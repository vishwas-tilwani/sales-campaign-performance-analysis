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wastilwani/Desktop/lications/ACC/"/>
    </mc:Choice>
  </mc:AlternateContent>
  <xr:revisionPtr revIDLastSave="0" documentId="8_{D1EB9D99-9BAA-494F-9E7F-A12E284A762D}" xr6:coauthVersionLast="47" xr6:coauthVersionMax="47" xr10:uidLastSave="{00000000-0000-0000-0000-000000000000}"/>
  <bookViews>
    <workbookView xWindow="1500" yWindow="1400" windowWidth="27640" windowHeight="16680" xr2:uid="{B926DC08-F849-4B43-9E88-0DDDBF16DBF0}"/>
  </bookViews>
  <sheets>
    <sheet name="SOPs DB" sheetId="2" r:id="rId1"/>
    <sheet name="Sheet1" sheetId="1" r:id="rId2"/>
  </sheets>
  <definedNames>
    <definedName name="_xlnm._FilterDatabase" localSheetId="0" hidden="1">'SOPs DB'!$A$1:$W$1001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1" i="2" l="1"/>
  <c r="Q1001" i="2"/>
  <c r="P1001" i="2"/>
  <c r="O1001" i="2"/>
  <c r="N1001" i="2"/>
  <c r="M1001" i="2"/>
  <c r="L1001" i="2"/>
  <c r="E1001" i="2"/>
  <c r="D1001" i="2"/>
  <c r="W1000" i="2"/>
  <c r="Q1000" i="2"/>
  <c r="P1000" i="2"/>
  <c r="O1000" i="2"/>
  <c r="N1000" i="2"/>
  <c r="M1000" i="2"/>
  <c r="L1000" i="2"/>
  <c r="E1000" i="2"/>
  <c r="D1000" i="2"/>
  <c r="W999" i="2"/>
  <c r="Q999" i="2"/>
  <c r="P999" i="2"/>
  <c r="O999" i="2"/>
  <c r="N999" i="2"/>
  <c r="M999" i="2"/>
  <c r="L999" i="2"/>
  <c r="E999" i="2"/>
  <c r="D999" i="2"/>
  <c r="W998" i="2"/>
  <c r="Q998" i="2"/>
  <c r="P998" i="2"/>
  <c r="O998" i="2"/>
  <c r="N998" i="2"/>
  <c r="M998" i="2"/>
  <c r="L998" i="2"/>
  <c r="E998" i="2"/>
  <c r="D998" i="2" s="1"/>
  <c r="W997" i="2"/>
  <c r="Q997" i="2"/>
  <c r="P997" i="2"/>
  <c r="O997" i="2"/>
  <c r="N997" i="2"/>
  <c r="M997" i="2"/>
  <c r="L997" i="2"/>
  <c r="E997" i="2"/>
  <c r="D997" i="2"/>
  <c r="W996" i="2"/>
  <c r="Q996" i="2"/>
  <c r="P996" i="2"/>
  <c r="O996" i="2"/>
  <c r="N996" i="2"/>
  <c r="M996" i="2"/>
  <c r="L996" i="2"/>
  <c r="E996" i="2"/>
  <c r="D996" i="2" s="1"/>
  <c r="W995" i="2"/>
  <c r="Q995" i="2"/>
  <c r="P995" i="2"/>
  <c r="O995" i="2"/>
  <c r="N995" i="2"/>
  <c r="M995" i="2"/>
  <c r="L995" i="2"/>
  <c r="E995" i="2"/>
  <c r="D995" i="2"/>
  <c r="W994" i="2"/>
  <c r="Q994" i="2"/>
  <c r="P994" i="2"/>
  <c r="O994" i="2"/>
  <c r="N994" i="2"/>
  <c r="M994" i="2"/>
  <c r="L994" i="2"/>
  <c r="E994" i="2"/>
  <c r="D994" i="2"/>
  <c r="W993" i="2"/>
  <c r="Q993" i="2"/>
  <c r="P993" i="2"/>
  <c r="O993" i="2"/>
  <c r="N993" i="2"/>
  <c r="M993" i="2"/>
  <c r="L993" i="2"/>
  <c r="E993" i="2"/>
  <c r="D993" i="2"/>
  <c r="W992" i="2"/>
  <c r="Q992" i="2"/>
  <c r="P992" i="2"/>
  <c r="O992" i="2"/>
  <c r="N992" i="2"/>
  <c r="M992" i="2"/>
  <c r="L992" i="2"/>
  <c r="E992" i="2"/>
  <c r="D992" i="2"/>
  <c r="W991" i="2"/>
  <c r="Q991" i="2"/>
  <c r="P991" i="2"/>
  <c r="O991" i="2"/>
  <c r="N991" i="2"/>
  <c r="M991" i="2"/>
  <c r="L991" i="2"/>
  <c r="E991" i="2"/>
  <c r="D991" i="2"/>
  <c r="W990" i="2"/>
  <c r="Q990" i="2"/>
  <c r="P990" i="2"/>
  <c r="O990" i="2"/>
  <c r="N990" i="2"/>
  <c r="M990" i="2"/>
  <c r="L990" i="2"/>
  <c r="E990" i="2"/>
  <c r="D990" i="2" s="1"/>
  <c r="W989" i="2"/>
  <c r="Q989" i="2"/>
  <c r="P989" i="2"/>
  <c r="O989" i="2"/>
  <c r="N989" i="2"/>
  <c r="M989" i="2"/>
  <c r="L989" i="2"/>
  <c r="E989" i="2"/>
  <c r="D989" i="2"/>
  <c r="W988" i="2"/>
  <c r="Q988" i="2"/>
  <c r="P988" i="2"/>
  <c r="O988" i="2"/>
  <c r="N988" i="2"/>
  <c r="M988" i="2"/>
  <c r="L988" i="2"/>
  <c r="E988" i="2"/>
  <c r="D988" i="2" s="1"/>
  <c r="W987" i="2"/>
  <c r="Q987" i="2"/>
  <c r="P987" i="2"/>
  <c r="O987" i="2"/>
  <c r="N987" i="2"/>
  <c r="M987" i="2"/>
  <c r="L987" i="2"/>
  <c r="E987" i="2"/>
  <c r="D987" i="2" s="1"/>
  <c r="W986" i="2"/>
  <c r="Q986" i="2"/>
  <c r="P986" i="2"/>
  <c r="O986" i="2"/>
  <c r="N986" i="2"/>
  <c r="M986" i="2"/>
  <c r="L986" i="2"/>
  <c r="E986" i="2"/>
  <c r="D986" i="2" s="1"/>
  <c r="W985" i="2"/>
  <c r="Q985" i="2"/>
  <c r="P985" i="2"/>
  <c r="O985" i="2"/>
  <c r="N985" i="2"/>
  <c r="M985" i="2"/>
  <c r="L985" i="2"/>
  <c r="E985" i="2"/>
  <c r="D985" i="2" s="1"/>
  <c r="W984" i="2"/>
  <c r="Q984" i="2"/>
  <c r="P984" i="2"/>
  <c r="O984" i="2"/>
  <c r="N984" i="2"/>
  <c r="M984" i="2"/>
  <c r="L984" i="2"/>
  <c r="E984" i="2"/>
  <c r="D984" i="2"/>
  <c r="W983" i="2"/>
  <c r="Q983" i="2"/>
  <c r="P983" i="2"/>
  <c r="O983" i="2"/>
  <c r="N983" i="2"/>
  <c r="M983" i="2"/>
  <c r="L983" i="2"/>
  <c r="E983" i="2"/>
  <c r="D983" i="2"/>
  <c r="W982" i="2"/>
  <c r="Q982" i="2"/>
  <c r="P982" i="2"/>
  <c r="O982" i="2"/>
  <c r="N982" i="2"/>
  <c r="M982" i="2"/>
  <c r="L982" i="2"/>
  <c r="E982" i="2"/>
  <c r="D982" i="2" s="1"/>
  <c r="W981" i="2"/>
  <c r="Q981" i="2"/>
  <c r="P981" i="2"/>
  <c r="O981" i="2"/>
  <c r="N981" i="2"/>
  <c r="M981" i="2"/>
  <c r="L981" i="2"/>
  <c r="E981" i="2"/>
  <c r="D981" i="2"/>
  <c r="W980" i="2"/>
  <c r="Q980" i="2"/>
  <c r="P980" i="2"/>
  <c r="O980" i="2"/>
  <c r="N980" i="2"/>
  <c r="M980" i="2"/>
  <c r="L980" i="2"/>
  <c r="E980" i="2"/>
  <c r="D980" i="2"/>
  <c r="W979" i="2"/>
  <c r="Q979" i="2"/>
  <c r="P979" i="2"/>
  <c r="O979" i="2"/>
  <c r="N979" i="2"/>
  <c r="M979" i="2"/>
  <c r="L979" i="2"/>
  <c r="E979" i="2"/>
  <c r="D979" i="2"/>
  <c r="W978" i="2"/>
  <c r="Q978" i="2"/>
  <c r="P978" i="2"/>
  <c r="O978" i="2"/>
  <c r="N978" i="2"/>
  <c r="M978" i="2"/>
  <c r="L978" i="2"/>
  <c r="E978" i="2"/>
  <c r="D978" i="2" s="1"/>
  <c r="W977" i="2"/>
  <c r="Q977" i="2"/>
  <c r="P977" i="2"/>
  <c r="O977" i="2"/>
  <c r="N977" i="2"/>
  <c r="M977" i="2"/>
  <c r="L977" i="2"/>
  <c r="E977" i="2"/>
  <c r="D977" i="2"/>
  <c r="W976" i="2"/>
  <c r="Q976" i="2"/>
  <c r="P976" i="2"/>
  <c r="O976" i="2"/>
  <c r="N976" i="2"/>
  <c r="M976" i="2"/>
  <c r="L976" i="2"/>
  <c r="E976" i="2"/>
  <c r="D976" i="2"/>
  <c r="W975" i="2"/>
  <c r="Q975" i="2"/>
  <c r="P975" i="2"/>
  <c r="O975" i="2"/>
  <c r="N975" i="2"/>
  <c r="M975" i="2"/>
  <c r="L975" i="2"/>
  <c r="E975" i="2"/>
  <c r="D975" i="2"/>
  <c r="W974" i="2"/>
  <c r="Q974" i="2"/>
  <c r="P974" i="2"/>
  <c r="O974" i="2"/>
  <c r="N974" i="2"/>
  <c r="M974" i="2"/>
  <c r="L974" i="2"/>
  <c r="E974" i="2"/>
  <c r="D974" i="2" s="1"/>
  <c r="W973" i="2"/>
  <c r="Q973" i="2"/>
  <c r="P973" i="2"/>
  <c r="O973" i="2"/>
  <c r="N973" i="2"/>
  <c r="M973" i="2"/>
  <c r="L973" i="2"/>
  <c r="E973" i="2"/>
  <c r="D973" i="2" s="1"/>
  <c r="W972" i="2"/>
  <c r="Q972" i="2"/>
  <c r="P972" i="2"/>
  <c r="O972" i="2"/>
  <c r="N972" i="2"/>
  <c r="M972" i="2"/>
  <c r="L972" i="2"/>
  <c r="E972" i="2"/>
  <c r="D972" i="2" s="1"/>
  <c r="W971" i="2"/>
  <c r="Q971" i="2"/>
  <c r="P971" i="2"/>
  <c r="O971" i="2"/>
  <c r="N971" i="2"/>
  <c r="M971" i="2"/>
  <c r="L971" i="2"/>
  <c r="E971" i="2"/>
  <c r="D971" i="2" s="1"/>
  <c r="W970" i="2"/>
  <c r="Q970" i="2"/>
  <c r="P970" i="2"/>
  <c r="O970" i="2"/>
  <c r="N970" i="2"/>
  <c r="M970" i="2"/>
  <c r="L970" i="2"/>
  <c r="E970" i="2"/>
  <c r="D970" i="2"/>
  <c r="W969" i="2"/>
  <c r="Q969" i="2"/>
  <c r="P969" i="2"/>
  <c r="O969" i="2"/>
  <c r="N969" i="2"/>
  <c r="M969" i="2"/>
  <c r="L969" i="2"/>
  <c r="E969" i="2"/>
  <c r="D969" i="2" s="1"/>
  <c r="W968" i="2"/>
  <c r="Q968" i="2"/>
  <c r="P968" i="2"/>
  <c r="O968" i="2"/>
  <c r="N968" i="2"/>
  <c r="M968" i="2"/>
  <c r="L968" i="2"/>
  <c r="E968" i="2"/>
  <c r="D968" i="2"/>
  <c r="W967" i="2"/>
  <c r="Q967" i="2"/>
  <c r="P967" i="2"/>
  <c r="O967" i="2"/>
  <c r="N967" i="2"/>
  <c r="M967" i="2"/>
  <c r="L967" i="2"/>
  <c r="E967" i="2"/>
  <c r="D967" i="2" s="1"/>
  <c r="W966" i="2"/>
  <c r="Q966" i="2"/>
  <c r="P966" i="2"/>
  <c r="O966" i="2"/>
  <c r="N966" i="2"/>
  <c r="M966" i="2"/>
  <c r="L966" i="2"/>
  <c r="E966" i="2"/>
  <c r="D966" i="2" s="1"/>
  <c r="W965" i="2"/>
  <c r="Q965" i="2"/>
  <c r="P965" i="2"/>
  <c r="O965" i="2"/>
  <c r="N965" i="2"/>
  <c r="M965" i="2"/>
  <c r="L965" i="2"/>
  <c r="E965" i="2"/>
  <c r="D965" i="2"/>
  <c r="W964" i="2"/>
  <c r="Q964" i="2"/>
  <c r="P964" i="2"/>
  <c r="O964" i="2"/>
  <c r="N964" i="2"/>
  <c r="M964" i="2"/>
  <c r="L964" i="2"/>
  <c r="E964" i="2"/>
  <c r="D964" i="2"/>
  <c r="W963" i="2"/>
  <c r="Q963" i="2"/>
  <c r="P963" i="2"/>
  <c r="O963" i="2"/>
  <c r="N963" i="2"/>
  <c r="M963" i="2"/>
  <c r="L963" i="2"/>
  <c r="E963" i="2"/>
  <c r="D963" i="2" s="1"/>
  <c r="W962" i="2"/>
  <c r="Q962" i="2"/>
  <c r="P962" i="2"/>
  <c r="O962" i="2"/>
  <c r="N962" i="2"/>
  <c r="M962" i="2"/>
  <c r="L962" i="2"/>
  <c r="E962" i="2"/>
  <c r="D962" i="2" s="1"/>
  <c r="W961" i="2"/>
  <c r="Q961" i="2"/>
  <c r="P961" i="2"/>
  <c r="O961" i="2"/>
  <c r="N961" i="2"/>
  <c r="M961" i="2"/>
  <c r="L961" i="2"/>
  <c r="E961" i="2"/>
  <c r="D961" i="2"/>
  <c r="W960" i="2"/>
  <c r="Q960" i="2"/>
  <c r="P960" i="2"/>
  <c r="O960" i="2"/>
  <c r="N960" i="2"/>
  <c r="M960" i="2"/>
  <c r="L960" i="2"/>
  <c r="E960" i="2"/>
  <c r="D960" i="2"/>
  <c r="W959" i="2"/>
  <c r="Q959" i="2"/>
  <c r="P959" i="2"/>
  <c r="O959" i="2"/>
  <c r="N959" i="2"/>
  <c r="M959" i="2"/>
  <c r="L959" i="2"/>
  <c r="E959" i="2"/>
  <c r="D959" i="2" s="1"/>
  <c r="W958" i="2"/>
  <c r="Q958" i="2"/>
  <c r="P958" i="2"/>
  <c r="O958" i="2"/>
  <c r="N958" i="2"/>
  <c r="M958" i="2"/>
  <c r="L958" i="2"/>
  <c r="E958" i="2"/>
  <c r="D958" i="2" s="1"/>
  <c r="W957" i="2"/>
  <c r="Q957" i="2"/>
  <c r="P957" i="2"/>
  <c r="O957" i="2"/>
  <c r="N957" i="2"/>
  <c r="M957" i="2"/>
  <c r="L957" i="2"/>
  <c r="E957" i="2"/>
  <c r="D957" i="2" s="1"/>
  <c r="W956" i="2"/>
  <c r="Q956" i="2"/>
  <c r="P956" i="2"/>
  <c r="O956" i="2"/>
  <c r="N956" i="2"/>
  <c r="M956" i="2"/>
  <c r="L956" i="2"/>
  <c r="E956" i="2"/>
  <c r="D956" i="2"/>
  <c r="W955" i="2"/>
  <c r="Q955" i="2"/>
  <c r="P955" i="2"/>
  <c r="O955" i="2"/>
  <c r="N955" i="2"/>
  <c r="M955" i="2"/>
  <c r="L955" i="2"/>
  <c r="E955" i="2"/>
  <c r="D955" i="2" s="1"/>
  <c r="W954" i="2"/>
  <c r="Q954" i="2"/>
  <c r="P954" i="2"/>
  <c r="O954" i="2"/>
  <c r="N954" i="2"/>
  <c r="M954" i="2"/>
  <c r="L954" i="2"/>
  <c r="E954" i="2"/>
  <c r="D954" i="2" s="1"/>
  <c r="W953" i="2"/>
  <c r="Q953" i="2"/>
  <c r="P953" i="2"/>
  <c r="O953" i="2"/>
  <c r="N953" i="2"/>
  <c r="M953" i="2"/>
  <c r="L953" i="2"/>
  <c r="E953" i="2"/>
  <c r="D953" i="2" s="1"/>
  <c r="W952" i="2"/>
  <c r="Q952" i="2"/>
  <c r="P952" i="2"/>
  <c r="O952" i="2"/>
  <c r="N952" i="2"/>
  <c r="M952" i="2"/>
  <c r="L952" i="2"/>
  <c r="E952" i="2"/>
  <c r="D952" i="2"/>
  <c r="W951" i="2"/>
  <c r="Q951" i="2"/>
  <c r="P951" i="2"/>
  <c r="O951" i="2"/>
  <c r="N951" i="2"/>
  <c r="M951" i="2"/>
  <c r="L951" i="2"/>
  <c r="E951" i="2"/>
  <c r="D951" i="2"/>
  <c r="W950" i="2"/>
  <c r="Q950" i="2"/>
  <c r="P950" i="2"/>
  <c r="O950" i="2"/>
  <c r="N950" i="2"/>
  <c r="M950" i="2"/>
  <c r="L950" i="2"/>
  <c r="E950" i="2"/>
  <c r="D950" i="2"/>
  <c r="W949" i="2"/>
  <c r="Q949" i="2"/>
  <c r="P949" i="2"/>
  <c r="O949" i="2"/>
  <c r="N949" i="2"/>
  <c r="M949" i="2"/>
  <c r="L949" i="2"/>
  <c r="E949" i="2"/>
  <c r="D949" i="2" s="1"/>
  <c r="W948" i="2"/>
  <c r="Q948" i="2"/>
  <c r="P948" i="2"/>
  <c r="O948" i="2"/>
  <c r="N948" i="2"/>
  <c r="M948" i="2"/>
  <c r="L948" i="2"/>
  <c r="E948" i="2"/>
  <c r="D948" i="2"/>
  <c r="W947" i="2"/>
  <c r="Q947" i="2"/>
  <c r="P947" i="2"/>
  <c r="O947" i="2"/>
  <c r="N947" i="2"/>
  <c r="M947" i="2"/>
  <c r="L947" i="2"/>
  <c r="E947" i="2"/>
  <c r="D947" i="2"/>
  <c r="W946" i="2"/>
  <c r="Q946" i="2"/>
  <c r="P946" i="2"/>
  <c r="O946" i="2"/>
  <c r="N946" i="2"/>
  <c r="M946" i="2"/>
  <c r="L946" i="2"/>
  <c r="E946" i="2"/>
  <c r="D946" i="2"/>
  <c r="W945" i="2"/>
  <c r="Q945" i="2"/>
  <c r="P945" i="2"/>
  <c r="O945" i="2"/>
  <c r="N945" i="2"/>
  <c r="M945" i="2"/>
  <c r="L945" i="2"/>
  <c r="E945" i="2"/>
  <c r="D945" i="2" s="1"/>
  <c r="W944" i="2"/>
  <c r="Q944" i="2"/>
  <c r="P944" i="2"/>
  <c r="O944" i="2"/>
  <c r="N944" i="2"/>
  <c r="M944" i="2"/>
  <c r="L944" i="2"/>
  <c r="E944" i="2"/>
  <c r="D944" i="2"/>
  <c r="W943" i="2"/>
  <c r="Q943" i="2"/>
  <c r="P943" i="2"/>
  <c r="O943" i="2"/>
  <c r="N943" i="2"/>
  <c r="M943" i="2"/>
  <c r="L943" i="2"/>
  <c r="E943" i="2"/>
  <c r="D943" i="2"/>
  <c r="W942" i="2"/>
  <c r="Q942" i="2"/>
  <c r="P942" i="2"/>
  <c r="O942" i="2"/>
  <c r="N942" i="2"/>
  <c r="M942" i="2"/>
  <c r="L942" i="2"/>
  <c r="E942" i="2"/>
  <c r="D942" i="2" s="1"/>
  <c r="W941" i="2"/>
  <c r="Q941" i="2"/>
  <c r="P941" i="2"/>
  <c r="O941" i="2"/>
  <c r="N941" i="2"/>
  <c r="M941" i="2"/>
  <c r="L941" i="2"/>
  <c r="E941" i="2"/>
  <c r="D941" i="2"/>
  <c r="W940" i="2"/>
  <c r="Q940" i="2"/>
  <c r="P940" i="2"/>
  <c r="O940" i="2"/>
  <c r="N940" i="2"/>
  <c r="M940" i="2"/>
  <c r="L940" i="2"/>
  <c r="E940" i="2"/>
  <c r="D940" i="2"/>
  <c r="W939" i="2"/>
  <c r="Q939" i="2"/>
  <c r="P939" i="2"/>
  <c r="O939" i="2"/>
  <c r="N939" i="2"/>
  <c r="M939" i="2"/>
  <c r="L939" i="2"/>
  <c r="E939" i="2"/>
  <c r="D939" i="2"/>
  <c r="W938" i="2"/>
  <c r="Q938" i="2"/>
  <c r="P938" i="2"/>
  <c r="O938" i="2"/>
  <c r="N938" i="2"/>
  <c r="M938" i="2"/>
  <c r="L938" i="2"/>
  <c r="E938" i="2"/>
  <c r="D938" i="2"/>
  <c r="W937" i="2"/>
  <c r="Q937" i="2"/>
  <c r="P937" i="2"/>
  <c r="O937" i="2"/>
  <c r="N937" i="2"/>
  <c r="M937" i="2"/>
  <c r="L937" i="2"/>
  <c r="E937" i="2"/>
  <c r="D937" i="2" s="1"/>
  <c r="W936" i="2"/>
  <c r="Q936" i="2"/>
  <c r="P936" i="2"/>
  <c r="O936" i="2"/>
  <c r="N936" i="2"/>
  <c r="M936" i="2"/>
  <c r="L936" i="2"/>
  <c r="E936" i="2"/>
  <c r="D936" i="2" s="1"/>
  <c r="W935" i="2"/>
  <c r="Q935" i="2"/>
  <c r="P935" i="2"/>
  <c r="O935" i="2"/>
  <c r="N935" i="2"/>
  <c r="M935" i="2"/>
  <c r="L935" i="2"/>
  <c r="E935" i="2"/>
  <c r="D935" i="2" s="1"/>
  <c r="W934" i="2"/>
  <c r="Q934" i="2"/>
  <c r="P934" i="2"/>
  <c r="O934" i="2"/>
  <c r="N934" i="2"/>
  <c r="M934" i="2"/>
  <c r="L934" i="2"/>
  <c r="E934" i="2"/>
  <c r="D934" i="2"/>
  <c r="W933" i="2"/>
  <c r="Q933" i="2"/>
  <c r="P933" i="2"/>
  <c r="O933" i="2"/>
  <c r="N933" i="2"/>
  <c r="M933" i="2"/>
  <c r="L933" i="2"/>
  <c r="E933" i="2"/>
  <c r="D933" i="2" s="1"/>
  <c r="W932" i="2"/>
  <c r="Q932" i="2"/>
  <c r="P932" i="2"/>
  <c r="O932" i="2"/>
  <c r="N932" i="2"/>
  <c r="M932" i="2"/>
  <c r="L932" i="2"/>
  <c r="E932" i="2"/>
  <c r="D932" i="2" s="1"/>
  <c r="W931" i="2"/>
  <c r="Q931" i="2"/>
  <c r="P931" i="2"/>
  <c r="O931" i="2"/>
  <c r="N931" i="2"/>
  <c r="M931" i="2"/>
  <c r="L931" i="2"/>
  <c r="E931" i="2"/>
  <c r="D931" i="2"/>
  <c r="W930" i="2"/>
  <c r="Q930" i="2"/>
  <c r="P930" i="2"/>
  <c r="O930" i="2"/>
  <c r="N930" i="2"/>
  <c r="M930" i="2"/>
  <c r="L930" i="2"/>
  <c r="E930" i="2"/>
  <c r="D930" i="2"/>
  <c r="W929" i="2"/>
  <c r="Q929" i="2"/>
  <c r="P929" i="2"/>
  <c r="O929" i="2"/>
  <c r="N929" i="2"/>
  <c r="M929" i="2"/>
  <c r="L929" i="2"/>
  <c r="E929" i="2"/>
  <c r="D929" i="2" s="1"/>
  <c r="W928" i="2"/>
  <c r="Q928" i="2"/>
  <c r="P928" i="2"/>
  <c r="O928" i="2"/>
  <c r="N928" i="2"/>
  <c r="M928" i="2"/>
  <c r="L928" i="2"/>
  <c r="E928" i="2"/>
  <c r="D928" i="2"/>
  <c r="W927" i="2"/>
  <c r="Q927" i="2"/>
  <c r="P927" i="2"/>
  <c r="O927" i="2"/>
  <c r="N927" i="2"/>
  <c r="M927" i="2"/>
  <c r="L927" i="2"/>
  <c r="E927" i="2"/>
  <c r="D927" i="2" s="1"/>
  <c r="W926" i="2"/>
  <c r="Q926" i="2"/>
  <c r="P926" i="2"/>
  <c r="O926" i="2"/>
  <c r="N926" i="2"/>
  <c r="M926" i="2"/>
  <c r="L926" i="2"/>
  <c r="E926" i="2"/>
  <c r="D926" i="2"/>
  <c r="W925" i="2"/>
  <c r="Q925" i="2"/>
  <c r="P925" i="2"/>
  <c r="O925" i="2"/>
  <c r="N925" i="2"/>
  <c r="M925" i="2"/>
  <c r="L925" i="2"/>
  <c r="E925" i="2"/>
  <c r="D925" i="2" s="1"/>
  <c r="W924" i="2"/>
  <c r="Q924" i="2"/>
  <c r="P924" i="2"/>
  <c r="O924" i="2"/>
  <c r="N924" i="2"/>
  <c r="M924" i="2"/>
  <c r="L924" i="2"/>
  <c r="E924" i="2"/>
  <c r="D924" i="2" s="1"/>
  <c r="W923" i="2"/>
  <c r="Q923" i="2"/>
  <c r="P923" i="2"/>
  <c r="O923" i="2"/>
  <c r="N923" i="2"/>
  <c r="M923" i="2"/>
  <c r="L923" i="2"/>
  <c r="E923" i="2"/>
  <c r="D923" i="2" s="1"/>
  <c r="W922" i="2"/>
  <c r="Q922" i="2"/>
  <c r="P922" i="2"/>
  <c r="O922" i="2"/>
  <c r="N922" i="2"/>
  <c r="M922" i="2"/>
  <c r="L922" i="2"/>
  <c r="E922" i="2"/>
  <c r="D922" i="2" s="1"/>
  <c r="W921" i="2"/>
  <c r="Q921" i="2"/>
  <c r="P921" i="2"/>
  <c r="O921" i="2"/>
  <c r="N921" i="2"/>
  <c r="M921" i="2"/>
  <c r="L921" i="2"/>
  <c r="E921" i="2"/>
  <c r="D921" i="2"/>
  <c r="W920" i="2"/>
  <c r="Q920" i="2"/>
  <c r="P920" i="2"/>
  <c r="O920" i="2"/>
  <c r="N920" i="2"/>
  <c r="M920" i="2"/>
  <c r="L920" i="2"/>
  <c r="E920" i="2"/>
  <c r="D920" i="2"/>
  <c r="W919" i="2"/>
  <c r="Q919" i="2"/>
  <c r="P919" i="2"/>
  <c r="O919" i="2"/>
  <c r="N919" i="2"/>
  <c r="M919" i="2"/>
  <c r="L919" i="2"/>
  <c r="E919" i="2"/>
  <c r="D919" i="2"/>
  <c r="W918" i="2"/>
  <c r="Q918" i="2"/>
  <c r="P918" i="2"/>
  <c r="O918" i="2"/>
  <c r="N918" i="2"/>
  <c r="M918" i="2"/>
  <c r="L918" i="2"/>
  <c r="E918" i="2"/>
  <c r="D918" i="2" s="1"/>
  <c r="W917" i="2"/>
  <c r="Q917" i="2"/>
  <c r="P917" i="2"/>
  <c r="O917" i="2"/>
  <c r="N917" i="2"/>
  <c r="M917" i="2"/>
  <c r="L917" i="2"/>
  <c r="E917" i="2"/>
  <c r="D917" i="2" s="1"/>
  <c r="W916" i="2"/>
  <c r="Q916" i="2"/>
  <c r="P916" i="2"/>
  <c r="O916" i="2"/>
  <c r="N916" i="2"/>
  <c r="M916" i="2"/>
  <c r="L916" i="2"/>
  <c r="E916" i="2"/>
  <c r="D916" i="2"/>
  <c r="W915" i="2"/>
  <c r="Q915" i="2"/>
  <c r="P915" i="2"/>
  <c r="O915" i="2"/>
  <c r="N915" i="2"/>
  <c r="M915" i="2"/>
  <c r="L915" i="2"/>
  <c r="E915" i="2"/>
  <c r="D915" i="2"/>
  <c r="W914" i="2"/>
  <c r="Q914" i="2"/>
  <c r="P914" i="2"/>
  <c r="O914" i="2"/>
  <c r="N914" i="2"/>
  <c r="M914" i="2"/>
  <c r="L914" i="2"/>
  <c r="E914" i="2"/>
  <c r="D914" i="2"/>
  <c r="W913" i="2"/>
  <c r="Q913" i="2"/>
  <c r="P913" i="2"/>
  <c r="O913" i="2"/>
  <c r="N913" i="2"/>
  <c r="M913" i="2"/>
  <c r="L913" i="2"/>
  <c r="E913" i="2"/>
  <c r="D913" i="2"/>
  <c r="W912" i="2"/>
  <c r="Q912" i="2"/>
  <c r="P912" i="2"/>
  <c r="O912" i="2"/>
  <c r="N912" i="2"/>
  <c r="M912" i="2"/>
  <c r="L912" i="2"/>
  <c r="E912" i="2"/>
  <c r="D912" i="2"/>
  <c r="W911" i="2"/>
  <c r="Q911" i="2"/>
  <c r="P911" i="2"/>
  <c r="O911" i="2"/>
  <c r="N911" i="2"/>
  <c r="M911" i="2"/>
  <c r="L911" i="2"/>
  <c r="E911" i="2"/>
  <c r="D911" i="2"/>
  <c r="W910" i="2"/>
  <c r="Q910" i="2"/>
  <c r="P910" i="2"/>
  <c r="O910" i="2"/>
  <c r="N910" i="2"/>
  <c r="M910" i="2"/>
  <c r="L910" i="2"/>
  <c r="E910" i="2"/>
  <c r="D910" i="2" s="1"/>
  <c r="W909" i="2"/>
  <c r="Q909" i="2"/>
  <c r="P909" i="2"/>
  <c r="O909" i="2"/>
  <c r="N909" i="2"/>
  <c r="M909" i="2"/>
  <c r="L909" i="2"/>
  <c r="E909" i="2"/>
  <c r="D909" i="2" s="1"/>
  <c r="W908" i="2"/>
  <c r="Q908" i="2"/>
  <c r="P908" i="2"/>
  <c r="O908" i="2"/>
  <c r="N908" i="2"/>
  <c r="M908" i="2"/>
  <c r="L908" i="2"/>
  <c r="E908" i="2"/>
  <c r="D908" i="2"/>
  <c r="W907" i="2"/>
  <c r="Q907" i="2"/>
  <c r="P907" i="2"/>
  <c r="O907" i="2"/>
  <c r="N907" i="2"/>
  <c r="M907" i="2"/>
  <c r="L907" i="2"/>
  <c r="E907" i="2"/>
  <c r="D907" i="2" s="1"/>
  <c r="W906" i="2"/>
  <c r="Q906" i="2"/>
  <c r="P906" i="2"/>
  <c r="O906" i="2"/>
  <c r="N906" i="2"/>
  <c r="M906" i="2"/>
  <c r="L906" i="2"/>
  <c r="E906" i="2"/>
  <c r="D906" i="2"/>
  <c r="W905" i="2"/>
  <c r="Q905" i="2"/>
  <c r="P905" i="2"/>
  <c r="O905" i="2"/>
  <c r="N905" i="2"/>
  <c r="M905" i="2"/>
  <c r="L905" i="2"/>
  <c r="E905" i="2"/>
  <c r="D905" i="2" s="1"/>
  <c r="W904" i="2"/>
  <c r="Q904" i="2"/>
  <c r="P904" i="2"/>
  <c r="O904" i="2"/>
  <c r="N904" i="2"/>
  <c r="M904" i="2"/>
  <c r="L904" i="2"/>
  <c r="E904" i="2"/>
  <c r="D904" i="2"/>
  <c r="W903" i="2"/>
  <c r="Q903" i="2"/>
  <c r="P903" i="2"/>
  <c r="O903" i="2"/>
  <c r="N903" i="2"/>
  <c r="M903" i="2"/>
  <c r="L903" i="2"/>
  <c r="E903" i="2"/>
  <c r="D903" i="2"/>
  <c r="W902" i="2"/>
  <c r="Q902" i="2"/>
  <c r="P902" i="2"/>
  <c r="O902" i="2"/>
  <c r="N902" i="2"/>
  <c r="M902" i="2"/>
  <c r="L902" i="2"/>
  <c r="E902" i="2"/>
  <c r="D902" i="2"/>
  <c r="W901" i="2"/>
  <c r="Q901" i="2"/>
  <c r="P901" i="2"/>
  <c r="O901" i="2"/>
  <c r="N901" i="2"/>
  <c r="M901" i="2"/>
  <c r="L901" i="2"/>
  <c r="E901" i="2"/>
  <c r="D901" i="2" s="1"/>
  <c r="W900" i="2"/>
  <c r="Q900" i="2"/>
  <c r="P900" i="2"/>
  <c r="O900" i="2"/>
  <c r="N900" i="2"/>
  <c r="M900" i="2"/>
  <c r="L900" i="2"/>
  <c r="E900" i="2"/>
  <c r="D900" i="2"/>
  <c r="W899" i="2"/>
  <c r="Q899" i="2"/>
  <c r="P899" i="2"/>
  <c r="O899" i="2"/>
  <c r="N899" i="2"/>
  <c r="M899" i="2"/>
  <c r="L899" i="2"/>
  <c r="E899" i="2"/>
  <c r="D899" i="2" s="1"/>
  <c r="W898" i="2"/>
  <c r="Q898" i="2"/>
  <c r="P898" i="2"/>
  <c r="O898" i="2"/>
  <c r="N898" i="2"/>
  <c r="M898" i="2"/>
  <c r="L898" i="2"/>
  <c r="E898" i="2"/>
  <c r="D898" i="2"/>
  <c r="W897" i="2"/>
  <c r="Q897" i="2"/>
  <c r="P897" i="2"/>
  <c r="O897" i="2"/>
  <c r="N897" i="2"/>
  <c r="M897" i="2"/>
  <c r="L897" i="2"/>
  <c r="E897" i="2"/>
  <c r="D897" i="2"/>
  <c r="W896" i="2"/>
  <c r="Q896" i="2"/>
  <c r="P896" i="2"/>
  <c r="O896" i="2"/>
  <c r="N896" i="2"/>
  <c r="M896" i="2"/>
  <c r="L896" i="2"/>
  <c r="E896" i="2"/>
  <c r="D896" i="2"/>
  <c r="W895" i="2"/>
  <c r="Q895" i="2"/>
  <c r="P895" i="2"/>
  <c r="O895" i="2"/>
  <c r="N895" i="2"/>
  <c r="M895" i="2"/>
  <c r="L895" i="2"/>
  <c r="E895" i="2"/>
  <c r="D895" i="2"/>
  <c r="W894" i="2"/>
  <c r="Q894" i="2"/>
  <c r="P894" i="2"/>
  <c r="O894" i="2"/>
  <c r="N894" i="2"/>
  <c r="M894" i="2"/>
  <c r="L894" i="2"/>
  <c r="E894" i="2"/>
  <c r="D894" i="2"/>
  <c r="W893" i="2"/>
  <c r="Q893" i="2"/>
  <c r="P893" i="2"/>
  <c r="O893" i="2"/>
  <c r="N893" i="2"/>
  <c r="M893" i="2"/>
  <c r="L893" i="2"/>
  <c r="E893" i="2"/>
  <c r="D893" i="2" s="1"/>
  <c r="W892" i="2"/>
  <c r="Q892" i="2"/>
  <c r="P892" i="2"/>
  <c r="O892" i="2"/>
  <c r="N892" i="2"/>
  <c r="M892" i="2"/>
  <c r="L892" i="2"/>
  <c r="E892" i="2"/>
  <c r="D892" i="2"/>
  <c r="W891" i="2"/>
  <c r="Q891" i="2"/>
  <c r="P891" i="2"/>
  <c r="O891" i="2"/>
  <c r="N891" i="2"/>
  <c r="M891" i="2"/>
  <c r="L891" i="2"/>
  <c r="E891" i="2"/>
  <c r="D891" i="2" s="1"/>
  <c r="W890" i="2"/>
  <c r="Q890" i="2"/>
  <c r="P890" i="2"/>
  <c r="O890" i="2"/>
  <c r="N890" i="2"/>
  <c r="M890" i="2"/>
  <c r="L890" i="2"/>
  <c r="E890" i="2"/>
  <c r="D890" i="2"/>
  <c r="W889" i="2"/>
  <c r="Q889" i="2"/>
  <c r="P889" i="2"/>
  <c r="O889" i="2"/>
  <c r="N889" i="2"/>
  <c r="M889" i="2"/>
  <c r="L889" i="2"/>
  <c r="E889" i="2"/>
  <c r="D889" i="2" s="1"/>
  <c r="W888" i="2"/>
  <c r="Q888" i="2"/>
  <c r="P888" i="2"/>
  <c r="O888" i="2"/>
  <c r="N888" i="2"/>
  <c r="M888" i="2"/>
  <c r="L888" i="2"/>
  <c r="E888" i="2"/>
  <c r="D888" i="2" s="1"/>
  <c r="W887" i="2"/>
  <c r="Q887" i="2"/>
  <c r="P887" i="2"/>
  <c r="O887" i="2"/>
  <c r="N887" i="2"/>
  <c r="M887" i="2"/>
  <c r="L887" i="2"/>
  <c r="E887" i="2"/>
  <c r="D887" i="2"/>
  <c r="W886" i="2"/>
  <c r="Q886" i="2"/>
  <c r="P886" i="2"/>
  <c r="O886" i="2"/>
  <c r="N886" i="2"/>
  <c r="M886" i="2"/>
  <c r="L886" i="2"/>
  <c r="E886" i="2"/>
  <c r="D886" i="2"/>
  <c r="W885" i="2"/>
  <c r="Q885" i="2"/>
  <c r="P885" i="2"/>
  <c r="O885" i="2"/>
  <c r="N885" i="2"/>
  <c r="M885" i="2"/>
  <c r="L885" i="2"/>
  <c r="E885" i="2"/>
  <c r="D885" i="2"/>
  <c r="W884" i="2"/>
  <c r="Q884" i="2"/>
  <c r="P884" i="2"/>
  <c r="O884" i="2"/>
  <c r="N884" i="2"/>
  <c r="M884" i="2"/>
  <c r="L884" i="2"/>
  <c r="E884" i="2"/>
  <c r="D884" i="2" s="1"/>
  <c r="W883" i="2"/>
  <c r="Q883" i="2"/>
  <c r="P883" i="2"/>
  <c r="O883" i="2"/>
  <c r="N883" i="2"/>
  <c r="M883" i="2"/>
  <c r="L883" i="2"/>
  <c r="E883" i="2"/>
  <c r="D883" i="2"/>
  <c r="W882" i="2"/>
  <c r="Q882" i="2"/>
  <c r="P882" i="2"/>
  <c r="O882" i="2"/>
  <c r="N882" i="2"/>
  <c r="M882" i="2"/>
  <c r="L882" i="2"/>
  <c r="E882" i="2"/>
  <c r="D882" i="2"/>
  <c r="W881" i="2"/>
  <c r="Q881" i="2"/>
  <c r="P881" i="2"/>
  <c r="O881" i="2"/>
  <c r="N881" i="2"/>
  <c r="M881" i="2"/>
  <c r="L881" i="2"/>
  <c r="E881" i="2"/>
  <c r="D881" i="2" s="1"/>
  <c r="W880" i="2"/>
  <c r="Q880" i="2"/>
  <c r="P880" i="2"/>
  <c r="O880" i="2"/>
  <c r="N880" i="2"/>
  <c r="M880" i="2"/>
  <c r="L880" i="2"/>
  <c r="E880" i="2"/>
  <c r="D880" i="2"/>
  <c r="W879" i="2"/>
  <c r="Q879" i="2"/>
  <c r="P879" i="2"/>
  <c r="O879" i="2"/>
  <c r="N879" i="2"/>
  <c r="M879" i="2"/>
  <c r="L879" i="2"/>
  <c r="E879" i="2"/>
  <c r="D879" i="2"/>
  <c r="W878" i="2"/>
  <c r="Q878" i="2"/>
  <c r="P878" i="2"/>
  <c r="O878" i="2"/>
  <c r="N878" i="2"/>
  <c r="M878" i="2"/>
  <c r="L878" i="2"/>
  <c r="E878" i="2"/>
  <c r="D878" i="2"/>
  <c r="W877" i="2"/>
  <c r="Q877" i="2"/>
  <c r="P877" i="2"/>
  <c r="O877" i="2"/>
  <c r="N877" i="2"/>
  <c r="M877" i="2"/>
  <c r="L877" i="2"/>
  <c r="E877" i="2"/>
  <c r="D877" i="2" s="1"/>
  <c r="W876" i="2"/>
  <c r="Q876" i="2"/>
  <c r="P876" i="2"/>
  <c r="O876" i="2"/>
  <c r="N876" i="2"/>
  <c r="M876" i="2"/>
  <c r="L876" i="2"/>
  <c r="E876" i="2"/>
  <c r="D876" i="2" s="1"/>
  <c r="W875" i="2"/>
  <c r="Q875" i="2"/>
  <c r="P875" i="2"/>
  <c r="O875" i="2"/>
  <c r="N875" i="2"/>
  <c r="M875" i="2"/>
  <c r="L875" i="2"/>
  <c r="E875" i="2"/>
  <c r="D875" i="2"/>
  <c r="W874" i="2"/>
  <c r="Q874" i="2"/>
  <c r="P874" i="2"/>
  <c r="O874" i="2"/>
  <c r="N874" i="2"/>
  <c r="M874" i="2"/>
  <c r="L874" i="2"/>
  <c r="E874" i="2"/>
  <c r="D874" i="2"/>
  <c r="W873" i="2"/>
  <c r="Q873" i="2"/>
  <c r="P873" i="2"/>
  <c r="O873" i="2"/>
  <c r="N873" i="2"/>
  <c r="M873" i="2"/>
  <c r="L873" i="2"/>
  <c r="E873" i="2"/>
  <c r="D873" i="2"/>
  <c r="W872" i="2"/>
  <c r="Q872" i="2"/>
  <c r="P872" i="2"/>
  <c r="O872" i="2"/>
  <c r="N872" i="2"/>
  <c r="M872" i="2"/>
  <c r="L872" i="2"/>
  <c r="E872" i="2"/>
  <c r="D872" i="2"/>
  <c r="W871" i="2"/>
  <c r="Q871" i="2"/>
  <c r="P871" i="2"/>
  <c r="O871" i="2"/>
  <c r="N871" i="2"/>
  <c r="M871" i="2"/>
  <c r="L871" i="2"/>
  <c r="E871" i="2"/>
  <c r="D871" i="2"/>
  <c r="W870" i="2"/>
  <c r="Q870" i="2"/>
  <c r="P870" i="2"/>
  <c r="O870" i="2"/>
  <c r="N870" i="2"/>
  <c r="M870" i="2"/>
  <c r="L870" i="2"/>
  <c r="E870" i="2"/>
  <c r="D870" i="2" s="1"/>
  <c r="W869" i="2"/>
  <c r="Q869" i="2"/>
  <c r="P869" i="2"/>
  <c r="O869" i="2"/>
  <c r="N869" i="2"/>
  <c r="M869" i="2"/>
  <c r="L869" i="2"/>
  <c r="E869" i="2"/>
  <c r="D869" i="2" s="1"/>
  <c r="W868" i="2"/>
  <c r="Q868" i="2"/>
  <c r="P868" i="2"/>
  <c r="O868" i="2"/>
  <c r="N868" i="2"/>
  <c r="M868" i="2"/>
  <c r="L868" i="2"/>
  <c r="E868" i="2"/>
  <c r="D868" i="2" s="1"/>
  <c r="W867" i="2"/>
  <c r="Q867" i="2"/>
  <c r="P867" i="2"/>
  <c r="O867" i="2"/>
  <c r="N867" i="2"/>
  <c r="M867" i="2"/>
  <c r="L867" i="2"/>
  <c r="E867" i="2"/>
  <c r="D867" i="2"/>
  <c r="W866" i="2"/>
  <c r="Q866" i="2"/>
  <c r="P866" i="2"/>
  <c r="O866" i="2"/>
  <c r="N866" i="2"/>
  <c r="M866" i="2"/>
  <c r="L866" i="2"/>
  <c r="E866" i="2"/>
  <c r="D866" i="2"/>
  <c r="W865" i="2"/>
  <c r="Q865" i="2"/>
  <c r="P865" i="2"/>
  <c r="O865" i="2"/>
  <c r="N865" i="2"/>
  <c r="M865" i="2"/>
  <c r="L865" i="2"/>
  <c r="E865" i="2"/>
  <c r="D865" i="2" s="1"/>
  <c r="W864" i="2"/>
  <c r="Q864" i="2"/>
  <c r="P864" i="2"/>
  <c r="O864" i="2"/>
  <c r="N864" i="2"/>
  <c r="M864" i="2"/>
  <c r="L864" i="2"/>
  <c r="E864" i="2"/>
  <c r="D864" i="2"/>
  <c r="W863" i="2"/>
  <c r="Q863" i="2"/>
  <c r="P863" i="2"/>
  <c r="O863" i="2"/>
  <c r="N863" i="2"/>
  <c r="M863" i="2"/>
  <c r="L863" i="2"/>
  <c r="E863" i="2"/>
  <c r="D863" i="2"/>
  <c r="W862" i="2"/>
  <c r="Q862" i="2"/>
  <c r="P862" i="2"/>
  <c r="O862" i="2"/>
  <c r="N862" i="2"/>
  <c r="M862" i="2"/>
  <c r="L862" i="2"/>
  <c r="E862" i="2"/>
  <c r="D862" i="2"/>
  <c r="W861" i="2"/>
  <c r="Q861" i="2"/>
  <c r="P861" i="2"/>
  <c r="O861" i="2"/>
  <c r="N861" i="2"/>
  <c r="M861" i="2"/>
  <c r="L861" i="2"/>
  <c r="E861" i="2"/>
  <c r="D861" i="2" s="1"/>
  <c r="W860" i="2"/>
  <c r="Q860" i="2"/>
  <c r="P860" i="2"/>
  <c r="O860" i="2"/>
  <c r="N860" i="2"/>
  <c r="M860" i="2"/>
  <c r="L860" i="2"/>
  <c r="E860" i="2"/>
  <c r="D860" i="2"/>
  <c r="W859" i="2"/>
  <c r="Q859" i="2"/>
  <c r="P859" i="2"/>
  <c r="O859" i="2"/>
  <c r="N859" i="2"/>
  <c r="M859" i="2"/>
  <c r="L859" i="2"/>
  <c r="E859" i="2"/>
  <c r="D859" i="2"/>
  <c r="W858" i="2"/>
  <c r="Q858" i="2"/>
  <c r="P858" i="2"/>
  <c r="O858" i="2"/>
  <c r="N858" i="2"/>
  <c r="M858" i="2"/>
  <c r="L858" i="2"/>
  <c r="E858" i="2"/>
  <c r="D858" i="2"/>
  <c r="W857" i="2"/>
  <c r="Q857" i="2"/>
  <c r="P857" i="2"/>
  <c r="O857" i="2"/>
  <c r="N857" i="2"/>
  <c r="M857" i="2"/>
  <c r="L857" i="2"/>
  <c r="E857" i="2"/>
  <c r="D857" i="2"/>
  <c r="W856" i="2"/>
  <c r="Q856" i="2"/>
  <c r="P856" i="2"/>
  <c r="O856" i="2"/>
  <c r="N856" i="2"/>
  <c r="M856" i="2"/>
  <c r="L856" i="2"/>
  <c r="E856" i="2"/>
  <c r="D856" i="2"/>
  <c r="W855" i="2"/>
  <c r="Q855" i="2"/>
  <c r="P855" i="2"/>
  <c r="O855" i="2"/>
  <c r="N855" i="2"/>
  <c r="M855" i="2"/>
  <c r="L855" i="2"/>
  <c r="E855" i="2"/>
  <c r="D855" i="2"/>
  <c r="W854" i="2"/>
  <c r="Q854" i="2"/>
  <c r="P854" i="2"/>
  <c r="O854" i="2"/>
  <c r="N854" i="2"/>
  <c r="M854" i="2"/>
  <c r="L854" i="2"/>
  <c r="E854" i="2"/>
  <c r="D854" i="2"/>
  <c r="W853" i="2"/>
  <c r="Q853" i="2"/>
  <c r="P853" i="2"/>
  <c r="O853" i="2"/>
  <c r="N853" i="2"/>
  <c r="M853" i="2"/>
  <c r="L853" i="2"/>
  <c r="E853" i="2"/>
  <c r="D853" i="2" s="1"/>
  <c r="W852" i="2"/>
  <c r="Q852" i="2"/>
  <c r="P852" i="2"/>
  <c r="O852" i="2"/>
  <c r="N852" i="2"/>
  <c r="M852" i="2"/>
  <c r="L852" i="2"/>
  <c r="E852" i="2"/>
  <c r="D852" i="2" s="1"/>
  <c r="W851" i="2"/>
  <c r="Q851" i="2"/>
  <c r="P851" i="2"/>
  <c r="O851" i="2"/>
  <c r="N851" i="2"/>
  <c r="M851" i="2"/>
  <c r="L851" i="2"/>
  <c r="E851" i="2"/>
  <c r="D851" i="2"/>
  <c r="W850" i="2"/>
  <c r="Q850" i="2"/>
  <c r="P850" i="2"/>
  <c r="O850" i="2"/>
  <c r="N850" i="2"/>
  <c r="M850" i="2"/>
  <c r="L850" i="2"/>
  <c r="E850" i="2"/>
  <c r="D850" i="2"/>
  <c r="W849" i="2"/>
  <c r="Q849" i="2"/>
  <c r="P849" i="2"/>
  <c r="O849" i="2"/>
  <c r="N849" i="2"/>
  <c r="M849" i="2"/>
  <c r="L849" i="2"/>
  <c r="E849" i="2"/>
  <c r="D849" i="2" s="1"/>
  <c r="W848" i="2"/>
  <c r="Q848" i="2"/>
  <c r="P848" i="2"/>
  <c r="O848" i="2"/>
  <c r="N848" i="2"/>
  <c r="M848" i="2"/>
  <c r="L848" i="2"/>
  <c r="E848" i="2"/>
  <c r="D848" i="2"/>
  <c r="W847" i="2"/>
  <c r="Q847" i="2"/>
  <c r="P847" i="2"/>
  <c r="O847" i="2"/>
  <c r="N847" i="2"/>
  <c r="M847" i="2"/>
  <c r="L847" i="2"/>
  <c r="E847" i="2"/>
  <c r="D847" i="2" s="1"/>
  <c r="W846" i="2"/>
  <c r="Q846" i="2"/>
  <c r="P846" i="2"/>
  <c r="O846" i="2"/>
  <c r="N846" i="2"/>
  <c r="M846" i="2"/>
  <c r="L846" i="2"/>
  <c r="E846" i="2"/>
  <c r="D846" i="2"/>
  <c r="W845" i="2"/>
  <c r="Q845" i="2"/>
  <c r="P845" i="2"/>
  <c r="O845" i="2"/>
  <c r="N845" i="2"/>
  <c r="M845" i="2"/>
  <c r="L845" i="2"/>
  <c r="E845" i="2"/>
  <c r="D845" i="2" s="1"/>
  <c r="W844" i="2"/>
  <c r="Q844" i="2"/>
  <c r="P844" i="2"/>
  <c r="O844" i="2"/>
  <c r="N844" i="2"/>
  <c r="M844" i="2"/>
  <c r="L844" i="2"/>
  <c r="E844" i="2"/>
  <c r="D844" i="2"/>
  <c r="W843" i="2"/>
  <c r="Q843" i="2"/>
  <c r="P843" i="2"/>
  <c r="O843" i="2"/>
  <c r="N843" i="2"/>
  <c r="M843" i="2"/>
  <c r="L843" i="2"/>
  <c r="E843" i="2"/>
  <c r="D843" i="2" s="1"/>
  <c r="W842" i="2"/>
  <c r="Q842" i="2"/>
  <c r="P842" i="2"/>
  <c r="O842" i="2"/>
  <c r="N842" i="2"/>
  <c r="M842" i="2"/>
  <c r="L842" i="2"/>
  <c r="E842" i="2"/>
  <c r="D842" i="2"/>
  <c r="W841" i="2"/>
  <c r="Q841" i="2"/>
  <c r="P841" i="2"/>
  <c r="O841" i="2"/>
  <c r="N841" i="2"/>
  <c r="M841" i="2"/>
  <c r="L841" i="2"/>
  <c r="E841" i="2"/>
  <c r="D841" i="2" s="1"/>
  <c r="W840" i="2"/>
  <c r="Q840" i="2"/>
  <c r="P840" i="2"/>
  <c r="O840" i="2"/>
  <c r="N840" i="2"/>
  <c r="M840" i="2"/>
  <c r="L840" i="2"/>
  <c r="E840" i="2"/>
  <c r="D840" i="2" s="1"/>
  <c r="W839" i="2"/>
  <c r="Q839" i="2"/>
  <c r="P839" i="2"/>
  <c r="O839" i="2"/>
  <c r="N839" i="2"/>
  <c r="M839" i="2"/>
  <c r="L839" i="2"/>
  <c r="E839" i="2"/>
  <c r="D839" i="2"/>
  <c r="W838" i="2"/>
  <c r="Q838" i="2"/>
  <c r="P838" i="2"/>
  <c r="O838" i="2"/>
  <c r="N838" i="2"/>
  <c r="M838" i="2"/>
  <c r="L838" i="2"/>
  <c r="E838" i="2"/>
  <c r="D838" i="2" s="1"/>
  <c r="W837" i="2"/>
  <c r="Q837" i="2"/>
  <c r="P837" i="2"/>
  <c r="O837" i="2"/>
  <c r="N837" i="2"/>
  <c r="M837" i="2"/>
  <c r="L837" i="2"/>
  <c r="E837" i="2"/>
  <c r="D837" i="2"/>
  <c r="W836" i="2"/>
  <c r="Q836" i="2"/>
  <c r="P836" i="2"/>
  <c r="O836" i="2"/>
  <c r="N836" i="2"/>
  <c r="M836" i="2"/>
  <c r="L836" i="2"/>
  <c r="E836" i="2"/>
  <c r="D836" i="2" s="1"/>
  <c r="W835" i="2"/>
  <c r="Q835" i="2"/>
  <c r="P835" i="2"/>
  <c r="O835" i="2"/>
  <c r="N835" i="2"/>
  <c r="M835" i="2"/>
  <c r="L835" i="2"/>
  <c r="E835" i="2"/>
  <c r="D835" i="2" s="1"/>
  <c r="W834" i="2"/>
  <c r="Q834" i="2"/>
  <c r="P834" i="2"/>
  <c r="O834" i="2"/>
  <c r="N834" i="2"/>
  <c r="M834" i="2"/>
  <c r="L834" i="2"/>
  <c r="E834" i="2"/>
  <c r="D834" i="2"/>
  <c r="W833" i="2"/>
  <c r="Q833" i="2"/>
  <c r="P833" i="2"/>
  <c r="O833" i="2"/>
  <c r="N833" i="2"/>
  <c r="M833" i="2"/>
  <c r="L833" i="2"/>
  <c r="E833" i="2"/>
  <c r="D833" i="2"/>
  <c r="W832" i="2"/>
  <c r="Q832" i="2"/>
  <c r="P832" i="2"/>
  <c r="O832" i="2"/>
  <c r="N832" i="2"/>
  <c r="M832" i="2"/>
  <c r="L832" i="2"/>
  <c r="E832" i="2"/>
  <c r="D832" i="2"/>
  <c r="W831" i="2"/>
  <c r="Q831" i="2"/>
  <c r="P831" i="2"/>
  <c r="O831" i="2"/>
  <c r="N831" i="2"/>
  <c r="M831" i="2"/>
  <c r="L831" i="2"/>
  <c r="E831" i="2"/>
  <c r="D831" i="2"/>
  <c r="W830" i="2"/>
  <c r="Q830" i="2"/>
  <c r="P830" i="2"/>
  <c r="O830" i="2"/>
  <c r="N830" i="2"/>
  <c r="M830" i="2"/>
  <c r="L830" i="2"/>
  <c r="E830" i="2"/>
  <c r="D830" i="2"/>
  <c r="W829" i="2"/>
  <c r="Q829" i="2"/>
  <c r="P829" i="2"/>
  <c r="O829" i="2"/>
  <c r="N829" i="2"/>
  <c r="M829" i="2"/>
  <c r="L829" i="2"/>
  <c r="E829" i="2"/>
  <c r="D829" i="2" s="1"/>
  <c r="W828" i="2"/>
  <c r="Q828" i="2"/>
  <c r="P828" i="2"/>
  <c r="O828" i="2"/>
  <c r="N828" i="2"/>
  <c r="M828" i="2"/>
  <c r="L828" i="2"/>
  <c r="E828" i="2"/>
  <c r="D828" i="2" s="1"/>
  <c r="W827" i="2"/>
  <c r="Q827" i="2"/>
  <c r="P827" i="2"/>
  <c r="O827" i="2"/>
  <c r="N827" i="2"/>
  <c r="M827" i="2"/>
  <c r="L827" i="2"/>
  <c r="E827" i="2"/>
  <c r="D827" i="2" s="1"/>
  <c r="W826" i="2"/>
  <c r="Q826" i="2"/>
  <c r="P826" i="2"/>
  <c r="O826" i="2"/>
  <c r="N826" i="2"/>
  <c r="M826" i="2"/>
  <c r="L826" i="2"/>
  <c r="E826" i="2"/>
  <c r="D826" i="2"/>
  <c r="W825" i="2"/>
  <c r="Q825" i="2"/>
  <c r="P825" i="2"/>
  <c r="O825" i="2"/>
  <c r="N825" i="2"/>
  <c r="M825" i="2"/>
  <c r="L825" i="2"/>
  <c r="E825" i="2"/>
  <c r="D825" i="2"/>
  <c r="W824" i="2"/>
  <c r="Q824" i="2"/>
  <c r="P824" i="2"/>
  <c r="O824" i="2"/>
  <c r="N824" i="2"/>
  <c r="M824" i="2"/>
  <c r="L824" i="2"/>
  <c r="E824" i="2"/>
  <c r="D824" i="2"/>
  <c r="W823" i="2"/>
  <c r="Q823" i="2"/>
  <c r="P823" i="2"/>
  <c r="O823" i="2"/>
  <c r="N823" i="2"/>
  <c r="M823" i="2"/>
  <c r="L823" i="2"/>
  <c r="E823" i="2"/>
  <c r="D823" i="2"/>
  <c r="W822" i="2"/>
  <c r="Q822" i="2"/>
  <c r="P822" i="2"/>
  <c r="O822" i="2"/>
  <c r="N822" i="2"/>
  <c r="M822" i="2"/>
  <c r="L822" i="2"/>
  <c r="E822" i="2"/>
  <c r="D822" i="2"/>
  <c r="W821" i="2"/>
  <c r="Q821" i="2"/>
  <c r="P821" i="2"/>
  <c r="O821" i="2"/>
  <c r="N821" i="2"/>
  <c r="M821" i="2"/>
  <c r="L821" i="2"/>
  <c r="E821" i="2"/>
  <c r="D821" i="2"/>
  <c r="W820" i="2"/>
  <c r="Q820" i="2"/>
  <c r="P820" i="2"/>
  <c r="O820" i="2"/>
  <c r="N820" i="2"/>
  <c r="M820" i="2"/>
  <c r="L820" i="2"/>
  <c r="E820" i="2"/>
  <c r="D820" i="2" s="1"/>
  <c r="W819" i="2"/>
  <c r="Q819" i="2"/>
  <c r="P819" i="2"/>
  <c r="O819" i="2"/>
  <c r="N819" i="2"/>
  <c r="M819" i="2"/>
  <c r="L819" i="2"/>
  <c r="E819" i="2"/>
  <c r="D819" i="2"/>
  <c r="W818" i="2"/>
  <c r="Q818" i="2"/>
  <c r="P818" i="2"/>
  <c r="O818" i="2"/>
  <c r="N818" i="2"/>
  <c r="M818" i="2"/>
  <c r="L818" i="2"/>
  <c r="E818" i="2"/>
  <c r="D818" i="2"/>
  <c r="W817" i="2"/>
  <c r="Q817" i="2"/>
  <c r="P817" i="2"/>
  <c r="O817" i="2"/>
  <c r="N817" i="2"/>
  <c r="M817" i="2"/>
  <c r="L817" i="2"/>
  <c r="E817" i="2"/>
  <c r="D817" i="2"/>
  <c r="W816" i="2"/>
  <c r="Q816" i="2"/>
  <c r="P816" i="2"/>
  <c r="O816" i="2"/>
  <c r="N816" i="2"/>
  <c r="M816" i="2"/>
  <c r="L816" i="2"/>
  <c r="E816" i="2"/>
  <c r="D816" i="2"/>
  <c r="W815" i="2"/>
  <c r="Q815" i="2"/>
  <c r="P815" i="2"/>
  <c r="O815" i="2"/>
  <c r="N815" i="2"/>
  <c r="M815" i="2"/>
  <c r="L815" i="2"/>
  <c r="E815" i="2"/>
  <c r="D815" i="2"/>
  <c r="W814" i="2"/>
  <c r="Q814" i="2"/>
  <c r="P814" i="2"/>
  <c r="O814" i="2"/>
  <c r="N814" i="2"/>
  <c r="M814" i="2"/>
  <c r="L814" i="2"/>
  <c r="E814" i="2"/>
  <c r="D814" i="2"/>
  <c r="W813" i="2"/>
  <c r="Q813" i="2"/>
  <c r="P813" i="2"/>
  <c r="O813" i="2"/>
  <c r="N813" i="2"/>
  <c r="M813" i="2"/>
  <c r="L813" i="2"/>
  <c r="E813" i="2"/>
  <c r="D813" i="2"/>
  <c r="W812" i="2"/>
  <c r="Q812" i="2"/>
  <c r="P812" i="2"/>
  <c r="O812" i="2"/>
  <c r="N812" i="2"/>
  <c r="M812" i="2"/>
  <c r="L812" i="2"/>
  <c r="E812" i="2"/>
  <c r="D812" i="2"/>
  <c r="W811" i="2"/>
  <c r="Q811" i="2"/>
  <c r="P811" i="2"/>
  <c r="O811" i="2"/>
  <c r="N811" i="2"/>
  <c r="M811" i="2"/>
  <c r="L811" i="2"/>
  <c r="E811" i="2"/>
  <c r="D811" i="2"/>
  <c r="W810" i="2"/>
  <c r="Q810" i="2"/>
  <c r="P810" i="2"/>
  <c r="O810" i="2"/>
  <c r="N810" i="2"/>
  <c r="M810" i="2"/>
  <c r="L810" i="2"/>
  <c r="E810" i="2"/>
  <c r="D810" i="2"/>
  <c r="W809" i="2"/>
  <c r="Q809" i="2"/>
  <c r="P809" i="2"/>
  <c r="O809" i="2"/>
  <c r="N809" i="2"/>
  <c r="M809" i="2"/>
  <c r="L809" i="2"/>
  <c r="E809" i="2"/>
  <c r="D809" i="2"/>
  <c r="W808" i="2"/>
  <c r="Q808" i="2"/>
  <c r="P808" i="2"/>
  <c r="O808" i="2"/>
  <c r="N808" i="2"/>
  <c r="M808" i="2"/>
  <c r="L808" i="2"/>
  <c r="E808" i="2"/>
  <c r="D808" i="2"/>
  <c r="W807" i="2"/>
  <c r="Q807" i="2"/>
  <c r="P807" i="2"/>
  <c r="O807" i="2"/>
  <c r="N807" i="2"/>
  <c r="M807" i="2"/>
  <c r="L807" i="2"/>
  <c r="E807" i="2"/>
  <c r="D807" i="2"/>
  <c r="W806" i="2"/>
  <c r="Q806" i="2"/>
  <c r="P806" i="2"/>
  <c r="O806" i="2"/>
  <c r="N806" i="2"/>
  <c r="M806" i="2"/>
  <c r="L806" i="2"/>
  <c r="E806" i="2"/>
  <c r="D806" i="2"/>
  <c r="W805" i="2"/>
  <c r="Q805" i="2"/>
  <c r="P805" i="2"/>
  <c r="O805" i="2"/>
  <c r="N805" i="2"/>
  <c r="M805" i="2"/>
  <c r="L805" i="2"/>
  <c r="E805" i="2"/>
  <c r="D805" i="2"/>
  <c r="W804" i="2"/>
  <c r="Q804" i="2"/>
  <c r="P804" i="2"/>
  <c r="O804" i="2"/>
  <c r="N804" i="2"/>
  <c r="M804" i="2"/>
  <c r="L804" i="2"/>
  <c r="E804" i="2"/>
  <c r="D804" i="2"/>
  <c r="W803" i="2"/>
  <c r="Q803" i="2"/>
  <c r="P803" i="2"/>
  <c r="O803" i="2"/>
  <c r="N803" i="2"/>
  <c r="M803" i="2"/>
  <c r="L803" i="2"/>
  <c r="E803" i="2"/>
  <c r="D803" i="2"/>
  <c r="W802" i="2"/>
  <c r="Q802" i="2"/>
  <c r="P802" i="2"/>
  <c r="O802" i="2"/>
  <c r="N802" i="2"/>
  <c r="M802" i="2"/>
  <c r="L802" i="2"/>
  <c r="E802" i="2"/>
  <c r="D802" i="2"/>
  <c r="W801" i="2"/>
  <c r="Q801" i="2"/>
  <c r="P801" i="2"/>
  <c r="O801" i="2"/>
  <c r="N801" i="2"/>
  <c r="M801" i="2"/>
  <c r="L801" i="2"/>
  <c r="E801" i="2"/>
  <c r="D801" i="2"/>
  <c r="W800" i="2"/>
  <c r="Q800" i="2"/>
  <c r="P800" i="2"/>
  <c r="O800" i="2"/>
  <c r="N800" i="2"/>
  <c r="M800" i="2"/>
  <c r="L800" i="2"/>
  <c r="E800" i="2"/>
  <c r="D800" i="2"/>
  <c r="W799" i="2"/>
  <c r="Q799" i="2"/>
  <c r="P799" i="2"/>
  <c r="O799" i="2"/>
  <c r="N799" i="2"/>
  <c r="M799" i="2"/>
  <c r="L799" i="2"/>
  <c r="E799" i="2"/>
  <c r="D799" i="2"/>
  <c r="W798" i="2"/>
  <c r="Q798" i="2"/>
  <c r="P798" i="2"/>
  <c r="O798" i="2"/>
  <c r="N798" i="2"/>
  <c r="M798" i="2"/>
  <c r="L798" i="2"/>
  <c r="E798" i="2"/>
  <c r="D798" i="2"/>
  <c r="W797" i="2"/>
  <c r="Q797" i="2"/>
  <c r="P797" i="2"/>
  <c r="O797" i="2"/>
  <c r="N797" i="2"/>
  <c r="M797" i="2"/>
  <c r="L797" i="2"/>
  <c r="E797" i="2"/>
  <c r="D797" i="2"/>
  <c r="W796" i="2"/>
  <c r="Q796" i="2"/>
  <c r="P796" i="2"/>
  <c r="O796" i="2"/>
  <c r="N796" i="2"/>
  <c r="M796" i="2"/>
  <c r="L796" i="2"/>
  <c r="E796" i="2"/>
  <c r="D796" i="2"/>
  <c r="W795" i="2"/>
  <c r="Q795" i="2"/>
  <c r="P795" i="2"/>
  <c r="O795" i="2"/>
  <c r="N795" i="2"/>
  <c r="M795" i="2"/>
  <c r="L795" i="2"/>
  <c r="E795" i="2"/>
  <c r="D795" i="2"/>
  <c r="W794" i="2"/>
  <c r="Q794" i="2"/>
  <c r="P794" i="2"/>
  <c r="O794" i="2"/>
  <c r="N794" i="2"/>
  <c r="M794" i="2"/>
  <c r="L794" i="2"/>
  <c r="E794" i="2"/>
  <c r="D794" i="2"/>
  <c r="W793" i="2"/>
  <c r="Q793" i="2"/>
  <c r="P793" i="2"/>
  <c r="O793" i="2"/>
  <c r="N793" i="2"/>
  <c r="M793" i="2"/>
  <c r="L793" i="2"/>
  <c r="E793" i="2"/>
  <c r="D793" i="2"/>
  <c r="W792" i="2"/>
  <c r="Q792" i="2"/>
  <c r="P792" i="2"/>
  <c r="O792" i="2"/>
  <c r="N792" i="2"/>
  <c r="M792" i="2"/>
  <c r="L792" i="2"/>
  <c r="E792" i="2"/>
  <c r="D792" i="2"/>
  <c r="W791" i="2"/>
  <c r="Q791" i="2"/>
  <c r="P791" i="2"/>
  <c r="O791" i="2"/>
  <c r="N791" i="2"/>
  <c r="M791" i="2"/>
  <c r="L791" i="2"/>
  <c r="E791" i="2"/>
  <c r="D791" i="2"/>
  <c r="W790" i="2"/>
  <c r="Q790" i="2"/>
  <c r="P790" i="2"/>
  <c r="O790" i="2"/>
  <c r="N790" i="2"/>
  <c r="M790" i="2"/>
  <c r="L790" i="2"/>
  <c r="E790" i="2"/>
  <c r="D790" i="2"/>
  <c r="W789" i="2"/>
  <c r="Q789" i="2"/>
  <c r="P789" i="2"/>
  <c r="O789" i="2"/>
  <c r="N789" i="2"/>
  <c r="M789" i="2"/>
  <c r="L789" i="2"/>
  <c r="E789" i="2"/>
  <c r="D789" i="2"/>
  <c r="W788" i="2"/>
  <c r="Q788" i="2"/>
  <c r="P788" i="2"/>
  <c r="O788" i="2"/>
  <c r="N788" i="2"/>
  <c r="M788" i="2"/>
  <c r="L788" i="2"/>
  <c r="E788" i="2"/>
  <c r="D788" i="2"/>
  <c r="W787" i="2"/>
  <c r="Q787" i="2"/>
  <c r="P787" i="2"/>
  <c r="O787" i="2"/>
  <c r="N787" i="2"/>
  <c r="M787" i="2"/>
  <c r="L787" i="2"/>
  <c r="E787" i="2"/>
  <c r="D787" i="2"/>
  <c r="W786" i="2"/>
  <c r="Q786" i="2"/>
  <c r="P786" i="2"/>
  <c r="O786" i="2"/>
  <c r="N786" i="2"/>
  <c r="M786" i="2"/>
  <c r="L786" i="2"/>
  <c r="E786" i="2"/>
  <c r="D786" i="2"/>
  <c r="W785" i="2"/>
  <c r="Q785" i="2"/>
  <c r="P785" i="2"/>
  <c r="O785" i="2"/>
  <c r="N785" i="2"/>
  <c r="M785" i="2"/>
  <c r="L785" i="2"/>
  <c r="E785" i="2"/>
  <c r="D785" i="2"/>
  <c r="W784" i="2"/>
  <c r="Q784" i="2"/>
  <c r="P784" i="2"/>
  <c r="O784" i="2"/>
  <c r="N784" i="2"/>
  <c r="M784" i="2"/>
  <c r="L784" i="2"/>
  <c r="E784" i="2"/>
  <c r="D784" i="2"/>
  <c r="W783" i="2"/>
  <c r="Q783" i="2"/>
  <c r="P783" i="2"/>
  <c r="O783" i="2"/>
  <c r="N783" i="2"/>
  <c r="M783" i="2"/>
  <c r="L783" i="2"/>
  <c r="E783" i="2"/>
  <c r="D783" i="2"/>
  <c r="W782" i="2"/>
  <c r="Q782" i="2"/>
  <c r="P782" i="2"/>
  <c r="O782" i="2"/>
  <c r="N782" i="2"/>
  <c r="M782" i="2"/>
  <c r="L782" i="2"/>
  <c r="E782" i="2"/>
  <c r="D782" i="2"/>
  <c r="W781" i="2"/>
  <c r="Q781" i="2"/>
  <c r="P781" i="2"/>
  <c r="O781" i="2"/>
  <c r="N781" i="2"/>
  <c r="M781" i="2"/>
  <c r="L781" i="2"/>
  <c r="E781" i="2"/>
  <c r="D781" i="2"/>
  <c r="W780" i="2"/>
  <c r="Q780" i="2"/>
  <c r="P780" i="2"/>
  <c r="O780" i="2"/>
  <c r="N780" i="2"/>
  <c r="M780" i="2"/>
  <c r="L780" i="2"/>
  <c r="E780" i="2"/>
  <c r="D780" i="2"/>
  <c r="W779" i="2"/>
  <c r="Q779" i="2"/>
  <c r="P779" i="2"/>
  <c r="O779" i="2"/>
  <c r="N779" i="2"/>
  <c r="M779" i="2"/>
  <c r="L779" i="2"/>
  <c r="E779" i="2"/>
  <c r="D779" i="2"/>
  <c r="W778" i="2"/>
  <c r="Q778" i="2"/>
  <c r="P778" i="2"/>
  <c r="O778" i="2"/>
  <c r="N778" i="2"/>
  <c r="M778" i="2"/>
  <c r="L778" i="2"/>
  <c r="E778" i="2"/>
  <c r="D778" i="2"/>
  <c r="W777" i="2"/>
  <c r="Q777" i="2"/>
  <c r="P777" i="2"/>
  <c r="O777" i="2"/>
  <c r="N777" i="2"/>
  <c r="M777" i="2"/>
  <c r="L777" i="2"/>
  <c r="E777" i="2"/>
  <c r="D777" i="2"/>
  <c r="W776" i="2"/>
  <c r="Q776" i="2"/>
  <c r="P776" i="2"/>
  <c r="O776" i="2"/>
  <c r="N776" i="2"/>
  <c r="M776" i="2"/>
  <c r="L776" i="2"/>
  <c r="E776" i="2"/>
  <c r="D776" i="2"/>
  <c r="W775" i="2"/>
  <c r="Q775" i="2"/>
  <c r="P775" i="2"/>
  <c r="O775" i="2"/>
  <c r="N775" i="2"/>
  <c r="M775" i="2"/>
  <c r="L775" i="2"/>
  <c r="E775" i="2"/>
  <c r="D775" i="2"/>
  <c r="W774" i="2"/>
  <c r="Q774" i="2"/>
  <c r="P774" i="2"/>
  <c r="O774" i="2"/>
  <c r="N774" i="2"/>
  <c r="M774" i="2"/>
  <c r="L774" i="2"/>
  <c r="E774" i="2"/>
  <c r="D774" i="2"/>
  <c r="W773" i="2"/>
  <c r="Q773" i="2"/>
  <c r="P773" i="2"/>
  <c r="O773" i="2"/>
  <c r="N773" i="2"/>
  <c r="M773" i="2"/>
  <c r="L773" i="2"/>
  <c r="E773" i="2"/>
  <c r="D773" i="2"/>
  <c r="W772" i="2"/>
  <c r="Q772" i="2"/>
  <c r="P772" i="2"/>
  <c r="O772" i="2"/>
  <c r="N772" i="2"/>
  <c r="M772" i="2"/>
  <c r="L772" i="2"/>
  <c r="E772" i="2"/>
  <c r="D772" i="2"/>
  <c r="W771" i="2"/>
  <c r="Q771" i="2"/>
  <c r="P771" i="2"/>
  <c r="O771" i="2"/>
  <c r="N771" i="2"/>
  <c r="M771" i="2"/>
  <c r="L771" i="2"/>
  <c r="E771" i="2"/>
  <c r="D771" i="2"/>
  <c r="W770" i="2"/>
  <c r="Q770" i="2"/>
  <c r="P770" i="2"/>
  <c r="O770" i="2"/>
  <c r="N770" i="2"/>
  <c r="M770" i="2"/>
  <c r="L770" i="2"/>
  <c r="E770" i="2"/>
  <c r="D770" i="2"/>
  <c r="W769" i="2"/>
  <c r="Q769" i="2"/>
  <c r="P769" i="2"/>
  <c r="O769" i="2"/>
  <c r="N769" i="2"/>
  <c r="M769" i="2"/>
  <c r="L769" i="2"/>
  <c r="E769" i="2"/>
  <c r="D769" i="2"/>
  <c r="W768" i="2"/>
  <c r="Q768" i="2"/>
  <c r="P768" i="2"/>
  <c r="O768" i="2"/>
  <c r="N768" i="2"/>
  <c r="M768" i="2"/>
  <c r="L768" i="2"/>
  <c r="E768" i="2"/>
  <c r="D768" i="2"/>
  <c r="W767" i="2"/>
  <c r="Q767" i="2"/>
  <c r="P767" i="2"/>
  <c r="O767" i="2"/>
  <c r="N767" i="2"/>
  <c r="M767" i="2"/>
  <c r="L767" i="2"/>
  <c r="E767" i="2"/>
  <c r="D767" i="2"/>
  <c r="W766" i="2"/>
  <c r="Q766" i="2"/>
  <c r="P766" i="2"/>
  <c r="O766" i="2"/>
  <c r="N766" i="2"/>
  <c r="M766" i="2"/>
  <c r="L766" i="2"/>
  <c r="E766" i="2"/>
  <c r="D766" i="2"/>
  <c r="W765" i="2"/>
  <c r="Q765" i="2"/>
  <c r="P765" i="2"/>
  <c r="O765" i="2"/>
  <c r="N765" i="2"/>
  <c r="M765" i="2"/>
  <c r="L765" i="2"/>
  <c r="E765" i="2"/>
  <c r="D765" i="2"/>
  <c r="W764" i="2"/>
  <c r="Q764" i="2"/>
  <c r="P764" i="2"/>
  <c r="O764" i="2"/>
  <c r="N764" i="2"/>
  <c r="M764" i="2"/>
  <c r="L764" i="2"/>
  <c r="E764" i="2"/>
  <c r="D764" i="2"/>
  <c r="W763" i="2"/>
  <c r="Q763" i="2"/>
  <c r="P763" i="2"/>
  <c r="O763" i="2"/>
  <c r="N763" i="2"/>
  <c r="M763" i="2"/>
  <c r="L763" i="2"/>
  <c r="E763" i="2"/>
  <c r="D763" i="2"/>
  <c r="W762" i="2"/>
  <c r="Q762" i="2"/>
  <c r="P762" i="2"/>
  <c r="O762" i="2"/>
  <c r="N762" i="2"/>
  <c r="M762" i="2"/>
  <c r="L762" i="2"/>
  <c r="E762" i="2"/>
  <c r="D762" i="2"/>
  <c r="W761" i="2"/>
  <c r="Q761" i="2"/>
  <c r="P761" i="2"/>
  <c r="O761" i="2"/>
  <c r="N761" i="2"/>
  <c r="M761" i="2"/>
  <c r="L761" i="2"/>
  <c r="E761" i="2"/>
  <c r="D761" i="2"/>
  <c r="W760" i="2"/>
  <c r="Q760" i="2"/>
  <c r="P760" i="2"/>
  <c r="O760" i="2"/>
  <c r="N760" i="2"/>
  <c r="M760" i="2"/>
  <c r="L760" i="2"/>
  <c r="E760" i="2"/>
  <c r="D760" i="2"/>
  <c r="W759" i="2"/>
  <c r="Q759" i="2"/>
  <c r="P759" i="2"/>
  <c r="O759" i="2"/>
  <c r="N759" i="2"/>
  <c r="M759" i="2"/>
  <c r="L759" i="2"/>
  <c r="E759" i="2"/>
  <c r="D759" i="2"/>
  <c r="W758" i="2"/>
  <c r="Q758" i="2"/>
  <c r="P758" i="2"/>
  <c r="O758" i="2"/>
  <c r="N758" i="2"/>
  <c r="M758" i="2"/>
  <c r="L758" i="2"/>
  <c r="E758" i="2"/>
  <c r="D758" i="2"/>
  <c r="W757" i="2"/>
  <c r="Q757" i="2"/>
  <c r="P757" i="2"/>
  <c r="O757" i="2"/>
  <c r="N757" i="2"/>
  <c r="M757" i="2"/>
  <c r="L757" i="2"/>
  <c r="E757" i="2"/>
  <c r="D757" i="2"/>
  <c r="W756" i="2"/>
  <c r="Q756" i="2"/>
  <c r="P756" i="2"/>
  <c r="O756" i="2"/>
  <c r="N756" i="2"/>
  <c r="M756" i="2"/>
  <c r="L756" i="2"/>
  <c r="E756" i="2"/>
  <c r="D756" i="2"/>
  <c r="W755" i="2"/>
  <c r="Q755" i="2"/>
  <c r="P755" i="2"/>
  <c r="O755" i="2"/>
  <c r="N755" i="2"/>
  <c r="M755" i="2"/>
  <c r="L755" i="2"/>
  <c r="E755" i="2"/>
  <c r="D755" i="2"/>
  <c r="W754" i="2"/>
  <c r="Q754" i="2"/>
  <c r="P754" i="2"/>
  <c r="O754" i="2"/>
  <c r="N754" i="2"/>
  <c r="M754" i="2"/>
  <c r="L754" i="2"/>
  <c r="E754" i="2"/>
  <c r="D754" i="2"/>
  <c r="W753" i="2"/>
  <c r="Q753" i="2"/>
  <c r="P753" i="2"/>
  <c r="O753" i="2"/>
  <c r="N753" i="2"/>
  <c r="M753" i="2"/>
  <c r="L753" i="2"/>
  <c r="E753" i="2"/>
  <c r="D753" i="2"/>
  <c r="W752" i="2"/>
  <c r="Q752" i="2"/>
  <c r="P752" i="2"/>
  <c r="O752" i="2"/>
  <c r="N752" i="2"/>
  <c r="M752" i="2"/>
  <c r="L752" i="2"/>
  <c r="E752" i="2"/>
  <c r="D752" i="2"/>
  <c r="W751" i="2"/>
  <c r="Q751" i="2"/>
  <c r="P751" i="2"/>
  <c r="O751" i="2"/>
  <c r="N751" i="2"/>
  <c r="M751" i="2"/>
  <c r="L751" i="2"/>
  <c r="E751" i="2"/>
  <c r="D751" i="2"/>
  <c r="W750" i="2"/>
  <c r="Q750" i="2"/>
  <c r="P750" i="2"/>
  <c r="O750" i="2"/>
  <c r="N750" i="2"/>
  <c r="M750" i="2"/>
  <c r="L750" i="2"/>
  <c r="E750" i="2"/>
  <c r="D750" i="2"/>
  <c r="W749" i="2"/>
  <c r="Q749" i="2"/>
  <c r="P749" i="2"/>
  <c r="O749" i="2"/>
  <c r="N749" i="2"/>
  <c r="M749" i="2"/>
  <c r="L749" i="2"/>
  <c r="E749" i="2"/>
  <c r="D749" i="2"/>
  <c r="W748" i="2"/>
  <c r="Q748" i="2"/>
  <c r="P748" i="2"/>
  <c r="O748" i="2"/>
  <c r="N748" i="2"/>
  <c r="M748" i="2"/>
  <c r="L748" i="2"/>
  <c r="E748" i="2"/>
  <c r="D748" i="2"/>
  <c r="W747" i="2"/>
  <c r="Q747" i="2"/>
  <c r="P747" i="2"/>
  <c r="O747" i="2"/>
  <c r="N747" i="2"/>
  <c r="M747" i="2"/>
  <c r="L747" i="2"/>
  <c r="E747" i="2"/>
  <c r="D747" i="2"/>
  <c r="W746" i="2"/>
  <c r="Q746" i="2"/>
  <c r="P746" i="2"/>
  <c r="O746" i="2"/>
  <c r="N746" i="2"/>
  <c r="M746" i="2"/>
  <c r="L746" i="2"/>
  <c r="E746" i="2"/>
  <c r="D746" i="2"/>
  <c r="W745" i="2"/>
  <c r="Q745" i="2"/>
  <c r="P745" i="2"/>
  <c r="O745" i="2"/>
  <c r="N745" i="2"/>
  <c r="M745" i="2"/>
  <c r="L745" i="2"/>
  <c r="E745" i="2"/>
  <c r="D745" i="2"/>
  <c r="W744" i="2"/>
  <c r="Q744" i="2"/>
  <c r="P744" i="2"/>
  <c r="O744" i="2"/>
  <c r="N744" i="2"/>
  <c r="M744" i="2"/>
  <c r="L744" i="2"/>
  <c r="E744" i="2"/>
  <c r="D744" i="2"/>
  <c r="W743" i="2"/>
  <c r="Q743" i="2"/>
  <c r="P743" i="2"/>
  <c r="O743" i="2"/>
  <c r="N743" i="2"/>
  <c r="M743" i="2"/>
  <c r="L743" i="2"/>
  <c r="E743" i="2"/>
  <c r="D743" i="2"/>
  <c r="W742" i="2"/>
  <c r="Q742" i="2"/>
  <c r="P742" i="2"/>
  <c r="O742" i="2"/>
  <c r="N742" i="2"/>
  <c r="M742" i="2"/>
  <c r="L742" i="2"/>
  <c r="E742" i="2"/>
  <c r="D742" i="2"/>
  <c r="W741" i="2"/>
  <c r="Q741" i="2"/>
  <c r="P741" i="2"/>
  <c r="O741" i="2"/>
  <c r="N741" i="2"/>
  <c r="M741" i="2"/>
  <c r="L741" i="2"/>
  <c r="E741" i="2"/>
  <c r="D741" i="2"/>
  <c r="W740" i="2"/>
  <c r="Q740" i="2"/>
  <c r="P740" i="2"/>
  <c r="O740" i="2"/>
  <c r="N740" i="2"/>
  <c r="M740" i="2"/>
  <c r="L740" i="2"/>
  <c r="E740" i="2"/>
  <c r="D740" i="2"/>
  <c r="W739" i="2"/>
  <c r="Q739" i="2"/>
  <c r="P739" i="2"/>
  <c r="O739" i="2"/>
  <c r="N739" i="2"/>
  <c r="M739" i="2"/>
  <c r="L739" i="2"/>
  <c r="E739" i="2"/>
  <c r="D739" i="2"/>
  <c r="W738" i="2"/>
  <c r="Q738" i="2"/>
  <c r="P738" i="2"/>
  <c r="O738" i="2"/>
  <c r="N738" i="2"/>
  <c r="M738" i="2"/>
  <c r="L738" i="2"/>
  <c r="E738" i="2"/>
  <c r="D738" i="2"/>
  <c r="W737" i="2"/>
  <c r="Q737" i="2"/>
  <c r="P737" i="2"/>
  <c r="O737" i="2"/>
  <c r="N737" i="2"/>
  <c r="M737" i="2"/>
  <c r="L737" i="2"/>
  <c r="E737" i="2"/>
  <c r="D737" i="2"/>
  <c r="W736" i="2"/>
  <c r="Q736" i="2"/>
  <c r="P736" i="2"/>
  <c r="O736" i="2"/>
  <c r="N736" i="2"/>
  <c r="M736" i="2"/>
  <c r="L736" i="2"/>
  <c r="E736" i="2"/>
  <c r="D736" i="2"/>
  <c r="W735" i="2"/>
  <c r="Q735" i="2"/>
  <c r="P735" i="2"/>
  <c r="O735" i="2"/>
  <c r="N735" i="2"/>
  <c r="M735" i="2"/>
  <c r="L735" i="2"/>
  <c r="E735" i="2"/>
  <c r="D735" i="2"/>
  <c r="W734" i="2"/>
  <c r="Q734" i="2"/>
  <c r="P734" i="2"/>
  <c r="O734" i="2"/>
  <c r="N734" i="2"/>
  <c r="M734" i="2"/>
  <c r="L734" i="2"/>
  <c r="E734" i="2"/>
  <c r="D734" i="2"/>
  <c r="W733" i="2"/>
  <c r="Q733" i="2"/>
  <c r="P733" i="2"/>
  <c r="O733" i="2"/>
  <c r="N733" i="2"/>
  <c r="M733" i="2"/>
  <c r="L733" i="2"/>
  <c r="E733" i="2"/>
  <c r="D733" i="2"/>
  <c r="W732" i="2"/>
  <c r="Q732" i="2"/>
  <c r="P732" i="2"/>
  <c r="O732" i="2"/>
  <c r="N732" i="2"/>
  <c r="M732" i="2"/>
  <c r="L732" i="2"/>
  <c r="E732" i="2"/>
  <c r="D732" i="2"/>
  <c r="W731" i="2"/>
  <c r="Q731" i="2"/>
  <c r="P731" i="2"/>
  <c r="O731" i="2"/>
  <c r="N731" i="2"/>
  <c r="M731" i="2"/>
  <c r="L731" i="2"/>
  <c r="E731" i="2"/>
  <c r="D731" i="2"/>
  <c r="W730" i="2"/>
  <c r="Q730" i="2"/>
  <c r="P730" i="2"/>
  <c r="O730" i="2"/>
  <c r="N730" i="2"/>
  <c r="M730" i="2"/>
  <c r="L730" i="2"/>
  <c r="E730" i="2"/>
  <c r="D730" i="2"/>
  <c r="W729" i="2"/>
  <c r="Q729" i="2"/>
  <c r="P729" i="2"/>
  <c r="O729" i="2"/>
  <c r="N729" i="2"/>
  <c r="M729" i="2"/>
  <c r="L729" i="2"/>
  <c r="E729" i="2"/>
  <c r="D729" i="2"/>
  <c r="W728" i="2"/>
  <c r="Q728" i="2"/>
  <c r="P728" i="2"/>
  <c r="O728" i="2"/>
  <c r="N728" i="2"/>
  <c r="M728" i="2"/>
  <c r="L728" i="2"/>
  <c r="E728" i="2"/>
  <c r="D728" i="2"/>
  <c r="W727" i="2"/>
  <c r="Q727" i="2"/>
  <c r="P727" i="2"/>
  <c r="O727" i="2"/>
  <c r="N727" i="2"/>
  <c r="M727" i="2"/>
  <c r="L727" i="2"/>
  <c r="E727" i="2"/>
  <c r="D727" i="2"/>
  <c r="W726" i="2"/>
  <c r="Q726" i="2"/>
  <c r="P726" i="2"/>
  <c r="O726" i="2"/>
  <c r="N726" i="2"/>
  <c r="M726" i="2"/>
  <c r="L726" i="2"/>
  <c r="E726" i="2"/>
  <c r="D726" i="2"/>
  <c r="W725" i="2"/>
  <c r="Q725" i="2"/>
  <c r="P725" i="2"/>
  <c r="O725" i="2"/>
  <c r="N725" i="2"/>
  <c r="M725" i="2"/>
  <c r="L725" i="2"/>
  <c r="E725" i="2"/>
  <c r="D725" i="2"/>
  <c r="W724" i="2"/>
  <c r="Q724" i="2"/>
  <c r="P724" i="2"/>
  <c r="O724" i="2"/>
  <c r="N724" i="2"/>
  <c r="M724" i="2"/>
  <c r="L724" i="2"/>
  <c r="E724" i="2"/>
  <c r="D724" i="2"/>
  <c r="W723" i="2"/>
  <c r="Q723" i="2"/>
  <c r="P723" i="2"/>
  <c r="O723" i="2"/>
  <c r="N723" i="2"/>
  <c r="M723" i="2"/>
  <c r="L723" i="2"/>
  <c r="E723" i="2"/>
  <c r="D723" i="2"/>
  <c r="W722" i="2"/>
  <c r="Q722" i="2"/>
  <c r="P722" i="2"/>
  <c r="O722" i="2"/>
  <c r="N722" i="2"/>
  <c r="M722" i="2"/>
  <c r="L722" i="2"/>
  <c r="E722" i="2"/>
  <c r="D722" i="2"/>
  <c r="W721" i="2"/>
  <c r="Q721" i="2"/>
  <c r="P721" i="2"/>
  <c r="O721" i="2"/>
  <c r="N721" i="2"/>
  <c r="M721" i="2"/>
  <c r="L721" i="2"/>
  <c r="E721" i="2"/>
  <c r="D721" i="2"/>
  <c r="W720" i="2"/>
  <c r="Q720" i="2"/>
  <c r="P720" i="2"/>
  <c r="O720" i="2"/>
  <c r="N720" i="2"/>
  <c r="M720" i="2"/>
  <c r="L720" i="2"/>
  <c r="E720" i="2"/>
  <c r="D720" i="2"/>
  <c r="W719" i="2"/>
  <c r="Q719" i="2"/>
  <c r="P719" i="2"/>
  <c r="O719" i="2"/>
  <c r="N719" i="2"/>
  <c r="M719" i="2"/>
  <c r="L719" i="2"/>
  <c r="E719" i="2"/>
  <c r="D719" i="2"/>
  <c r="W718" i="2"/>
  <c r="Q718" i="2"/>
  <c r="P718" i="2"/>
  <c r="O718" i="2"/>
  <c r="N718" i="2"/>
  <c r="M718" i="2"/>
  <c r="L718" i="2"/>
  <c r="E718" i="2"/>
  <c r="D718" i="2"/>
  <c r="W717" i="2"/>
  <c r="Q717" i="2"/>
  <c r="P717" i="2"/>
  <c r="O717" i="2"/>
  <c r="N717" i="2"/>
  <c r="M717" i="2"/>
  <c r="L717" i="2"/>
  <c r="E717" i="2"/>
  <c r="D717" i="2"/>
  <c r="W716" i="2"/>
  <c r="Q716" i="2"/>
  <c r="P716" i="2"/>
  <c r="O716" i="2"/>
  <c r="N716" i="2"/>
  <c r="M716" i="2"/>
  <c r="L716" i="2"/>
  <c r="E716" i="2"/>
  <c r="D716" i="2"/>
  <c r="W715" i="2"/>
  <c r="Q715" i="2"/>
  <c r="P715" i="2"/>
  <c r="O715" i="2"/>
  <c r="N715" i="2"/>
  <c r="M715" i="2"/>
  <c r="L715" i="2"/>
  <c r="E715" i="2"/>
  <c r="D715" i="2"/>
  <c r="W714" i="2"/>
  <c r="Q714" i="2"/>
  <c r="P714" i="2"/>
  <c r="O714" i="2"/>
  <c r="N714" i="2"/>
  <c r="M714" i="2"/>
  <c r="L714" i="2"/>
  <c r="E714" i="2"/>
  <c r="D714" i="2"/>
  <c r="W713" i="2"/>
  <c r="Q713" i="2"/>
  <c r="P713" i="2"/>
  <c r="O713" i="2"/>
  <c r="N713" i="2"/>
  <c r="M713" i="2"/>
  <c r="L713" i="2"/>
  <c r="E713" i="2"/>
  <c r="D713" i="2"/>
  <c r="W712" i="2"/>
  <c r="Q712" i="2"/>
  <c r="P712" i="2"/>
  <c r="O712" i="2"/>
  <c r="N712" i="2"/>
  <c r="M712" i="2"/>
  <c r="L712" i="2"/>
  <c r="E712" i="2"/>
  <c r="D712" i="2"/>
  <c r="W711" i="2"/>
  <c r="Q711" i="2"/>
  <c r="P711" i="2"/>
  <c r="O711" i="2"/>
  <c r="N711" i="2"/>
  <c r="M711" i="2"/>
  <c r="L711" i="2"/>
  <c r="E711" i="2"/>
  <c r="D711" i="2"/>
  <c r="W710" i="2"/>
  <c r="Q710" i="2"/>
  <c r="P710" i="2"/>
  <c r="O710" i="2"/>
  <c r="N710" i="2"/>
  <c r="M710" i="2"/>
  <c r="L710" i="2"/>
  <c r="E710" i="2"/>
  <c r="D710" i="2"/>
  <c r="W709" i="2"/>
  <c r="Q709" i="2"/>
  <c r="P709" i="2"/>
  <c r="O709" i="2"/>
  <c r="N709" i="2"/>
  <c r="M709" i="2"/>
  <c r="L709" i="2"/>
  <c r="E709" i="2"/>
  <c r="D709" i="2"/>
  <c r="W708" i="2"/>
  <c r="Q708" i="2"/>
  <c r="P708" i="2"/>
  <c r="O708" i="2"/>
  <c r="N708" i="2"/>
  <c r="M708" i="2"/>
  <c r="L708" i="2"/>
  <c r="E708" i="2"/>
  <c r="D708" i="2"/>
  <c r="W707" i="2"/>
  <c r="Q707" i="2"/>
  <c r="P707" i="2"/>
  <c r="O707" i="2"/>
  <c r="N707" i="2"/>
  <c r="M707" i="2"/>
  <c r="L707" i="2"/>
  <c r="E707" i="2"/>
  <c r="D707" i="2"/>
  <c r="W706" i="2"/>
  <c r="Q706" i="2"/>
  <c r="P706" i="2"/>
  <c r="O706" i="2"/>
  <c r="N706" i="2"/>
  <c r="M706" i="2"/>
  <c r="L706" i="2"/>
  <c r="E706" i="2"/>
  <c r="D706" i="2"/>
  <c r="W705" i="2"/>
  <c r="Q705" i="2"/>
  <c r="P705" i="2"/>
  <c r="O705" i="2"/>
  <c r="N705" i="2"/>
  <c r="M705" i="2"/>
  <c r="L705" i="2"/>
  <c r="E705" i="2"/>
  <c r="D705" i="2"/>
  <c r="W704" i="2"/>
  <c r="Q704" i="2"/>
  <c r="P704" i="2"/>
  <c r="O704" i="2"/>
  <c r="N704" i="2"/>
  <c r="M704" i="2"/>
  <c r="L704" i="2"/>
  <c r="E704" i="2"/>
  <c r="D704" i="2"/>
  <c r="W703" i="2"/>
  <c r="Q703" i="2"/>
  <c r="P703" i="2"/>
  <c r="O703" i="2"/>
  <c r="N703" i="2"/>
  <c r="M703" i="2"/>
  <c r="L703" i="2"/>
  <c r="E703" i="2"/>
  <c r="D703" i="2"/>
  <c r="W702" i="2"/>
  <c r="Q702" i="2"/>
  <c r="P702" i="2"/>
  <c r="O702" i="2"/>
  <c r="N702" i="2"/>
  <c r="M702" i="2"/>
  <c r="L702" i="2"/>
  <c r="E702" i="2"/>
  <c r="D702" i="2"/>
  <c r="W701" i="2"/>
  <c r="Q701" i="2"/>
  <c r="P701" i="2"/>
  <c r="O701" i="2"/>
  <c r="N701" i="2"/>
  <c r="M701" i="2"/>
  <c r="L701" i="2"/>
  <c r="E701" i="2"/>
  <c r="D701" i="2"/>
  <c r="W700" i="2"/>
  <c r="Q700" i="2"/>
  <c r="P700" i="2"/>
  <c r="O700" i="2"/>
  <c r="N700" i="2"/>
  <c r="M700" i="2"/>
  <c r="L700" i="2"/>
  <c r="E700" i="2"/>
  <c r="D700" i="2"/>
  <c r="W699" i="2"/>
  <c r="Q699" i="2"/>
  <c r="P699" i="2"/>
  <c r="O699" i="2"/>
  <c r="N699" i="2"/>
  <c r="M699" i="2"/>
  <c r="L699" i="2"/>
  <c r="E699" i="2"/>
  <c r="D699" i="2"/>
  <c r="W698" i="2"/>
  <c r="Q698" i="2"/>
  <c r="P698" i="2"/>
  <c r="O698" i="2"/>
  <c r="N698" i="2"/>
  <c r="M698" i="2"/>
  <c r="L698" i="2"/>
  <c r="E698" i="2"/>
  <c r="D698" i="2"/>
  <c r="W697" i="2"/>
  <c r="Q697" i="2"/>
  <c r="P697" i="2"/>
  <c r="O697" i="2"/>
  <c r="N697" i="2"/>
  <c r="M697" i="2"/>
  <c r="L697" i="2"/>
  <c r="E697" i="2"/>
  <c r="D697" i="2"/>
  <c r="W696" i="2"/>
  <c r="Q696" i="2"/>
  <c r="P696" i="2"/>
  <c r="O696" i="2"/>
  <c r="N696" i="2"/>
  <c r="M696" i="2"/>
  <c r="L696" i="2"/>
  <c r="E696" i="2"/>
  <c r="D696" i="2"/>
  <c r="W695" i="2"/>
  <c r="Q695" i="2"/>
  <c r="P695" i="2"/>
  <c r="O695" i="2"/>
  <c r="N695" i="2"/>
  <c r="M695" i="2"/>
  <c r="L695" i="2"/>
  <c r="E695" i="2"/>
  <c r="D695" i="2"/>
  <c r="W694" i="2"/>
  <c r="Q694" i="2"/>
  <c r="P694" i="2"/>
  <c r="O694" i="2"/>
  <c r="N694" i="2"/>
  <c r="M694" i="2"/>
  <c r="L694" i="2"/>
  <c r="E694" i="2"/>
  <c r="D694" i="2"/>
  <c r="W693" i="2"/>
  <c r="Q693" i="2"/>
  <c r="P693" i="2"/>
  <c r="O693" i="2"/>
  <c r="N693" i="2"/>
  <c r="M693" i="2"/>
  <c r="L693" i="2"/>
  <c r="E693" i="2"/>
  <c r="D693" i="2"/>
  <c r="W692" i="2"/>
  <c r="Q692" i="2"/>
  <c r="P692" i="2"/>
  <c r="O692" i="2"/>
  <c r="N692" i="2"/>
  <c r="M692" i="2"/>
  <c r="L692" i="2"/>
  <c r="E692" i="2"/>
  <c r="D692" i="2"/>
  <c r="W691" i="2"/>
  <c r="Q691" i="2"/>
  <c r="P691" i="2"/>
  <c r="O691" i="2"/>
  <c r="N691" i="2"/>
  <c r="M691" i="2"/>
  <c r="L691" i="2"/>
  <c r="E691" i="2"/>
  <c r="D691" i="2"/>
  <c r="W690" i="2"/>
  <c r="Q690" i="2"/>
  <c r="P690" i="2"/>
  <c r="O690" i="2"/>
  <c r="N690" i="2"/>
  <c r="M690" i="2"/>
  <c r="L690" i="2"/>
  <c r="E690" i="2"/>
  <c r="D690" i="2"/>
  <c r="W689" i="2"/>
  <c r="Q689" i="2"/>
  <c r="P689" i="2"/>
  <c r="O689" i="2"/>
  <c r="N689" i="2"/>
  <c r="M689" i="2"/>
  <c r="L689" i="2"/>
  <c r="E689" i="2"/>
  <c r="D689" i="2" s="1"/>
  <c r="W688" i="2"/>
  <c r="Q688" i="2"/>
  <c r="P688" i="2"/>
  <c r="O688" i="2"/>
  <c r="N688" i="2"/>
  <c r="M688" i="2"/>
  <c r="L688" i="2"/>
  <c r="E688" i="2"/>
  <c r="D688" i="2" s="1"/>
  <c r="W687" i="2"/>
  <c r="Q687" i="2"/>
  <c r="P687" i="2"/>
  <c r="O687" i="2"/>
  <c r="N687" i="2"/>
  <c r="M687" i="2"/>
  <c r="L687" i="2"/>
  <c r="E687" i="2"/>
  <c r="D687" i="2"/>
  <c r="W686" i="2"/>
  <c r="Q686" i="2"/>
  <c r="P686" i="2"/>
  <c r="O686" i="2"/>
  <c r="N686" i="2"/>
  <c r="M686" i="2"/>
  <c r="L686" i="2"/>
  <c r="E686" i="2"/>
  <c r="D686" i="2" s="1"/>
  <c r="W685" i="2"/>
  <c r="Q685" i="2"/>
  <c r="P685" i="2"/>
  <c r="O685" i="2"/>
  <c r="N685" i="2"/>
  <c r="M685" i="2"/>
  <c r="L685" i="2"/>
  <c r="E685" i="2"/>
  <c r="D685" i="2" s="1"/>
  <c r="W684" i="2"/>
  <c r="Q684" i="2"/>
  <c r="P684" i="2"/>
  <c r="O684" i="2"/>
  <c r="N684" i="2"/>
  <c r="M684" i="2"/>
  <c r="L684" i="2"/>
  <c r="E684" i="2"/>
  <c r="D684" i="2"/>
  <c r="W683" i="2"/>
  <c r="Q683" i="2"/>
  <c r="P683" i="2"/>
  <c r="O683" i="2"/>
  <c r="N683" i="2"/>
  <c r="M683" i="2"/>
  <c r="L683" i="2"/>
  <c r="E683" i="2"/>
  <c r="D683" i="2"/>
  <c r="W682" i="2"/>
  <c r="Q682" i="2"/>
  <c r="P682" i="2"/>
  <c r="O682" i="2"/>
  <c r="N682" i="2"/>
  <c r="M682" i="2"/>
  <c r="L682" i="2"/>
  <c r="E682" i="2"/>
  <c r="D682" i="2"/>
  <c r="W681" i="2"/>
  <c r="Q681" i="2"/>
  <c r="P681" i="2"/>
  <c r="O681" i="2"/>
  <c r="N681" i="2"/>
  <c r="M681" i="2"/>
  <c r="L681" i="2"/>
  <c r="E681" i="2"/>
  <c r="D681" i="2" s="1"/>
  <c r="W680" i="2"/>
  <c r="Q680" i="2"/>
  <c r="P680" i="2"/>
  <c r="O680" i="2"/>
  <c r="N680" i="2"/>
  <c r="M680" i="2"/>
  <c r="L680" i="2"/>
  <c r="E680" i="2"/>
  <c r="D680" i="2"/>
  <c r="W679" i="2"/>
  <c r="Q679" i="2"/>
  <c r="P679" i="2"/>
  <c r="O679" i="2"/>
  <c r="N679" i="2"/>
  <c r="M679" i="2"/>
  <c r="L679" i="2"/>
  <c r="E679" i="2"/>
  <c r="D679" i="2"/>
  <c r="W678" i="2"/>
  <c r="Q678" i="2"/>
  <c r="P678" i="2"/>
  <c r="O678" i="2"/>
  <c r="N678" i="2"/>
  <c r="M678" i="2"/>
  <c r="L678" i="2"/>
  <c r="E678" i="2"/>
  <c r="D678" i="2" s="1"/>
  <c r="W677" i="2"/>
  <c r="Q677" i="2"/>
  <c r="P677" i="2"/>
  <c r="O677" i="2"/>
  <c r="N677" i="2"/>
  <c r="M677" i="2"/>
  <c r="L677" i="2"/>
  <c r="E677" i="2"/>
  <c r="D677" i="2"/>
  <c r="W676" i="2"/>
  <c r="Q676" i="2"/>
  <c r="P676" i="2"/>
  <c r="O676" i="2"/>
  <c r="N676" i="2"/>
  <c r="M676" i="2"/>
  <c r="L676" i="2"/>
  <c r="E676" i="2"/>
  <c r="D676" i="2"/>
  <c r="W675" i="2"/>
  <c r="Q675" i="2"/>
  <c r="P675" i="2"/>
  <c r="O675" i="2"/>
  <c r="N675" i="2"/>
  <c r="M675" i="2"/>
  <c r="L675" i="2"/>
  <c r="E675" i="2"/>
  <c r="D675" i="2"/>
  <c r="W674" i="2"/>
  <c r="Q674" i="2"/>
  <c r="P674" i="2"/>
  <c r="O674" i="2"/>
  <c r="N674" i="2"/>
  <c r="M674" i="2"/>
  <c r="L674" i="2"/>
  <c r="E674" i="2"/>
  <c r="D674" i="2"/>
  <c r="W673" i="2"/>
  <c r="Q673" i="2"/>
  <c r="P673" i="2"/>
  <c r="O673" i="2"/>
  <c r="N673" i="2"/>
  <c r="M673" i="2"/>
  <c r="L673" i="2"/>
  <c r="E673" i="2"/>
  <c r="D673" i="2" s="1"/>
  <c r="W672" i="2"/>
  <c r="Q672" i="2"/>
  <c r="P672" i="2"/>
  <c r="O672" i="2"/>
  <c r="N672" i="2"/>
  <c r="M672" i="2"/>
  <c r="L672" i="2"/>
  <c r="E672" i="2"/>
  <c r="D672" i="2"/>
  <c r="W671" i="2"/>
  <c r="Q671" i="2"/>
  <c r="P671" i="2"/>
  <c r="O671" i="2"/>
  <c r="N671" i="2"/>
  <c r="M671" i="2"/>
  <c r="L671" i="2"/>
  <c r="E671" i="2"/>
  <c r="D671" i="2"/>
  <c r="W670" i="2"/>
  <c r="Q670" i="2"/>
  <c r="P670" i="2"/>
  <c r="O670" i="2"/>
  <c r="N670" i="2"/>
  <c r="M670" i="2"/>
  <c r="L670" i="2"/>
  <c r="E670" i="2"/>
  <c r="D670" i="2"/>
  <c r="W669" i="2"/>
  <c r="Q669" i="2"/>
  <c r="P669" i="2"/>
  <c r="O669" i="2"/>
  <c r="N669" i="2"/>
  <c r="M669" i="2"/>
  <c r="L669" i="2"/>
  <c r="E669" i="2"/>
  <c r="D669" i="2"/>
  <c r="W668" i="2"/>
  <c r="Q668" i="2"/>
  <c r="P668" i="2"/>
  <c r="O668" i="2"/>
  <c r="N668" i="2"/>
  <c r="M668" i="2"/>
  <c r="L668" i="2"/>
  <c r="E668" i="2"/>
  <c r="D668" i="2"/>
  <c r="W667" i="2"/>
  <c r="Q667" i="2"/>
  <c r="P667" i="2"/>
  <c r="O667" i="2"/>
  <c r="N667" i="2"/>
  <c r="M667" i="2"/>
  <c r="L667" i="2"/>
  <c r="E667" i="2"/>
  <c r="D667" i="2"/>
  <c r="W666" i="2"/>
  <c r="Q666" i="2"/>
  <c r="P666" i="2"/>
  <c r="O666" i="2"/>
  <c r="N666" i="2"/>
  <c r="M666" i="2"/>
  <c r="L666" i="2"/>
  <c r="E666" i="2"/>
  <c r="D666" i="2"/>
  <c r="W665" i="2"/>
  <c r="Q665" i="2"/>
  <c r="P665" i="2"/>
  <c r="O665" i="2"/>
  <c r="N665" i="2"/>
  <c r="M665" i="2"/>
  <c r="L665" i="2"/>
  <c r="E665" i="2"/>
  <c r="D665" i="2"/>
  <c r="W664" i="2"/>
  <c r="Q664" i="2"/>
  <c r="P664" i="2"/>
  <c r="O664" i="2"/>
  <c r="N664" i="2"/>
  <c r="M664" i="2"/>
  <c r="L664" i="2"/>
  <c r="E664" i="2"/>
  <c r="D664" i="2"/>
  <c r="W663" i="2"/>
  <c r="Q663" i="2"/>
  <c r="P663" i="2"/>
  <c r="O663" i="2"/>
  <c r="N663" i="2"/>
  <c r="M663" i="2"/>
  <c r="L663" i="2"/>
  <c r="E663" i="2"/>
  <c r="D663" i="2"/>
  <c r="W662" i="2"/>
  <c r="Q662" i="2"/>
  <c r="P662" i="2"/>
  <c r="O662" i="2"/>
  <c r="N662" i="2"/>
  <c r="M662" i="2"/>
  <c r="L662" i="2"/>
  <c r="E662" i="2"/>
  <c r="D662" i="2" s="1"/>
  <c r="W661" i="2"/>
  <c r="Q661" i="2"/>
  <c r="P661" i="2"/>
  <c r="O661" i="2"/>
  <c r="N661" i="2"/>
  <c r="M661" i="2"/>
  <c r="L661" i="2"/>
  <c r="E661" i="2"/>
  <c r="D661" i="2" s="1"/>
  <c r="W660" i="2"/>
  <c r="Q660" i="2"/>
  <c r="P660" i="2"/>
  <c r="O660" i="2"/>
  <c r="N660" i="2"/>
  <c r="M660" i="2"/>
  <c r="L660" i="2"/>
  <c r="E660" i="2"/>
  <c r="D660" i="2" s="1"/>
  <c r="W659" i="2"/>
  <c r="Q659" i="2"/>
  <c r="P659" i="2"/>
  <c r="O659" i="2"/>
  <c r="N659" i="2"/>
  <c r="M659" i="2"/>
  <c r="L659" i="2"/>
  <c r="E659" i="2"/>
  <c r="D659" i="2"/>
  <c r="W658" i="2"/>
  <c r="Q658" i="2"/>
  <c r="P658" i="2"/>
  <c r="O658" i="2"/>
  <c r="N658" i="2"/>
  <c r="M658" i="2"/>
  <c r="L658" i="2"/>
  <c r="E658" i="2"/>
  <c r="D658" i="2" s="1"/>
  <c r="W657" i="2"/>
  <c r="Q657" i="2"/>
  <c r="P657" i="2"/>
  <c r="O657" i="2"/>
  <c r="N657" i="2"/>
  <c r="M657" i="2"/>
  <c r="L657" i="2"/>
  <c r="E657" i="2"/>
  <c r="D657" i="2"/>
  <c r="W656" i="2"/>
  <c r="Q656" i="2"/>
  <c r="P656" i="2"/>
  <c r="O656" i="2"/>
  <c r="N656" i="2"/>
  <c r="M656" i="2"/>
  <c r="L656" i="2"/>
  <c r="E656" i="2"/>
  <c r="D656" i="2"/>
  <c r="W655" i="2"/>
  <c r="Q655" i="2"/>
  <c r="P655" i="2"/>
  <c r="O655" i="2"/>
  <c r="N655" i="2"/>
  <c r="M655" i="2"/>
  <c r="L655" i="2"/>
  <c r="E655" i="2"/>
  <c r="D655" i="2" s="1"/>
  <c r="W654" i="2"/>
  <c r="Q654" i="2"/>
  <c r="P654" i="2"/>
  <c r="O654" i="2"/>
  <c r="N654" i="2"/>
  <c r="M654" i="2"/>
  <c r="L654" i="2"/>
  <c r="E654" i="2"/>
  <c r="D654" i="2"/>
  <c r="W653" i="2"/>
  <c r="Q653" i="2"/>
  <c r="P653" i="2"/>
  <c r="O653" i="2"/>
  <c r="N653" i="2"/>
  <c r="M653" i="2"/>
  <c r="L653" i="2"/>
  <c r="E653" i="2"/>
  <c r="D653" i="2" s="1"/>
  <c r="W652" i="2"/>
  <c r="Q652" i="2"/>
  <c r="P652" i="2"/>
  <c r="O652" i="2"/>
  <c r="N652" i="2"/>
  <c r="M652" i="2"/>
  <c r="L652" i="2"/>
  <c r="E652" i="2"/>
  <c r="D652" i="2"/>
  <c r="W651" i="2"/>
  <c r="Q651" i="2"/>
  <c r="P651" i="2"/>
  <c r="O651" i="2"/>
  <c r="N651" i="2"/>
  <c r="M651" i="2"/>
  <c r="L651" i="2"/>
  <c r="E651" i="2"/>
  <c r="D651" i="2"/>
  <c r="W650" i="2"/>
  <c r="Q650" i="2"/>
  <c r="P650" i="2"/>
  <c r="O650" i="2"/>
  <c r="N650" i="2"/>
  <c r="M650" i="2"/>
  <c r="L650" i="2"/>
  <c r="E650" i="2"/>
  <c r="D650" i="2"/>
  <c r="W649" i="2"/>
  <c r="Q649" i="2"/>
  <c r="P649" i="2"/>
  <c r="O649" i="2"/>
  <c r="N649" i="2"/>
  <c r="M649" i="2"/>
  <c r="L649" i="2"/>
  <c r="E649" i="2"/>
  <c r="D649" i="2"/>
  <c r="W648" i="2"/>
  <c r="Q648" i="2"/>
  <c r="P648" i="2"/>
  <c r="O648" i="2"/>
  <c r="N648" i="2"/>
  <c r="M648" i="2"/>
  <c r="L648" i="2"/>
  <c r="E648" i="2"/>
  <c r="D648" i="2"/>
  <c r="W647" i="2"/>
  <c r="Q647" i="2"/>
  <c r="P647" i="2"/>
  <c r="O647" i="2"/>
  <c r="N647" i="2"/>
  <c r="M647" i="2"/>
  <c r="L647" i="2"/>
  <c r="E647" i="2"/>
  <c r="D647" i="2"/>
  <c r="W646" i="2"/>
  <c r="Q646" i="2"/>
  <c r="P646" i="2"/>
  <c r="O646" i="2"/>
  <c r="N646" i="2"/>
  <c r="M646" i="2"/>
  <c r="L646" i="2"/>
  <c r="E646" i="2"/>
  <c r="D646" i="2"/>
  <c r="W645" i="2"/>
  <c r="Q645" i="2"/>
  <c r="P645" i="2"/>
  <c r="O645" i="2"/>
  <c r="N645" i="2"/>
  <c r="M645" i="2"/>
  <c r="L645" i="2"/>
  <c r="E645" i="2"/>
  <c r="D645" i="2"/>
  <c r="W644" i="2"/>
  <c r="Q644" i="2"/>
  <c r="P644" i="2"/>
  <c r="O644" i="2"/>
  <c r="N644" i="2"/>
  <c r="M644" i="2"/>
  <c r="L644" i="2"/>
  <c r="E644" i="2"/>
  <c r="D644" i="2" s="1"/>
  <c r="W643" i="2"/>
  <c r="Q643" i="2"/>
  <c r="P643" i="2"/>
  <c r="O643" i="2"/>
  <c r="N643" i="2"/>
  <c r="M643" i="2"/>
  <c r="L643" i="2"/>
  <c r="E643" i="2"/>
  <c r="D643" i="2"/>
  <c r="W642" i="2"/>
  <c r="Q642" i="2"/>
  <c r="P642" i="2"/>
  <c r="O642" i="2"/>
  <c r="N642" i="2"/>
  <c r="M642" i="2"/>
  <c r="L642" i="2"/>
  <c r="E642" i="2"/>
  <c r="D642" i="2"/>
  <c r="W641" i="2"/>
  <c r="Q641" i="2"/>
  <c r="P641" i="2"/>
  <c r="O641" i="2"/>
  <c r="N641" i="2"/>
  <c r="M641" i="2"/>
  <c r="L641" i="2"/>
  <c r="E641" i="2"/>
  <c r="D641" i="2"/>
  <c r="W640" i="2"/>
  <c r="Q640" i="2"/>
  <c r="P640" i="2"/>
  <c r="O640" i="2"/>
  <c r="N640" i="2"/>
  <c r="M640" i="2"/>
  <c r="L640" i="2"/>
  <c r="E640" i="2"/>
  <c r="D640" i="2" s="1"/>
  <c r="W639" i="2"/>
  <c r="Q639" i="2"/>
  <c r="P639" i="2"/>
  <c r="O639" i="2"/>
  <c r="N639" i="2"/>
  <c r="M639" i="2"/>
  <c r="L639" i="2"/>
  <c r="E639" i="2"/>
  <c r="D639" i="2"/>
  <c r="W638" i="2"/>
  <c r="Q638" i="2"/>
  <c r="P638" i="2"/>
  <c r="O638" i="2"/>
  <c r="N638" i="2"/>
  <c r="M638" i="2"/>
  <c r="L638" i="2"/>
  <c r="E638" i="2"/>
  <c r="D638" i="2"/>
  <c r="W637" i="2"/>
  <c r="Q637" i="2"/>
  <c r="P637" i="2"/>
  <c r="O637" i="2"/>
  <c r="N637" i="2"/>
  <c r="M637" i="2"/>
  <c r="L637" i="2"/>
  <c r="E637" i="2"/>
  <c r="D637" i="2"/>
  <c r="W636" i="2"/>
  <c r="Q636" i="2"/>
  <c r="P636" i="2"/>
  <c r="O636" i="2"/>
  <c r="N636" i="2"/>
  <c r="M636" i="2"/>
  <c r="L636" i="2"/>
  <c r="E636" i="2"/>
  <c r="D636" i="2"/>
  <c r="W635" i="2"/>
  <c r="Q635" i="2"/>
  <c r="P635" i="2"/>
  <c r="O635" i="2"/>
  <c r="N635" i="2"/>
  <c r="M635" i="2"/>
  <c r="L635" i="2"/>
  <c r="E635" i="2"/>
  <c r="D635" i="2"/>
  <c r="W634" i="2"/>
  <c r="Q634" i="2"/>
  <c r="P634" i="2"/>
  <c r="O634" i="2"/>
  <c r="N634" i="2"/>
  <c r="M634" i="2"/>
  <c r="L634" i="2"/>
  <c r="E634" i="2"/>
  <c r="D634" i="2"/>
  <c r="W633" i="2"/>
  <c r="Q633" i="2"/>
  <c r="P633" i="2"/>
  <c r="O633" i="2"/>
  <c r="N633" i="2"/>
  <c r="M633" i="2"/>
  <c r="L633" i="2"/>
  <c r="E633" i="2"/>
  <c r="D633" i="2"/>
  <c r="W632" i="2"/>
  <c r="Q632" i="2"/>
  <c r="P632" i="2"/>
  <c r="O632" i="2"/>
  <c r="N632" i="2"/>
  <c r="M632" i="2"/>
  <c r="L632" i="2"/>
  <c r="E632" i="2"/>
  <c r="D632" i="2"/>
  <c r="W631" i="2"/>
  <c r="Q631" i="2"/>
  <c r="P631" i="2"/>
  <c r="O631" i="2"/>
  <c r="N631" i="2"/>
  <c r="M631" i="2"/>
  <c r="L631" i="2"/>
  <c r="E631" i="2"/>
  <c r="D631" i="2"/>
  <c r="W630" i="2"/>
  <c r="Q630" i="2"/>
  <c r="P630" i="2"/>
  <c r="O630" i="2"/>
  <c r="N630" i="2"/>
  <c r="M630" i="2"/>
  <c r="L630" i="2"/>
  <c r="E630" i="2"/>
  <c r="D630" i="2"/>
  <c r="W629" i="2"/>
  <c r="Q629" i="2"/>
  <c r="P629" i="2"/>
  <c r="O629" i="2"/>
  <c r="N629" i="2"/>
  <c r="M629" i="2"/>
  <c r="L629" i="2"/>
  <c r="E629" i="2"/>
  <c r="D629" i="2"/>
  <c r="W628" i="2"/>
  <c r="Q628" i="2"/>
  <c r="P628" i="2"/>
  <c r="O628" i="2"/>
  <c r="N628" i="2"/>
  <c r="M628" i="2"/>
  <c r="L628" i="2"/>
  <c r="E628" i="2"/>
  <c r="D628" i="2"/>
  <c r="W627" i="2"/>
  <c r="Q627" i="2"/>
  <c r="P627" i="2"/>
  <c r="O627" i="2"/>
  <c r="N627" i="2"/>
  <c r="M627" i="2"/>
  <c r="L627" i="2"/>
  <c r="E627" i="2"/>
  <c r="D627" i="2"/>
  <c r="W626" i="2"/>
  <c r="Q626" i="2"/>
  <c r="P626" i="2"/>
  <c r="O626" i="2"/>
  <c r="N626" i="2"/>
  <c r="M626" i="2"/>
  <c r="L626" i="2"/>
  <c r="E626" i="2"/>
  <c r="D626" i="2"/>
  <c r="W625" i="2"/>
  <c r="Q625" i="2"/>
  <c r="P625" i="2"/>
  <c r="O625" i="2"/>
  <c r="N625" i="2"/>
  <c r="M625" i="2"/>
  <c r="L625" i="2"/>
  <c r="E625" i="2"/>
  <c r="D625" i="2"/>
  <c r="W624" i="2"/>
  <c r="Q624" i="2"/>
  <c r="P624" i="2"/>
  <c r="O624" i="2"/>
  <c r="N624" i="2"/>
  <c r="M624" i="2"/>
  <c r="L624" i="2"/>
  <c r="E624" i="2"/>
  <c r="D624" i="2"/>
  <c r="W623" i="2"/>
  <c r="Q623" i="2"/>
  <c r="P623" i="2"/>
  <c r="O623" i="2"/>
  <c r="N623" i="2"/>
  <c r="M623" i="2"/>
  <c r="L623" i="2"/>
  <c r="E623" i="2"/>
  <c r="D623" i="2"/>
  <c r="W622" i="2"/>
  <c r="Q622" i="2"/>
  <c r="P622" i="2"/>
  <c r="O622" i="2"/>
  <c r="N622" i="2"/>
  <c r="M622" i="2"/>
  <c r="L622" i="2"/>
  <c r="E622" i="2"/>
  <c r="D622" i="2"/>
  <c r="W621" i="2"/>
  <c r="Q621" i="2"/>
  <c r="P621" i="2"/>
  <c r="O621" i="2"/>
  <c r="N621" i="2"/>
  <c r="M621" i="2"/>
  <c r="L621" i="2"/>
  <c r="E621" i="2"/>
  <c r="D621" i="2"/>
  <c r="W620" i="2"/>
  <c r="Q620" i="2"/>
  <c r="P620" i="2"/>
  <c r="O620" i="2"/>
  <c r="N620" i="2"/>
  <c r="M620" i="2"/>
  <c r="L620" i="2"/>
  <c r="E620" i="2"/>
  <c r="D620" i="2"/>
  <c r="W619" i="2"/>
  <c r="Q619" i="2"/>
  <c r="P619" i="2"/>
  <c r="O619" i="2"/>
  <c r="N619" i="2"/>
  <c r="M619" i="2"/>
  <c r="L619" i="2"/>
  <c r="E619" i="2"/>
  <c r="D619" i="2"/>
  <c r="W618" i="2"/>
  <c r="Q618" i="2"/>
  <c r="P618" i="2"/>
  <c r="O618" i="2"/>
  <c r="N618" i="2"/>
  <c r="M618" i="2"/>
  <c r="L618" i="2"/>
  <c r="E618" i="2"/>
  <c r="D618" i="2"/>
  <c r="W617" i="2"/>
  <c r="Q617" i="2"/>
  <c r="P617" i="2"/>
  <c r="O617" i="2"/>
  <c r="N617" i="2"/>
  <c r="M617" i="2"/>
  <c r="L617" i="2"/>
  <c r="E617" i="2"/>
  <c r="D617" i="2"/>
  <c r="W616" i="2"/>
  <c r="Q616" i="2"/>
  <c r="P616" i="2"/>
  <c r="O616" i="2"/>
  <c r="N616" i="2"/>
  <c r="M616" i="2"/>
  <c r="L616" i="2"/>
  <c r="E616" i="2"/>
  <c r="D616" i="2"/>
  <c r="W615" i="2"/>
  <c r="Q615" i="2"/>
  <c r="P615" i="2"/>
  <c r="O615" i="2"/>
  <c r="N615" i="2"/>
  <c r="M615" i="2"/>
  <c r="L615" i="2"/>
  <c r="E615" i="2"/>
  <c r="D615" i="2"/>
  <c r="W614" i="2"/>
  <c r="Q614" i="2"/>
  <c r="P614" i="2"/>
  <c r="O614" i="2"/>
  <c r="N614" i="2"/>
  <c r="M614" i="2"/>
  <c r="L614" i="2"/>
  <c r="E614" i="2"/>
  <c r="D614" i="2"/>
  <c r="W613" i="2"/>
  <c r="Q613" i="2"/>
  <c r="P613" i="2"/>
  <c r="O613" i="2"/>
  <c r="N613" i="2"/>
  <c r="M613" i="2"/>
  <c r="L613" i="2"/>
  <c r="E613" i="2"/>
  <c r="D613" i="2"/>
  <c r="W612" i="2"/>
  <c r="Q612" i="2"/>
  <c r="P612" i="2"/>
  <c r="O612" i="2"/>
  <c r="N612" i="2"/>
  <c r="M612" i="2"/>
  <c r="L612" i="2"/>
  <c r="E612" i="2"/>
  <c r="D612" i="2"/>
  <c r="W611" i="2"/>
  <c r="Q611" i="2"/>
  <c r="P611" i="2"/>
  <c r="O611" i="2"/>
  <c r="N611" i="2"/>
  <c r="M611" i="2"/>
  <c r="L611" i="2"/>
  <c r="E611" i="2"/>
  <c r="D611" i="2"/>
  <c r="W610" i="2"/>
  <c r="Q610" i="2"/>
  <c r="P610" i="2"/>
  <c r="O610" i="2"/>
  <c r="N610" i="2"/>
  <c r="M610" i="2"/>
  <c r="L610" i="2"/>
  <c r="E610" i="2"/>
  <c r="D610" i="2"/>
  <c r="W609" i="2"/>
  <c r="Q609" i="2"/>
  <c r="P609" i="2"/>
  <c r="O609" i="2"/>
  <c r="N609" i="2"/>
  <c r="M609" i="2"/>
  <c r="L609" i="2"/>
  <c r="E609" i="2"/>
  <c r="D609" i="2"/>
  <c r="W608" i="2"/>
  <c r="Q608" i="2"/>
  <c r="P608" i="2"/>
  <c r="O608" i="2"/>
  <c r="N608" i="2"/>
  <c r="M608" i="2"/>
  <c r="L608" i="2"/>
  <c r="E608" i="2"/>
  <c r="D608" i="2"/>
  <c r="W607" i="2"/>
  <c r="Q607" i="2"/>
  <c r="P607" i="2"/>
  <c r="O607" i="2"/>
  <c r="N607" i="2"/>
  <c r="M607" i="2"/>
  <c r="L607" i="2"/>
  <c r="E607" i="2"/>
  <c r="D607" i="2"/>
  <c r="W606" i="2"/>
  <c r="Q606" i="2"/>
  <c r="P606" i="2"/>
  <c r="O606" i="2"/>
  <c r="N606" i="2"/>
  <c r="M606" i="2"/>
  <c r="L606" i="2"/>
  <c r="E606" i="2"/>
  <c r="D606" i="2"/>
  <c r="W605" i="2"/>
  <c r="Q605" i="2"/>
  <c r="P605" i="2"/>
  <c r="O605" i="2"/>
  <c r="N605" i="2"/>
  <c r="M605" i="2"/>
  <c r="L605" i="2"/>
  <c r="E605" i="2"/>
  <c r="D605" i="2"/>
  <c r="W604" i="2"/>
  <c r="Q604" i="2"/>
  <c r="P604" i="2"/>
  <c r="O604" i="2"/>
  <c r="N604" i="2"/>
  <c r="M604" i="2"/>
  <c r="L604" i="2"/>
  <c r="E604" i="2"/>
  <c r="D604" i="2"/>
  <c r="W603" i="2"/>
  <c r="Q603" i="2"/>
  <c r="P603" i="2"/>
  <c r="O603" i="2"/>
  <c r="N603" i="2"/>
  <c r="M603" i="2"/>
  <c r="L603" i="2"/>
  <c r="E603" i="2"/>
  <c r="D603" i="2"/>
  <c r="W602" i="2"/>
  <c r="Q602" i="2"/>
  <c r="P602" i="2"/>
  <c r="O602" i="2"/>
  <c r="N602" i="2"/>
  <c r="M602" i="2"/>
  <c r="L602" i="2"/>
  <c r="E602" i="2"/>
  <c r="D602" i="2"/>
  <c r="W601" i="2"/>
  <c r="Q601" i="2"/>
  <c r="P601" i="2"/>
  <c r="O601" i="2"/>
  <c r="N601" i="2"/>
  <c r="M601" i="2"/>
  <c r="L601" i="2"/>
  <c r="E601" i="2"/>
  <c r="D601" i="2"/>
  <c r="W600" i="2"/>
  <c r="Q600" i="2"/>
  <c r="P600" i="2"/>
  <c r="O600" i="2"/>
  <c r="N600" i="2"/>
  <c r="M600" i="2"/>
  <c r="L600" i="2"/>
  <c r="E600" i="2"/>
  <c r="D600" i="2"/>
  <c r="W599" i="2"/>
  <c r="Q599" i="2"/>
  <c r="P599" i="2"/>
  <c r="O599" i="2"/>
  <c r="N599" i="2"/>
  <c r="M599" i="2"/>
  <c r="L599" i="2"/>
  <c r="E599" i="2"/>
  <c r="D599" i="2"/>
  <c r="W598" i="2"/>
  <c r="Q598" i="2"/>
  <c r="P598" i="2"/>
  <c r="O598" i="2"/>
  <c r="N598" i="2"/>
  <c r="M598" i="2"/>
  <c r="L598" i="2"/>
  <c r="E598" i="2"/>
  <c r="D598" i="2"/>
  <c r="W597" i="2"/>
  <c r="Q597" i="2"/>
  <c r="P597" i="2"/>
  <c r="O597" i="2"/>
  <c r="N597" i="2"/>
  <c r="M597" i="2"/>
  <c r="L597" i="2"/>
  <c r="E597" i="2"/>
  <c r="D597" i="2"/>
  <c r="W596" i="2"/>
  <c r="Q596" i="2"/>
  <c r="P596" i="2"/>
  <c r="O596" i="2"/>
  <c r="N596" i="2"/>
  <c r="M596" i="2"/>
  <c r="L596" i="2"/>
  <c r="E596" i="2"/>
  <c r="D596" i="2"/>
  <c r="W595" i="2"/>
  <c r="Q595" i="2"/>
  <c r="P595" i="2"/>
  <c r="O595" i="2"/>
  <c r="N595" i="2"/>
  <c r="M595" i="2"/>
  <c r="L595" i="2"/>
  <c r="E595" i="2"/>
  <c r="D595" i="2"/>
  <c r="W594" i="2"/>
  <c r="Q594" i="2"/>
  <c r="P594" i="2"/>
  <c r="O594" i="2"/>
  <c r="N594" i="2"/>
  <c r="M594" i="2"/>
  <c r="L594" i="2"/>
  <c r="E594" i="2"/>
  <c r="D594" i="2"/>
  <c r="W593" i="2"/>
  <c r="Q593" i="2"/>
  <c r="P593" i="2"/>
  <c r="O593" i="2"/>
  <c r="N593" i="2"/>
  <c r="M593" i="2"/>
  <c r="L593" i="2"/>
  <c r="E593" i="2"/>
  <c r="D593" i="2"/>
  <c r="W592" i="2"/>
  <c r="Q592" i="2"/>
  <c r="P592" i="2"/>
  <c r="O592" i="2"/>
  <c r="N592" i="2"/>
  <c r="M592" i="2"/>
  <c r="L592" i="2"/>
  <c r="E592" i="2"/>
  <c r="D592" i="2"/>
  <c r="W591" i="2"/>
  <c r="Q591" i="2"/>
  <c r="P591" i="2"/>
  <c r="O591" i="2"/>
  <c r="N591" i="2"/>
  <c r="M591" i="2"/>
  <c r="L591" i="2"/>
  <c r="E591" i="2"/>
  <c r="D591" i="2"/>
  <c r="W590" i="2"/>
  <c r="Q590" i="2"/>
  <c r="P590" i="2"/>
  <c r="O590" i="2"/>
  <c r="N590" i="2"/>
  <c r="M590" i="2"/>
  <c r="L590" i="2"/>
  <c r="E590" i="2"/>
  <c r="D590" i="2"/>
  <c r="W589" i="2"/>
  <c r="Q589" i="2"/>
  <c r="P589" i="2"/>
  <c r="O589" i="2"/>
  <c r="N589" i="2"/>
  <c r="M589" i="2"/>
  <c r="L589" i="2"/>
  <c r="E589" i="2"/>
  <c r="D589" i="2"/>
  <c r="W588" i="2"/>
  <c r="Q588" i="2"/>
  <c r="P588" i="2"/>
  <c r="O588" i="2"/>
  <c r="N588" i="2"/>
  <c r="M588" i="2"/>
  <c r="L588" i="2"/>
  <c r="E588" i="2"/>
  <c r="D588" i="2"/>
  <c r="W587" i="2"/>
  <c r="Q587" i="2"/>
  <c r="P587" i="2"/>
  <c r="O587" i="2"/>
  <c r="N587" i="2"/>
  <c r="M587" i="2"/>
  <c r="L587" i="2"/>
  <c r="E587" i="2"/>
  <c r="D587" i="2"/>
  <c r="W586" i="2"/>
  <c r="Q586" i="2"/>
  <c r="P586" i="2"/>
  <c r="O586" i="2"/>
  <c r="N586" i="2"/>
  <c r="M586" i="2"/>
  <c r="L586" i="2"/>
  <c r="E586" i="2"/>
  <c r="D586" i="2"/>
  <c r="W585" i="2"/>
  <c r="Q585" i="2"/>
  <c r="P585" i="2"/>
  <c r="O585" i="2"/>
  <c r="N585" i="2"/>
  <c r="M585" i="2"/>
  <c r="L585" i="2"/>
  <c r="E585" i="2"/>
  <c r="D585" i="2"/>
  <c r="W584" i="2"/>
  <c r="Q584" i="2"/>
  <c r="P584" i="2"/>
  <c r="O584" i="2"/>
  <c r="N584" i="2"/>
  <c r="M584" i="2"/>
  <c r="L584" i="2"/>
  <c r="E584" i="2"/>
  <c r="D584" i="2"/>
  <c r="W583" i="2"/>
  <c r="Q583" i="2"/>
  <c r="P583" i="2"/>
  <c r="O583" i="2"/>
  <c r="N583" i="2"/>
  <c r="M583" i="2"/>
  <c r="L583" i="2"/>
  <c r="E583" i="2"/>
  <c r="D583" i="2"/>
  <c r="W582" i="2"/>
  <c r="Q582" i="2"/>
  <c r="P582" i="2"/>
  <c r="O582" i="2"/>
  <c r="N582" i="2"/>
  <c r="M582" i="2"/>
  <c r="L582" i="2"/>
  <c r="E582" i="2"/>
  <c r="D582" i="2"/>
  <c r="W581" i="2"/>
  <c r="Q581" i="2"/>
  <c r="P581" i="2"/>
  <c r="O581" i="2"/>
  <c r="N581" i="2"/>
  <c r="M581" i="2"/>
  <c r="L581" i="2"/>
  <c r="E581" i="2"/>
  <c r="D581" i="2"/>
  <c r="W580" i="2"/>
  <c r="Q580" i="2"/>
  <c r="P580" i="2"/>
  <c r="O580" i="2"/>
  <c r="N580" i="2"/>
  <c r="M580" i="2"/>
  <c r="L580" i="2"/>
  <c r="E580" i="2"/>
  <c r="D580" i="2"/>
  <c r="W579" i="2"/>
  <c r="Q579" i="2"/>
  <c r="P579" i="2"/>
  <c r="O579" i="2"/>
  <c r="N579" i="2"/>
  <c r="M579" i="2"/>
  <c r="L579" i="2"/>
  <c r="E579" i="2"/>
  <c r="D579" i="2"/>
  <c r="W578" i="2"/>
  <c r="Q578" i="2"/>
  <c r="P578" i="2"/>
  <c r="O578" i="2"/>
  <c r="N578" i="2"/>
  <c r="M578" i="2"/>
  <c r="L578" i="2"/>
  <c r="E578" i="2"/>
  <c r="D578" i="2"/>
  <c r="W577" i="2"/>
  <c r="Q577" i="2"/>
  <c r="P577" i="2"/>
  <c r="O577" i="2"/>
  <c r="N577" i="2"/>
  <c r="M577" i="2"/>
  <c r="L577" i="2"/>
  <c r="E577" i="2"/>
  <c r="D577" i="2"/>
  <c r="W576" i="2"/>
  <c r="Q576" i="2"/>
  <c r="P576" i="2"/>
  <c r="O576" i="2"/>
  <c r="N576" i="2"/>
  <c r="M576" i="2"/>
  <c r="L576" i="2"/>
  <c r="E576" i="2"/>
  <c r="D576" i="2"/>
  <c r="W575" i="2"/>
  <c r="Q575" i="2"/>
  <c r="P575" i="2"/>
  <c r="O575" i="2"/>
  <c r="N575" i="2"/>
  <c r="M575" i="2"/>
  <c r="L575" i="2"/>
  <c r="E575" i="2"/>
  <c r="D575" i="2"/>
  <c r="W574" i="2"/>
  <c r="Q574" i="2"/>
  <c r="P574" i="2"/>
  <c r="O574" i="2"/>
  <c r="N574" i="2"/>
  <c r="M574" i="2"/>
  <c r="L574" i="2"/>
  <c r="E574" i="2"/>
  <c r="D574" i="2"/>
  <c r="W573" i="2"/>
  <c r="Q573" i="2"/>
  <c r="P573" i="2"/>
  <c r="O573" i="2"/>
  <c r="N573" i="2"/>
  <c r="M573" i="2"/>
  <c r="L573" i="2"/>
  <c r="E573" i="2"/>
  <c r="D573" i="2"/>
  <c r="W572" i="2"/>
  <c r="Q572" i="2"/>
  <c r="P572" i="2"/>
  <c r="O572" i="2"/>
  <c r="N572" i="2"/>
  <c r="M572" i="2"/>
  <c r="L572" i="2"/>
  <c r="E572" i="2"/>
  <c r="D572" i="2"/>
  <c r="W571" i="2"/>
  <c r="Q571" i="2"/>
  <c r="P571" i="2"/>
  <c r="O571" i="2"/>
  <c r="N571" i="2"/>
  <c r="M571" i="2"/>
  <c r="L571" i="2"/>
  <c r="E571" i="2"/>
  <c r="D571" i="2"/>
  <c r="W570" i="2"/>
  <c r="Q570" i="2"/>
  <c r="P570" i="2"/>
  <c r="O570" i="2"/>
  <c r="N570" i="2"/>
  <c r="M570" i="2"/>
  <c r="L570" i="2"/>
  <c r="E570" i="2"/>
  <c r="D570" i="2"/>
  <c r="W569" i="2"/>
  <c r="Q569" i="2"/>
  <c r="P569" i="2"/>
  <c r="O569" i="2"/>
  <c r="N569" i="2"/>
  <c r="M569" i="2"/>
  <c r="L569" i="2"/>
  <c r="E569" i="2"/>
  <c r="D569" i="2"/>
  <c r="W568" i="2"/>
  <c r="Q568" i="2"/>
  <c r="P568" i="2"/>
  <c r="O568" i="2"/>
  <c r="N568" i="2"/>
  <c r="M568" i="2"/>
  <c r="L568" i="2"/>
  <c r="E568" i="2"/>
  <c r="D568" i="2"/>
  <c r="W567" i="2"/>
  <c r="Q567" i="2"/>
  <c r="P567" i="2"/>
  <c r="O567" i="2"/>
  <c r="N567" i="2"/>
  <c r="M567" i="2"/>
  <c r="L567" i="2"/>
  <c r="E567" i="2"/>
  <c r="D567" i="2"/>
  <c r="W566" i="2"/>
  <c r="Q566" i="2"/>
  <c r="P566" i="2"/>
  <c r="O566" i="2"/>
  <c r="N566" i="2"/>
  <c r="M566" i="2"/>
  <c r="L566" i="2"/>
  <c r="E566" i="2"/>
  <c r="D566" i="2"/>
  <c r="W565" i="2"/>
  <c r="Q565" i="2"/>
  <c r="P565" i="2"/>
  <c r="O565" i="2"/>
  <c r="N565" i="2"/>
  <c r="M565" i="2"/>
  <c r="L565" i="2"/>
  <c r="E565" i="2"/>
  <c r="D565" i="2"/>
  <c r="W564" i="2"/>
  <c r="Q564" i="2"/>
  <c r="P564" i="2"/>
  <c r="O564" i="2"/>
  <c r="N564" i="2"/>
  <c r="M564" i="2"/>
  <c r="L564" i="2"/>
  <c r="E564" i="2"/>
  <c r="D564" i="2"/>
  <c r="W563" i="2"/>
  <c r="Q563" i="2"/>
  <c r="P563" i="2"/>
  <c r="O563" i="2"/>
  <c r="N563" i="2"/>
  <c r="M563" i="2"/>
  <c r="L563" i="2"/>
  <c r="E563" i="2"/>
  <c r="D563" i="2"/>
  <c r="W562" i="2"/>
  <c r="Q562" i="2"/>
  <c r="P562" i="2"/>
  <c r="O562" i="2"/>
  <c r="N562" i="2"/>
  <c r="M562" i="2"/>
  <c r="L562" i="2"/>
  <c r="E562" i="2"/>
  <c r="D562" i="2"/>
  <c r="W561" i="2"/>
  <c r="Q561" i="2"/>
  <c r="P561" i="2"/>
  <c r="O561" i="2"/>
  <c r="N561" i="2"/>
  <c r="M561" i="2"/>
  <c r="L561" i="2"/>
  <c r="E561" i="2"/>
  <c r="D561" i="2"/>
  <c r="W560" i="2"/>
  <c r="Q560" i="2"/>
  <c r="P560" i="2"/>
  <c r="O560" i="2"/>
  <c r="N560" i="2"/>
  <c r="M560" i="2"/>
  <c r="L560" i="2"/>
  <c r="E560" i="2"/>
  <c r="D560" i="2"/>
  <c r="W559" i="2"/>
  <c r="Q559" i="2"/>
  <c r="P559" i="2"/>
  <c r="O559" i="2"/>
  <c r="N559" i="2"/>
  <c r="M559" i="2"/>
  <c r="L559" i="2"/>
  <c r="E559" i="2"/>
  <c r="D559" i="2"/>
  <c r="W558" i="2"/>
  <c r="Q558" i="2"/>
  <c r="P558" i="2"/>
  <c r="O558" i="2"/>
  <c r="N558" i="2"/>
  <c r="M558" i="2"/>
  <c r="L558" i="2"/>
  <c r="E558" i="2"/>
  <c r="D558" i="2"/>
  <c r="W557" i="2"/>
  <c r="Q557" i="2"/>
  <c r="P557" i="2"/>
  <c r="O557" i="2"/>
  <c r="N557" i="2"/>
  <c r="M557" i="2"/>
  <c r="L557" i="2"/>
  <c r="E557" i="2"/>
  <c r="D557" i="2"/>
  <c r="W556" i="2"/>
  <c r="Q556" i="2"/>
  <c r="P556" i="2"/>
  <c r="O556" i="2"/>
  <c r="N556" i="2"/>
  <c r="M556" i="2"/>
  <c r="L556" i="2"/>
  <c r="E556" i="2"/>
  <c r="D556" i="2"/>
  <c r="W555" i="2"/>
  <c r="Q555" i="2"/>
  <c r="P555" i="2"/>
  <c r="O555" i="2"/>
  <c r="N555" i="2"/>
  <c r="M555" i="2"/>
  <c r="L555" i="2"/>
  <c r="E555" i="2"/>
  <c r="D555" i="2"/>
  <c r="W554" i="2"/>
  <c r="Q554" i="2"/>
  <c r="P554" i="2"/>
  <c r="O554" i="2"/>
  <c r="N554" i="2"/>
  <c r="M554" i="2"/>
  <c r="L554" i="2"/>
  <c r="E554" i="2"/>
  <c r="D554" i="2"/>
  <c r="W553" i="2"/>
  <c r="Q553" i="2"/>
  <c r="P553" i="2"/>
  <c r="O553" i="2"/>
  <c r="N553" i="2"/>
  <c r="M553" i="2"/>
  <c r="L553" i="2"/>
  <c r="E553" i="2"/>
  <c r="D553" i="2"/>
  <c r="W552" i="2"/>
  <c r="Q552" i="2"/>
  <c r="P552" i="2"/>
  <c r="O552" i="2"/>
  <c r="N552" i="2"/>
  <c r="M552" i="2"/>
  <c r="L552" i="2"/>
  <c r="E552" i="2"/>
  <c r="D552" i="2"/>
  <c r="W551" i="2"/>
  <c r="Q551" i="2"/>
  <c r="P551" i="2"/>
  <c r="O551" i="2"/>
  <c r="N551" i="2"/>
  <c r="M551" i="2"/>
  <c r="L551" i="2"/>
  <c r="E551" i="2"/>
  <c r="D551" i="2"/>
  <c r="W550" i="2"/>
  <c r="Q550" i="2"/>
  <c r="P550" i="2"/>
  <c r="O550" i="2"/>
  <c r="N550" i="2"/>
  <c r="M550" i="2"/>
  <c r="L550" i="2"/>
  <c r="E550" i="2"/>
  <c r="D550" i="2"/>
  <c r="W549" i="2"/>
  <c r="Q549" i="2"/>
  <c r="P549" i="2"/>
  <c r="O549" i="2"/>
  <c r="N549" i="2"/>
  <c r="M549" i="2"/>
  <c r="L549" i="2"/>
  <c r="E549" i="2"/>
  <c r="D549" i="2"/>
  <c r="W548" i="2"/>
  <c r="Q548" i="2"/>
  <c r="P548" i="2"/>
  <c r="O548" i="2"/>
  <c r="N548" i="2"/>
  <c r="M548" i="2"/>
  <c r="L548" i="2"/>
  <c r="E548" i="2"/>
  <c r="D548" i="2"/>
  <c r="W547" i="2"/>
  <c r="Q547" i="2"/>
  <c r="P547" i="2"/>
  <c r="O547" i="2"/>
  <c r="N547" i="2"/>
  <c r="M547" i="2"/>
  <c r="L547" i="2"/>
  <c r="E547" i="2"/>
  <c r="D547" i="2"/>
  <c r="W546" i="2"/>
  <c r="Q546" i="2"/>
  <c r="P546" i="2"/>
  <c r="O546" i="2"/>
  <c r="N546" i="2"/>
  <c r="M546" i="2"/>
  <c r="L546" i="2"/>
  <c r="E546" i="2"/>
  <c r="D546" i="2"/>
  <c r="W545" i="2"/>
  <c r="Q545" i="2"/>
  <c r="P545" i="2"/>
  <c r="O545" i="2"/>
  <c r="N545" i="2"/>
  <c r="M545" i="2"/>
  <c r="L545" i="2"/>
  <c r="E545" i="2"/>
  <c r="D545" i="2"/>
  <c r="W544" i="2"/>
  <c r="Q544" i="2"/>
  <c r="P544" i="2"/>
  <c r="O544" i="2"/>
  <c r="N544" i="2"/>
  <c r="M544" i="2"/>
  <c r="L544" i="2"/>
  <c r="E544" i="2"/>
  <c r="D544" i="2"/>
  <c r="W543" i="2"/>
  <c r="Q543" i="2"/>
  <c r="P543" i="2"/>
  <c r="O543" i="2"/>
  <c r="N543" i="2"/>
  <c r="M543" i="2"/>
  <c r="L543" i="2"/>
  <c r="E543" i="2"/>
  <c r="D543" i="2"/>
  <c r="W542" i="2"/>
  <c r="Q542" i="2"/>
  <c r="P542" i="2"/>
  <c r="O542" i="2"/>
  <c r="N542" i="2"/>
  <c r="M542" i="2"/>
  <c r="L542" i="2"/>
  <c r="E542" i="2"/>
  <c r="D542" i="2"/>
  <c r="W541" i="2"/>
  <c r="Q541" i="2"/>
  <c r="P541" i="2"/>
  <c r="O541" i="2"/>
  <c r="N541" i="2"/>
  <c r="M541" i="2"/>
  <c r="L541" i="2"/>
  <c r="E541" i="2"/>
  <c r="D541" i="2"/>
  <c r="W540" i="2"/>
  <c r="Q540" i="2"/>
  <c r="P540" i="2"/>
  <c r="O540" i="2"/>
  <c r="N540" i="2"/>
  <c r="M540" i="2"/>
  <c r="L540" i="2"/>
  <c r="E540" i="2"/>
  <c r="D540" i="2"/>
  <c r="W539" i="2"/>
  <c r="Q539" i="2"/>
  <c r="P539" i="2"/>
  <c r="O539" i="2"/>
  <c r="N539" i="2"/>
  <c r="M539" i="2"/>
  <c r="L539" i="2"/>
  <c r="E539" i="2"/>
  <c r="D539" i="2"/>
  <c r="W538" i="2"/>
  <c r="Q538" i="2"/>
  <c r="P538" i="2"/>
  <c r="O538" i="2"/>
  <c r="N538" i="2"/>
  <c r="M538" i="2"/>
  <c r="L538" i="2"/>
  <c r="E538" i="2"/>
  <c r="D538" i="2"/>
  <c r="W537" i="2"/>
  <c r="Q537" i="2"/>
  <c r="P537" i="2"/>
  <c r="O537" i="2"/>
  <c r="N537" i="2"/>
  <c r="M537" i="2"/>
  <c r="L537" i="2"/>
  <c r="E537" i="2"/>
  <c r="D537" i="2"/>
  <c r="W536" i="2"/>
  <c r="Q536" i="2"/>
  <c r="P536" i="2"/>
  <c r="O536" i="2"/>
  <c r="N536" i="2"/>
  <c r="M536" i="2"/>
  <c r="L536" i="2"/>
  <c r="E536" i="2"/>
  <c r="D536" i="2"/>
  <c r="W535" i="2"/>
  <c r="Q535" i="2"/>
  <c r="P535" i="2"/>
  <c r="O535" i="2"/>
  <c r="N535" i="2"/>
  <c r="M535" i="2"/>
  <c r="L535" i="2"/>
  <c r="E535" i="2"/>
  <c r="D535" i="2"/>
  <c r="W534" i="2"/>
  <c r="Q534" i="2"/>
  <c r="P534" i="2"/>
  <c r="O534" i="2"/>
  <c r="N534" i="2"/>
  <c r="M534" i="2"/>
  <c r="L534" i="2"/>
  <c r="E534" i="2"/>
  <c r="D534" i="2"/>
  <c r="W533" i="2"/>
  <c r="Q533" i="2"/>
  <c r="P533" i="2"/>
  <c r="O533" i="2"/>
  <c r="N533" i="2"/>
  <c r="M533" i="2"/>
  <c r="L533" i="2"/>
  <c r="E533" i="2"/>
  <c r="D533" i="2"/>
  <c r="W532" i="2"/>
  <c r="Q532" i="2"/>
  <c r="P532" i="2"/>
  <c r="O532" i="2"/>
  <c r="N532" i="2"/>
  <c r="M532" i="2"/>
  <c r="L532" i="2"/>
  <c r="E532" i="2"/>
  <c r="D532" i="2"/>
  <c r="W531" i="2"/>
  <c r="Q531" i="2"/>
  <c r="P531" i="2"/>
  <c r="O531" i="2"/>
  <c r="N531" i="2"/>
  <c r="M531" i="2"/>
  <c r="L531" i="2"/>
  <c r="E531" i="2"/>
  <c r="D531" i="2"/>
  <c r="W530" i="2"/>
  <c r="Q530" i="2"/>
  <c r="P530" i="2"/>
  <c r="O530" i="2"/>
  <c r="N530" i="2"/>
  <c r="M530" i="2"/>
  <c r="L530" i="2"/>
  <c r="E530" i="2"/>
  <c r="D530" i="2"/>
  <c r="W529" i="2"/>
  <c r="Q529" i="2"/>
  <c r="P529" i="2"/>
  <c r="O529" i="2"/>
  <c r="N529" i="2"/>
  <c r="M529" i="2"/>
  <c r="L529" i="2"/>
  <c r="E529" i="2"/>
  <c r="D529" i="2"/>
  <c r="W528" i="2"/>
  <c r="Q528" i="2"/>
  <c r="P528" i="2"/>
  <c r="O528" i="2"/>
  <c r="N528" i="2"/>
  <c r="M528" i="2"/>
  <c r="L528" i="2"/>
  <c r="E528" i="2"/>
  <c r="D528" i="2"/>
  <c r="W527" i="2"/>
  <c r="Q527" i="2"/>
  <c r="P527" i="2"/>
  <c r="O527" i="2"/>
  <c r="N527" i="2"/>
  <c r="M527" i="2"/>
  <c r="L527" i="2"/>
  <c r="E527" i="2"/>
  <c r="D527" i="2"/>
  <c r="W526" i="2"/>
  <c r="Q526" i="2"/>
  <c r="P526" i="2"/>
  <c r="O526" i="2"/>
  <c r="N526" i="2"/>
  <c r="M526" i="2"/>
  <c r="L526" i="2"/>
  <c r="E526" i="2"/>
  <c r="D526" i="2"/>
  <c r="W525" i="2"/>
  <c r="Q525" i="2"/>
  <c r="P525" i="2"/>
  <c r="O525" i="2"/>
  <c r="N525" i="2"/>
  <c r="M525" i="2"/>
  <c r="L525" i="2"/>
  <c r="E525" i="2"/>
  <c r="D525" i="2"/>
  <c r="W524" i="2"/>
  <c r="Q524" i="2"/>
  <c r="P524" i="2"/>
  <c r="O524" i="2"/>
  <c r="N524" i="2"/>
  <c r="M524" i="2"/>
  <c r="L524" i="2"/>
  <c r="E524" i="2"/>
  <c r="D524" i="2"/>
  <c r="W523" i="2"/>
  <c r="Q523" i="2"/>
  <c r="P523" i="2"/>
  <c r="O523" i="2"/>
  <c r="N523" i="2"/>
  <c r="M523" i="2"/>
  <c r="L523" i="2"/>
  <c r="E523" i="2"/>
  <c r="D523" i="2"/>
  <c r="W522" i="2"/>
  <c r="Q522" i="2"/>
  <c r="P522" i="2"/>
  <c r="O522" i="2"/>
  <c r="N522" i="2"/>
  <c r="M522" i="2"/>
  <c r="L522" i="2"/>
  <c r="E522" i="2"/>
  <c r="D522" i="2"/>
  <c r="W521" i="2"/>
  <c r="Q521" i="2"/>
  <c r="P521" i="2"/>
  <c r="O521" i="2"/>
  <c r="N521" i="2"/>
  <c r="M521" i="2"/>
  <c r="L521" i="2"/>
  <c r="E521" i="2"/>
  <c r="D521" i="2"/>
  <c r="W520" i="2"/>
  <c r="Q520" i="2"/>
  <c r="P520" i="2"/>
  <c r="O520" i="2"/>
  <c r="N520" i="2"/>
  <c r="M520" i="2"/>
  <c r="L520" i="2"/>
  <c r="E520" i="2"/>
  <c r="D520" i="2"/>
  <c r="W519" i="2"/>
  <c r="Q519" i="2"/>
  <c r="P519" i="2"/>
  <c r="O519" i="2"/>
  <c r="N519" i="2"/>
  <c r="M519" i="2"/>
  <c r="L519" i="2"/>
  <c r="E519" i="2"/>
  <c r="D519" i="2"/>
  <c r="W518" i="2"/>
  <c r="Q518" i="2"/>
  <c r="P518" i="2"/>
  <c r="O518" i="2"/>
  <c r="N518" i="2"/>
  <c r="M518" i="2"/>
  <c r="L518" i="2"/>
  <c r="E518" i="2"/>
  <c r="D518" i="2"/>
  <c r="W517" i="2"/>
  <c r="Q517" i="2"/>
  <c r="P517" i="2"/>
  <c r="O517" i="2"/>
  <c r="N517" i="2"/>
  <c r="M517" i="2"/>
  <c r="L517" i="2"/>
  <c r="E517" i="2"/>
  <c r="D517" i="2"/>
  <c r="W516" i="2"/>
  <c r="Q516" i="2"/>
  <c r="P516" i="2"/>
  <c r="O516" i="2"/>
  <c r="N516" i="2"/>
  <c r="M516" i="2"/>
  <c r="L516" i="2"/>
  <c r="E516" i="2"/>
  <c r="D516" i="2"/>
  <c r="W515" i="2"/>
  <c r="Q515" i="2"/>
  <c r="P515" i="2"/>
  <c r="O515" i="2"/>
  <c r="N515" i="2"/>
  <c r="M515" i="2"/>
  <c r="L515" i="2"/>
  <c r="E515" i="2"/>
  <c r="D515" i="2"/>
  <c r="W514" i="2"/>
  <c r="Q514" i="2"/>
  <c r="P514" i="2"/>
  <c r="O514" i="2"/>
  <c r="N514" i="2"/>
  <c r="M514" i="2"/>
  <c r="L514" i="2"/>
  <c r="E514" i="2"/>
  <c r="D514" i="2"/>
  <c r="W513" i="2"/>
  <c r="Q513" i="2"/>
  <c r="P513" i="2"/>
  <c r="O513" i="2"/>
  <c r="N513" i="2"/>
  <c r="M513" i="2"/>
  <c r="L513" i="2"/>
  <c r="E513" i="2"/>
  <c r="D513" i="2"/>
  <c r="W512" i="2"/>
  <c r="Q512" i="2"/>
  <c r="P512" i="2"/>
  <c r="O512" i="2"/>
  <c r="N512" i="2"/>
  <c r="M512" i="2"/>
  <c r="L512" i="2"/>
  <c r="E512" i="2"/>
  <c r="D512" i="2"/>
  <c r="W511" i="2"/>
  <c r="Q511" i="2"/>
  <c r="P511" i="2"/>
  <c r="O511" i="2"/>
  <c r="N511" i="2"/>
  <c r="M511" i="2"/>
  <c r="L511" i="2"/>
  <c r="E511" i="2"/>
  <c r="D511" i="2"/>
  <c r="W510" i="2"/>
  <c r="Q510" i="2"/>
  <c r="P510" i="2"/>
  <c r="O510" i="2"/>
  <c r="N510" i="2"/>
  <c r="M510" i="2"/>
  <c r="L510" i="2"/>
  <c r="E510" i="2"/>
  <c r="D510" i="2"/>
  <c r="W509" i="2"/>
  <c r="Q509" i="2"/>
  <c r="P509" i="2"/>
  <c r="O509" i="2"/>
  <c r="N509" i="2"/>
  <c r="M509" i="2"/>
  <c r="L509" i="2"/>
  <c r="E509" i="2"/>
  <c r="D509" i="2"/>
  <c r="W508" i="2"/>
  <c r="Q508" i="2"/>
  <c r="P508" i="2"/>
  <c r="O508" i="2"/>
  <c r="N508" i="2"/>
  <c r="M508" i="2"/>
  <c r="L508" i="2"/>
  <c r="E508" i="2"/>
  <c r="D508" i="2"/>
  <c r="W507" i="2"/>
  <c r="Q507" i="2"/>
  <c r="P507" i="2"/>
  <c r="O507" i="2"/>
  <c r="N507" i="2"/>
  <c r="M507" i="2"/>
  <c r="L507" i="2"/>
  <c r="E507" i="2"/>
  <c r="D507" i="2"/>
  <c r="W506" i="2"/>
  <c r="Q506" i="2"/>
  <c r="P506" i="2"/>
  <c r="O506" i="2"/>
  <c r="N506" i="2"/>
  <c r="M506" i="2"/>
  <c r="L506" i="2"/>
  <c r="E506" i="2"/>
  <c r="D506" i="2"/>
  <c r="W505" i="2"/>
  <c r="Q505" i="2"/>
  <c r="P505" i="2"/>
  <c r="O505" i="2"/>
  <c r="N505" i="2"/>
  <c r="M505" i="2"/>
  <c r="L505" i="2"/>
  <c r="E505" i="2"/>
  <c r="D505" i="2"/>
  <c r="W504" i="2"/>
  <c r="Q504" i="2"/>
  <c r="P504" i="2"/>
  <c r="O504" i="2"/>
  <c r="N504" i="2"/>
  <c r="M504" i="2"/>
  <c r="L504" i="2"/>
  <c r="E504" i="2"/>
  <c r="D504" i="2"/>
  <c r="W503" i="2"/>
  <c r="Q503" i="2"/>
  <c r="P503" i="2"/>
  <c r="O503" i="2"/>
  <c r="N503" i="2"/>
  <c r="M503" i="2"/>
  <c r="L503" i="2"/>
  <c r="E503" i="2"/>
  <c r="D503" i="2"/>
  <c r="W502" i="2"/>
  <c r="Q502" i="2"/>
  <c r="P502" i="2"/>
  <c r="O502" i="2"/>
  <c r="N502" i="2"/>
  <c r="M502" i="2"/>
  <c r="L502" i="2"/>
  <c r="E502" i="2"/>
  <c r="D502" i="2"/>
  <c r="W501" i="2"/>
  <c r="Q501" i="2"/>
  <c r="P501" i="2"/>
  <c r="O501" i="2"/>
  <c r="N501" i="2"/>
  <c r="M501" i="2"/>
  <c r="L501" i="2"/>
  <c r="E501" i="2"/>
  <c r="D501" i="2"/>
  <c r="W500" i="2"/>
  <c r="Q500" i="2"/>
  <c r="P500" i="2"/>
  <c r="O500" i="2"/>
  <c r="N500" i="2"/>
  <c r="M500" i="2"/>
  <c r="L500" i="2"/>
  <c r="E500" i="2"/>
  <c r="D500" i="2"/>
  <c r="W499" i="2"/>
  <c r="Q499" i="2"/>
  <c r="P499" i="2"/>
  <c r="O499" i="2"/>
  <c r="N499" i="2"/>
  <c r="M499" i="2"/>
  <c r="L499" i="2"/>
  <c r="E499" i="2"/>
  <c r="D499" i="2"/>
  <c r="W498" i="2"/>
  <c r="Q498" i="2"/>
  <c r="P498" i="2"/>
  <c r="O498" i="2"/>
  <c r="N498" i="2"/>
  <c r="M498" i="2"/>
  <c r="L498" i="2"/>
  <c r="E498" i="2"/>
  <c r="D498" i="2"/>
  <c r="W497" i="2"/>
  <c r="Q497" i="2"/>
  <c r="P497" i="2"/>
  <c r="O497" i="2"/>
  <c r="N497" i="2"/>
  <c r="M497" i="2"/>
  <c r="L497" i="2"/>
  <c r="E497" i="2"/>
  <c r="D497" i="2"/>
  <c r="W496" i="2"/>
  <c r="Q496" i="2"/>
  <c r="P496" i="2"/>
  <c r="O496" i="2"/>
  <c r="N496" i="2"/>
  <c r="M496" i="2"/>
  <c r="L496" i="2"/>
  <c r="E496" i="2"/>
  <c r="D496" i="2"/>
  <c r="W495" i="2"/>
  <c r="Q495" i="2"/>
  <c r="P495" i="2"/>
  <c r="O495" i="2"/>
  <c r="N495" i="2"/>
  <c r="M495" i="2"/>
  <c r="L495" i="2"/>
  <c r="E495" i="2"/>
  <c r="D495" i="2"/>
  <c r="W494" i="2"/>
  <c r="Q494" i="2"/>
  <c r="P494" i="2"/>
  <c r="O494" i="2"/>
  <c r="N494" i="2"/>
  <c r="M494" i="2"/>
  <c r="L494" i="2"/>
  <c r="E494" i="2"/>
  <c r="D494" i="2"/>
  <c r="W493" i="2"/>
  <c r="Q493" i="2"/>
  <c r="P493" i="2"/>
  <c r="O493" i="2"/>
  <c r="N493" i="2"/>
  <c r="M493" i="2"/>
  <c r="L493" i="2"/>
  <c r="E493" i="2"/>
  <c r="D493" i="2"/>
  <c r="W492" i="2"/>
  <c r="Q492" i="2"/>
  <c r="P492" i="2"/>
  <c r="O492" i="2"/>
  <c r="N492" i="2"/>
  <c r="M492" i="2"/>
  <c r="L492" i="2"/>
  <c r="E492" i="2"/>
  <c r="D492" i="2"/>
  <c r="W491" i="2"/>
  <c r="Q491" i="2"/>
  <c r="P491" i="2"/>
  <c r="O491" i="2"/>
  <c r="N491" i="2"/>
  <c r="M491" i="2"/>
  <c r="L491" i="2"/>
  <c r="E491" i="2"/>
  <c r="D491" i="2"/>
  <c r="W490" i="2"/>
  <c r="Q490" i="2"/>
  <c r="P490" i="2"/>
  <c r="O490" i="2"/>
  <c r="N490" i="2"/>
  <c r="M490" i="2"/>
  <c r="L490" i="2"/>
  <c r="E490" i="2"/>
  <c r="D490" i="2"/>
  <c r="W489" i="2"/>
  <c r="Q489" i="2"/>
  <c r="P489" i="2"/>
  <c r="O489" i="2"/>
  <c r="N489" i="2"/>
  <c r="M489" i="2"/>
  <c r="L489" i="2"/>
  <c r="E489" i="2"/>
  <c r="D489" i="2"/>
  <c r="W488" i="2"/>
  <c r="Q488" i="2"/>
  <c r="P488" i="2"/>
  <c r="O488" i="2"/>
  <c r="N488" i="2"/>
  <c r="M488" i="2"/>
  <c r="L488" i="2"/>
  <c r="E488" i="2"/>
  <c r="D488" i="2"/>
  <c r="W487" i="2"/>
  <c r="Q487" i="2"/>
  <c r="P487" i="2"/>
  <c r="O487" i="2"/>
  <c r="N487" i="2"/>
  <c r="M487" i="2"/>
  <c r="L487" i="2"/>
  <c r="E487" i="2"/>
  <c r="D487" i="2"/>
  <c r="W486" i="2"/>
  <c r="Q486" i="2"/>
  <c r="P486" i="2"/>
  <c r="O486" i="2"/>
  <c r="N486" i="2"/>
  <c r="M486" i="2"/>
  <c r="L486" i="2"/>
  <c r="E486" i="2"/>
  <c r="D486" i="2"/>
  <c r="W485" i="2"/>
  <c r="Q485" i="2"/>
  <c r="P485" i="2"/>
  <c r="O485" i="2"/>
  <c r="N485" i="2"/>
  <c r="M485" i="2"/>
  <c r="L485" i="2"/>
  <c r="E485" i="2"/>
  <c r="D485" i="2"/>
  <c r="W484" i="2"/>
  <c r="Q484" i="2"/>
  <c r="P484" i="2"/>
  <c r="O484" i="2"/>
  <c r="N484" i="2"/>
  <c r="M484" i="2"/>
  <c r="L484" i="2"/>
  <c r="E484" i="2"/>
  <c r="D484" i="2"/>
  <c r="W483" i="2"/>
  <c r="Q483" i="2"/>
  <c r="P483" i="2"/>
  <c r="O483" i="2"/>
  <c r="N483" i="2"/>
  <c r="M483" i="2"/>
  <c r="L483" i="2"/>
  <c r="E483" i="2"/>
  <c r="D483" i="2"/>
  <c r="W482" i="2"/>
  <c r="Q482" i="2"/>
  <c r="P482" i="2"/>
  <c r="O482" i="2"/>
  <c r="N482" i="2"/>
  <c r="M482" i="2"/>
  <c r="L482" i="2"/>
  <c r="E482" i="2"/>
  <c r="D482" i="2"/>
  <c r="W481" i="2"/>
  <c r="Q481" i="2"/>
  <c r="P481" i="2"/>
  <c r="O481" i="2"/>
  <c r="N481" i="2"/>
  <c r="M481" i="2"/>
  <c r="L481" i="2"/>
  <c r="E481" i="2"/>
  <c r="D481" i="2"/>
  <c r="W480" i="2"/>
  <c r="Q480" i="2"/>
  <c r="P480" i="2"/>
  <c r="O480" i="2"/>
  <c r="N480" i="2"/>
  <c r="M480" i="2"/>
  <c r="L480" i="2"/>
  <c r="E480" i="2"/>
  <c r="D480" i="2"/>
  <c r="W479" i="2"/>
  <c r="Q479" i="2"/>
  <c r="P479" i="2"/>
  <c r="O479" i="2"/>
  <c r="N479" i="2"/>
  <c r="M479" i="2"/>
  <c r="L479" i="2"/>
  <c r="E479" i="2"/>
  <c r="D479" i="2"/>
  <c r="W478" i="2"/>
  <c r="Q478" i="2"/>
  <c r="P478" i="2"/>
  <c r="O478" i="2"/>
  <c r="N478" i="2"/>
  <c r="M478" i="2"/>
  <c r="L478" i="2"/>
  <c r="E478" i="2"/>
  <c r="D478" i="2"/>
  <c r="W477" i="2"/>
  <c r="Q477" i="2"/>
  <c r="P477" i="2"/>
  <c r="O477" i="2"/>
  <c r="N477" i="2"/>
  <c r="M477" i="2"/>
  <c r="L477" i="2"/>
  <c r="E477" i="2"/>
  <c r="D477" i="2"/>
  <c r="W476" i="2"/>
  <c r="Q476" i="2"/>
  <c r="P476" i="2"/>
  <c r="O476" i="2"/>
  <c r="N476" i="2"/>
  <c r="M476" i="2"/>
  <c r="L476" i="2"/>
  <c r="E476" i="2"/>
  <c r="D476" i="2"/>
  <c r="W475" i="2"/>
  <c r="Q475" i="2"/>
  <c r="P475" i="2"/>
  <c r="O475" i="2"/>
  <c r="N475" i="2"/>
  <c r="M475" i="2"/>
  <c r="L475" i="2"/>
  <c r="E475" i="2"/>
  <c r="D475" i="2" s="1"/>
  <c r="W474" i="2"/>
  <c r="Q474" i="2"/>
  <c r="P474" i="2"/>
  <c r="O474" i="2"/>
  <c r="N474" i="2"/>
  <c r="M474" i="2"/>
  <c r="L474" i="2"/>
  <c r="E474" i="2"/>
  <c r="D474" i="2"/>
  <c r="W473" i="2"/>
  <c r="Q473" i="2"/>
  <c r="P473" i="2"/>
  <c r="O473" i="2"/>
  <c r="N473" i="2"/>
  <c r="M473" i="2"/>
  <c r="L473" i="2"/>
  <c r="E473" i="2"/>
  <c r="D473" i="2"/>
  <c r="W472" i="2"/>
  <c r="Q472" i="2"/>
  <c r="P472" i="2"/>
  <c r="O472" i="2"/>
  <c r="N472" i="2"/>
  <c r="M472" i="2"/>
  <c r="L472" i="2"/>
  <c r="E472" i="2"/>
  <c r="D472" i="2" s="1"/>
  <c r="W471" i="2"/>
  <c r="Q471" i="2"/>
  <c r="P471" i="2"/>
  <c r="O471" i="2"/>
  <c r="N471" i="2"/>
  <c r="M471" i="2"/>
  <c r="L471" i="2"/>
  <c r="E471" i="2"/>
  <c r="D471" i="2" s="1"/>
  <c r="W470" i="2"/>
  <c r="Q470" i="2"/>
  <c r="P470" i="2"/>
  <c r="O470" i="2"/>
  <c r="N470" i="2"/>
  <c r="M470" i="2"/>
  <c r="L470" i="2"/>
  <c r="E470" i="2"/>
  <c r="D470" i="2"/>
  <c r="W469" i="2"/>
  <c r="Q469" i="2"/>
  <c r="P469" i="2"/>
  <c r="O469" i="2"/>
  <c r="N469" i="2"/>
  <c r="M469" i="2"/>
  <c r="L469" i="2"/>
  <c r="E469" i="2"/>
  <c r="D469" i="2" s="1"/>
  <c r="W468" i="2"/>
  <c r="Q468" i="2"/>
  <c r="P468" i="2"/>
  <c r="O468" i="2"/>
  <c r="N468" i="2"/>
  <c r="M468" i="2"/>
  <c r="L468" i="2"/>
  <c r="E468" i="2"/>
  <c r="D468" i="2"/>
  <c r="W467" i="2"/>
  <c r="Q467" i="2"/>
  <c r="P467" i="2"/>
  <c r="O467" i="2"/>
  <c r="N467" i="2"/>
  <c r="M467" i="2"/>
  <c r="L467" i="2"/>
  <c r="E467" i="2"/>
  <c r="D467" i="2" s="1"/>
  <c r="W466" i="2"/>
  <c r="Q466" i="2"/>
  <c r="P466" i="2"/>
  <c r="O466" i="2"/>
  <c r="N466" i="2"/>
  <c r="M466" i="2"/>
  <c r="L466" i="2"/>
  <c r="E466" i="2"/>
  <c r="D466" i="2"/>
  <c r="W465" i="2"/>
  <c r="Q465" i="2"/>
  <c r="P465" i="2"/>
  <c r="O465" i="2"/>
  <c r="N465" i="2"/>
  <c r="M465" i="2"/>
  <c r="L465" i="2"/>
  <c r="E465" i="2"/>
  <c r="D465" i="2"/>
  <c r="W464" i="2"/>
  <c r="Q464" i="2"/>
  <c r="P464" i="2"/>
  <c r="O464" i="2"/>
  <c r="N464" i="2"/>
  <c r="M464" i="2"/>
  <c r="L464" i="2"/>
  <c r="E464" i="2"/>
  <c r="D464" i="2" s="1"/>
  <c r="W463" i="2"/>
  <c r="Q463" i="2"/>
  <c r="P463" i="2"/>
  <c r="O463" i="2"/>
  <c r="N463" i="2"/>
  <c r="M463" i="2"/>
  <c r="L463" i="2"/>
  <c r="E463" i="2"/>
  <c r="D463" i="2"/>
  <c r="W462" i="2"/>
  <c r="Q462" i="2"/>
  <c r="P462" i="2"/>
  <c r="O462" i="2"/>
  <c r="N462" i="2"/>
  <c r="M462" i="2"/>
  <c r="L462" i="2"/>
  <c r="E462" i="2"/>
  <c r="D462" i="2"/>
  <c r="W461" i="2"/>
  <c r="Q461" i="2"/>
  <c r="P461" i="2"/>
  <c r="O461" i="2"/>
  <c r="N461" i="2"/>
  <c r="M461" i="2"/>
  <c r="L461" i="2"/>
  <c r="E461" i="2"/>
  <c r="D461" i="2" s="1"/>
  <c r="W460" i="2"/>
  <c r="Q460" i="2"/>
  <c r="P460" i="2"/>
  <c r="O460" i="2"/>
  <c r="N460" i="2"/>
  <c r="M460" i="2"/>
  <c r="L460" i="2"/>
  <c r="E460" i="2"/>
  <c r="D460" i="2"/>
  <c r="W459" i="2"/>
  <c r="Q459" i="2"/>
  <c r="P459" i="2"/>
  <c r="O459" i="2"/>
  <c r="N459" i="2"/>
  <c r="M459" i="2"/>
  <c r="L459" i="2"/>
  <c r="E459" i="2"/>
  <c r="D459" i="2"/>
  <c r="W458" i="2"/>
  <c r="Q458" i="2"/>
  <c r="P458" i="2"/>
  <c r="O458" i="2"/>
  <c r="N458" i="2"/>
  <c r="M458" i="2"/>
  <c r="L458" i="2"/>
  <c r="E458" i="2"/>
  <c r="D458" i="2"/>
  <c r="W457" i="2"/>
  <c r="Q457" i="2"/>
  <c r="P457" i="2"/>
  <c r="O457" i="2"/>
  <c r="N457" i="2"/>
  <c r="M457" i="2"/>
  <c r="L457" i="2"/>
  <c r="E457" i="2"/>
  <c r="D457" i="2" s="1"/>
  <c r="W456" i="2"/>
  <c r="Q456" i="2"/>
  <c r="P456" i="2"/>
  <c r="O456" i="2"/>
  <c r="N456" i="2"/>
  <c r="M456" i="2"/>
  <c r="L456" i="2"/>
  <c r="E456" i="2"/>
  <c r="D456" i="2" s="1"/>
  <c r="W455" i="2"/>
  <c r="Q455" i="2"/>
  <c r="P455" i="2"/>
  <c r="O455" i="2"/>
  <c r="N455" i="2"/>
  <c r="M455" i="2"/>
  <c r="L455" i="2"/>
  <c r="E455" i="2"/>
  <c r="D455" i="2"/>
  <c r="W454" i="2"/>
  <c r="Q454" i="2"/>
  <c r="P454" i="2"/>
  <c r="O454" i="2"/>
  <c r="N454" i="2"/>
  <c r="M454" i="2"/>
  <c r="L454" i="2"/>
  <c r="E454" i="2"/>
  <c r="D454" i="2"/>
  <c r="W453" i="2"/>
  <c r="Q453" i="2"/>
  <c r="P453" i="2"/>
  <c r="O453" i="2"/>
  <c r="N453" i="2"/>
  <c r="M453" i="2"/>
  <c r="L453" i="2"/>
  <c r="E453" i="2"/>
  <c r="D453" i="2"/>
  <c r="W452" i="2"/>
  <c r="Q452" i="2"/>
  <c r="P452" i="2"/>
  <c r="O452" i="2"/>
  <c r="N452" i="2"/>
  <c r="M452" i="2"/>
  <c r="L452" i="2"/>
  <c r="E452" i="2"/>
  <c r="D452" i="2"/>
  <c r="W451" i="2"/>
  <c r="Q451" i="2"/>
  <c r="P451" i="2"/>
  <c r="O451" i="2"/>
  <c r="N451" i="2"/>
  <c r="M451" i="2"/>
  <c r="L451" i="2"/>
  <c r="E451" i="2"/>
  <c r="D451" i="2"/>
  <c r="W450" i="2"/>
  <c r="Q450" i="2"/>
  <c r="P450" i="2"/>
  <c r="O450" i="2"/>
  <c r="N450" i="2"/>
  <c r="M450" i="2"/>
  <c r="L450" i="2"/>
  <c r="E450" i="2"/>
  <c r="D450" i="2"/>
  <c r="W449" i="2"/>
  <c r="Q449" i="2"/>
  <c r="P449" i="2"/>
  <c r="O449" i="2"/>
  <c r="N449" i="2"/>
  <c r="M449" i="2"/>
  <c r="L449" i="2"/>
  <c r="E449" i="2"/>
  <c r="D449" i="2"/>
  <c r="W448" i="2"/>
  <c r="Q448" i="2"/>
  <c r="P448" i="2"/>
  <c r="O448" i="2"/>
  <c r="N448" i="2"/>
  <c r="M448" i="2"/>
  <c r="L448" i="2"/>
  <c r="E448" i="2"/>
  <c r="D448" i="2"/>
  <c r="W447" i="2"/>
  <c r="Q447" i="2"/>
  <c r="P447" i="2"/>
  <c r="O447" i="2"/>
  <c r="N447" i="2"/>
  <c r="M447" i="2"/>
  <c r="L447" i="2"/>
  <c r="E447" i="2"/>
  <c r="D447" i="2"/>
  <c r="W446" i="2"/>
  <c r="Q446" i="2"/>
  <c r="P446" i="2"/>
  <c r="O446" i="2"/>
  <c r="N446" i="2"/>
  <c r="M446" i="2"/>
  <c r="L446" i="2"/>
  <c r="E446" i="2"/>
  <c r="D446" i="2"/>
  <c r="W445" i="2"/>
  <c r="Q445" i="2"/>
  <c r="P445" i="2"/>
  <c r="O445" i="2"/>
  <c r="N445" i="2"/>
  <c r="M445" i="2"/>
  <c r="L445" i="2"/>
  <c r="E445" i="2"/>
  <c r="D445" i="2"/>
  <c r="W444" i="2"/>
  <c r="Q444" i="2"/>
  <c r="P444" i="2"/>
  <c r="O444" i="2"/>
  <c r="N444" i="2"/>
  <c r="M444" i="2"/>
  <c r="L444" i="2"/>
  <c r="E444" i="2"/>
  <c r="D444" i="2"/>
  <c r="W443" i="2"/>
  <c r="Q443" i="2"/>
  <c r="P443" i="2"/>
  <c r="O443" i="2"/>
  <c r="N443" i="2"/>
  <c r="M443" i="2"/>
  <c r="L443" i="2"/>
  <c r="E443" i="2"/>
  <c r="D443" i="2"/>
  <c r="W442" i="2"/>
  <c r="Q442" i="2"/>
  <c r="P442" i="2"/>
  <c r="O442" i="2"/>
  <c r="N442" i="2"/>
  <c r="M442" i="2"/>
  <c r="L442" i="2"/>
  <c r="E442" i="2"/>
  <c r="D442" i="2"/>
  <c r="W441" i="2"/>
  <c r="Q441" i="2"/>
  <c r="P441" i="2"/>
  <c r="O441" i="2"/>
  <c r="N441" i="2"/>
  <c r="M441" i="2"/>
  <c r="L441" i="2"/>
  <c r="E441" i="2"/>
  <c r="D441" i="2"/>
  <c r="W440" i="2"/>
  <c r="Q440" i="2"/>
  <c r="P440" i="2"/>
  <c r="O440" i="2"/>
  <c r="N440" i="2"/>
  <c r="M440" i="2"/>
  <c r="L440" i="2"/>
  <c r="E440" i="2"/>
  <c r="D440" i="2"/>
  <c r="W439" i="2"/>
  <c r="Q439" i="2"/>
  <c r="P439" i="2"/>
  <c r="O439" i="2"/>
  <c r="N439" i="2"/>
  <c r="M439" i="2"/>
  <c r="L439" i="2"/>
  <c r="E439" i="2"/>
  <c r="D439" i="2"/>
  <c r="W438" i="2"/>
  <c r="Q438" i="2"/>
  <c r="P438" i="2"/>
  <c r="O438" i="2"/>
  <c r="N438" i="2"/>
  <c r="M438" i="2"/>
  <c r="L438" i="2"/>
  <c r="E438" i="2"/>
  <c r="D438" i="2"/>
  <c r="W437" i="2"/>
  <c r="Q437" i="2"/>
  <c r="P437" i="2"/>
  <c r="O437" i="2"/>
  <c r="N437" i="2"/>
  <c r="M437" i="2"/>
  <c r="L437" i="2"/>
  <c r="E437" i="2"/>
  <c r="D437" i="2"/>
  <c r="W436" i="2"/>
  <c r="Q436" i="2"/>
  <c r="P436" i="2"/>
  <c r="O436" i="2"/>
  <c r="N436" i="2"/>
  <c r="M436" i="2"/>
  <c r="L436" i="2"/>
  <c r="E436" i="2"/>
  <c r="D436" i="2"/>
  <c r="W435" i="2"/>
  <c r="Q435" i="2"/>
  <c r="P435" i="2"/>
  <c r="O435" i="2"/>
  <c r="N435" i="2"/>
  <c r="M435" i="2"/>
  <c r="L435" i="2"/>
  <c r="E435" i="2"/>
  <c r="D435" i="2"/>
  <c r="W434" i="2"/>
  <c r="Q434" i="2"/>
  <c r="P434" i="2"/>
  <c r="O434" i="2"/>
  <c r="N434" i="2"/>
  <c r="M434" i="2"/>
  <c r="L434" i="2"/>
  <c r="E434" i="2"/>
  <c r="D434" i="2"/>
  <c r="W433" i="2"/>
  <c r="Q433" i="2"/>
  <c r="P433" i="2"/>
  <c r="O433" i="2"/>
  <c r="N433" i="2"/>
  <c r="M433" i="2"/>
  <c r="L433" i="2"/>
  <c r="E433" i="2"/>
  <c r="D433" i="2"/>
  <c r="W432" i="2"/>
  <c r="Q432" i="2"/>
  <c r="P432" i="2"/>
  <c r="O432" i="2"/>
  <c r="N432" i="2"/>
  <c r="M432" i="2"/>
  <c r="L432" i="2"/>
  <c r="E432" i="2"/>
  <c r="D432" i="2"/>
  <c r="W431" i="2"/>
  <c r="Q431" i="2"/>
  <c r="P431" i="2"/>
  <c r="O431" i="2"/>
  <c r="N431" i="2"/>
  <c r="M431" i="2"/>
  <c r="L431" i="2"/>
  <c r="E431" i="2"/>
  <c r="D431" i="2"/>
  <c r="W430" i="2"/>
  <c r="Q430" i="2"/>
  <c r="P430" i="2"/>
  <c r="O430" i="2"/>
  <c r="N430" i="2"/>
  <c r="M430" i="2"/>
  <c r="L430" i="2"/>
  <c r="E430" i="2"/>
  <c r="D430" i="2"/>
  <c r="W429" i="2"/>
  <c r="Q429" i="2"/>
  <c r="P429" i="2"/>
  <c r="O429" i="2"/>
  <c r="N429" i="2"/>
  <c r="M429" i="2"/>
  <c r="L429" i="2"/>
  <c r="E429" i="2"/>
  <c r="D429" i="2"/>
  <c r="W428" i="2"/>
  <c r="Q428" i="2"/>
  <c r="P428" i="2"/>
  <c r="O428" i="2"/>
  <c r="N428" i="2"/>
  <c r="M428" i="2"/>
  <c r="L428" i="2"/>
  <c r="E428" i="2"/>
  <c r="D428" i="2"/>
  <c r="W427" i="2"/>
  <c r="Q427" i="2"/>
  <c r="P427" i="2"/>
  <c r="O427" i="2"/>
  <c r="N427" i="2"/>
  <c r="M427" i="2"/>
  <c r="L427" i="2"/>
  <c r="E427" i="2"/>
  <c r="D427" i="2"/>
  <c r="W426" i="2"/>
  <c r="Q426" i="2"/>
  <c r="P426" i="2"/>
  <c r="O426" i="2"/>
  <c r="N426" i="2"/>
  <c r="M426" i="2"/>
  <c r="L426" i="2"/>
  <c r="E426" i="2"/>
  <c r="D426" i="2"/>
  <c r="W425" i="2"/>
  <c r="Q425" i="2"/>
  <c r="P425" i="2"/>
  <c r="O425" i="2"/>
  <c r="N425" i="2"/>
  <c r="M425" i="2"/>
  <c r="L425" i="2"/>
  <c r="E425" i="2"/>
  <c r="D425" i="2"/>
  <c r="W424" i="2"/>
  <c r="Q424" i="2"/>
  <c r="P424" i="2"/>
  <c r="O424" i="2"/>
  <c r="N424" i="2"/>
  <c r="M424" i="2"/>
  <c r="L424" i="2"/>
  <c r="E424" i="2"/>
  <c r="D424" i="2"/>
  <c r="W423" i="2"/>
  <c r="Q423" i="2"/>
  <c r="P423" i="2"/>
  <c r="O423" i="2"/>
  <c r="N423" i="2"/>
  <c r="M423" i="2"/>
  <c r="L423" i="2"/>
  <c r="E423" i="2"/>
  <c r="D423" i="2"/>
  <c r="W422" i="2"/>
  <c r="Q422" i="2"/>
  <c r="P422" i="2"/>
  <c r="O422" i="2"/>
  <c r="N422" i="2"/>
  <c r="M422" i="2"/>
  <c r="L422" i="2"/>
  <c r="E422" i="2"/>
  <c r="D422" i="2"/>
  <c r="W421" i="2"/>
  <c r="Q421" i="2"/>
  <c r="P421" i="2"/>
  <c r="O421" i="2"/>
  <c r="N421" i="2"/>
  <c r="M421" i="2"/>
  <c r="L421" i="2"/>
  <c r="E421" i="2"/>
  <c r="D421" i="2"/>
  <c r="W420" i="2"/>
  <c r="Q420" i="2"/>
  <c r="P420" i="2"/>
  <c r="O420" i="2"/>
  <c r="N420" i="2"/>
  <c r="M420" i="2"/>
  <c r="L420" i="2"/>
  <c r="E420" i="2"/>
  <c r="D420" i="2"/>
  <c r="W419" i="2"/>
  <c r="Q419" i="2"/>
  <c r="P419" i="2"/>
  <c r="O419" i="2"/>
  <c r="N419" i="2"/>
  <c r="M419" i="2"/>
  <c r="L419" i="2"/>
  <c r="E419" i="2"/>
  <c r="D419" i="2"/>
  <c r="W418" i="2"/>
  <c r="Q418" i="2"/>
  <c r="P418" i="2"/>
  <c r="O418" i="2"/>
  <c r="N418" i="2"/>
  <c r="M418" i="2"/>
  <c r="L418" i="2"/>
  <c r="E418" i="2"/>
  <c r="D418" i="2"/>
  <c r="W417" i="2"/>
  <c r="Q417" i="2"/>
  <c r="P417" i="2"/>
  <c r="O417" i="2"/>
  <c r="N417" i="2"/>
  <c r="M417" i="2"/>
  <c r="L417" i="2"/>
  <c r="E417" i="2"/>
  <c r="D417" i="2"/>
  <c r="W416" i="2"/>
  <c r="Q416" i="2"/>
  <c r="P416" i="2"/>
  <c r="O416" i="2"/>
  <c r="N416" i="2"/>
  <c r="M416" i="2"/>
  <c r="L416" i="2"/>
  <c r="E416" i="2"/>
  <c r="D416" i="2"/>
  <c r="W415" i="2"/>
  <c r="Q415" i="2"/>
  <c r="P415" i="2"/>
  <c r="O415" i="2"/>
  <c r="N415" i="2"/>
  <c r="M415" i="2"/>
  <c r="L415" i="2"/>
  <c r="E415" i="2"/>
  <c r="D415" i="2"/>
  <c r="W414" i="2"/>
  <c r="Q414" i="2"/>
  <c r="P414" i="2"/>
  <c r="O414" i="2"/>
  <c r="N414" i="2"/>
  <c r="M414" i="2"/>
  <c r="L414" i="2"/>
  <c r="E414" i="2"/>
  <c r="D414" i="2"/>
  <c r="W413" i="2"/>
  <c r="Q413" i="2"/>
  <c r="P413" i="2"/>
  <c r="O413" i="2"/>
  <c r="N413" i="2"/>
  <c r="M413" i="2"/>
  <c r="L413" i="2"/>
  <c r="E413" i="2"/>
  <c r="D413" i="2"/>
  <c r="W412" i="2"/>
  <c r="Q412" i="2"/>
  <c r="P412" i="2"/>
  <c r="O412" i="2"/>
  <c r="N412" i="2"/>
  <c r="M412" i="2"/>
  <c r="L412" i="2"/>
  <c r="E412" i="2"/>
  <c r="D412" i="2"/>
  <c r="W411" i="2"/>
  <c r="Q411" i="2"/>
  <c r="P411" i="2"/>
  <c r="O411" i="2"/>
  <c r="N411" i="2"/>
  <c r="M411" i="2"/>
  <c r="L411" i="2"/>
  <c r="E411" i="2"/>
  <c r="D411" i="2"/>
  <c r="W410" i="2"/>
  <c r="Q410" i="2"/>
  <c r="P410" i="2"/>
  <c r="O410" i="2"/>
  <c r="N410" i="2"/>
  <c r="M410" i="2"/>
  <c r="L410" i="2"/>
  <c r="E410" i="2"/>
  <c r="D410" i="2"/>
  <c r="W409" i="2"/>
  <c r="Q409" i="2"/>
  <c r="P409" i="2"/>
  <c r="O409" i="2"/>
  <c r="N409" i="2"/>
  <c r="M409" i="2"/>
  <c r="L409" i="2"/>
  <c r="E409" i="2"/>
  <c r="D409" i="2"/>
  <c r="W408" i="2"/>
  <c r="Q408" i="2"/>
  <c r="P408" i="2"/>
  <c r="O408" i="2"/>
  <c r="N408" i="2"/>
  <c r="M408" i="2"/>
  <c r="L408" i="2"/>
  <c r="E408" i="2"/>
  <c r="D408" i="2"/>
  <c r="W407" i="2"/>
  <c r="Q407" i="2"/>
  <c r="P407" i="2"/>
  <c r="O407" i="2"/>
  <c r="N407" i="2"/>
  <c r="M407" i="2"/>
  <c r="L407" i="2"/>
  <c r="E407" i="2"/>
  <c r="D407" i="2"/>
  <c r="W406" i="2"/>
  <c r="Q406" i="2"/>
  <c r="P406" i="2"/>
  <c r="O406" i="2"/>
  <c r="N406" i="2"/>
  <c r="M406" i="2"/>
  <c r="L406" i="2"/>
  <c r="E406" i="2"/>
  <c r="D406" i="2"/>
  <c r="W405" i="2"/>
  <c r="Q405" i="2"/>
  <c r="P405" i="2"/>
  <c r="O405" i="2"/>
  <c r="N405" i="2"/>
  <c r="M405" i="2"/>
  <c r="L405" i="2"/>
  <c r="E405" i="2"/>
  <c r="D405" i="2"/>
  <c r="W404" i="2"/>
  <c r="Q404" i="2"/>
  <c r="P404" i="2"/>
  <c r="O404" i="2"/>
  <c r="N404" i="2"/>
  <c r="M404" i="2"/>
  <c r="L404" i="2"/>
  <c r="E404" i="2"/>
  <c r="D404" i="2"/>
  <c r="W403" i="2"/>
  <c r="Q403" i="2"/>
  <c r="P403" i="2"/>
  <c r="O403" i="2"/>
  <c r="N403" i="2"/>
  <c r="M403" i="2"/>
  <c r="L403" i="2"/>
  <c r="E403" i="2"/>
  <c r="D403" i="2"/>
  <c r="W402" i="2"/>
  <c r="Q402" i="2"/>
  <c r="P402" i="2"/>
  <c r="O402" i="2"/>
  <c r="N402" i="2"/>
  <c r="M402" i="2"/>
  <c r="L402" i="2"/>
  <c r="E402" i="2"/>
  <c r="D402" i="2"/>
  <c r="W401" i="2"/>
  <c r="Q401" i="2"/>
  <c r="P401" i="2"/>
  <c r="O401" i="2"/>
  <c r="N401" i="2"/>
  <c r="M401" i="2"/>
  <c r="L401" i="2"/>
  <c r="E401" i="2"/>
  <c r="D401" i="2"/>
  <c r="W400" i="2"/>
  <c r="Q400" i="2"/>
  <c r="P400" i="2"/>
  <c r="O400" i="2"/>
  <c r="N400" i="2"/>
  <c r="M400" i="2"/>
  <c r="L400" i="2"/>
  <c r="E400" i="2"/>
  <c r="D400" i="2"/>
  <c r="W399" i="2"/>
  <c r="Q399" i="2"/>
  <c r="P399" i="2"/>
  <c r="O399" i="2"/>
  <c r="N399" i="2"/>
  <c r="M399" i="2"/>
  <c r="L399" i="2"/>
  <c r="E399" i="2"/>
  <c r="D399" i="2"/>
  <c r="W398" i="2"/>
  <c r="Q398" i="2"/>
  <c r="P398" i="2"/>
  <c r="O398" i="2"/>
  <c r="N398" i="2"/>
  <c r="M398" i="2"/>
  <c r="L398" i="2"/>
  <c r="E398" i="2"/>
  <c r="D398" i="2"/>
  <c r="W397" i="2"/>
  <c r="Q397" i="2"/>
  <c r="P397" i="2"/>
  <c r="O397" i="2"/>
  <c r="N397" i="2"/>
  <c r="M397" i="2"/>
  <c r="L397" i="2"/>
  <c r="E397" i="2"/>
  <c r="D397" i="2"/>
  <c r="W396" i="2"/>
  <c r="Q396" i="2"/>
  <c r="P396" i="2"/>
  <c r="O396" i="2"/>
  <c r="N396" i="2"/>
  <c r="M396" i="2"/>
  <c r="L396" i="2"/>
  <c r="E396" i="2"/>
  <c r="D396" i="2"/>
  <c r="W395" i="2"/>
  <c r="Q395" i="2"/>
  <c r="P395" i="2"/>
  <c r="O395" i="2"/>
  <c r="N395" i="2"/>
  <c r="M395" i="2"/>
  <c r="L395" i="2"/>
  <c r="E395" i="2"/>
  <c r="D395" i="2"/>
  <c r="W394" i="2"/>
  <c r="Q394" i="2"/>
  <c r="P394" i="2"/>
  <c r="O394" i="2"/>
  <c r="N394" i="2"/>
  <c r="M394" i="2"/>
  <c r="L394" i="2"/>
  <c r="E394" i="2"/>
  <c r="D394" i="2"/>
  <c r="W393" i="2"/>
  <c r="Q393" i="2"/>
  <c r="P393" i="2"/>
  <c r="O393" i="2"/>
  <c r="N393" i="2"/>
  <c r="M393" i="2"/>
  <c r="L393" i="2"/>
  <c r="E393" i="2"/>
  <c r="D393" i="2"/>
  <c r="W392" i="2"/>
  <c r="Q392" i="2"/>
  <c r="P392" i="2"/>
  <c r="O392" i="2"/>
  <c r="N392" i="2"/>
  <c r="M392" i="2"/>
  <c r="L392" i="2"/>
  <c r="E392" i="2"/>
  <c r="D392" i="2"/>
  <c r="W391" i="2"/>
  <c r="Q391" i="2"/>
  <c r="P391" i="2"/>
  <c r="O391" i="2"/>
  <c r="N391" i="2"/>
  <c r="M391" i="2"/>
  <c r="L391" i="2"/>
  <c r="E391" i="2"/>
  <c r="D391" i="2"/>
  <c r="W390" i="2"/>
  <c r="Q390" i="2"/>
  <c r="P390" i="2"/>
  <c r="O390" i="2"/>
  <c r="N390" i="2"/>
  <c r="M390" i="2"/>
  <c r="L390" i="2"/>
  <c r="E390" i="2"/>
  <c r="D390" i="2"/>
  <c r="W389" i="2"/>
  <c r="Q389" i="2"/>
  <c r="P389" i="2"/>
  <c r="O389" i="2"/>
  <c r="N389" i="2"/>
  <c r="M389" i="2"/>
  <c r="L389" i="2"/>
  <c r="E389" i="2"/>
  <c r="D389" i="2"/>
  <c r="W388" i="2"/>
  <c r="Q388" i="2"/>
  <c r="P388" i="2"/>
  <c r="O388" i="2"/>
  <c r="N388" i="2"/>
  <c r="M388" i="2"/>
  <c r="L388" i="2"/>
  <c r="E388" i="2"/>
  <c r="D388" i="2"/>
  <c r="W387" i="2"/>
  <c r="Q387" i="2"/>
  <c r="P387" i="2"/>
  <c r="O387" i="2"/>
  <c r="N387" i="2"/>
  <c r="M387" i="2"/>
  <c r="L387" i="2"/>
  <c r="E387" i="2"/>
  <c r="D387" i="2"/>
  <c r="W386" i="2"/>
  <c r="Q386" i="2"/>
  <c r="P386" i="2"/>
  <c r="O386" i="2"/>
  <c r="N386" i="2"/>
  <c r="M386" i="2"/>
  <c r="L386" i="2"/>
  <c r="E386" i="2"/>
  <c r="D386" i="2"/>
  <c r="W385" i="2"/>
  <c r="Q385" i="2"/>
  <c r="P385" i="2"/>
  <c r="O385" i="2"/>
  <c r="N385" i="2"/>
  <c r="M385" i="2"/>
  <c r="L385" i="2"/>
  <c r="E385" i="2"/>
  <c r="D385" i="2"/>
  <c r="W384" i="2"/>
  <c r="Q384" i="2"/>
  <c r="P384" i="2"/>
  <c r="O384" i="2"/>
  <c r="N384" i="2"/>
  <c r="M384" i="2"/>
  <c r="L384" i="2"/>
  <c r="E384" i="2"/>
  <c r="D384" i="2"/>
  <c r="W383" i="2"/>
  <c r="Q383" i="2"/>
  <c r="P383" i="2"/>
  <c r="O383" i="2"/>
  <c r="N383" i="2"/>
  <c r="M383" i="2"/>
  <c r="L383" i="2"/>
  <c r="E383" i="2"/>
  <c r="D383" i="2"/>
  <c r="W382" i="2"/>
  <c r="Q382" i="2"/>
  <c r="P382" i="2"/>
  <c r="O382" i="2"/>
  <c r="N382" i="2"/>
  <c r="M382" i="2"/>
  <c r="L382" i="2"/>
  <c r="E382" i="2"/>
  <c r="D382" i="2"/>
  <c r="W381" i="2"/>
  <c r="Q381" i="2"/>
  <c r="P381" i="2"/>
  <c r="O381" i="2"/>
  <c r="N381" i="2"/>
  <c r="M381" i="2"/>
  <c r="L381" i="2"/>
  <c r="E381" i="2"/>
  <c r="D381" i="2"/>
  <c r="W380" i="2"/>
  <c r="Q380" i="2"/>
  <c r="P380" i="2"/>
  <c r="O380" i="2"/>
  <c r="N380" i="2"/>
  <c r="M380" i="2"/>
  <c r="L380" i="2"/>
  <c r="E380" i="2"/>
  <c r="D380" i="2"/>
  <c r="W379" i="2"/>
  <c r="Q379" i="2"/>
  <c r="P379" i="2"/>
  <c r="O379" i="2"/>
  <c r="N379" i="2"/>
  <c r="M379" i="2"/>
  <c r="L379" i="2"/>
  <c r="E379" i="2"/>
  <c r="D379" i="2"/>
  <c r="W378" i="2"/>
  <c r="Q378" i="2"/>
  <c r="P378" i="2"/>
  <c r="O378" i="2"/>
  <c r="N378" i="2"/>
  <c r="M378" i="2"/>
  <c r="L378" i="2"/>
  <c r="E378" i="2"/>
  <c r="D378" i="2"/>
  <c r="W377" i="2"/>
  <c r="Q377" i="2"/>
  <c r="P377" i="2"/>
  <c r="O377" i="2"/>
  <c r="N377" i="2"/>
  <c r="M377" i="2"/>
  <c r="L377" i="2"/>
  <c r="E377" i="2"/>
  <c r="D377" i="2"/>
  <c r="W376" i="2"/>
  <c r="Q376" i="2"/>
  <c r="P376" i="2"/>
  <c r="O376" i="2"/>
  <c r="N376" i="2"/>
  <c r="M376" i="2"/>
  <c r="L376" i="2"/>
  <c r="E376" i="2"/>
  <c r="D376" i="2"/>
  <c r="W375" i="2"/>
  <c r="Q375" i="2"/>
  <c r="P375" i="2"/>
  <c r="O375" i="2"/>
  <c r="N375" i="2"/>
  <c r="M375" i="2"/>
  <c r="L375" i="2"/>
  <c r="E375" i="2"/>
  <c r="D375" i="2"/>
  <c r="W374" i="2"/>
  <c r="Q374" i="2"/>
  <c r="P374" i="2"/>
  <c r="O374" i="2"/>
  <c r="N374" i="2"/>
  <c r="M374" i="2"/>
  <c r="L374" i="2"/>
  <c r="E374" i="2"/>
  <c r="D374" i="2"/>
  <c r="W373" i="2"/>
  <c r="Q373" i="2"/>
  <c r="P373" i="2"/>
  <c r="O373" i="2"/>
  <c r="N373" i="2"/>
  <c r="M373" i="2"/>
  <c r="L373" i="2"/>
  <c r="E373" i="2"/>
  <c r="D373" i="2"/>
  <c r="W372" i="2"/>
  <c r="Q372" i="2"/>
  <c r="P372" i="2"/>
  <c r="O372" i="2"/>
  <c r="N372" i="2"/>
  <c r="M372" i="2"/>
  <c r="L372" i="2"/>
  <c r="E372" i="2"/>
  <c r="D372" i="2"/>
  <c r="W371" i="2"/>
  <c r="Q371" i="2"/>
  <c r="P371" i="2"/>
  <c r="O371" i="2"/>
  <c r="N371" i="2"/>
  <c r="M371" i="2"/>
  <c r="L371" i="2"/>
  <c r="E371" i="2"/>
  <c r="D371" i="2"/>
  <c r="W370" i="2"/>
  <c r="Q370" i="2"/>
  <c r="P370" i="2"/>
  <c r="O370" i="2"/>
  <c r="N370" i="2"/>
  <c r="M370" i="2"/>
  <c r="L370" i="2"/>
  <c r="E370" i="2"/>
  <c r="D370" i="2"/>
  <c r="W369" i="2"/>
  <c r="Q369" i="2"/>
  <c r="P369" i="2"/>
  <c r="O369" i="2"/>
  <c r="N369" i="2"/>
  <c r="M369" i="2"/>
  <c r="L369" i="2"/>
  <c r="E369" i="2"/>
  <c r="D369" i="2"/>
  <c r="W368" i="2"/>
  <c r="Q368" i="2"/>
  <c r="P368" i="2"/>
  <c r="O368" i="2"/>
  <c r="N368" i="2"/>
  <c r="M368" i="2"/>
  <c r="L368" i="2"/>
  <c r="E368" i="2"/>
  <c r="D368" i="2"/>
  <c r="W367" i="2"/>
  <c r="Q367" i="2"/>
  <c r="P367" i="2"/>
  <c r="O367" i="2"/>
  <c r="N367" i="2"/>
  <c r="M367" i="2"/>
  <c r="L367" i="2"/>
  <c r="E367" i="2"/>
  <c r="D367" i="2"/>
  <c r="W366" i="2"/>
  <c r="Q366" i="2"/>
  <c r="P366" i="2"/>
  <c r="O366" i="2"/>
  <c r="N366" i="2"/>
  <c r="M366" i="2"/>
  <c r="L366" i="2"/>
  <c r="E366" i="2"/>
  <c r="D366" i="2"/>
  <c r="W365" i="2"/>
  <c r="Q365" i="2"/>
  <c r="P365" i="2"/>
  <c r="O365" i="2"/>
  <c r="N365" i="2"/>
  <c r="M365" i="2"/>
  <c r="L365" i="2"/>
  <c r="E365" i="2"/>
  <c r="D365" i="2"/>
  <c r="W364" i="2"/>
  <c r="Q364" i="2"/>
  <c r="P364" i="2"/>
  <c r="O364" i="2"/>
  <c r="N364" i="2"/>
  <c r="M364" i="2"/>
  <c r="L364" i="2"/>
  <c r="E364" i="2"/>
  <c r="D364" i="2"/>
  <c r="W363" i="2"/>
  <c r="Q363" i="2"/>
  <c r="P363" i="2"/>
  <c r="O363" i="2"/>
  <c r="N363" i="2"/>
  <c r="M363" i="2"/>
  <c r="L363" i="2"/>
  <c r="E363" i="2"/>
  <c r="D363" i="2"/>
  <c r="W362" i="2"/>
  <c r="Q362" i="2"/>
  <c r="P362" i="2"/>
  <c r="O362" i="2"/>
  <c r="N362" i="2"/>
  <c r="M362" i="2"/>
  <c r="L362" i="2"/>
  <c r="E362" i="2"/>
  <c r="D362" i="2"/>
  <c r="W361" i="2"/>
  <c r="Q361" i="2"/>
  <c r="P361" i="2"/>
  <c r="O361" i="2"/>
  <c r="N361" i="2"/>
  <c r="M361" i="2"/>
  <c r="L361" i="2"/>
  <c r="E361" i="2"/>
  <c r="D361" i="2"/>
  <c r="W360" i="2"/>
  <c r="Q360" i="2"/>
  <c r="P360" i="2"/>
  <c r="O360" i="2"/>
  <c r="N360" i="2"/>
  <c r="M360" i="2"/>
  <c r="L360" i="2"/>
  <c r="E360" i="2"/>
  <c r="D360" i="2"/>
  <c r="W359" i="2"/>
  <c r="Q359" i="2"/>
  <c r="P359" i="2"/>
  <c r="O359" i="2"/>
  <c r="N359" i="2"/>
  <c r="M359" i="2"/>
  <c r="L359" i="2"/>
  <c r="E359" i="2"/>
  <c r="D359" i="2"/>
  <c r="W358" i="2"/>
  <c r="Q358" i="2"/>
  <c r="P358" i="2"/>
  <c r="O358" i="2"/>
  <c r="N358" i="2"/>
  <c r="M358" i="2"/>
  <c r="L358" i="2"/>
  <c r="E358" i="2"/>
  <c r="D358" i="2"/>
  <c r="W357" i="2"/>
  <c r="Q357" i="2"/>
  <c r="P357" i="2"/>
  <c r="O357" i="2"/>
  <c r="N357" i="2"/>
  <c r="M357" i="2"/>
  <c r="L357" i="2"/>
  <c r="E357" i="2"/>
  <c r="D357" i="2"/>
  <c r="W356" i="2"/>
  <c r="Q356" i="2"/>
  <c r="P356" i="2"/>
  <c r="O356" i="2"/>
  <c r="N356" i="2"/>
  <c r="M356" i="2"/>
  <c r="L356" i="2"/>
  <c r="E356" i="2"/>
  <c r="D356" i="2"/>
  <c r="W355" i="2"/>
  <c r="Q355" i="2"/>
  <c r="P355" i="2"/>
  <c r="O355" i="2"/>
  <c r="N355" i="2"/>
  <c r="M355" i="2"/>
  <c r="L355" i="2"/>
  <c r="E355" i="2"/>
  <c r="D355" i="2"/>
  <c r="W354" i="2"/>
  <c r="Q354" i="2"/>
  <c r="P354" i="2"/>
  <c r="O354" i="2"/>
  <c r="N354" i="2"/>
  <c r="M354" i="2"/>
  <c r="L354" i="2"/>
  <c r="E354" i="2"/>
  <c r="D354" i="2"/>
  <c r="W353" i="2"/>
  <c r="Q353" i="2"/>
  <c r="P353" i="2"/>
  <c r="O353" i="2"/>
  <c r="N353" i="2"/>
  <c r="M353" i="2"/>
  <c r="L353" i="2"/>
  <c r="E353" i="2"/>
  <c r="D353" i="2"/>
  <c r="W352" i="2"/>
  <c r="Q352" i="2"/>
  <c r="P352" i="2"/>
  <c r="O352" i="2"/>
  <c r="N352" i="2"/>
  <c r="M352" i="2"/>
  <c r="L352" i="2"/>
  <c r="E352" i="2"/>
  <c r="D352" i="2"/>
  <c r="W351" i="2"/>
  <c r="Q351" i="2"/>
  <c r="P351" i="2"/>
  <c r="O351" i="2"/>
  <c r="N351" i="2"/>
  <c r="M351" i="2"/>
  <c r="L351" i="2"/>
  <c r="E351" i="2"/>
  <c r="D351" i="2"/>
  <c r="W350" i="2"/>
  <c r="Q350" i="2"/>
  <c r="P350" i="2"/>
  <c r="O350" i="2"/>
  <c r="N350" i="2"/>
  <c r="M350" i="2"/>
  <c r="L350" i="2"/>
  <c r="E350" i="2"/>
  <c r="D350" i="2"/>
  <c r="W349" i="2"/>
  <c r="Q349" i="2"/>
  <c r="P349" i="2"/>
  <c r="O349" i="2"/>
  <c r="N349" i="2"/>
  <c r="M349" i="2"/>
  <c r="L349" i="2"/>
  <c r="E349" i="2"/>
  <c r="D349" i="2"/>
  <c r="W348" i="2"/>
  <c r="Q348" i="2"/>
  <c r="P348" i="2"/>
  <c r="O348" i="2"/>
  <c r="N348" i="2"/>
  <c r="M348" i="2"/>
  <c r="L348" i="2"/>
  <c r="E348" i="2"/>
  <c r="D348" i="2"/>
  <c r="W347" i="2"/>
  <c r="Q347" i="2"/>
  <c r="P347" i="2"/>
  <c r="O347" i="2"/>
  <c r="N347" i="2"/>
  <c r="M347" i="2"/>
  <c r="L347" i="2"/>
  <c r="E347" i="2"/>
  <c r="D347" i="2"/>
  <c r="W346" i="2"/>
  <c r="Q346" i="2"/>
  <c r="P346" i="2"/>
  <c r="O346" i="2"/>
  <c r="N346" i="2"/>
  <c r="M346" i="2"/>
  <c r="L346" i="2"/>
  <c r="E346" i="2"/>
  <c r="D346" i="2"/>
  <c r="W345" i="2"/>
  <c r="Q345" i="2"/>
  <c r="P345" i="2"/>
  <c r="O345" i="2"/>
  <c r="N345" i="2"/>
  <c r="M345" i="2"/>
  <c r="L345" i="2"/>
  <c r="E345" i="2"/>
  <c r="D345" i="2"/>
  <c r="W344" i="2"/>
  <c r="Q344" i="2"/>
  <c r="P344" i="2"/>
  <c r="O344" i="2"/>
  <c r="N344" i="2"/>
  <c r="M344" i="2"/>
  <c r="L344" i="2"/>
  <c r="E344" i="2"/>
  <c r="D344" i="2"/>
  <c r="W343" i="2"/>
  <c r="Q343" i="2"/>
  <c r="P343" i="2"/>
  <c r="O343" i="2"/>
  <c r="N343" i="2"/>
  <c r="M343" i="2"/>
  <c r="L343" i="2"/>
  <c r="E343" i="2"/>
  <c r="D343" i="2"/>
  <c r="W342" i="2"/>
  <c r="Q342" i="2"/>
  <c r="P342" i="2"/>
  <c r="O342" i="2"/>
  <c r="N342" i="2"/>
  <c r="M342" i="2"/>
  <c r="L342" i="2"/>
  <c r="E342" i="2"/>
  <c r="D342" i="2"/>
  <c r="W341" i="2"/>
  <c r="Q341" i="2"/>
  <c r="P341" i="2"/>
  <c r="O341" i="2"/>
  <c r="N341" i="2"/>
  <c r="M341" i="2"/>
  <c r="L341" i="2"/>
  <c r="E341" i="2"/>
  <c r="D341" i="2"/>
  <c r="W340" i="2"/>
  <c r="Q340" i="2"/>
  <c r="P340" i="2"/>
  <c r="O340" i="2"/>
  <c r="N340" i="2"/>
  <c r="M340" i="2"/>
  <c r="L340" i="2"/>
  <c r="E340" i="2"/>
  <c r="D340" i="2"/>
  <c r="W339" i="2"/>
  <c r="Q339" i="2"/>
  <c r="P339" i="2"/>
  <c r="O339" i="2"/>
  <c r="N339" i="2"/>
  <c r="M339" i="2"/>
  <c r="L339" i="2"/>
  <c r="E339" i="2"/>
  <c r="D339" i="2"/>
  <c r="W338" i="2"/>
  <c r="Q338" i="2"/>
  <c r="P338" i="2"/>
  <c r="O338" i="2"/>
  <c r="N338" i="2"/>
  <c r="M338" i="2"/>
  <c r="L338" i="2"/>
  <c r="E338" i="2"/>
  <c r="D338" i="2"/>
  <c r="W337" i="2"/>
  <c r="Q337" i="2"/>
  <c r="P337" i="2"/>
  <c r="O337" i="2"/>
  <c r="N337" i="2"/>
  <c r="M337" i="2"/>
  <c r="L337" i="2"/>
  <c r="E337" i="2"/>
  <c r="D337" i="2"/>
  <c r="W336" i="2"/>
  <c r="Q336" i="2"/>
  <c r="P336" i="2"/>
  <c r="O336" i="2"/>
  <c r="N336" i="2"/>
  <c r="M336" i="2"/>
  <c r="L336" i="2"/>
  <c r="E336" i="2"/>
  <c r="D336" i="2"/>
  <c r="W335" i="2"/>
  <c r="Q335" i="2"/>
  <c r="P335" i="2"/>
  <c r="O335" i="2"/>
  <c r="N335" i="2"/>
  <c r="M335" i="2"/>
  <c r="L335" i="2"/>
  <c r="E335" i="2"/>
  <c r="D335" i="2"/>
  <c r="W334" i="2"/>
  <c r="Q334" i="2"/>
  <c r="P334" i="2"/>
  <c r="O334" i="2"/>
  <c r="N334" i="2"/>
  <c r="M334" i="2"/>
  <c r="L334" i="2"/>
  <c r="E334" i="2"/>
  <c r="D334" i="2"/>
  <c r="W333" i="2"/>
  <c r="Q333" i="2"/>
  <c r="P333" i="2"/>
  <c r="O333" i="2"/>
  <c r="N333" i="2"/>
  <c r="M333" i="2"/>
  <c r="L333" i="2"/>
  <c r="E333" i="2"/>
  <c r="D333" i="2"/>
  <c r="W332" i="2"/>
  <c r="Q332" i="2"/>
  <c r="P332" i="2"/>
  <c r="O332" i="2"/>
  <c r="N332" i="2"/>
  <c r="M332" i="2"/>
  <c r="L332" i="2"/>
  <c r="E332" i="2"/>
  <c r="D332" i="2"/>
  <c r="W331" i="2"/>
  <c r="Q331" i="2"/>
  <c r="P331" i="2"/>
  <c r="O331" i="2"/>
  <c r="N331" i="2"/>
  <c r="M331" i="2"/>
  <c r="L331" i="2"/>
  <c r="E331" i="2"/>
  <c r="D331" i="2"/>
  <c r="W330" i="2"/>
  <c r="Q330" i="2"/>
  <c r="P330" i="2"/>
  <c r="O330" i="2"/>
  <c r="N330" i="2"/>
  <c r="M330" i="2"/>
  <c r="L330" i="2"/>
  <c r="E330" i="2"/>
  <c r="D330" i="2"/>
  <c r="W329" i="2"/>
  <c r="Q329" i="2"/>
  <c r="P329" i="2"/>
  <c r="O329" i="2"/>
  <c r="N329" i="2"/>
  <c r="M329" i="2"/>
  <c r="L329" i="2"/>
  <c r="E329" i="2"/>
  <c r="D329" i="2"/>
  <c r="W328" i="2"/>
  <c r="Q328" i="2"/>
  <c r="P328" i="2"/>
  <c r="O328" i="2"/>
  <c r="N328" i="2"/>
  <c r="M328" i="2"/>
  <c r="L328" i="2"/>
  <c r="E328" i="2"/>
  <c r="D328" i="2"/>
  <c r="W327" i="2"/>
  <c r="Q327" i="2"/>
  <c r="P327" i="2"/>
  <c r="O327" i="2"/>
  <c r="N327" i="2"/>
  <c r="M327" i="2"/>
  <c r="L327" i="2"/>
  <c r="E327" i="2"/>
  <c r="D327" i="2"/>
  <c r="W326" i="2"/>
  <c r="Q326" i="2"/>
  <c r="P326" i="2"/>
  <c r="O326" i="2"/>
  <c r="N326" i="2"/>
  <c r="M326" i="2"/>
  <c r="L326" i="2"/>
  <c r="E326" i="2"/>
  <c r="D326" i="2"/>
  <c r="W325" i="2"/>
  <c r="Q325" i="2"/>
  <c r="P325" i="2"/>
  <c r="O325" i="2"/>
  <c r="N325" i="2"/>
  <c r="M325" i="2"/>
  <c r="L325" i="2"/>
  <c r="E325" i="2"/>
  <c r="D325" i="2"/>
  <c r="W324" i="2"/>
  <c r="Q324" i="2"/>
  <c r="P324" i="2"/>
  <c r="O324" i="2"/>
  <c r="N324" i="2"/>
  <c r="M324" i="2"/>
  <c r="L324" i="2"/>
  <c r="E324" i="2"/>
  <c r="D324" i="2"/>
  <c r="W323" i="2"/>
  <c r="Q323" i="2"/>
  <c r="P323" i="2"/>
  <c r="O323" i="2"/>
  <c r="N323" i="2"/>
  <c r="M323" i="2"/>
  <c r="L323" i="2"/>
  <c r="E323" i="2"/>
  <c r="D323" i="2"/>
  <c r="W322" i="2"/>
  <c r="Q322" i="2"/>
  <c r="P322" i="2"/>
  <c r="O322" i="2"/>
  <c r="N322" i="2"/>
  <c r="M322" i="2"/>
  <c r="L322" i="2"/>
  <c r="E322" i="2"/>
  <c r="D322" i="2"/>
  <c r="W321" i="2"/>
  <c r="Q321" i="2"/>
  <c r="P321" i="2"/>
  <c r="O321" i="2"/>
  <c r="N321" i="2"/>
  <c r="M321" i="2"/>
  <c r="L321" i="2"/>
  <c r="E321" i="2"/>
  <c r="D321" i="2"/>
  <c r="W320" i="2"/>
  <c r="Q320" i="2"/>
  <c r="P320" i="2"/>
  <c r="O320" i="2"/>
  <c r="N320" i="2"/>
  <c r="M320" i="2"/>
  <c r="L320" i="2"/>
  <c r="E320" i="2"/>
  <c r="D320" i="2"/>
  <c r="W319" i="2"/>
  <c r="Q319" i="2"/>
  <c r="P319" i="2"/>
  <c r="O319" i="2"/>
  <c r="N319" i="2"/>
  <c r="M319" i="2"/>
  <c r="L319" i="2"/>
  <c r="E319" i="2"/>
  <c r="D319" i="2"/>
  <c r="W318" i="2"/>
  <c r="Q318" i="2"/>
  <c r="P318" i="2"/>
  <c r="O318" i="2"/>
  <c r="N318" i="2"/>
  <c r="M318" i="2"/>
  <c r="L318" i="2"/>
  <c r="E318" i="2"/>
  <c r="D318" i="2"/>
  <c r="W317" i="2"/>
  <c r="Q317" i="2"/>
  <c r="P317" i="2"/>
  <c r="O317" i="2"/>
  <c r="N317" i="2"/>
  <c r="M317" i="2"/>
  <c r="L317" i="2"/>
  <c r="E317" i="2"/>
  <c r="D317" i="2"/>
  <c r="W316" i="2"/>
  <c r="Q316" i="2"/>
  <c r="P316" i="2"/>
  <c r="O316" i="2"/>
  <c r="N316" i="2"/>
  <c r="M316" i="2"/>
  <c r="L316" i="2"/>
  <c r="E316" i="2"/>
  <c r="D316" i="2"/>
  <c r="W315" i="2"/>
  <c r="Q315" i="2"/>
  <c r="P315" i="2"/>
  <c r="O315" i="2"/>
  <c r="N315" i="2"/>
  <c r="M315" i="2"/>
  <c r="L315" i="2"/>
  <c r="E315" i="2"/>
  <c r="D315" i="2"/>
  <c r="W314" i="2"/>
  <c r="Q314" i="2"/>
  <c r="P314" i="2"/>
  <c r="O314" i="2"/>
  <c r="N314" i="2"/>
  <c r="M314" i="2"/>
  <c r="L314" i="2"/>
  <c r="E314" i="2"/>
  <c r="D314" i="2"/>
  <c r="W313" i="2"/>
  <c r="Q313" i="2"/>
  <c r="P313" i="2"/>
  <c r="O313" i="2"/>
  <c r="N313" i="2"/>
  <c r="M313" i="2"/>
  <c r="L313" i="2"/>
  <c r="E313" i="2"/>
  <c r="D313" i="2"/>
  <c r="W312" i="2"/>
  <c r="Q312" i="2"/>
  <c r="P312" i="2"/>
  <c r="O312" i="2"/>
  <c r="N312" i="2"/>
  <c r="M312" i="2"/>
  <c r="L312" i="2"/>
  <c r="E312" i="2"/>
  <c r="D312" i="2"/>
  <c r="W311" i="2"/>
  <c r="Q311" i="2"/>
  <c r="P311" i="2"/>
  <c r="O311" i="2"/>
  <c r="N311" i="2"/>
  <c r="M311" i="2"/>
  <c r="L311" i="2"/>
  <c r="E311" i="2"/>
  <c r="D311" i="2"/>
  <c r="W310" i="2"/>
  <c r="Q310" i="2"/>
  <c r="P310" i="2"/>
  <c r="O310" i="2"/>
  <c r="N310" i="2"/>
  <c r="M310" i="2"/>
  <c r="L310" i="2"/>
  <c r="E310" i="2"/>
  <c r="D310" i="2"/>
  <c r="W309" i="2"/>
  <c r="Q309" i="2"/>
  <c r="P309" i="2"/>
  <c r="O309" i="2"/>
  <c r="N309" i="2"/>
  <c r="M309" i="2"/>
  <c r="L309" i="2"/>
  <c r="E309" i="2"/>
  <c r="D309" i="2"/>
  <c r="W308" i="2"/>
  <c r="Q308" i="2"/>
  <c r="P308" i="2"/>
  <c r="O308" i="2"/>
  <c r="N308" i="2"/>
  <c r="M308" i="2"/>
  <c r="L308" i="2"/>
  <c r="E308" i="2"/>
  <c r="D308" i="2"/>
  <c r="W307" i="2"/>
  <c r="Q307" i="2"/>
  <c r="P307" i="2"/>
  <c r="O307" i="2"/>
  <c r="N307" i="2"/>
  <c r="M307" i="2"/>
  <c r="L307" i="2"/>
  <c r="E307" i="2"/>
  <c r="D307" i="2"/>
  <c r="W306" i="2"/>
  <c r="Q306" i="2"/>
  <c r="P306" i="2"/>
  <c r="O306" i="2"/>
  <c r="N306" i="2"/>
  <c r="M306" i="2"/>
  <c r="L306" i="2"/>
  <c r="E306" i="2"/>
  <c r="D306" i="2"/>
  <c r="W305" i="2"/>
  <c r="Q305" i="2"/>
  <c r="P305" i="2"/>
  <c r="O305" i="2"/>
  <c r="N305" i="2"/>
  <c r="M305" i="2"/>
  <c r="L305" i="2"/>
  <c r="E305" i="2"/>
  <c r="D305" i="2"/>
  <c r="W304" i="2"/>
  <c r="Q304" i="2"/>
  <c r="P304" i="2"/>
  <c r="O304" i="2"/>
  <c r="N304" i="2"/>
  <c r="M304" i="2"/>
  <c r="L304" i="2"/>
  <c r="E304" i="2"/>
  <c r="D304" i="2"/>
  <c r="W303" i="2"/>
  <c r="Q303" i="2"/>
  <c r="P303" i="2"/>
  <c r="O303" i="2"/>
  <c r="N303" i="2"/>
  <c r="M303" i="2"/>
  <c r="L303" i="2"/>
  <c r="E303" i="2"/>
  <c r="D303" i="2"/>
  <c r="W302" i="2"/>
  <c r="Q302" i="2"/>
  <c r="P302" i="2"/>
  <c r="O302" i="2"/>
  <c r="N302" i="2"/>
  <c r="M302" i="2"/>
  <c r="L302" i="2"/>
  <c r="E302" i="2"/>
  <c r="D302" i="2"/>
  <c r="W301" i="2"/>
  <c r="Q301" i="2"/>
  <c r="P301" i="2"/>
  <c r="O301" i="2"/>
  <c r="N301" i="2"/>
  <c r="M301" i="2"/>
  <c r="L301" i="2"/>
  <c r="E301" i="2"/>
  <c r="D301" i="2"/>
  <c r="W300" i="2"/>
  <c r="Q300" i="2"/>
  <c r="P300" i="2"/>
  <c r="O300" i="2"/>
  <c r="N300" i="2"/>
  <c r="M300" i="2"/>
  <c r="L300" i="2"/>
  <c r="E300" i="2"/>
  <c r="D300" i="2"/>
  <c r="W299" i="2"/>
  <c r="Q299" i="2"/>
  <c r="P299" i="2"/>
  <c r="O299" i="2"/>
  <c r="N299" i="2"/>
  <c r="M299" i="2"/>
  <c r="L299" i="2"/>
  <c r="E299" i="2"/>
  <c r="D299" i="2"/>
  <c r="W298" i="2"/>
  <c r="Q298" i="2"/>
  <c r="P298" i="2"/>
  <c r="O298" i="2"/>
  <c r="N298" i="2"/>
  <c r="M298" i="2"/>
  <c r="L298" i="2"/>
  <c r="E298" i="2"/>
  <c r="D298" i="2"/>
  <c r="W297" i="2"/>
  <c r="Q297" i="2"/>
  <c r="P297" i="2"/>
  <c r="O297" i="2"/>
  <c r="N297" i="2"/>
  <c r="M297" i="2"/>
  <c r="L297" i="2"/>
  <c r="E297" i="2"/>
  <c r="D297" i="2"/>
  <c r="W296" i="2"/>
  <c r="Q296" i="2"/>
  <c r="P296" i="2"/>
  <c r="O296" i="2"/>
  <c r="N296" i="2"/>
  <c r="M296" i="2"/>
  <c r="L296" i="2"/>
  <c r="E296" i="2"/>
  <c r="D296" i="2"/>
  <c r="W295" i="2"/>
  <c r="Q295" i="2"/>
  <c r="P295" i="2"/>
  <c r="O295" i="2"/>
  <c r="N295" i="2"/>
  <c r="M295" i="2"/>
  <c r="L295" i="2"/>
  <c r="E295" i="2"/>
  <c r="D295" i="2"/>
  <c r="W294" i="2"/>
  <c r="Q294" i="2"/>
  <c r="P294" i="2"/>
  <c r="O294" i="2"/>
  <c r="N294" i="2"/>
  <c r="M294" i="2"/>
  <c r="L294" i="2"/>
  <c r="E294" i="2"/>
  <c r="D294" i="2"/>
  <c r="W293" i="2"/>
  <c r="Q293" i="2"/>
  <c r="P293" i="2"/>
  <c r="O293" i="2"/>
  <c r="N293" i="2"/>
  <c r="M293" i="2"/>
  <c r="L293" i="2"/>
  <c r="E293" i="2"/>
  <c r="D293" i="2"/>
  <c r="W292" i="2"/>
  <c r="Q292" i="2"/>
  <c r="P292" i="2"/>
  <c r="O292" i="2"/>
  <c r="N292" i="2"/>
  <c r="M292" i="2"/>
  <c r="L292" i="2"/>
  <c r="E292" i="2"/>
  <c r="D292" i="2"/>
  <c r="W291" i="2"/>
  <c r="Q291" i="2"/>
  <c r="P291" i="2"/>
  <c r="O291" i="2"/>
  <c r="N291" i="2"/>
  <c r="M291" i="2"/>
  <c r="L291" i="2"/>
  <c r="E291" i="2"/>
  <c r="D291" i="2"/>
  <c r="W290" i="2"/>
  <c r="Q290" i="2"/>
  <c r="P290" i="2"/>
  <c r="O290" i="2"/>
  <c r="N290" i="2"/>
  <c r="M290" i="2"/>
  <c r="L290" i="2"/>
  <c r="E290" i="2"/>
  <c r="D290" i="2"/>
  <c r="W289" i="2"/>
  <c r="Q289" i="2"/>
  <c r="P289" i="2"/>
  <c r="O289" i="2"/>
  <c r="N289" i="2"/>
  <c r="M289" i="2"/>
  <c r="L289" i="2"/>
  <c r="E289" i="2"/>
  <c r="D289" i="2"/>
  <c r="W288" i="2"/>
  <c r="Q288" i="2"/>
  <c r="P288" i="2"/>
  <c r="O288" i="2"/>
  <c r="N288" i="2"/>
  <c r="M288" i="2"/>
  <c r="L288" i="2"/>
  <c r="E288" i="2"/>
  <c r="D288" i="2"/>
  <c r="W287" i="2"/>
  <c r="Q287" i="2"/>
  <c r="P287" i="2"/>
  <c r="O287" i="2"/>
  <c r="N287" i="2"/>
  <c r="M287" i="2"/>
  <c r="L287" i="2"/>
  <c r="E287" i="2"/>
  <c r="D287" i="2"/>
  <c r="W286" i="2"/>
  <c r="Q286" i="2"/>
  <c r="P286" i="2"/>
  <c r="O286" i="2"/>
  <c r="N286" i="2"/>
  <c r="M286" i="2"/>
  <c r="L286" i="2"/>
  <c r="E286" i="2"/>
  <c r="D286" i="2"/>
  <c r="W285" i="2"/>
  <c r="Q285" i="2"/>
  <c r="P285" i="2"/>
  <c r="O285" i="2"/>
  <c r="N285" i="2"/>
  <c r="M285" i="2"/>
  <c r="L285" i="2"/>
  <c r="E285" i="2"/>
  <c r="D285" i="2"/>
  <c r="W284" i="2"/>
  <c r="Q284" i="2"/>
  <c r="P284" i="2"/>
  <c r="O284" i="2"/>
  <c r="N284" i="2"/>
  <c r="M284" i="2"/>
  <c r="L284" i="2"/>
  <c r="E284" i="2"/>
  <c r="D284" i="2"/>
  <c r="W283" i="2"/>
  <c r="Q283" i="2"/>
  <c r="P283" i="2"/>
  <c r="O283" i="2"/>
  <c r="N283" i="2"/>
  <c r="M283" i="2"/>
  <c r="L283" i="2"/>
  <c r="E283" i="2"/>
  <c r="D283" i="2"/>
  <c r="W282" i="2"/>
  <c r="Q282" i="2"/>
  <c r="P282" i="2"/>
  <c r="O282" i="2"/>
  <c r="N282" i="2"/>
  <c r="M282" i="2"/>
  <c r="L282" i="2"/>
  <c r="E282" i="2"/>
  <c r="D282" i="2"/>
  <c r="W281" i="2"/>
  <c r="Q281" i="2"/>
  <c r="P281" i="2"/>
  <c r="O281" i="2"/>
  <c r="N281" i="2"/>
  <c r="M281" i="2"/>
  <c r="L281" i="2"/>
  <c r="E281" i="2"/>
  <c r="D281" i="2"/>
  <c r="W280" i="2"/>
  <c r="Q280" i="2"/>
  <c r="P280" i="2"/>
  <c r="O280" i="2"/>
  <c r="N280" i="2"/>
  <c r="M280" i="2"/>
  <c r="L280" i="2"/>
  <c r="E280" i="2"/>
  <c r="D280" i="2"/>
  <c r="W279" i="2"/>
  <c r="Q279" i="2"/>
  <c r="P279" i="2"/>
  <c r="O279" i="2"/>
  <c r="N279" i="2"/>
  <c r="M279" i="2"/>
  <c r="L279" i="2"/>
  <c r="E279" i="2"/>
  <c r="D279" i="2"/>
  <c r="W278" i="2"/>
  <c r="Q278" i="2"/>
  <c r="P278" i="2"/>
  <c r="O278" i="2"/>
  <c r="N278" i="2"/>
  <c r="M278" i="2"/>
  <c r="L278" i="2"/>
  <c r="E278" i="2"/>
  <c r="D278" i="2"/>
  <c r="W277" i="2"/>
  <c r="Q277" i="2"/>
  <c r="P277" i="2"/>
  <c r="O277" i="2"/>
  <c r="N277" i="2"/>
  <c r="M277" i="2"/>
  <c r="L277" i="2"/>
  <c r="E277" i="2"/>
  <c r="D277" i="2"/>
  <c r="W276" i="2"/>
  <c r="Q276" i="2"/>
  <c r="P276" i="2"/>
  <c r="O276" i="2"/>
  <c r="N276" i="2"/>
  <c r="M276" i="2"/>
  <c r="L276" i="2"/>
  <c r="E276" i="2"/>
  <c r="D276" i="2"/>
  <c r="W275" i="2"/>
  <c r="Q275" i="2"/>
  <c r="P275" i="2"/>
  <c r="O275" i="2"/>
  <c r="N275" i="2"/>
  <c r="M275" i="2"/>
  <c r="L275" i="2"/>
  <c r="E275" i="2"/>
  <c r="D275" i="2"/>
  <c r="W274" i="2"/>
  <c r="Q274" i="2"/>
  <c r="P274" i="2"/>
  <c r="O274" i="2"/>
  <c r="N274" i="2"/>
  <c r="M274" i="2"/>
  <c r="L274" i="2"/>
  <c r="E274" i="2"/>
  <c r="D274" i="2"/>
  <c r="W273" i="2"/>
  <c r="Q273" i="2"/>
  <c r="P273" i="2"/>
  <c r="O273" i="2"/>
  <c r="N273" i="2"/>
  <c r="M273" i="2"/>
  <c r="L273" i="2"/>
  <c r="E273" i="2"/>
  <c r="D273" i="2"/>
  <c r="W272" i="2"/>
  <c r="Q272" i="2"/>
  <c r="P272" i="2"/>
  <c r="O272" i="2"/>
  <c r="N272" i="2"/>
  <c r="M272" i="2"/>
  <c r="L272" i="2"/>
  <c r="E272" i="2"/>
  <c r="D272" i="2"/>
  <c r="W271" i="2"/>
  <c r="Q271" i="2"/>
  <c r="P271" i="2"/>
  <c r="O271" i="2"/>
  <c r="N271" i="2"/>
  <c r="M271" i="2"/>
  <c r="L271" i="2"/>
  <c r="E271" i="2"/>
  <c r="D271" i="2"/>
  <c r="W270" i="2"/>
  <c r="Q270" i="2"/>
  <c r="P270" i="2"/>
  <c r="O270" i="2"/>
  <c r="N270" i="2"/>
  <c r="M270" i="2"/>
  <c r="L270" i="2"/>
  <c r="E270" i="2"/>
  <c r="D270" i="2"/>
  <c r="W269" i="2"/>
  <c r="Q269" i="2"/>
  <c r="P269" i="2"/>
  <c r="O269" i="2"/>
  <c r="N269" i="2"/>
  <c r="M269" i="2"/>
  <c r="L269" i="2"/>
  <c r="E269" i="2"/>
  <c r="D269" i="2"/>
  <c r="W268" i="2"/>
  <c r="Q268" i="2"/>
  <c r="P268" i="2"/>
  <c r="O268" i="2"/>
  <c r="N268" i="2"/>
  <c r="M268" i="2"/>
  <c r="L268" i="2"/>
  <c r="E268" i="2"/>
  <c r="D268" i="2"/>
  <c r="W267" i="2"/>
  <c r="Q267" i="2"/>
  <c r="P267" i="2"/>
  <c r="O267" i="2"/>
  <c r="N267" i="2"/>
  <c r="M267" i="2"/>
  <c r="L267" i="2"/>
  <c r="E267" i="2"/>
  <c r="D267" i="2"/>
  <c r="W266" i="2"/>
  <c r="Q266" i="2"/>
  <c r="P266" i="2"/>
  <c r="O266" i="2"/>
  <c r="N266" i="2"/>
  <c r="M266" i="2"/>
  <c r="L266" i="2"/>
  <c r="E266" i="2"/>
  <c r="D266" i="2"/>
  <c r="W265" i="2"/>
  <c r="Q265" i="2"/>
  <c r="P265" i="2"/>
  <c r="O265" i="2"/>
  <c r="N265" i="2"/>
  <c r="M265" i="2"/>
  <c r="L265" i="2"/>
  <c r="E265" i="2"/>
  <c r="D265" i="2"/>
  <c r="W264" i="2"/>
  <c r="Q264" i="2"/>
  <c r="P264" i="2"/>
  <c r="O264" i="2"/>
  <c r="N264" i="2"/>
  <c r="M264" i="2"/>
  <c r="L264" i="2"/>
  <c r="E264" i="2"/>
  <c r="D264" i="2"/>
  <c r="W263" i="2"/>
  <c r="Q263" i="2"/>
  <c r="P263" i="2"/>
  <c r="O263" i="2"/>
  <c r="N263" i="2"/>
  <c r="M263" i="2"/>
  <c r="L263" i="2"/>
  <c r="E263" i="2"/>
  <c r="D263" i="2"/>
  <c r="W262" i="2"/>
  <c r="Q262" i="2"/>
  <c r="P262" i="2"/>
  <c r="O262" i="2"/>
  <c r="N262" i="2"/>
  <c r="M262" i="2"/>
  <c r="L262" i="2"/>
  <c r="E262" i="2"/>
  <c r="D262" i="2"/>
  <c r="W261" i="2"/>
  <c r="Q261" i="2"/>
  <c r="P261" i="2"/>
  <c r="O261" i="2"/>
  <c r="N261" i="2"/>
  <c r="M261" i="2"/>
  <c r="L261" i="2"/>
  <c r="E261" i="2"/>
  <c r="D261" i="2"/>
  <c r="W260" i="2"/>
  <c r="Q260" i="2"/>
  <c r="P260" i="2"/>
  <c r="O260" i="2"/>
  <c r="N260" i="2"/>
  <c r="M260" i="2"/>
  <c r="L260" i="2"/>
  <c r="E260" i="2"/>
  <c r="D260" i="2"/>
  <c r="W259" i="2"/>
  <c r="Q259" i="2"/>
  <c r="P259" i="2"/>
  <c r="O259" i="2"/>
  <c r="N259" i="2"/>
  <c r="M259" i="2"/>
  <c r="L259" i="2"/>
  <c r="E259" i="2"/>
  <c r="D259" i="2"/>
  <c r="W258" i="2"/>
  <c r="Q258" i="2"/>
  <c r="P258" i="2"/>
  <c r="O258" i="2"/>
  <c r="N258" i="2"/>
  <c r="M258" i="2"/>
  <c r="L258" i="2"/>
  <c r="E258" i="2"/>
  <c r="D258" i="2"/>
  <c r="W257" i="2"/>
  <c r="Q257" i="2"/>
  <c r="P257" i="2"/>
  <c r="O257" i="2"/>
  <c r="N257" i="2"/>
  <c r="M257" i="2"/>
  <c r="L257" i="2"/>
  <c r="E257" i="2"/>
  <c r="D257" i="2"/>
  <c r="W256" i="2"/>
  <c r="Q256" i="2"/>
  <c r="P256" i="2"/>
  <c r="O256" i="2"/>
  <c r="N256" i="2"/>
  <c r="M256" i="2"/>
  <c r="L256" i="2"/>
  <c r="E256" i="2"/>
  <c r="D256" i="2"/>
  <c r="W255" i="2"/>
  <c r="Q255" i="2"/>
  <c r="P255" i="2"/>
  <c r="O255" i="2"/>
  <c r="N255" i="2"/>
  <c r="M255" i="2"/>
  <c r="L255" i="2"/>
  <c r="E255" i="2"/>
  <c r="D255" i="2"/>
  <c r="W254" i="2"/>
  <c r="Q254" i="2"/>
  <c r="P254" i="2"/>
  <c r="O254" i="2"/>
  <c r="N254" i="2"/>
  <c r="M254" i="2"/>
  <c r="L254" i="2"/>
  <c r="E254" i="2"/>
  <c r="D254" i="2"/>
  <c r="W253" i="2"/>
  <c r="Q253" i="2"/>
  <c r="P253" i="2"/>
  <c r="O253" i="2"/>
  <c r="N253" i="2"/>
  <c r="M253" i="2"/>
  <c r="L253" i="2"/>
  <c r="E253" i="2"/>
  <c r="D253" i="2"/>
  <c r="W252" i="2"/>
  <c r="Q252" i="2"/>
  <c r="P252" i="2"/>
  <c r="O252" i="2"/>
  <c r="N252" i="2"/>
  <c r="M252" i="2"/>
  <c r="L252" i="2"/>
  <c r="E252" i="2"/>
  <c r="D252" i="2"/>
  <c r="W251" i="2"/>
  <c r="Q251" i="2"/>
  <c r="P251" i="2"/>
  <c r="O251" i="2"/>
  <c r="N251" i="2"/>
  <c r="M251" i="2"/>
  <c r="L251" i="2"/>
  <c r="E251" i="2"/>
  <c r="D251" i="2"/>
  <c r="W250" i="2"/>
  <c r="Q250" i="2"/>
  <c r="P250" i="2"/>
  <c r="O250" i="2"/>
  <c r="N250" i="2"/>
  <c r="M250" i="2"/>
  <c r="L250" i="2"/>
  <c r="E250" i="2"/>
  <c r="D250" i="2"/>
  <c r="W249" i="2"/>
  <c r="Q249" i="2"/>
  <c r="P249" i="2"/>
  <c r="O249" i="2"/>
  <c r="N249" i="2"/>
  <c r="M249" i="2"/>
  <c r="L249" i="2"/>
  <c r="E249" i="2"/>
  <c r="D249" i="2"/>
  <c r="W248" i="2"/>
  <c r="Q248" i="2"/>
  <c r="P248" i="2"/>
  <c r="O248" i="2"/>
  <c r="N248" i="2"/>
  <c r="M248" i="2"/>
  <c r="L248" i="2"/>
  <c r="E248" i="2"/>
  <c r="D248" i="2"/>
  <c r="W247" i="2"/>
  <c r="Q247" i="2"/>
  <c r="P247" i="2"/>
  <c r="O247" i="2"/>
  <c r="N247" i="2"/>
  <c r="M247" i="2"/>
  <c r="L247" i="2"/>
  <c r="E247" i="2"/>
  <c r="D247" i="2"/>
  <c r="W246" i="2"/>
  <c r="Q246" i="2"/>
  <c r="P246" i="2"/>
  <c r="O246" i="2"/>
  <c r="N246" i="2"/>
  <c r="M246" i="2"/>
  <c r="L246" i="2"/>
  <c r="E246" i="2"/>
  <c r="D246" i="2"/>
  <c r="W245" i="2"/>
  <c r="Q245" i="2"/>
  <c r="P245" i="2"/>
  <c r="O245" i="2"/>
  <c r="N245" i="2"/>
  <c r="M245" i="2"/>
  <c r="L245" i="2"/>
  <c r="E245" i="2"/>
  <c r="D245" i="2"/>
  <c r="W244" i="2"/>
  <c r="Q244" i="2"/>
  <c r="P244" i="2"/>
  <c r="O244" i="2"/>
  <c r="N244" i="2"/>
  <c r="M244" i="2"/>
  <c r="L244" i="2"/>
  <c r="E244" i="2"/>
  <c r="D244" i="2"/>
  <c r="W243" i="2"/>
  <c r="Q243" i="2"/>
  <c r="P243" i="2"/>
  <c r="O243" i="2"/>
  <c r="N243" i="2"/>
  <c r="M243" i="2"/>
  <c r="L243" i="2"/>
  <c r="E243" i="2"/>
  <c r="D243" i="2"/>
  <c r="W242" i="2"/>
  <c r="Q242" i="2"/>
  <c r="P242" i="2"/>
  <c r="O242" i="2"/>
  <c r="N242" i="2"/>
  <c r="M242" i="2"/>
  <c r="L242" i="2"/>
  <c r="E242" i="2"/>
  <c r="D242" i="2"/>
  <c r="W241" i="2"/>
  <c r="Q241" i="2"/>
  <c r="P241" i="2"/>
  <c r="O241" i="2"/>
  <c r="N241" i="2"/>
  <c r="M241" i="2"/>
  <c r="L241" i="2"/>
  <c r="E241" i="2"/>
  <c r="D241" i="2"/>
  <c r="W240" i="2"/>
  <c r="Q240" i="2"/>
  <c r="P240" i="2"/>
  <c r="O240" i="2"/>
  <c r="N240" i="2"/>
  <c r="M240" i="2"/>
  <c r="L240" i="2"/>
  <c r="E240" i="2"/>
  <c r="D240" i="2"/>
  <c r="W239" i="2"/>
  <c r="Q239" i="2"/>
  <c r="P239" i="2"/>
  <c r="O239" i="2"/>
  <c r="N239" i="2"/>
  <c r="M239" i="2"/>
  <c r="L239" i="2"/>
  <c r="E239" i="2"/>
  <c r="D239" i="2"/>
  <c r="W238" i="2"/>
  <c r="Q238" i="2"/>
  <c r="P238" i="2"/>
  <c r="O238" i="2"/>
  <c r="N238" i="2"/>
  <c r="M238" i="2"/>
  <c r="L238" i="2"/>
  <c r="E238" i="2"/>
  <c r="D238" i="2"/>
  <c r="W237" i="2"/>
  <c r="Q237" i="2"/>
  <c r="P237" i="2"/>
  <c r="O237" i="2"/>
  <c r="N237" i="2"/>
  <c r="M237" i="2"/>
  <c r="L237" i="2"/>
  <c r="E237" i="2"/>
  <c r="D237" i="2"/>
  <c r="W236" i="2"/>
  <c r="Q236" i="2"/>
  <c r="P236" i="2"/>
  <c r="O236" i="2"/>
  <c r="N236" i="2"/>
  <c r="M236" i="2"/>
  <c r="L236" i="2"/>
  <c r="E236" i="2"/>
  <c r="D236" i="2"/>
  <c r="W235" i="2"/>
  <c r="Q235" i="2"/>
  <c r="P235" i="2"/>
  <c r="O235" i="2"/>
  <c r="N235" i="2"/>
  <c r="M235" i="2"/>
  <c r="L235" i="2"/>
  <c r="E235" i="2"/>
  <c r="D235" i="2"/>
  <c r="W234" i="2"/>
  <c r="Q234" i="2"/>
  <c r="P234" i="2"/>
  <c r="O234" i="2"/>
  <c r="N234" i="2"/>
  <c r="M234" i="2"/>
  <c r="L234" i="2"/>
  <c r="E234" i="2"/>
  <c r="D234" i="2"/>
  <c r="W233" i="2"/>
  <c r="Q233" i="2"/>
  <c r="P233" i="2"/>
  <c r="O233" i="2"/>
  <c r="N233" i="2"/>
  <c r="M233" i="2"/>
  <c r="L233" i="2"/>
  <c r="E233" i="2"/>
  <c r="D233" i="2"/>
  <c r="W232" i="2"/>
  <c r="Q232" i="2"/>
  <c r="P232" i="2"/>
  <c r="O232" i="2"/>
  <c r="N232" i="2"/>
  <c r="M232" i="2"/>
  <c r="L232" i="2"/>
  <c r="E232" i="2"/>
  <c r="D232" i="2"/>
  <c r="W231" i="2"/>
  <c r="Q231" i="2"/>
  <c r="P231" i="2"/>
  <c r="O231" i="2"/>
  <c r="N231" i="2"/>
  <c r="M231" i="2"/>
  <c r="L231" i="2"/>
  <c r="E231" i="2"/>
  <c r="D231" i="2"/>
  <c r="W230" i="2"/>
  <c r="Q230" i="2"/>
  <c r="P230" i="2"/>
  <c r="O230" i="2"/>
  <c r="N230" i="2"/>
  <c r="M230" i="2"/>
  <c r="L230" i="2"/>
  <c r="E230" i="2"/>
  <c r="D230" i="2"/>
  <c r="W229" i="2"/>
  <c r="Q229" i="2"/>
  <c r="P229" i="2"/>
  <c r="O229" i="2"/>
  <c r="N229" i="2"/>
  <c r="M229" i="2"/>
  <c r="L229" i="2"/>
  <c r="E229" i="2"/>
  <c r="D229" i="2"/>
  <c r="W228" i="2"/>
  <c r="Q228" i="2"/>
  <c r="P228" i="2"/>
  <c r="O228" i="2"/>
  <c r="N228" i="2"/>
  <c r="M228" i="2"/>
  <c r="L228" i="2"/>
  <c r="E228" i="2"/>
  <c r="D228" i="2"/>
  <c r="W227" i="2"/>
  <c r="Q227" i="2"/>
  <c r="P227" i="2"/>
  <c r="O227" i="2"/>
  <c r="N227" i="2"/>
  <c r="M227" i="2"/>
  <c r="L227" i="2"/>
  <c r="E227" i="2"/>
  <c r="D227" i="2"/>
  <c r="W226" i="2"/>
  <c r="Q226" i="2"/>
  <c r="P226" i="2"/>
  <c r="O226" i="2"/>
  <c r="N226" i="2"/>
  <c r="M226" i="2"/>
  <c r="L226" i="2"/>
  <c r="E226" i="2"/>
  <c r="D226" i="2"/>
  <c r="W225" i="2"/>
  <c r="Q225" i="2"/>
  <c r="P225" i="2"/>
  <c r="O225" i="2"/>
  <c r="N225" i="2"/>
  <c r="M225" i="2"/>
  <c r="L225" i="2"/>
  <c r="E225" i="2"/>
  <c r="D225" i="2"/>
  <c r="W224" i="2"/>
  <c r="Q224" i="2"/>
  <c r="P224" i="2"/>
  <c r="O224" i="2"/>
  <c r="N224" i="2"/>
  <c r="M224" i="2"/>
  <c r="L224" i="2"/>
  <c r="E224" i="2"/>
  <c r="D224" i="2"/>
  <c r="W223" i="2"/>
  <c r="Q223" i="2"/>
  <c r="P223" i="2"/>
  <c r="O223" i="2"/>
  <c r="N223" i="2"/>
  <c r="M223" i="2"/>
  <c r="L223" i="2"/>
  <c r="E223" i="2"/>
  <c r="D223" i="2"/>
  <c r="W222" i="2"/>
  <c r="Q222" i="2"/>
  <c r="P222" i="2"/>
  <c r="O222" i="2"/>
  <c r="N222" i="2"/>
  <c r="M222" i="2"/>
  <c r="L222" i="2"/>
  <c r="E222" i="2"/>
  <c r="D222" i="2"/>
  <c r="W221" i="2"/>
  <c r="Q221" i="2"/>
  <c r="P221" i="2"/>
  <c r="O221" i="2"/>
  <c r="N221" i="2"/>
  <c r="M221" i="2"/>
  <c r="L221" i="2"/>
  <c r="E221" i="2"/>
  <c r="D221" i="2"/>
  <c r="W220" i="2"/>
  <c r="Q220" i="2"/>
  <c r="P220" i="2"/>
  <c r="O220" i="2"/>
  <c r="N220" i="2"/>
  <c r="M220" i="2"/>
  <c r="L220" i="2"/>
  <c r="E220" i="2"/>
  <c r="D220" i="2"/>
  <c r="W219" i="2"/>
  <c r="Q219" i="2"/>
  <c r="P219" i="2"/>
  <c r="O219" i="2"/>
  <c r="N219" i="2"/>
  <c r="M219" i="2"/>
  <c r="L219" i="2"/>
  <c r="E219" i="2"/>
  <c r="D219" i="2"/>
  <c r="W218" i="2"/>
  <c r="Q218" i="2"/>
  <c r="P218" i="2"/>
  <c r="O218" i="2"/>
  <c r="N218" i="2"/>
  <c r="M218" i="2"/>
  <c r="L218" i="2"/>
  <c r="E218" i="2"/>
  <c r="D218" i="2"/>
  <c r="W217" i="2"/>
  <c r="Q217" i="2"/>
  <c r="P217" i="2"/>
  <c r="O217" i="2"/>
  <c r="N217" i="2"/>
  <c r="M217" i="2"/>
  <c r="L217" i="2"/>
  <c r="E217" i="2"/>
  <c r="D217" i="2"/>
  <c r="W216" i="2"/>
  <c r="Q216" i="2"/>
  <c r="P216" i="2"/>
  <c r="O216" i="2"/>
  <c r="N216" i="2"/>
  <c r="M216" i="2"/>
  <c r="L216" i="2"/>
  <c r="E216" i="2"/>
  <c r="D216" i="2"/>
  <c r="W215" i="2"/>
  <c r="Q215" i="2"/>
  <c r="P215" i="2"/>
  <c r="O215" i="2"/>
  <c r="N215" i="2"/>
  <c r="M215" i="2"/>
  <c r="L215" i="2"/>
  <c r="E215" i="2"/>
  <c r="D215" i="2"/>
  <c r="W214" i="2"/>
  <c r="Q214" i="2"/>
  <c r="P214" i="2"/>
  <c r="O214" i="2"/>
  <c r="N214" i="2"/>
  <c r="M214" i="2"/>
  <c r="L214" i="2"/>
  <c r="E214" i="2"/>
  <c r="D214" i="2"/>
  <c r="W213" i="2"/>
  <c r="Q213" i="2"/>
  <c r="P213" i="2"/>
  <c r="O213" i="2"/>
  <c r="N213" i="2"/>
  <c r="M213" i="2"/>
  <c r="L213" i="2"/>
  <c r="E213" i="2"/>
  <c r="D213" i="2"/>
  <c r="W212" i="2"/>
  <c r="Q212" i="2"/>
  <c r="P212" i="2"/>
  <c r="O212" i="2"/>
  <c r="N212" i="2"/>
  <c r="M212" i="2"/>
  <c r="L212" i="2"/>
  <c r="E212" i="2"/>
  <c r="D212" i="2"/>
  <c r="W211" i="2"/>
  <c r="Q211" i="2"/>
  <c r="P211" i="2"/>
  <c r="O211" i="2"/>
  <c r="N211" i="2"/>
  <c r="M211" i="2"/>
  <c r="L211" i="2"/>
  <c r="E211" i="2"/>
  <c r="D211" i="2"/>
  <c r="W210" i="2"/>
  <c r="Q210" i="2"/>
  <c r="P210" i="2"/>
  <c r="O210" i="2"/>
  <c r="N210" i="2"/>
  <c r="M210" i="2"/>
  <c r="L210" i="2"/>
  <c r="E210" i="2"/>
  <c r="D210" i="2"/>
  <c r="W209" i="2"/>
  <c r="Q209" i="2"/>
  <c r="P209" i="2"/>
  <c r="O209" i="2"/>
  <c r="N209" i="2"/>
  <c r="M209" i="2"/>
  <c r="L209" i="2"/>
  <c r="E209" i="2"/>
  <c r="D209" i="2"/>
  <c r="W208" i="2"/>
  <c r="Q208" i="2"/>
  <c r="P208" i="2"/>
  <c r="O208" i="2"/>
  <c r="N208" i="2"/>
  <c r="M208" i="2"/>
  <c r="L208" i="2"/>
  <c r="E208" i="2"/>
  <c r="D208" i="2"/>
  <c r="W207" i="2"/>
  <c r="Q207" i="2"/>
  <c r="P207" i="2"/>
  <c r="O207" i="2"/>
  <c r="N207" i="2"/>
  <c r="M207" i="2"/>
  <c r="L207" i="2"/>
  <c r="E207" i="2"/>
  <c r="D207" i="2"/>
  <c r="W206" i="2"/>
  <c r="Q206" i="2"/>
  <c r="P206" i="2"/>
  <c r="O206" i="2"/>
  <c r="N206" i="2"/>
  <c r="M206" i="2"/>
  <c r="L206" i="2"/>
  <c r="E206" i="2"/>
  <c r="D206" i="2"/>
  <c r="W205" i="2"/>
  <c r="Q205" i="2"/>
  <c r="P205" i="2"/>
  <c r="O205" i="2"/>
  <c r="N205" i="2"/>
  <c r="M205" i="2"/>
  <c r="L205" i="2"/>
  <c r="E205" i="2"/>
  <c r="D205" i="2"/>
  <c r="W204" i="2"/>
  <c r="Q204" i="2"/>
  <c r="P204" i="2"/>
  <c r="O204" i="2"/>
  <c r="N204" i="2"/>
  <c r="M204" i="2"/>
  <c r="L204" i="2"/>
  <c r="E204" i="2"/>
  <c r="D204" i="2"/>
  <c r="W203" i="2"/>
  <c r="Q203" i="2"/>
  <c r="P203" i="2"/>
  <c r="O203" i="2"/>
  <c r="N203" i="2"/>
  <c r="M203" i="2"/>
  <c r="L203" i="2"/>
  <c r="E203" i="2"/>
  <c r="D203" i="2"/>
  <c r="W202" i="2"/>
  <c r="Q202" i="2"/>
  <c r="P202" i="2"/>
  <c r="O202" i="2"/>
  <c r="N202" i="2"/>
  <c r="M202" i="2"/>
  <c r="L202" i="2"/>
  <c r="E202" i="2"/>
  <c r="D202" i="2"/>
  <c r="W201" i="2"/>
  <c r="Q201" i="2"/>
  <c r="P201" i="2"/>
  <c r="O201" i="2"/>
  <c r="N201" i="2"/>
  <c r="M201" i="2"/>
  <c r="L201" i="2"/>
  <c r="E201" i="2"/>
  <c r="D201" i="2"/>
  <c r="W200" i="2"/>
  <c r="Q200" i="2"/>
  <c r="P200" i="2"/>
  <c r="O200" i="2"/>
  <c r="N200" i="2"/>
  <c r="M200" i="2"/>
  <c r="L200" i="2"/>
  <c r="E200" i="2"/>
  <c r="D200" i="2"/>
  <c r="W199" i="2"/>
  <c r="Q199" i="2"/>
  <c r="P199" i="2"/>
  <c r="O199" i="2"/>
  <c r="N199" i="2"/>
  <c r="M199" i="2"/>
  <c r="L199" i="2"/>
  <c r="E199" i="2"/>
  <c r="D199" i="2"/>
  <c r="W198" i="2"/>
  <c r="Q198" i="2"/>
  <c r="P198" i="2"/>
  <c r="O198" i="2"/>
  <c r="N198" i="2"/>
  <c r="M198" i="2"/>
  <c r="L198" i="2"/>
  <c r="E198" i="2"/>
  <c r="D198" i="2"/>
  <c r="W197" i="2"/>
  <c r="Q197" i="2"/>
  <c r="P197" i="2"/>
  <c r="O197" i="2"/>
  <c r="N197" i="2"/>
  <c r="M197" i="2"/>
  <c r="L197" i="2"/>
  <c r="E197" i="2"/>
  <c r="D197" i="2"/>
  <c r="W196" i="2"/>
  <c r="Q196" i="2"/>
  <c r="P196" i="2"/>
  <c r="O196" i="2"/>
  <c r="N196" i="2"/>
  <c r="M196" i="2"/>
  <c r="L196" i="2"/>
  <c r="E196" i="2"/>
  <c r="D196" i="2"/>
  <c r="W195" i="2"/>
  <c r="Q195" i="2"/>
  <c r="P195" i="2"/>
  <c r="O195" i="2"/>
  <c r="N195" i="2"/>
  <c r="M195" i="2"/>
  <c r="L195" i="2"/>
  <c r="E195" i="2"/>
  <c r="D195" i="2"/>
  <c r="W194" i="2"/>
  <c r="Q194" i="2"/>
  <c r="P194" i="2"/>
  <c r="O194" i="2"/>
  <c r="N194" i="2"/>
  <c r="M194" i="2"/>
  <c r="L194" i="2"/>
  <c r="E194" i="2"/>
  <c r="D194" i="2"/>
  <c r="W193" i="2"/>
  <c r="Q193" i="2"/>
  <c r="P193" i="2"/>
  <c r="O193" i="2"/>
  <c r="N193" i="2"/>
  <c r="M193" i="2"/>
  <c r="L193" i="2"/>
  <c r="E193" i="2"/>
  <c r="D193" i="2" s="1"/>
  <c r="W192" i="2"/>
  <c r="Q192" i="2"/>
  <c r="P192" i="2"/>
  <c r="O192" i="2"/>
  <c r="N192" i="2"/>
  <c r="M192" i="2"/>
  <c r="L192" i="2"/>
  <c r="E192" i="2"/>
  <c r="D192" i="2" s="1"/>
  <c r="W191" i="2"/>
  <c r="Q191" i="2"/>
  <c r="P191" i="2"/>
  <c r="O191" i="2"/>
  <c r="N191" i="2"/>
  <c r="M191" i="2"/>
  <c r="L191" i="2"/>
  <c r="E191" i="2"/>
  <c r="D191" i="2"/>
  <c r="W190" i="2"/>
  <c r="Q190" i="2"/>
  <c r="P190" i="2"/>
  <c r="O190" i="2"/>
  <c r="N190" i="2"/>
  <c r="M190" i="2"/>
  <c r="L190" i="2"/>
  <c r="E190" i="2"/>
  <c r="D190" i="2"/>
  <c r="W189" i="2"/>
  <c r="Q189" i="2"/>
  <c r="P189" i="2"/>
  <c r="O189" i="2"/>
  <c r="N189" i="2"/>
  <c r="M189" i="2"/>
  <c r="L189" i="2"/>
  <c r="E189" i="2"/>
  <c r="D189" i="2" s="1"/>
  <c r="W188" i="2"/>
  <c r="Q188" i="2"/>
  <c r="P188" i="2"/>
  <c r="O188" i="2"/>
  <c r="N188" i="2"/>
  <c r="M188" i="2"/>
  <c r="L188" i="2"/>
  <c r="E188" i="2"/>
  <c r="D188" i="2"/>
  <c r="W187" i="2"/>
  <c r="Q187" i="2"/>
  <c r="P187" i="2"/>
  <c r="O187" i="2"/>
  <c r="N187" i="2"/>
  <c r="M187" i="2"/>
  <c r="L187" i="2"/>
  <c r="E187" i="2"/>
  <c r="D187" i="2" s="1"/>
  <c r="W186" i="2"/>
  <c r="Q186" i="2"/>
  <c r="P186" i="2"/>
  <c r="O186" i="2"/>
  <c r="N186" i="2"/>
  <c r="M186" i="2"/>
  <c r="L186" i="2"/>
  <c r="E186" i="2"/>
  <c r="D186" i="2" s="1"/>
  <c r="W185" i="2"/>
  <c r="Q185" i="2"/>
  <c r="P185" i="2"/>
  <c r="O185" i="2"/>
  <c r="N185" i="2"/>
  <c r="M185" i="2"/>
  <c r="L185" i="2"/>
  <c r="E185" i="2"/>
  <c r="D185" i="2" s="1"/>
  <c r="W184" i="2"/>
  <c r="Q184" i="2"/>
  <c r="P184" i="2"/>
  <c r="O184" i="2"/>
  <c r="N184" i="2"/>
  <c r="M184" i="2"/>
  <c r="L184" i="2"/>
  <c r="E184" i="2"/>
  <c r="D184" i="2" s="1"/>
  <c r="W183" i="2"/>
  <c r="Q183" i="2"/>
  <c r="P183" i="2"/>
  <c r="O183" i="2"/>
  <c r="N183" i="2"/>
  <c r="M183" i="2"/>
  <c r="L183" i="2"/>
  <c r="E183" i="2"/>
  <c r="D183" i="2"/>
  <c r="W182" i="2"/>
  <c r="Q182" i="2"/>
  <c r="P182" i="2"/>
  <c r="O182" i="2"/>
  <c r="N182" i="2"/>
  <c r="M182" i="2"/>
  <c r="L182" i="2"/>
  <c r="E182" i="2"/>
  <c r="D182" i="2"/>
  <c r="W181" i="2"/>
  <c r="Q181" i="2"/>
  <c r="P181" i="2"/>
  <c r="O181" i="2"/>
  <c r="N181" i="2"/>
  <c r="M181" i="2"/>
  <c r="L181" i="2"/>
  <c r="E181" i="2"/>
  <c r="D181" i="2"/>
  <c r="W180" i="2"/>
  <c r="Q180" i="2"/>
  <c r="P180" i="2"/>
  <c r="O180" i="2"/>
  <c r="N180" i="2"/>
  <c r="M180" i="2"/>
  <c r="L180" i="2"/>
  <c r="E180" i="2"/>
  <c r="D180" i="2" s="1"/>
  <c r="W179" i="2"/>
  <c r="Q179" i="2"/>
  <c r="P179" i="2"/>
  <c r="O179" i="2"/>
  <c r="N179" i="2"/>
  <c r="M179" i="2"/>
  <c r="L179" i="2"/>
  <c r="E179" i="2"/>
  <c r="D179" i="2"/>
  <c r="W178" i="2"/>
  <c r="Q178" i="2"/>
  <c r="P178" i="2"/>
  <c r="O178" i="2"/>
  <c r="N178" i="2"/>
  <c r="M178" i="2"/>
  <c r="L178" i="2"/>
  <c r="E178" i="2"/>
  <c r="D178" i="2" s="1"/>
  <c r="W177" i="2"/>
  <c r="Q177" i="2"/>
  <c r="P177" i="2"/>
  <c r="O177" i="2"/>
  <c r="N177" i="2"/>
  <c r="M177" i="2"/>
  <c r="L177" i="2"/>
  <c r="E177" i="2"/>
  <c r="D177" i="2" s="1"/>
  <c r="W176" i="2"/>
  <c r="Q176" i="2"/>
  <c r="P176" i="2"/>
  <c r="O176" i="2"/>
  <c r="N176" i="2"/>
  <c r="M176" i="2"/>
  <c r="L176" i="2"/>
  <c r="E176" i="2"/>
  <c r="D176" i="2" s="1"/>
  <c r="W175" i="2"/>
  <c r="Q175" i="2"/>
  <c r="P175" i="2"/>
  <c r="O175" i="2"/>
  <c r="N175" i="2"/>
  <c r="M175" i="2"/>
  <c r="L175" i="2"/>
  <c r="E175" i="2"/>
  <c r="D175" i="2" s="1"/>
  <c r="W174" i="2"/>
  <c r="Q174" i="2"/>
  <c r="P174" i="2"/>
  <c r="O174" i="2"/>
  <c r="N174" i="2"/>
  <c r="M174" i="2"/>
  <c r="L174" i="2"/>
  <c r="E174" i="2"/>
  <c r="D174" i="2" s="1"/>
  <c r="W173" i="2"/>
  <c r="Q173" i="2"/>
  <c r="P173" i="2"/>
  <c r="O173" i="2"/>
  <c r="N173" i="2"/>
  <c r="M173" i="2"/>
  <c r="L173" i="2"/>
  <c r="E173" i="2"/>
  <c r="D173" i="2"/>
  <c r="W172" i="2"/>
  <c r="Q172" i="2"/>
  <c r="P172" i="2"/>
  <c r="O172" i="2"/>
  <c r="N172" i="2"/>
  <c r="M172" i="2"/>
  <c r="L172" i="2"/>
  <c r="E172" i="2"/>
  <c r="D172" i="2" s="1"/>
  <c r="W171" i="2"/>
  <c r="Q171" i="2"/>
  <c r="P171" i="2"/>
  <c r="O171" i="2"/>
  <c r="N171" i="2"/>
  <c r="M171" i="2"/>
  <c r="L171" i="2"/>
  <c r="E171" i="2"/>
  <c r="D171" i="2"/>
  <c r="W170" i="2"/>
  <c r="Q170" i="2"/>
  <c r="P170" i="2"/>
  <c r="O170" i="2"/>
  <c r="N170" i="2"/>
  <c r="M170" i="2"/>
  <c r="L170" i="2"/>
  <c r="E170" i="2"/>
  <c r="D170" i="2" s="1"/>
  <c r="W169" i="2"/>
  <c r="Q169" i="2"/>
  <c r="P169" i="2"/>
  <c r="O169" i="2"/>
  <c r="N169" i="2"/>
  <c r="M169" i="2"/>
  <c r="L169" i="2"/>
  <c r="E169" i="2"/>
  <c r="D169" i="2" s="1"/>
  <c r="W168" i="2"/>
  <c r="Q168" i="2"/>
  <c r="P168" i="2"/>
  <c r="O168" i="2"/>
  <c r="N168" i="2"/>
  <c r="M168" i="2"/>
  <c r="L168" i="2"/>
  <c r="E168" i="2"/>
  <c r="D168" i="2"/>
  <c r="W167" i="2"/>
  <c r="Q167" i="2"/>
  <c r="P167" i="2"/>
  <c r="O167" i="2"/>
  <c r="N167" i="2"/>
  <c r="M167" i="2"/>
  <c r="L167" i="2"/>
  <c r="E167" i="2"/>
  <c r="D167" i="2"/>
  <c r="W166" i="2"/>
  <c r="Q166" i="2"/>
  <c r="P166" i="2"/>
  <c r="O166" i="2"/>
  <c r="N166" i="2"/>
  <c r="M166" i="2"/>
  <c r="L166" i="2"/>
  <c r="E166" i="2"/>
  <c r="D166" i="2"/>
  <c r="W165" i="2"/>
  <c r="Q165" i="2"/>
  <c r="P165" i="2"/>
  <c r="O165" i="2"/>
  <c r="N165" i="2"/>
  <c r="M165" i="2"/>
  <c r="L165" i="2"/>
  <c r="E165" i="2"/>
  <c r="D165" i="2"/>
  <c r="W164" i="2"/>
  <c r="Q164" i="2"/>
  <c r="P164" i="2"/>
  <c r="O164" i="2"/>
  <c r="N164" i="2"/>
  <c r="M164" i="2"/>
  <c r="L164" i="2"/>
  <c r="E164" i="2"/>
  <c r="D164" i="2"/>
  <c r="W163" i="2"/>
  <c r="Q163" i="2"/>
  <c r="P163" i="2"/>
  <c r="O163" i="2"/>
  <c r="N163" i="2"/>
  <c r="M163" i="2"/>
  <c r="L163" i="2"/>
  <c r="E163" i="2"/>
  <c r="D163" i="2" s="1"/>
  <c r="W162" i="2"/>
  <c r="Q162" i="2"/>
  <c r="P162" i="2"/>
  <c r="O162" i="2"/>
  <c r="N162" i="2"/>
  <c r="M162" i="2"/>
  <c r="L162" i="2"/>
  <c r="E162" i="2"/>
  <c r="D162" i="2"/>
  <c r="W161" i="2"/>
  <c r="Q161" i="2"/>
  <c r="P161" i="2"/>
  <c r="O161" i="2"/>
  <c r="N161" i="2"/>
  <c r="M161" i="2"/>
  <c r="L161" i="2"/>
  <c r="E161" i="2"/>
  <c r="D161" i="2"/>
  <c r="W160" i="2"/>
  <c r="Q160" i="2"/>
  <c r="P160" i="2"/>
  <c r="O160" i="2"/>
  <c r="N160" i="2"/>
  <c r="M160" i="2"/>
  <c r="L160" i="2"/>
  <c r="E160" i="2"/>
  <c r="D160" i="2"/>
  <c r="W159" i="2"/>
  <c r="Q159" i="2"/>
  <c r="P159" i="2"/>
  <c r="O159" i="2"/>
  <c r="N159" i="2"/>
  <c r="M159" i="2"/>
  <c r="L159" i="2"/>
  <c r="E159" i="2"/>
  <c r="D159" i="2"/>
  <c r="W158" i="2"/>
  <c r="Q158" i="2"/>
  <c r="P158" i="2"/>
  <c r="O158" i="2"/>
  <c r="N158" i="2"/>
  <c r="M158" i="2"/>
  <c r="L158" i="2"/>
  <c r="E158" i="2"/>
  <c r="D158" i="2"/>
  <c r="W157" i="2"/>
  <c r="Q157" i="2"/>
  <c r="P157" i="2"/>
  <c r="O157" i="2"/>
  <c r="N157" i="2"/>
  <c r="M157" i="2"/>
  <c r="L157" i="2"/>
  <c r="E157" i="2"/>
  <c r="D157" i="2"/>
  <c r="W156" i="2"/>
  <c r="Q156" i="2"/>
  <c r="P156" i="2"/>
  <c r="O156" i="2"/>
  <c r="N156" i="2"/>
  <c r="M156" i="2"/>
  <c r="L156" i="2"/>
  <c r="E156" i="2"/>
  <c r="D156" i="2" s="1"/>
  <c r="W155" i="2"/>
  <c r="Q155" i="2"/>
  <c r="P155" i="2"/>
  <c r="O155" i="2"/>
  <c r="N155" i="2"/>
  <c r="M155" i="2"/>
  <c r="L155" i="2"/>
  <c r="E155" i="2"/>
  <c r="D155" i="2" s="1"/>
  <c r="W154" i="2"/>
  <c r="Q154" i="2"/>
  <c r="P154" i="2"/>
  <c r="O154" i="2"/>
  <c r="N154" i="2"/>
  <c r="M154" i="2"/>
  <c r="L154" i="2"/>
  <c r="E154" i="2"/>
  <c r="D154" i="2"/>
  <c r="W153" i="2"/>
  <c r="Q153" i="2"/>
  <c r="P153" i="2"/>
  <c r="O153" i="2"/>
  <c r="N153" i="2"/>
  <c r="M153" i="2"/>
  <c r="L153" i="2"/>
  <c r="E153" i="2"/>
  <c r="D153" i="2"/>
  <c r="W152" i="2"/>
  <c r="Q152" i="2"/>
  <c r="P152" i="2"/>
  <c r="O152" i="2"/>
  <c r="N152" i="2"/>
  <c r="M152" i="2"/>
  <c r="L152" i="2"/>
  <c r="E152" i="2"/>
  <c r="D152" i="2" s="1"/>
  <c r="W151" i="2"/>
  <c r="Q151" i="2"/>
  <c r="P151" i="2"/>
  <c r="O151" i="2"/>
  <c r="N151" i="2"/>
  <c r="M151" i="2"/>
  <c r="L151" i="2"/>
  <c r="E151" i="2"/>
  <c r="D151" i="2"/>
  <c r="W150" i="2"/>
  <c r="Q150" i="2"/>
  <c r="P150" i="2"/>
  <c r="O150" i="2"/>
  <c r="N150" i="2"/>
  <c r="M150" i="2"/>
  <c r="L150" i="2"/>
  <c r="E150" i="2"/>
  <c r="D150" i="2" s="1"/>
  <c r="W149" i="2"/>
  <c r="Q149" i="2"/>
  <c r="P149" i="2"/>
  <c r="O149" i="2"/>
  <c r="N149" i="2"/>
  <c r="M149" i="2"/>
  <c r="L149" i="2"/>
  <c r="E149" i="2"/>
  <c r="D149" i="2"/>
  <c r="W148" i="2"/>
  <c r="Q148" i="2"/>
  <c r="P148" i="2"/>
  <c r="O148" i="2"/>
  <c r="N148" i="2"/>
  <c r="M148" i="2"/>
  <c r="L148" i="2"/>
  <c r="E148" i="2"/>
  <c r="D148" i="2"/>
  <c r="W147" i="2"/>
  <c r="Q147" i="2"/>
  <c r="P147" i="2"/>
  <c r="O147" i="2"/>
  <c r="N147" i="2"/>
  <c r="M147" i="2"/>
  <c r="L147" i="2"/>
  <c r="E147" i="2"/>
  <c r="D147" i="2" s="1"/>
  <c r="W146" i="2"/>
  <c r="Q146" i="2"/>
  <c r="P146" i="2"/>
  <c r="O146" i="2"/>
  <c r="N146" i="2"/>
  <c r="M146" i="2"/>
  <c r="L146" i="2"/>
  <c r="E146" i="2"/>
  <c r="D146" i="2" s="1"/>
  <c r="W145" i="2"/>
  <c r="Q145" i="2"/>
  <c r="P145" i="2"/>
  <c r="O145" i="2"/>
  <c r="N145" i="2"/>
  <c r="M145" i="2"/>
  <c r="L145" i="2"/>
  <c r="E145" i="2"/>
  <c r="D145" i="2" s="1"/>
  <c r="W144" i="2"/>
  <c r="Q144" i="2"/>
  <c r="P144" i="2"/>
  <c r="O144" i="2"/>
  <c r="N144" i="2"/>
  <c r="M144" i="2"/>
  <c r="L144" i="2"/>
  <c r="E144" i="2"/>
  <c r="D144" i="2"/>
  <c r="W143" i="2"/>
  <c r="Q143" i="2"/>
  <c r="P143" i="2"/>
  <c r="O143" i="2"/>
  <c r="N143" i="2"/>
  <c r="M143" i="2"/>
  <c r="L143" i="2"/>
  <c r="E143" i="2"/>
  <c r="D143" i="2"/>
  <c r="W142" i="2"/>
  <c r="Q142" i="2"/>
  <c r="P142" i="2"/>
  <c r="O142" i="2"/>
  <c r="N142" i="2"/>
  <c r="M142" i="2"/>
  <c r="L142" i="2"/>
  <c r="E142" i="2"/>
  <c r="D142" i="2" s="1"/>
  <c r="W141" i="2"/>
  <c r="Q141" i="2"/>
  <c r="P141" i="2"/>
  <c r="O141" i="2"/>
  <c r="N141" i="2"/>
  <c r="M141" i="2"/>
  <c r="L141" i="2"/>
  <c r="E141" i="2"/>
  <c r="D141" i="2" s="1"/>
  <c r="W140" i="2"/>
  <c r="Q140" i="2"/>
  <c r="P140" i="2"/>
  <c r="O140" i="2"/>
  <c r="N140" i="2"/>
  <c r="M140" i="2"/>
  <c r="L140" i="2"/>
  <c r="E140" i="2"/>
  <c r="D140" i="2"/>
  <c r="W139" i="2"/>
  <c r="Q139" i="2"/>
  <c r="P139" i="2"/>
  <c r="O139" i="2"/>
  <c r="N139" i="2"/>
  <c r="M139" i="2"/>
  <c r="L139" i="2"/>
  <c r="E139" i="2"/>
  <c r="D139" i="2"/>
  <c r="W138" i="2"/>
  <c r="Q138" i="2"/>
  <c r="P138" i="2"/>
  <c r="O138" i="2"/>
  <c r="N138" i="2"/>
  <c r="M138" i="2"/>
  <c r="L138" i="2"/>
  <c r="E138" i="2"/>
  <c r="D138" i="2"/>
  <c r="W137" i="2"/>
  <c r="Q137" i="2"/>
  <c r="P137" i="2"/>
  <c r="O137" i="2"/>
  <c r="N137" i="2"/>
  <c r="M137" i="2"/>
  <c r="L137" i="2"/>
  <c r="E137" i="2"/>
  <c r="D137" i="2"/>
  <c r="W136" i="2"/>
  <c r="Q136" i="2"/>
  <c r="P136" i="2"/>
  <c r="O136" i="2"/>
  <c r="N136" i="2"/>
  <c r="M136" i="2"/>
  <c r="L136" i="2"/>
  <c r="E136" i="2"/>
  <c r="D136" i="2"/>
  <c r="W135" i="2"/>
  <c r="Q135" i="2"/>
  <c r="P135" i="2"/>
  <c r="O135" i="2"/>
  <c r="N135" i="2"/>
  <c r="M135" i="2"/>
  <c r="L135" i="2"/>
  <c r="E135" i="2"/>
  <c r="D135" i="2"/>
  <c r="W134" i="2"/>
  <c r="Q134" i="2"/>
  <c r="P134" i="2"/>
  <c r="O134" i="2"/>
  <c r="N134" i="2"/>
  <c r="M134" i="2"/>
  <c r="L134" i="2"/>
  <c r="E134" i="2"/>
  <c r="D134" i="2"/>
  <c r="W133" i="2"/>
  <c r="Q133" i="2"/>
  <c r="P133" i="2"/>
  <c r="O133" i="2"/>
  <c r="N133" i="2"/>
  <c r="M133" i="2"/>
  <c r="L133" i="2"/>
  <c r="E133" i="2"/>
  <c r="D133" i="2" s="1"/>
  <c r="W132" i="2"/>
  <c r="Q132" i="2"/>
  <c r="P132" i="2"/>
  <c r="O132" i="2"/>
  <c r="N132" i="2"/>
  <c r="M132" i="2"/>
  <c r="L132" i="2"/>
  <c r="E132" i="2"/>
  <c r="D132" i="2" s="1"/>
  <c r="W131" i="2"/>
  <c r="Q131" i="2"/>
  <c r="P131" i="2"/>
  <c r="O131" i="2"/>
  <c r="N131" i="2"/>
  <c r="M131" i="2"/>
  <c r="L131" i="2"/>
  <c r="E131" i="2"/>
  <c r="D131" i="2"/>
  <c r="W130" i="2"/>
  <c r="Q130" i="2"/>
  <c r="P130" i="2"/>
  <c r="O130" i="2"/>
  <c r="N130" i="2"/>
  <c r="M130" i="2"/>
  <c r="L130" i="2"/>
  <c r="E130" i="2"/>
  <c r="D130" i="2" s="1"/>
  <c r="W129" i="2"/>
  <c r="Q129" i="2"/>
  <c r="P129" i="2"/>
  <c r="O129" i="2"/>
  <c r="N129" i="2"/>
  <c r="M129" i="2"/>
  <c r="L129" i="2"/>
  <c r="E129" i="2"/>
  <c r="D129" i="2" s="1"/>
  <c r="W128" i="2"/>
  <c r="Q128" i="2"/>
  <c r="P128" i="2"/>
  <c r="O128" i="2"/>
  <c r="N128" i="2"/>
  <c r="M128" i="2"/>
  <c r="L128" i="2"/>
  <c r="E128" i="2"/>
  <c r="D128" i="2"/>
  <c r="W127" i="2"/>
  <c r="Q127" i="2"/>
  <c r="P127" i="2"/>
  <c r="O127" i="2"/>
  <c r="N127" i="2"/>
  <c r="M127" i="2"/>
  <c r="L127" i="2"/>
  <c r="E127" i="2"/>
  <c r="D127" i="2"/>
  <c r="W126" i="2"/>
  <c r="Q126" i="2"/>
  <c r="P126" i="2"/>
  <c r="O126" i="2"/>
  <c r="N126" i="2"/>
  <c r="M126" i="2"/>
  <c r="L126" i="2"/>
  <c r="E126" i="2"/>
  <c r="D126" i="2"/>
  <c r="W125" i="2"/>
  <c r="Q125" i="2"/>
  <c r="P125" i="2"/>
  <c r="O125" i="2"/>
  <c r="N125" i="2"/>
  <c r="M125" i="2"/>
  <c r="L125" i="2"/>
  <c r="E125" i="2"/>
  <c r="D125" i="2"/>
  <c r="W124" i="2"/>
  <c r="Q124" i="2"/>
  <c r="P124" i="2"/>
  <c r="O124" i="2"/>
  <c r="N124" i="2"/>
  <c r="M124" i="2"/>
  <c r="L124" i="2"/>
  <c r="E124" i="2"/>
  <c r="D124" i="2"/>
  <c r="W123" i="2"/>
  <c r="Q123" i="2"/>
  <c r="P123" i="2"/>
  <c r="O123" i="2"/>
  <c r="N123" i="2"/>
  <c r="M123" i="2"/>
  <c r="L123" i="2"/>
  <c r="E123" i="2"/>
  <c r="D123" i="2" s="1"/>
  <c r="W122" i="2"/>
  <c r="Q122" i="2"/>
  <c r="P122" i="2"/>
  <c r="O122" i="2"/>
  <c r="N122" i="2"/>
  <c r="M122" i="2"/>
  <c r="L122" i="2"/>
  <c r="E122" i="2"/>
  <c r="D122" i="2" s="1"/>
  <c r="W121" i="2"/>
  <c r="Q121" i="2"/>
  <c r="P121" i="2"/>
  <c r="O121" i="2"/>
  <c r="N121" i="2"/>
  <c r="M121" i="2"/>
  <c r="L121" i="2"/>
  <c r="E121" i="2"/>
  <c r="D121" i="2" s="1"/>
  <c r="W120" i="2"/>
  <c r="Q120" i="2"/>
  <c r="P120" i="2"/>
  <c r="O120" i="2"/>
  <c r="N120" i="2"/>
  <c r="M120" i="2"/>
  <c r="L120" i="2"/>
  <c r="E120" i="2"/>
  <c r="D120" i="2"/>
  <c r="W119" i="2"/>
  <c r="Q119" i="2"/>
  <c r="P119" i="2"/>
  <c r="O119" i="2"/>
  <c r="N119" i="2"/>
  <c r="M119" i="2"/>
  <c r="L119" i="2"/>
  <c r="E119" i="2"/>
  <c r="D119" i="2"/>
  <c r="W118" i="2"/>
  <c r="Q118" i="2"/>
  <c r="P118" i="2"/>
  <c r="O118" i="2"/>
  <c r="N118" i="2"/>
  <c r="M118" i="2"/>
  <c r="L118" i="2"/>
  <c r="E118" i="2"/>
  <c r="D118" i="2" s="1"/>
  <c r="W117" i="2"/>
  <c r="Q117" i="2"/>
  <c r="P117" i="2"/>
  <c r="O117" i="2"/>
  <c r="N117" i="2"/>
  <c r="M117" i="2"/>
  <c r="L117" i="2"/>
  <c r="E117" i="2"/>
  <c r="D117" i="2" s="1"/>
  <c r="W116" i="2"/>
  <c r="Q116" i="2"/>
  <c r="P116" i="2"/>
  <c r="O116" i="2"/>
  <c r="N116" i="2"/>
  <c r="M116" i="2"/>
  <c r="L116" i="2"/>
  <c r="E116" i="2"/>
  <c r="D116" i="2" s="1"/>
  <c r="W115" i="2"/>
  <c r="Q115" i="2"/>
  <c r="P115" i="2"/>
  <c r="O115" i="2"/>
  <c r="N115" i="2"/>
  <c r="M115" i="2"/>
  <c r="L115" i="2"/>
  <c r="E115" i="2"/>
  <c r="D115" i="2"/>
  <c r="W114" i="2"/>
  <c r="Q114" i="2"/>
  <c r="P114" i="2"/>
  <c r="O114" i="2"/>
  <c r="N114" i="2"/>
  <c r="M114" i="2"/>
  <c r="L114" i="2"/>
  <c r="E114" i="2"/>
  <c r="D114" i="2" s="1"/>
  <c r="W113" i="2"/>
  <c r="Q113" i="2"/>
  <c r="P113" i="2"/>
  <c r="O113" i="2"/>
  <c r="N113" i="2"/>
  <c r="M113" i="2"/>
  <c r="L113" i="2"/>
  <c r="E113" i="2"/>
  <c r="D113" i="2" s="1"/>
  <c r="W112" i="2"/>
  <c r="Q112" i="2"/>
  <c r="P112" i="2"/>
  <c r="O112" i="2"/>
  <c r="N112" i="2"/>
  <c r="M112" i="2"/>
  <c r="L112" i="2"/>
  <c r="E112" i="2"/>
  <c r="D112" i="2"/>
  <c r="W111" i="2"/>
  <c r="Q111" i="2"/>
  <c r="P111" i="2"/>
  <c r="O111" i="2"/>
  <c r="N111" i="2"/>
  <c r="M111" i="2"/>
  <c r="L111" i="2"/>
  <c r="E111" i="2"/>
  <c r="D111" i="2"/>
  <c r="W110" i="2"/>
  <c r="Q110" i="2"/>
  <c r="P110" i="2"/>
  <c r="O110" i="2"/>
  <c r="N110" i="2"/>
  <c r="M110" i="2"/>
  <c r="L110" i="2"/>
  <c r="E110" i="2"/>
  <c r="D110" i="2" s="1"/>
  <c r="W109" i="2"/>
  <c r="Q109" i="2"/>
  <c r="P109" i="2"/>
  <c r="O109" i="2"/>
  <c r="N109" i="2"/>
  <c r="M109" i="2"/>
  <c r="L109" i="2"/>
  <c r="E109" i="2"/>
  <c r="D109" i="2" s="1"/>
  <c r="W108" i="2"/>
  <c r="Q108" i="2"/>
  <c r="P108" i="2"/>
  <c r="O108" i="2"/>
  <c r="N108" i="2"/>
  <c r="M108" i="2"/>
  <c r="L108" i="2"/>
  <c r="E108" i="2"/>
  <c r="D108" i="2" s="1"/>
  <c r="W107" i="2"/>
  <c r="Q107" i="2"/>
  <c r="P107" i="2"/>
  <c r="O107" i="2"/>
  <c r="N107" i="2"/>
  <c r="M107" i="2"/>
  <c r="L107" i="2"/>
  <c r="E107" i="2"/>
  <c r="D107" i="2"/>
  <c r="W106" i="2"/>
  <c r="Q106" i="2"/>
  <c r="P106" i="2"/>
  <c r="O106" i="2"/>
  <c r="N106" i="2"/>
  <c r="M106" i="2"/>
  <c r="L106" i="2"/>
  <c r="E106" i="2"/>
  <c r="D106" i="2"/>
  <c r="W105" i="2"/>
  <c r="Q105" i="2"/>
  <c r="P105" i="2"/>
  <c r="O105" i="2"/>
  <c r="N105" i="2"/>
  <c r="M105" i="2"/>
  <c r="L105" i="2"/>
  <c r="E105" i="2"/>
  <c r="D105" i="2" s="1"/>
  <c r="W104" i="2"/>
  <c r="Q104" i="2"/>
  <c r="P104" i="2"/>
  <c r="O104" i="2"/>
  <c r="N104" i="2"/>
  <c r="M104" i="2"/>
  <c r="L104" i="2"/>
  <c r="E104" i="2"/>
  <c r="D104" i="2" s="1"/>
  <c r="W103" i="2"/>
  <c r="Q103" i="2"/>
  <c r="P103" i="2"/>
  <c r="O103" i="2"/>
  <c r="N103" i="2"/>
  <c r="M103" i="2"/>
  <c r="L103" i="2"/>
  <c r="E103" i="2"/>
  <c r="D103" i="2"/>
  <c r="W102" i="2"/>
  <c r="Q102" i="2"/>
  <c r="P102" i="2"/>
  <c r="O102" i="2"/>
  <c r="N102" i="2"/>
  <c r="M102" i="2"/>
  <c r="L102" i="2"/>
  <c r="E102" i="2"/>
  <c r="D102" i="2"/>
  <c r="W101" i="2"/>
  <c r="Q101" i="2"/>
  <c r="P101" i="2"/>
  <c r="O101" i="2"/>
  <c r="N101" i="2"/>
  <c r="M101" i="2"/>
  <c r="L101" i="2"/>
  <c r="E101" i="2"/>
  <c r="D101" i="2"/>
  <c r="W100" i="2"/>
  <c r="Q100" i="2"/>
  <c r="P100" i="2"/>
  <c r="O100" i="2"/>
  <c r="N100" i="2"/>
  <c r="M100" i="2"/>
  <c r="L100" i="2"/>
  <c r="E100" i="2"/>
  <c r="D100" i="2"/>
  <c r="W99" i="2"/>
  <c r="Q99" i="2"/>
  <c r="P99" i="2"/>
  <c r="O99" i="2"/>
  <c r="N99" i="2"/>
  <c r="M99" i="2"/>
  <c r="L99" i="2"/>
  <c r="E99" i="2"/>
  <c r="D99" i="2"/>
  <c r="W98" i="2"/>
  <c r="Q98" i="2"/>
  <c r="P98" i="2"/>
  <c r="O98" i="2"/>
  <c r="N98" i="2"/>
  <c r="M98" i="2"/>
  <c r="L98" i="2"/>
  <c r="E98" i="2"/>
  <c r="D98" i="2"/>
  <c r="W97" i="2"/>
  <c r="Q97" i="2"/>
  <c r="P97" i="2"/>
  <c r="O97" i="2"/>
  <c r="N97" i="2"/>
  <c r="M97" i="2"/>
  <c r="L97" i="2"/>
  <c r="E97" i="2"/>
  <c r="D97" i="2" s="1"/>
  <c r="W96" i="2"/>
  <c r="Q96" i="2"/>
  <c r="P96" i="2"/>
  <c r="O96" i="2"/>
  <c r="N96" i="2"/>
  <c r="M96" i="2"/>
  <c r="L96" i="2"/>
  <c r="E96" i="2"/>
  <c r="D96" i="2" s="1"/>
  <c r="W95" i="2"/>
  <c r="Q95" i="2"/>
  <c r="P95" i="2"/>
  <c r="O95" i="2"/>
  <c r="N95" i="2"/>
  <c r="M95" i="2"/>
  <c r="L95" i="2"/>
  <c r="E95" i="2"/>
  <c r="D95" i="2"/>
  <c r="W94" i="2"/>
  <c r="Q94" i="2"/>
  <c r="P94" i="2"/>
  <c r="O94" i="2"/>
  <c r="N94" i="2"/>
  <c r="M94" i="2"/>
  <c r="L94" i="2"/>
  <c r="E94" i="2"/>
  <c r="D94" i="2" s="1"/>
  <c r="W93" i="2"/>
  <c r="Q93" i="2"/>
  <c r="P93" i="2"/>
  <c r="O93" i="2"/>
  <c r="N93" i="2"/>
  <c r="M93" i="2"/>
  <c r="L93" i="2"/>
  <c r="E93" i="2"/>
  <c r="D93" i="2" s="1"/>
  <c r="W92" i="2"/>
  <c r="Q92" i="2"/>
  <c r="P92" i="2"/>
  <c r="O92" i="2"/>
  <c r="N92" i="2"/>
  <c r="M92" i="2"/>
  <c r="L92" i="2"/>
  <c r="E92" i="2"/>
  <c r="D92" i="2"/>
  <c r="W91" i="2"/>
  <c r="Q91" i="2"/>
  <c r="P91" i="2"/>
  <c r="O91" i="2"/>
  <c r="N91" i="2"/>
  <c r="M91" i="2"/>
  <c r="L91" i="2"/>
  <c r="E91" i="2"/>
  <c r="D91" i="2" s="1"/>
  <c r="W90" i="2"/>
  <c r="Q90" i="2"/>
  <c r="P90" i="2"/>
  <c r="O90" i="2"/>
  <c r="N90" i="2"/>
  <c r="M90" i="2"/>
  <c r="L90" i="2"/>
  <c r="E90" i="2"/>
  <c r="D90" i="2"/>
  <c r="W89" i="2"/>
  <c r="Q89" i="2"/>
  <c r="P89" i="2"/>
  <c r="O89" i="2"/>
  <c r="N89" i="2"/>
  <c r="M89" i="2"/>
  <c r="L89" i="2"/>
  <c r="E89" i="2"/>
  <c r="D89" i="2"/>
  <c r="W88" i="2"/>
  <c r="Q88" i="2"/>
  <c r="P88" i="2"/>
  <c r="O88" i="2"/>
  <c r="N88" i="2"/>
  <c r="M88" i="2"/>
  <c r="L88" i="2"/>
  <c r="E88" i="2"/>
  <c r="D88" i="2"/>
  <c r="W87" i="2"/>
  <c r="Q87" i="2"/>
  <c r="P87" i="2"/>
  <c r="O87" i="2"/>
  <c r="N87" i="2"/>
  <c r="M87" i="2"/>
  <c r="L87" i="2"/>
  <c r="E87" i="2"/>
  <c r="D87" i="2"/>
  <c r="W86" i="2"/>
  <c r="Q86" i="2"/>
  <c r="P86" i="2"/>
  <c r="O86" i="2"/>
  <c r="N86" i="2"/>
  <c r="M86" i="2"/>
  <c r="L86" i="2"/>
  <c r="E86" i="2"/>
  <c r="D86" i="2"/>
  <c r="W85" i="2"/>
  <c r="Q85" i="2"/>
  <c r="P85" i="2"/>
  <c r="O85" i="2"/>
  <c r="N85" i="2"/>
  <c r="M85" i="2"/>
  <c r="L85" i="2"/>
  <c r="E85" i="2"/>
  <c r="D85" i="2"/>
  <c r="W84" i="2"/>
  <c r="Q84" i="2"/>
  <c r="P84" i="2"/>
  <c r="O84" i="2"/>
  <c r="N84" i="2"/>
  <c r="M84" i="2"/>
  <c r="L84" i="2"/>
  <c r="E84" i="2"/>
  <c r="D84" i="2"/>
  <c r="W83" i="2"/>
  <c r="Q83" i="2"/>
  <c r="P83" i="2"/>
  <c r="O83" i="2"/>
  <c r="N83" i="2"/>
  <c r="M83" i="2"/>
  <c r="L83" i="2"/>
  <c r="E83" i="2"/>
  <c r="D83" i="2"/>
  <c r="W82" i="2"/>
  <c r="Q82" i="2"/>
  <c r="P82" i="2"/>
  <c r="O82" i="2"/>
  <c r="N82" i="2"/>
  <c r="M82" i="2"/>
  <c r="L82" i="2"/>
  <c r="E82" i="2"/>
  <c r="D82" i="2"/>
  <c r="W81" i="2"/>
  <c r="Q81" i="2"/>
  <c r="P81" i="2"/>
  <c r="O81" i="2"/>
  <c r="N81" i="2"/>
  <c r="M81" i="2"/>
  <c r="L81" i="2"/>
  <c r="E81" i="2"/>
  <c r="D81" i="2"/>
  <c r="W80" i="2"/>
  <c r="Q80" i="2"/>
  <c r="P80" i="2"/>
  <c r="O80" i="2"/>
  <c r="N80" i="2"/>
  <c r="M80" i="2"/>
  <c r="L80" i="2"/>
  <c r="E80" i="2"/>
  <c r="D80" i="2"/>
  <c r="W79" i="2"/>
  <c r="Q79" i="2"/>
  <c r="P79" i="2"/>
  <c r="O79" i="2"/>
  <c r="N79" i="2"/>
  <c r="M79" i="2"/>
  <c r="L79" i="2"/>
  <c r="E79" i="2"/>
  <c r="D79" i="2"/>
  <c r="W78" i="2"/>
  <c r="Q78" i="2"/>
  <c r="P78" i="2"/>
  <c r="O78" i="2"/>
  <c r="N78" i="2"/>
  <c r="M78" i="2"/>
  <c r="L78" i="2"/>
  <c r="E78" i="2"/>
  <c r="D78" i="2"/>
  <c r="W77" i="2"/>
  <c r="Q77" i="2"/>
  <c r="P77" i="2"/>
  <c r="O77" i="2"/>
  <c r="N77" i="2"/>
  <c r="M77" i="2"/>
  <c r="L77" i="2"/>
  <c r="E77" i="2"/>
  <c r="D77" i="2"/>
  <c r="W76" i="2"/>
  <c r="Q76" i="2"/>
  <c r="P76" i="2"/>
  <c r="O76" i="2"/>
  <c r="N76" i="2"/>
  <c r="M76" i="2"/>
  <c r="L76" i="2"/>
  <c r="E76" i="2"/>
  <c r="D76" i="2"/>
  <c r="W75" i="2"/>
  <c r="Q75" i="2"/>
  <c r="P75" i="2"/>
  <c r="O75" i="2"/>
  <c r="N75" i="2"/>
  <c r="M75" i="2"/>
  <c r="L75" i="2"/>
  <c r="E75" i="2"/>
  <c r="D75" i="2"/>
  <c r="W74" i="2"/>
  <c r="Q74" i="2"/>
  <c r="P74" i="2"/>
  <c r="O74" i="2"/>
  <c r="N74" i="2"/>
  <c r="M74" i="2"/>
  <c r="L74" i="2"/>
  <c r="E74" i="2"/>
  <c r="D74" i="2"/>
  <c r="W73" i="2"/>
  <c r="Q73" i="2"/>
  <c r="P73" i="2"/>
  <c r="O73" i="2"/>
  <c r="N73" i="2"/>
  <c r="M73" i="2"/>
  <c r="L73" i="2"/>
  <c r="E73" i="2"/>
  <c r="D73" i="2"/>
  <c r="W72" i="2"/>
  <c r="Q72" i="2"/>
  <c r="P72" i="2"/>
  <c r="O72" i="2"/>
  <c r="N72" i="2"/>
  <c r="M72" i="2"/>
  <c r="L72" i="2"/>
  <c r="E72" i="2"/>
  <c r="D72" i="2"/>
  <c r="W71" i="2"/>
  <c r="Q71" i="2"/>
  <c r="P71" i="2"/>
  <c r="O71" i="2"/>
  <c r="N71" i="2"/>
  <c r="M71" i="2"/>
  <c r="L71" i="2"/>
  <c r="E71" i="2"/>
  <c r="D71" i="2"/>
  <c r="W70" i="2"/>
  <c r="Q70" i="2"/>
  <c r="P70" i="2"/>
  <c r="O70" i="2"/>
  <c r="N70" i="2"/>
  <c r="M70" i="2"/>
  <c r="L70" i="2"/>
  <c r="E70" i="2"/>
  <c r="D70" i="2"/>
  <c r="W69" i="2"/>
  <c r="Q69" i="2"/>
  <c r="P69" i="2"/>
  <c r="O69" i="2"/>
  <c r="N69" i="2"/>
  <c r="M69" i="2"/>
  <c r="L69" i="2"/>
  <c r="E69" i="2"/>
  <c r="D69" i="2"/>
  <c r="W68" i="2"/>
  <c r="Q68" i="2"/>
  <c r="P68" i="2"/>
  <c r="O68" i="2"/>
  <c r="N68" i="2"/>
  <c r="M68" i="2"/>
  <c r="L68" i="2"/>
  <c r="E68" i="2"/>
  <c r="D68" i="2"/>
  <c r="W67" i="2"/>
  <c r="Q67" i="2"/>
  <c r="P67" i="2"/>
  <c r="O67" i="2"/>
  <c r="N67" i="2"/>
  <c r="M67" i="2"/>
  <c r="L67" i="2"/>
  <c r="E67" i="2"/>
  <c r="D67" i="2"/>
  <c r="W66" i="2"/>
  <c r="Q66" i="2"/>
  <c r="P66" i="2"/>
  <c r="O66" i="2"/>
  <c r="N66" i="2"/>
  <c r="M66" i="2"/>
  <c r="L66" i="2"/>
  <c r="E66" i="2"/>
  <c r="D66" i="2"/>
  <c r="W65" i="2"/>
  <c r="Q65" i="2"/>
  <c r="P65" i="2"/>
  <c r="O65" i="2"/>
  <c r="N65" i="2"/>
  <c r="M65" i="2"/>
  <c r="L65" i="2"/>
  <c r="E65" i="2"/>
  <c r="D65" i="2"/>
  <c r="W64" i="2"/>
  <c r="Q64" i="2"/>
  <c r="P64" i="2"/>
  <c r="O64" i="2"/>
  <c r="N64" i="2"/>
  <c r="M64" i="2"/>
  <c r="L64" i="2"/>
  <c r="E64" i="2"/>
  <c r="D64" i="2"/>
  <c r="W63" i="2"/>
  <c r="Q63" i="2"/>
  <c r="P63" i="2"/>
  <c r="O63" i="2"/>
  <c r="N63" i="2"/>
  <c r="M63" i="2"/>
  <c r="L63" i="2"/>
  <c r="E63" i="2"/>
  <c r="D63" i="2"/>
  <c r="W62" i="2"/>
  <c r="Q62" i="2"/>
  <c r="P62" i="2"/>
  <c r="O62" i="2"/>
  <c r="N62" i="2"/>
  <c r="M62" i="2"/>
  <c r="L62" i="2"/>
  <c r="E62" i="2"/>
  <c r="D62" i="2"/>
  <c r="W61" i="2"/>
  <c r="Q61" i="2"/>
  <c r="P61" i="2"/>
  <c r="O61" i="2"/>
  <c r="N61" i="2"/>
  <c r="M61" i="2"/>
  <c r="L61" i="2"/>
  <c r="E61" i="2"/>
  <c r="D61" i="2"/>
  <c r="W60" i="2"/>
  <c r="Q60" i="2"/>
  <c r="P60" i="2"/>
  <c r="O60" i="2"/>
  <c r="N60" i="2"/>
  <c r="M60" i="2"/>
  <c r="L60" i="2"/>
  <c r="E60" i="2"/>
  <c r="D60" i="2"/>
  <c r="W59" i="2"/>
  <c r="Q59" i="2"/>
  <c r="P59" i="2"/>
  <c r="O59" i="2"/>
  <c r="N59" i="2"/>
  <c r="M59" i="2"/>
  <c r="L59" i="2"/>
  <c r="E59" i="2"/>
  <c r="D59" i="2"/>
  <c r="W58" i="2"/>
  <c r="Q58" i="2"/>
  <c r="P58" i="2"/>
  <c r="O58" i="2"/>
  <c r="N58" i="2"/>
  <c r="M58" i="2"/>
  <c r="L58" i="2"/>
  <c r="E58" i="2"/>
  <c r="D58" i="2"/>
  <c r="W57" i="2"/>
  <c r="Q57" i="2"/>
  <c r="P57" i="2"/>
  <c r="O57" i="2"/>
  <c r="N57" i="2"/>
  <c r="M57" i="2"/>
  <c r="L57" i="2"/>
  <c r="E57" i="2"/>
  <c r="D57" i="2"/>
  <c r="W56" i="2"/>
  <c r="Q56" i="2"/>
  <c r="P56" i="2"/>
  <c r="O56" i="2"/>
  <c r="N56" i="2"/>
  <c r="M56" i="2"/>
  <c r="L56" i="2"/>
  <c r="E56" i="2"/>
  <c r="D56" i="2"/>
  <c r="W55" i="2"/>
  <c r="Q55" i="2"/>
  <c r="P55" i="2"/>
  <c r="O55" i="2"/>
  <c r="N55" i="2"/>
  <c r="M55" i="2"/>
  <c r="L55" i="2"/>
  <c r="E55" i="2"/>
  <c r="D55" i="2"/>
  <c r="W54" i="2"/>
  <c r="Q54" i="2"/>
  <c r="P54" i="2"/>
  <c r="O54" i="2"/>
  <c r="N54" i="2"/>
  <c r="M54" i="2"/>
  <c r="L54" i="2"/>
  <c r="E54" i="2"/>
  <c r="D54" i="2"/>
  <c r="W53" i="2"/>
  <c r="Q53" i="2"/>
  <c r="P53" i="2"/>
  <c r="O53" i="2"/>
  <c r="N53" i="2"/>
  <c r="M53" i="2"/>
  <c r="L53" i="2"/>
  <c r="E53" i="2"/>
  <c r="D53" i="2"/>
  <c r="W52" i="2"/>
  <c r="Q52" i="2"/>
  <c r="P52" i="2"/>
  <c r="O52" i="2"/>
  <c r="N52" i="2"/>
  <c r="M52" i="2"/>
  <c r="L52" i="2"/>
  <c r="E52" i="2"/>
  <c r="D52" i="2"/>
  <c r="W51" i="2"/>
  <c r="Q51" i="2"/>
  <c r="P51" i="2"/>
  <c r="O51" i="2"/>
  <c r="N51" i="2"/>
  <c r="M51" i="2"/>
  <c r="L51" i="2"/>
  <c r="E51" i="2"/>
  <c r="D51" i="2"/>
  <c r="W50" i="2"/>
  <c r="Q50" i="2"/>
  <c r="P50" i="2"/>
  <c r="O50" i="2"/>
  <c r="N50" i="2"/>
  <c r="M50" i="2"/>
  <c r="L50" i="2"/>
  <c r="E50" i="2"/>
  <c r="D50" i="2"/>
  <c r="W49" i="2"/>
  <c r="Q49" i="2"/>
  <c r="P49" i="2"/>
  <c r="O49" i="2"/>
  <c r="N49" i="2"/>
  <c r="M49" i="2"/>
  <c r="L49" i="2"/>
  <c r="E49" i="2"/>
  <c r="D49" i="2"/>
  <c r="W48" i="2"/>
  <c r="Q48" i="2"/>
  <c r="P48" i="2"/>
  <c r="O48" i="2"/>
  <c r="N48" i="2"/>
  <c r="M48" i="2"/>
  <c r="L48" i="2"/>
  <c r="E48" i="2"/>
  <c r="D48" i="2"/>
  <c r="W47" i="2"/>
  <c r="Q47" i="2"/>
  <c r="P47" i="2"/>
  <c r="O47" i="2"/>
  <c r="N47" i="2"/>
  <c r="M47" i="2"/>
  <c r="L47" i="2"/>
  <c r="E47" i="2"/>
  <c r="D47" i="2"/>
  <c r="W46" i="2"/>
  <c r="Q46" i="2"/>
  <c r="P46" i="2"/>
  <c r="O46" i="2"/>
  <c r="N46" i="2"/>
  <c r="M46" i="2"/>
  <c r="L46" i="2"/>
  <c r="E46" i="2"/>
  <c r="D46" i="2"/>
  <c r="W45" i="2"/>
  <c r="Q45" i="2"/>
  <c r="P45" i="2"/>
  <c r="O45" i="2"/>
  <c r="N45" i="2"/>
  <c r="M45" i="2"/>
  <c r="L45" i="2"/>
  <c r="E45" i="2"/>
  <c r="D45" i="2"/>
  <c r="W44" i="2"/>
  <c r="Q44" i="2"/>
  <c r="P44" i="2"/>
  <c r="O44" i="2"/>
  <c r="N44" i="2"/>
  <c r="M44" i="2"/>
  <c r="L44" i="2"/>
  <c r="E44" i="2"/>
  <c r="D44" i="2"/>
  <c r="W43" i="2"/>
  <c r="Q43" i="2"/>
  <c r="P43" i="2"/>
  <c r="O43" i="2"/>
  <c r="N43" i="2"/>
  <c r="M43" i="2"/>
  <c r="L43" i="2"/>
  <c r="E43" i="2"/>
  <c r="D43" i="2"/>
  <c r="W42" i="2"/>
  <c r="Q42" i="2"/>
  <c r="P42" i="2"/>
  <c r="O42" i="2"/>
  <c r="N42" i="2"/>
  <c r="M42" i="2"/>
  <c r="L42" i="2"/>
  <c r="E42" i="2"/>
  <c r="D42" i="2"/>
  <c r="W41" i="2"/>
  <c r="Q41" i="2"/>
  <c r="P41" i="2"/>
  <c r="O41" i="2"/>
  <c r="N41" i="2"/>
  <c r="M41" i="2"/>
  <c r="L41" i="2"/>
  <c r="E41" i="2"/>
  <c r="D41" i="2"/>
  <c r="W40" i="2"/>
  <c r="Q40" i="2"/>
  <c r="P40" i="2"/>
  <c r="O40" i="2"/>
  <c r="N40" i="2"/>
  <c r="M40" i="2"/>
  <c r="L40" i="2"/>
  <c r="E40" i="2"/>
  <c r="D40" i="2"/>
  <c r="W39" i="2"/>
  <c r="Q39" i="2"/>
  <c r="P39" i="2"/>
  <c r="O39" i="2"/>
  <c r="N39" i="2"/>
  <c r="M39" i="2"/>
  <c r="L39" i="2"/>
  <c r="E39" i="2"/>
  <c r="D39" i="2"/>
  <c r="W38" i="2"/>
  <c r="Q38" i="2"/>
  <c r="P38" i="2"/>
  <c r="O38" i="2"/>
  <c r="N38" i="2"/>
  <c r="M38" i="2"/>
  <c r="L38" i="2"/>
  <c r="E38" i="2"/>
  <c r="D38" i="2"/>
  <c r="W37" i="2"/>
  <c r="Q37" i="2"/>
  <c r="P37" i="2"/>
  <c r="O37" i="2"/>
  <c r="N37" i="2"/>
  <c r="M37" i="2"/>
  <c r="L37" i="2"/>
  <c r="E37" i="2"/>
  <c r="D37" i="2"/>
  <c r="W36" i="2"/>
  <c r="Q36" i="2"/>
  <c r="P36" i="2"/>
  <c r="O36" i="2"/>
  <c r="N36" i="2"/>
  <c r="M36" i="2"/>
  <c r="L36" i="2"/>
  <c r="E36" i="2"/>
  <c r="D36" i="2"/>
  <c r="W35" i="2"/>
  <c r="Q35" i="2"/>
  <c r="P35" i="2"/>
  <c r="O35" i="2"/>
  <c r="N35" i="2"/>
  <c r="M35" i="2"/>
  <c r="L35" i="2"/>
  <c r="E35" i="2"/>
  <c r="D35" i="2"/>
  <c r="W34" i="2"/>
  <c r="Q34" i="2"/>
  <c r="P34" i="2"/>
  <c r="O34" i="2"/>
  <c r="N34" i="2"/>
  <c r="M34" i="2"/>
  <c r="L34" i="2"/>
  <c r="E34" i="2"/>
  <c r="D34" i="2"/>
  <c r="W33" i="2"/>
  <c r="Q33" i="2"/>
  <c r="P33" i="2"/>
  <c r="O33" i="2"/>
  <c r="N33" i="2"/>
  <c r="M33" i="2"/>
  <c r="L33" i="2"/>
  <c r="E33" i="2"/>
  <c r="D33" i="2"/>
  <c r="W32" i="2"/>
  <c r="Q32" i="2"/>
  <c r="P32" i="2"/>
  <c r="O32" i="2"/>
  <c r="N32" i="2"/>
  <c r="M32" i="2"/>
  <c r="L32" i="2"/>
  <c r="E32" i="2"/>
  <c r="D32" i="2"/>
  <c r="W31" i="2"/>
  <c r="Q31" i="2"/>
  <c r="P31" i="2"/>
  <c r="O31" i="2"/>
  <c r="N31" i="2"/>
  <c r="M31" i="2"/>
  <c r="L31" i="2"/>
  <c r="E31" i="2"/>
  <c r="D31" i="2"/>
  <c r="W30" i="2"/>
  <c r="Q30" i="2"/>
  <c r="P30" i="2"/>
  <c r="O30" i="2"/>
  <c r="N30" i="2"/>
  <c r="M30" i="2"/>
  <c r="L30" i="2"/>
  <c r="E30" i="2"/>
  <c r="D30" i="2"/>
  <c r="W29" i="2"/>
  <c r="Q29" i="2"/>
  <c r="P29" i="2"/>
  <c r="O29" i="2"/>
  <c r="N29" i="2"/>
  <c r="M29" i="2"/>
  <c r="L29" i="2"/>
  <c r="E29" i="2"/>
  <c r="D29" i="2"/>
  <c r="W28" i="2"/>
  <c r="Q28" i="2"/>
  <c r="P28" i="2"/>
  <c r="O28" i="2"/>
  <c r="N28" i="2"/>
  <c r="M28" i="2"/>
  <c r="L28" i="2"/>
  <c r="E28" i="2"/>
  <c r="D28" i="2"/>
  <c r="W27" i="2"/>
  <c r="Q27" i="2"/>
  <c r="P27" i="2"/>
  <c r="O27" i="2"/>
  <c r="N27" i="2"/>
  <c r="M27" i="2"/>
  <c r="L27" i="2"/>
  <c r="E27" i="2"/>
  <c r="D27" i="2"/>
  <c r="W26" i="2"/>
  <c r="Q26" i="2"/>
  <c r="P26" i="2"/>
  <c r="O26" i="2"/>
  <c r="N26" i="2"/>
  <c r="M26" i="2"/>
  <c r="L26" i="2"/>
  <c r="E26" i="2"/>
  <c r="D26" i="2"/>
  <c r="W25" i="2"/>
  <c r="Q25" i="2"/>
  <c r="P25" i="2"/>
  <c r="O25" i="2"/>
  <c r="N25" i="2"/>
  <c r="M25" i="2"/>
  <c r="L25" i="2"/>
  <c r="E25" i="2"/>
  <c r="D25" i="2"/>
  <c r="W24" i="2"/>
  <c r="Q24" i="2"/>
  <c r="P24" i="2"/>
  <c r="O24" i="2"/>
  <c r="N24" i="2"/>
  <c r="M24" i="2"/>
  <c r="L24" i="2"/>
  <c r="E24" i="2"/>
  <c r="D24" i="2"/>
  <c r="W23" i="2"/>
  <c r="Q23" i="2"/>
  <c r="P23" i="2"/>
  <c r="O23" i="2"/>
  <c r="N23" i="2"/>
  <c r="M23" i="2"/>
  <c r="L23" i="2"/>
  <c r="E23" i="2"/>
  <c r="D23" i="2"/>
  <c r="W22" i="2"/>
  <c r="Q22" i="2"/>
  <c r="P22" i="2"/>
  <c r="O22" i="2"/>
  <c r="N22" i="2"/>
  <c r="M22" i="2"/>
  <c r="L22" i="2"/>
  <c r="E22" i="2"/>
  <c r="D22" i="2"/>
  <c r="W21" i="2"/>
  <c r="Q21" i="2"/>
  <c r="P21" i="2"/>
  <c r="O21" i="2"/>
  <c r="N21" i="2"/>
  <c r="M21" i="2"/>
  <c r="L21" i="2"/>
  <c r="E21" i="2"/>
  <c r="D21" i="2"/>
  <c r="W20" i="2"/>
  <c r="Q20" i="2"/>
  <c r="P20" i="2"/>
  <c r="O20" i="2"/>
  <c r="N20" i="2"/>
  <c r="M20" i="2"/>
  <c r="L20" i="2"/>
  <c r="E20" i="2"/>
  <c r="D20" i="2"/>
  <c r="W19" i="2"/>
  <c r="Q19" i="2"/>
  <c r="P19" i="2"/>
  <c r="O19" i="2"/>
  <c r="N19" i="2"/>
  <c r="M19" i="2"/>
  <c r="L19" i="2"/>
  <c r="E19" i="2"/>
  <c r="D19" i="2"/>
  <c r="W18" i="2"/>
  <c r="Q18" i="2"/>
  <c r="P18" i="2"/>
  <c r="O18" i="2"/>
  <c r="N18" i="2"/>
  <c r="M18" i="2"/>
  <c r="L18" i="2"/>
  <c r="E18" i="2"/>
  <c r="D18" i="2"/>
  <c r="W17" i="2"/>
  <c r="Q17" i="2"/>
  <c r="P17" i="2"/>
  <c r="O17" i="2"/>
  <c r="N17" i="2"/>
  <c r="M17" i="2"/>
  <c r="L17" i="2"/>
  <c r="E17" i="2"/>
  <c r="D17" i="2"/>
  <c r="W16" i="2"/>
  <c r="Q16" i="2"/>
  <c r="P16" i="2"/>
  <c r="O16" i="2"/>
  <c r="N16" i="2"/>
  <c r="M16" i="2"/>
  <c r="L16" i="2"/>
  <c r="E16" i="2"/>
  <c r="D16" i="2"/>
  <c r="W15" i="2"/>
  <c r="Q15" i="2"/>
  <c r="P15" i="2"/>
  <c r="O15" i="2"/>
  <c r="N15" i="2"/>
  <c r="M15" i="2"/>
  <c r="L15" i="2"/>
  <c r="E15" i="2"/>
  <c r="D15" i="2"/>
  <c r="W14" i="2"/>
  <c r="Q14" i="2"/>
  <c r="P14" i="2"/>
  <c r="O14" i="2"/>
  <c r="N14" i="2"/>
  <c r="M14" i="2"/>
  <c r="L14" i="2"/>
  <c r="E14" i="2"/>
  <c r="D14" i="2"/>
  <c r="W13" i="2"/>
  <c r="Q13" i="2"/>
  <c r="P13" i="2"/>
  <c r="O13" i="2"/>
  <c r="N13" i="2"/>
  <c r="M13" i="2"/>
  <c r="L13" i="2"/>
  <c r="E13" i="2"/>
  <c r="D13" i="2"/>
  <c r="W12" i="2"/>
  <c r="Q12" i="2"/>
  <c r="P12" i="2"/>
  <c r="O12" i="2"/>
  <c r="N12" i="2"/>
  <c r="M12" i="2"/>
  <c r="L12" i="2"/>
  <c r="E12" i="2"/>
  <c r="D12" i="2"/>
  <c r="W11" i="2"/>
  <c r="Q11" i="2"/>
  <c r="P11" i="2"/>
  <c r="O11" i="2"/>
  <c r="N11" i="2"/>
  <c r="M11" i="2"/>
  <c r="L11" i="2"/>
  <c r="E11" i="2"/>
  <c r="D11" i="2"/>
  <c r="W10" i="2"/>
  <c r="Q10" i="2"/>
  <c r="P10" i="2"/>
  <c r="O10" i="2"/>
  <c r="N10" i="2"/>
  <c r="M10" i="2"/>
  <c r="L10" i="2"/>
  <c r="E10" i="2"/>
  <c r="D10" i="2"/>
  <c r="W9" i="2"/>
  <c r="Q9" i="2"/>
  <c r="P9" i="2"/>
  <c r="O9" i="2"/>
  <c r="N9" i="2"/>
  <c r="M9" i="2"/>
  <c r="L9" i="2"/>
  <c r="E9" i="2"/>
  <c r="D9" i="2"/>
  <c r="W8" i="2"/>
  <c r="Q8" i="2"/>
  <c r="P8" i="2"/>
  <c r="O8" i="2"/>
  <c r="N8" i="2"/>
  <c r="M8" i="2"/>
  <c r="L8" i="2"/>
  <c r="E8" i="2"/>
  <c r="D8" i="2"/>
  <c r="W7" i="2"/>
  <c r="Q7" i="2"/>
  <c r="P7" i="2"/>
  <c r="O7" i="2"/>
  <c r="N7" i="2"/>
  <c r="M7" i="2"/>
  <c r="L7" i="2"/>
  <c r="E7" i="2"/>
  <c r="D7" i="2"/>
  <c r="W6" i="2"/>
  <c r="Q6" i="2"/>
  <c r="P6" i="2"/>
  <c r="O6" i="2"/>
  <c r="N6" i="2"/>
  <c r="M6" i="2"/>
  <c r="L6" i="2"/>
  <c r="E6" i="2"/>
  <c r="D6" i="2"/>
  <c r="W5" i="2"/>
  <c r="Q5" i="2"/>
  <c r="P5" i="2"/>
  <c r="O5" i="2"/>
  <c r="N5" i="2"/>
  <c r="M5" i="2"/>
  <c r="L5" i="2"/>
  <c r="E5" i="2"/>
  <c r="D5" i="2"/>
  <c r="W4" i="2"/>
  <c r="Q4" i="2"/>
  <c r="P4" i="2"/>
  <c r="O4" i="2"/>
  <c r="N4" i="2"/>
  <c r="M4" i="2"/>
  <c r="L4" i="2"/>
  <c r="E4" i="2"/>
  <c r="D4" i="2"/>
  <c r="W3" i="2"/>
  <c r="Q3" i="2"/>
  <c r="P3" i="2"/>
  <c r="O3" i="2"/>
  <c r="N3" i="2"/>
  <c r="M3" i="2"/>
  <c r="L3" i="2"/>
  <c r="E3" i="2"/>
  <c r="D3" i="2"/>
  <c r="W2" i="2"/>
  <c r="Q2" i="2"/>
  <c r="P2" i="2"/>
  <c r="O2" i="2"/>
  <c r="N2" i="2"/>
  <c r="M2" i="2"/>
  <c r="L2" i="2"/>
  <c r="E2" i="2"/>
  <c r="D2" i="2"/>
</calcChain>
</file>

<file path=xl/sharedStrings.xml><?xml version="1.0" encoding="utf-8"?>
<sst xmlns="http://schemas.openxmlformats.org/spreadsheetml/2006/main" count="5023" uniqueCount="2035">
  <si>
    <t>Campaign ID</t>
  </si>
  <si>
    <t>Start Date</t>
  </si>
  <si>
    <t>End Date</t>
  </si>
  <si>
    <t>Status of Campaign</t>
  </si>
  <si>
    <t>Duration of Campaign</t>
  </si>
  <si>
    <t>Budget</t>
  </si>
  <si>
    <t>Audience</t>
  </si>
  <si>
    <t>Impressions '000</t>
  </si>
  <si>
    <t>Clicks</t>
  </si>
  <si>
    <t>Conversions</t>
  </si>
  <si>
    <t>Revenue</t>
  </si>
  <si>
    <t>Click Through Rate</t>
  </si>
  <si>
    <t>Conversion Rate</t>
  </si>
  <si>
    <t>Cost per click</t>
  </si>
  <si>
    <t>Cost per acquisition</t>
  </si>
  <si>
    <t>BUDGET UTILISATION</t>
  </si>
  <si>
    <t>ROAS</t>
  </si>
  <si>
    <t>Client ID</t>
  </si>
  <si>
    <t>Sector</t>
  </si>
  <si>
    <t>Company Size</t>
  </si>
  <si>
    <t>Ad Spend</t>
  </si>
  <si>
    <t>Satisfaction Rating</t>
  </si>
  <si>
    <t>Rating Classification</t>
  </si>
  <si>
    <t>C001</t>
  </si>
  <si>
    <t>Adults 25-34</t>
  </si>
  <si>
    <t>CL001</t>
  </si>
  <si>
    <t>Health</t>
  </si>
  <si>
    <t>Medium</t>
  </si>
  <si>
    <t>C002</t>
  </si>
  <si>
    <t>Professionals 35-50</t>
  </si>
  <si>
    <t>CL002</t>
  </si>
  <si>
    <t>Technology</t>
  </si>
  <si>
    <t>C003</t>
  </si>
  <si>
    <t>CL003</t>
  </si>
  <si>
    <t>Fashion</t>
  </si>
  <si>
    <t>C004</t>
  </si>
  <si>
    <t>CL004</t>
  </si>
  <si>
    <t>Small</t>
  </si>
  <si>
    <t>C005</t>
  </si>
  <si>
    <t>CL005</t>
  </si>
  <si>
    <t>Food</t>
  </si>
  <si>
    <t>C006</t>
  </si>
  <si>
    <t>CL006</t>
  </si>
  <si>
    <t>C007</t>
  </si>
  <si>
    <t>CL007</t>
  </si>
  <si>
    <t>Education</t>
  </si>
  <si>
    <t>C008</t>
  </si>
  <si>
    <t>Youths 18-24</t>
  </si>
  <si>
    <t>CL008</t>
  </si>
  <si>
    <t>C009</t>
  </si>
  <si>
    <t>CL009</t>
  </si>
  <si>
    <t>C010</t>
  </si>
  <si>
    <t>CL010</t>
  </si>
  <si>
    <t>C011</t>
  </si>
  <si>
    <t>CL011</t>
  </si>
  <si>
    <t>Large</t>
  </si>
  <si>
    <t>C012</t>
  </si>
  <si>
    <t>CL012</t>
  </si>
  <si>
    <t>C013</t>
  </si>
  <si>
    <t>CL013</t>
  </si>
  <si>
    <t>C014</t>
  </si>
  <si>
    <t>CL014</t>
  </si>
  <si>
    <t>C015</t>
  </si>
  <si>
    <t>Parents 30-40</t>
  </si>
  <si>
    <t>CL015</t>
  </si>
  <si>
    <t>C016</t>
  </si>
  <si>
    <t>CL016</t>
  </si>
  <si>
    <t>C017</t>
  </si>
  <si>
    <t>CL017</t>
  </si>
  <si>
    <t>C018</t>
  </si>
  <si>
    <t>CL018</t>
  </si>
  <si>
    <t>C019</t>
  </si>
  <si>
    <t>CL019</t>
  </si>
  <si>
    <t>C020</t>
  </si>
  <si>
    <t>CL020</t>
  </si>
  <si>
    <t>C021</t>
  </si>
  <si>
    <t>CL021</t>
  </si>
  <si>
    <t>C022</t>
  </si>
  <si>
    <t>CL022</t>
  </si>
  <si>
    <t>C023</t>
  </si>
  <si>
    <t>CL023</t>
  </si>
  <si>
    <t>C024</t>
  </si>
  <si>
    <t>CL024</t>
  </si>
  <si>
    <t>C025</t>
  </si>
  <si>
    <t>CL025</t>
  </si>
  <si>
    <t>C026</t>
  </si>
  <si>
    <t>CL026</t>
  </si>
  <si>
    <t>C027</t>
  </si>
  <si>
    <t>CL027</t>
  </si>
  <si>
    <t>C028</t>
  </si>
  <si>
    <t>CL028</t>
  </si>
  <si>
    <t>C029</t>
  </si>
  <si>
    <t>CL029</t>
  </si>
  <si>
    <t>C030</t>
  </si>
  <si>
    <t>CL030</t>
  </si>
  <si>
    <t>C031</t>
  </si>
  <si>
    <t>CL031</t>
  </si>
  <si>
    <t>C032</t>
  </si>
  <si>
    <t>CL032</t>
  </si>
  <si>
    <t>C033</t>
  </si>
  <si>
    <t>CL033</t>
  </si>
  <si>
    <t>C034</t>
  </si>
  <si>
    <t>CL034</t>
  </si>
  <si>
    <t>C035</t>
  </si>
  <si>
    <t>CL035</t>
  </si>
  <si>
    <t>C036</t>
  </si>
  <si>
    <t>CL036</t>
  </si>
  <si>
    <t>C037</t>
  </si>
  <si>
    <t>CL037</t>
  </si>
  <si>
    <t>C038</t>
  </si>
  <si>
    <t>CL038</t>
  </si>
  <si>
    <t>C039</t>
  </si>
  <si>
    <t>CL039</t>
  </si>
  <si>
    <t>C040</t>
  </si>
  <si>
    <t>CL040</t>
  </si>
  <si>
    <t>C041</t>
  </si>
  <si>
    <t>CL041</t>
  </si>
  <si>
    <t>C042</t>
  </si>
  <si>
    <t>CL042</t>
  </si>
  <si>
    <t>C043</t>
  </si>
  <si>
    <t>CL043</t>
  </si>
  <si>
    <t>C044</t>
  </si>
  <si>
    <t>CL044</t>
  </si>
  <si>
    <t>C045</t>
  </si>
  <si>
    <t>CL045</t>
  </si>
  <si>
    <t>C046</t>
  </si>
  <si>
    <t>CL046</t>
  </si>
  <si>
    <t>C047</t>
  </si>
  <si>
    <t>CL047</t>
  </si>
  <si>
    <t>C048</t>
  </si>
  <si>
    <t>CL048</t>
  </si>
  <si>
    <t>C049</t>
  </si>
  <si>
    <t>CL049</t>
  </si>
  <si>
    <t>C050</t>
  </si>
  <si>
    <t>CL050</t>
  </si>
  <si>
    <t>C051</t>
  </si>
  <si>
    <t>CL051</t>
  </si>
  <si>
    <t>C052</t>
  </si>
  <si>
    <t>CL052</t>
  </si>
  <si>
    <t>C053</t>
  </si>
  <si>
    <t>CL053</t>
  </si>
  <si>
    <t>C054</t>
  </si>
  <si>
    <t>CL054</t>
  </si>
  <si>
    <t>C055</t>
  </si>
  <si>
    <t>CL055</t>
  </si>
  <si>
    <t>C056</t>
  </si>
  <si>
    <t>CL056</t>
  </si>
  <si>
    <t>C057</t>
  </si>
  <si>
    <t>CL057</t>
  </si>
  <si>
    <t>C058</t>
  </si>
  <si>
    <t>CL058</t>
  </si>
  <si>
    <t>C059</t>
  </si>
  <si>
    <t>CL059</t>
  </si>
  <si>
    <t>C060</t>
  </si>
  <si>
    <t>CL060</t>
  </si>
  <si>
    <t>C061</t>
  </si>
  <si>
    <t>CL061</t>
  </si>
  <si>
    <t>C062</t>
  </si>
  <si>
    <t>CL062</t>
  </si>
  <si>
    <t>C063</t>
  </si>
  <si>
    <t>CL063</t>
  </si>
  <si>
    <t>C064</t>
  </si>
  <si>
    <t>CL064</t>
  </si>
  <si>
    <t>C065</t>
  </si>
  <si>
    <t>CL065</t>
  </si>
  <si>
    <t>C066</t>
  </si>
  <si>
    <t>CL066</t>
  </si>
  <si>
    <t>C067</t>
  </si>
  <si>
    <t>CL067</t>
  </si>
  <si>
    <t>C068</t>
  </si>
  <si>
    <t>CL068</t>
  </si>
  <si>
    <t>C069</t>
  </si>
  <si>
    <t>CL069</t>
  </si>
  <si>
    <t>C070</t>
  </si>
  <si>
    <t>CL070</t>
  </si>
  <si>
    <t>C071</t>
  </si>
  <si>
    <t>CL071</t>
  </si>
  <si>
    <t>C072</t>
  </si>
  <si>
    <t>CL072</t>
  </si>
  <si>
    <t>C073</t>
  </si>
  <si>
    <t>CL073</t>
  </si>
  <si>
    <t>C074</t>
  </si>
  <si>
    <t>CL074</t>
  </si>
  <si>
    <t>C075</t>
  </si>
  <si>
    <t>CL075</t>
  </si>
  <si>
    <t>C076</t>
  </si>
  <si>
    <t>CL076</t>
  </si>
  <si>
    <t>C077</t>
  </si>
  <si>
    <t>CL077</t>
  </si>
  <si>
    <t>C078</t>
  </si>
  <si>
    <t>CL078</t>
  </si>
  <si>
    <t>C079</t>
  </si>
  <si>
    <t>CL079</t>
  </si>
  <si>
    <t>C080</t>
  </si>
  <si>
    <t>CL080</t>
  </si>
  <si>
    <t>C081</t>
  </si>
  <si>
    <t>CL081</t>
  </si>
  <si>
    <t>C082</t>
  </si>
  <si>
    <t>CL082</t>
  </si>
  <si>
    <t>C083</t>
  </si>
  <si>
    <t>CL083</t>
  </si>
  <si>
    <t>C084</t>
  </si>
  <si>
    <t>CL084</t>
  </si>
  <si>
    <t>C085</t>
  </si>
  <si>
    <t>CL085</t>
  </si>
  <si>
    <t>C086</t>
  </si>
  <si>
    <t>CL086</t>
  </si>
  <si>
    <t>C087</t>
  </si>
  <si>
    <t>CL087</t>
  </si>
  <si>
    <t>C088</t>
  </si>
  <si>
    <t>CL088</t>
  </si>
  <si>
    <t>C089</t>
  </si>
  <si>
    <t>CL089</t>
  </si>
  <si>
    <t>C090</t>
  </si>
  <si>
    <t>CL090</t>
  </si>
  <si>
    <t>C091</t>
  </si>
  <si>
    <t>CL091</t>
  </si>
  <si>
    <t>C092</t>
  </si>
  <si>
    <t>CL092</t>
  </si>
  <si>
    <t>C093</t>
  </si>
  <si>
    <t>CL093</t>
  </si>
  <si>
    <t>C094</t>
  </si>
  <si>
    <t>CL094</t>
  </si>
  <si>
    <t>C095</t>
  </si>
  <si>
    <t>CL095</t>
  </si>
  <si>
    <t>C096</t>
  </si>
  <si>
    <t>CL096</t>
  </si>
  <si>
    <t>C097</t>
  </si>
  <si>
    <t>CL097</t>
  </si>
  <si>
    <t>C098</t>
  </si>
  <si>
    <t>CL098</t>
  </si>
  <si>
    <t>C099</t>
  </si>
  <si>
    <t>CL099</t>
  </si>
  <si>
    <t>C100</t>
  </si>
  <si>
    <t>CL100</t>
  </si>
  <si>
    <t>C101</t>
  </si>
  <si>
    <t>CL101</t>
  </si>
  <si>
    <t>C102</t>
  </si>
  <si>
    <t>CL102</t>
  </si>
  <si>
    <t>C103</t>
  </si>
  <si>
    <t>CL103</t>
  </si>
  <si>
    <t>C104</t>
  </si>
  <si>
    <t>CL104</t>
  </si>
  <si>
    <t>C105</t>
  </si>
  <si>
    <t>CL105</t>
  </si>
  <si>
    <t>C106</t>
  </si>
  <si>
    <t>CL106</t>
  </si>
  <si>
    <t>C107</t>
  </si>
  <si>
    <t>CL107</t>
  </si>
  <si>
    <t>C108</t>
  </si>
  <si>
    <t>CL108</t>
  </si>
  <si>
    <t>C109</t>
  </si>
  <si>
    <t>CL109</t>
  </si>
  <si>
    <t>C110</t>
  </si>
  <si>
    <t>CL110</t>
  </si>
  <si>
    <t>C111</t>
  </si>
  <si>
    <t>CL111</t>
  </si>
  <si>
    <t>C112</t>
  </si>
  <si>
    <t>CL112</t>
  </si>
  <si>
    <t>C113</t>
  </si>
  <si>
    <t>CL113</t>
  </si>
  <si>
    <t>C114</t>
  </si>
  <si>
    <t>CL114</t>
  </si>
  <si>
    <t>C115</t>
  </si>
  <si>
    <t>CL115</t>
  </si>
  <si>
    <t>C116</t>
  </si>
  <si>
    <t>CL116</t>
  </si>
  <si>
    <t>C117</t>
  </si>
  <si>
    <t>CL117</t>
  </si>
  <si>
    <t>C118</t>
  </si>
  <si>
    <t>CL118</t>
  </si>
  <si>
    <t>C119</t>
  </si>
  <si>
    <t>CL119</t>
  </si>
  <si>
    <t>C120</t>
  </si>
  <si>
    <t>CL120</t>
  </si>
  <si>
    <t>C121</t>
  </si>
  <si>
    <t>CL121</t>
  </si>
  <si>
    <t>C122</t>
  </si>
  <si>
    <t>CL122</t>
  </si>
  <si>
    <t>C123</t>
  </si>
  <si>
    <t>CL123</t>
  </si>
  <si>
    <t>C124</t>
  </si>
  <si>
    <t>CL124</t>
  </si>
  <si>
    <t>C125</t>
  </si>
  <si>
    <t>CL125</t>
  </si>
  <si>
    <t>C126</t>
  </si>
  <si>
    <t>CL126</t>
  </si>
  <si>
    <t>C127</t>
  </si>
  <si>
    <t>CL127</t>
  </si>
  <si>
    <t>C128</t>
  </si>
  <si>
    <t>CL128</t>
  </si>
  <si>
    <t>C129</t>
  </si>
  <si>
    <t>CL129</t>
  </si>
  <si>
    <t>C130</t>
  </si>
  <si>
    <t>CL130</t>
  </si>
  <si>
    <t>C131</t>
  </si>
  <si>
    <t>CL131</t>
  </si>
  <si>
    <t>C132</t>
  </si>
  <si>
    <t>CL132</t>
  </si>
  <si>
    <t>C133</t>
  </si>
  <si>
    <t>CL133</t>
  </si>
  <si>
    <t>C134</t>
  </si>
  <si>
    <t>CL134</t>
  </si>
  <si>
    <t>C135</t>
  </si>
  <si>
    <t>CL135</t>
  </si>
  <si>
    <t>C136</t>
  </si>
  <si>
    <t>CL136</t>
  </si>
  <si>
    <t>C137</t>
  </si>
  <si>
    <t>CL137</t>
  </si>
  <si>
    <t>C138</t>
  </si>
  <si>
    <t>CL138</t>
  </si>
  <si>
    <t>C139</t>
  </si>
  <si>
    <t>CL139</t>
  </si>
  <si>
    <t>C140</t>
  </si>
  <si>
    <t>CL140</t>
  </si>
  <si>
    <t>C141</t>
  </si>
  <si>
    <t>CL141</t>
  </si>
  <si>
    <t>C142</t>
  </si>
  <si>
    <t>CL142</t>
  </si>
  <si>
    <t>C143</t>
  </si>
  <si>
    <t>CL143</t>
  </si>
  <si>
    <t>C144</t>
  </si>
  <si>
    <t>CL144</t>
  </si>
  <si>
    <t>C145</t>
  </si>
  <si>
    <t>CL145</t>
  </si>
  <si>
    <t>C146</t>
  </si>
  <si>
    <t>CL146</t>
  </si>
  <si>
    <t>C147</t>
  </si>
  <si>
    <t>CL147</t>
  </si>
  <si>
    <t>C148</t>
  </si>
  <si>
    <t>CL148</t>
  </si>
  <si>
    <t>C149</t>
  </si>
  <si>
    <t>CL149</t>
  </si>
  <si>
    <t>C150</t>
  </si>
  <si>
    <t>CL150</t>
  </si>
  <si>
    <t>C151</t>
  </si>
  <si>
    <t>CL151</t>
  </si>
  <si>
    <t>C152</t>
  </si>
  <si>
    <t>CL152</t>
  </si>
  <si>
    <t>C153</t>
  </si>
  <si>
    <t>CL153</t>
  </si>
  <si>
    <t>C154</t>
  </si>
  <si>
    <t>CL154</t>
  </si>
  <si>
    <t>C155</t>
  </si>
  <si>
    <t>CL155</t>
  </si>
  <si>
    <t>C156</t>
  </si>
  <si>
    <t>CL156</t>
  </si>
  <si>
    <t>C157</t>
  </si>
  <si>
    <t>CL157</t>
  </si>
  <si>
    <t>C158</t>
  </si>
  <si>
    <t>CL158</t>
  </si>
  <si>
    <t>C159</t>
  </si>
  <si>
    <t>CL159</t>
  </si>
  <si>
    <t>C160</t>
  </si>
  <si>
    <t>CL160</t>
  </si>
  <si>
    <t>C161</t>
  </si>
  <si>
    <t>CL161</t>
  </si>
  <si>
    <t>C162</t>
  </si>
  <si>
    <t>CL162</t>
  </si>
  <si>
    <t>C163</t>
  </si>
  <si>
    <t>CL163</t>
  </si>
  <si>
    <t>C164</t>
  </si>
  <si>
    <t>CL164</t>
  </si>
  <si>
    <t>C165</t>
  </si>
  <si>
    <t>CL165</t>
  </si>
  <si>
    <t>C166</t>
  </si>
  <si>
    <t>CL166</t>
  </si>
  <si>
    <t>C167</t>
  </si>
  <si>
    <t>CL167</t>
  </si>
  <si>
    <t>C168</t>
  </si>
  <si>
    <t>CL168</t>
  </si>
  <si>
    <t>C169</t>
  </si>
  <si>
    <t>CL169</t>
  </si>
  <si>
    <t>C170</t>
  </si>
  <si>
    <t>CL170</t>
  </si>
  <si>
    <t>C171</t>
  </si>
  <si>
    <t>CL171</t>
  </si>
  <si>
    <t>C172</t>
  </si>
  <si>
    <t>CL172</t>
  </si>
  <si>
    <t>C173</t>
  </si>
  <si>
    <t>CL173</t>
  </si>
  <si>
    <t>C174</t>
  </si>
  <si>
    <t>CL174</t>
  </si>
  <si>
    <t>C175</t>
  </si>
  <si>
    <t>CL175</t>
  </si>
  <si>
    <t>C176</t>
  </si>
  <si>
    <t>CL176</t>
  </si>
  <si>
    <t>C177</t>
  </si>
  <si>
    <t>CL177</t>
  </si>
  <si>
    <t>C178</t>
  </si>
  <si>
    <t>CL178</t>
  </si>
  <si>
    <t>C179</t>
  </si>
  <si>
    <t>CL179</t>
  </si>
  <si>
    <t>C180</t>
  </si>
  <si>
    <t>CL180</t>
  </si>
  <si>
    <t>C181</t>
  </si>
  <si>
    <t>CL181</t>
  </si>
  <si>
    <t>C182</t>
  </si>
  <si>
    <t>CL182</t>
  </si>
  <si>
    <t>C183</t>
  </si>
  <si>
    <t>CL183</t>
  </si>
  <si>
    <t>C184</t>
  </si>
  <si>
    <t>CL184</t>
  </si>
  <si>
    <t>C185</t>
  </si>
  <si>
    <t>CL185</t>
  </si>
  <si>
    <t>C186</t>
  </si>
  <si>
    <t>CL186</t>
  </si>
  <si>
    <t>C187</t>
  </si>
  <si>
    <t>CL187</t>
  </si>
  <si>
    <t>C188</t>
  </si>
  <si>
    <t>CL188</t>
  </si>
  <si>
    <t>C189</t>
  </si>
  <si>
    <t>CL189</t>
  </si>
  <si>
    <t>C190</t>
  </si>
  <si>
    <t>CL190</t>
  </si>
  <si>
    <t>C191</t>
  </si>
  <si>
    <t>CL191</t>
  </si>
  <si>
    <t>C192</t>
  </si>
  <si>
    <t>CL192</t>
  </si>
  <si>
    <t>C193</t>
  </si>
  <si>
    <t>CL193</t>
  </si>
  <si>
    <t>C194</t>
  </si>
  <si>
    <t>CL194</t>
  </si>
  <si>
    <t>C195</t>
  </si>
  <si>
    <t>CL195</t>
  </si>
  <si>
    <t>C196</t>
  </si>
  <si>
    <t>CL196</t>
  </si>
  <si>
    <t>C197</t>
  </si>
  <si>
    <t>CL197</t>
  </si>
  <si>
    <t>C198</t>
  </si>
  <si>
    <t>CL198</t>
  </si>
  <si>
    <t>C199</t>
  </si>
  <si>
    <t>CL199</t>
  </si>
  <si>
    <t>C200</t>
  </si>
  <si>
    <t>CL200</t>
  </si>
  <si>
    <t>C201</t>
  </si>
  <si>
    <t>CL201</t>
  </si>
  <si>
    <t>C202</t>
  </si>
  <si>
    <t>CL202</t>
  </si>
  <si>
    <t>C203</t>
  </si>
  <si>
    <t>CL203</t>
  </si>
  <si>
    <t>C204</t>
  </si>
  <si>
    <t>CL204</t>
  </si>
  <si>
    <t>C205</t>
  </si>
  <si>
    <t>CL205</t>
  </si>
  <si>
    <t>C206</t>
  </si>
  <si>
    <t>CL206</t>
  </si>
  <si>
    <t>C207</t>
  </si>
  <si>
    <t>CL207</t>
  </si>
  <si>
    <t>C208</t>
  </si>
  <si>
    <t>CL208</t>
  </si>
  <si>
    <t>C209</t>
  </si>
  <si>
    <t>CL209</t>
  </si>
  <si>
    <t>C210</t>
  </si>
  <si>
    <t>CL210</t>
  </si>
  <si>
    <t>C211</t>
  </si>
  <si>
    <t>CL211</t>
  </si>
  <si>
    <t>C212</t>
  </si>
  <si>
    <t>CL212</t>
  </si>
  <si>
    <t>C213</t>
  </si>
  <si>
    <t>CL213</t>
  </si>
  <si>
    <t>C214</t>
  </si>
  <si>
    <t>CL214</t>
  </si>
  <si>
    <t>C215</t>
  </si>
  <si>
    <t>CL215</t>
  </si>
  <si>
    <t>C216</t>
  </si>
  <si>
    <t>CL216</t>
  </si>
  <si>
    <t>C217</t>
  </si>
  <si>
    <t>CL217</t>
  </si>
  <si>
    <t>C218</t>
  </si>
  <si>
    <t>CL218</t>
  </si>
  <si>
    <t>C219</t>
  </si>
  <si>
    <t>CL219</t>
  </si>
  <si>
    <t>C220</t>
  </si>
  <si>
    <t>CL220</t>
  </si>
  <si>
    <t>C221</t>
  </si>
  <si>
    <t>CL221</t>
  </si>
  <si>
    <t>C222</t>
  </si>
  <si>
    <t>CL222</t>
  </si>
  <si>
    <t>C223</t>
  </si>
  <si>
    <t>CL223</t>
  </si>
  <si>
    <t>C224</t>
  </si>
  <si>
    <t>CL224</t>
  </si>
  <si>
    <t>C225</t>
  </si>
  <si>
    <t>CL225</t>
  </si>
  <si>
    <t>C226</t>
  </si>
  <si>
    <t>CL226</t>
  </si>
  <si>
    <t>C227</t>
  </si>
  <si>
    <t>CL227</t>
  </si>
  <si>
    <t>C228</t>
  </si>
  <si>
    <t>CL228</t>
  </si>
  <si>
    <t>C229</t>
  </si>
  <si>
    <t>CL229</t>
  </si>
  <si>
    <t>C230</t>
  </si>
  <si>
    <t>CL230</t>
  </si>
  <si>
    <t>C231</t>
  </si>
  <si>
    <t>CL231</t>
  </si>
  <si>
    <t>C232</t>
  </si>
  <si>
    <t>CL232</t>
  </si>
  <si>
    <t>C233</t>
  </si>
  <si>
    <t>CL233</t>
  </si>
  <si>
    <t>C234</t>
  </si>
  <si>
    <t>CL234</t>
  </si>
  <si>
    <t>C235</t>
  </si>
  <si>
    <t>CL235</t>
  </si>
  <si>
    <t>C236</t>
  </si>
  <si>
    <t>CL236</t>
  </si>
  <si>
    <t>C237</t>
  </si>
  <si>
    <t>CL237</t>
  </si>
  <si>
    <t>C238</t>
  </si>
  <si>
    <t>CL238</t>
  </si>
  <si>
    <t>C239</t>
  </si>
  <si>
    <t>CL239</t>
  </si>
  <si>
    <t>C240</t>
  </si>
  <si>
    <t>CL240</t>
  </si>
  <si>
    <t>C241</t>
  </si>
  <si>
    <t>CL241</t>
  </si>
  <si>
    <t>C242</t>
  </si>
  <si>
    <t>CL242</t>
  </si>
  <si>
    <t>C243</t>
  </si>
  <si>
    <t>CL243</t>
  </si>
  <si>
    <t>C244</t>
  </si>
  <si>
    <t>CL244</t>
  </si>
  <si>
    <t>C245</t>
  </si>
  <si>
    <t>CL245</t>
  </si>
  <si>
    <t>C246</t>
  </si>
  <si>
    <t>CL246</t>
  </si>
  <si>
    <t>C247</t>
  </si>
  <si>
    <t>CL247</t>
  </si>
  <si>
    <t>C248</t>
  </si>
  <si>
    <t>CL248</t>
  </si>
  <si>
    <t>C249</t>
  </si>
  <si>
    <t>CL249</t>
  </si>
  <si>
    <t>C250</t>
  </si>
  <si>
    <t>CL250</t>
  </si>
  <si>
    <t>C251</t>
  </si>
  <si>
    <t>CL251</t>
  </si>
  <si>
    <t>C252</t>
  </si>
  <si>
    <t>CL252</t>
  </si>
  <si>
    <t>C253</t>
  </si>
  <si>
    <t>CL253</t>
  </si>
  <si>
    <t>C254</t>
  </si>
  <si>
    <t>CL254</t>
  </si>
  <si>
    <t>C255</t>
  </si>
  <si>
    <t>CL255</t>
  </si>
  <si>
    <t>C256</t>
  </si>
  <si>
    <t>CL256</t>
  </si>
  <si>
    <t>C257</t>
  </si>
  <si>
    <t>CL257</t>
  </si>
  <si>
    <t>C258</t>
  </si>
  <si>
    <t>CL258</t>
  </si>
  <si>
    <t>C259</t>
  </si>
  <si>
    <t>CL259</t>
  </si>
  <si>
    <t>C260</t>
  </si>
  <si>
    <t>CL260</t>
  </si>
  <si>
    <t>C261</t>
  </si>
  <si>
    <t>CL261</t>
  </si>
  <si>
    <t>C262</t>
  </si>
  <si>
    <t>CL262</t>
  </si>
  <si>
    <t>C263</t>
  </si>
  <si>
    <t>CL263</t>
  </si>
  <si>
    <t>C264</t>
  </si>
  <si>
    <t>CL264</t>
  </si>
  <si>
    <t>C265</t>
  </si>
  <si>
    <t>CL265</t>
  </si>
  <si>
    <t>C266</t>
  </si>
  <si>
    <t>CL266</t>
  </si>
  <si>
    <t>C267</t>
  </si>
  <si>
    <t>CL267</t>
  </si>
  <si>
    <t>C268</t>
  </si>
  <si>
    <t>CL268</t>
  </si>
  <si>
    <t>C269</t>
  </si>
  <si>
    <t>CL269</t>
  </si>
  <si>
    <t>C270</t>
  </si>
  <si>
    <t>CL270</t>
  </si>
  <si>
    <t>C271</t>
  </si>
  <si>
    <t>CL271</t>
  </si>
  <si>
    <t>C272</t>
  </si>
  <si>
    <t>CL272</t>
  </si>
  <si>
    <t>C273</t>
  </si>
  <si>
    <t>CL273</t>
  </si>
  <si>
    <t>C274</t>
  </si>
  <si>
    <t>CL274</t>
  </si>
  <si>
    <t>C275</t>
  </si>
  <si>
    <t>CL275</t>
  </si>
  <si>
    <t>C276</t>
  </si>
  <si>
    <t>CL276</t>
  </si>
  <si>
    <t>C277</t>
  </si>
  <si>
    <t>CL277</t>
  </si>
  <si>
    <t>C278</t>
  </si>
  <si>
    <t>CL278</t>
  </si>
  <si>
    <t>C279</t>
  </si>
  <si>
    <t>CL279</t>
  </si>
  <si>
    <t>C280</t>
  </si>
  <si>
    <t>CL280</t>
  </si>
  <si>
    <t>C281</t>
  </si>
  <si>
    <t>CL281</t>
  </si>
  <si>
    <t>C282</t>
  </si>
  <si>
    <t>CL282</t>
  </si>
  <si>
    <t>C283</t>
  </si>
  <si>
    <t>CL283</t>
  </si>
  <si>
    <t>C284</t>
  </si>
  <si>
    <t>CL284</t>
  </si>
  <si>
    <t>C285</t>
  </si>
  <si>
    <t>CL285</t>
  </si>
  <si>
    <t>C286</t>
  </si>
  <si>
    <t>CL286</t>
  </si>
  <si>
    <t>C287</t>
  </si>
  <si>
    <t>CL287</t>
  </si>
  <si>
    <t>C288</t>
  </si>
  <si>
    <t>CL288</t>
  </si>
  <si>
    <t>C289</t>
  </si>
  <si>
    <t>CL289</t>
  </si>
  <si>
    <t>C290</t>
  </si>
  <si>
    <t>CL290</t>
  </si>
  <si>
    <t>C291</t>
  </si>
  <si>
    <t>CL291</t>
  </si>
  <si>
    <t>C292</t>
  </si>
  <si>
    <t>CL292</t>
  </si>
  <si>
    <t>C293</t>
  </si>
  <si>
    <t>CL293</t>
  </si>
  <si>
    <t>C294</t>
  </si>
  <si>
    <t>CL294</t>
  </si>
  <si>
    <t>C295</t>
  </si>
  <si>
    <t>CL295</t>
  </si>
  <si>
    <t>C296</t>
  </si>
  <si>
    <t>CL296</t>
  </si>
  <si>
    <t>C297</t>
  </si>
  <si>
    <t>CL297</t>
  </si>
  <si>
    <t>C298</t>
  </si>
  <si>
    <t>CL298</t>
  </si>
  <si>
    <t>C299</t>
  </si>
  <si>
    <t>CL299</t>
  </si>
  <si>
    <t>C300</t>
  </si>
  <si>
    <t>CL300</t>
  </si>
  <si>
    <t>C301</t>
  </si>
  <si>
    <t>CL301</t>
  </si>
  <si>
    <t>C302</t>
  </si>
  <si>
    <t>CL302</t>
  </si>
  <si>
    <t>C303</t>
  </si>
  <si>
    <t>CL303</t>
  </si>
  <si>
    <t>C304</t>
  </si>
  <si>
    <t>CL304</t>
  </si>
  <si>
    <t>C305</t>
  </si>
  <si>
    <t>CL305</t>
  </si>
  <si>
    <t>C306</t>
  </si>
  <si>
    <t>CL306</t>
  </si>
  <si>
    <t>C307</t>
  </si>
  <si>
    <t>CL307</t>
  </si>
  <si>
    <t>C308</t>
  </si>
  <si>
    <t>CL308</t>
  </si>
  <si>
    <t>C309</t>
  </si>
  <si>
    <t>CL309</t>
  </si>
  <si>
    <t>C310</t>
  </si>
  <si>
    <t>CL310</t>
  </si>
  <si>
    <t>C311</t>
  </si>
  <si>
    <t>CL311</t>
  </si>
  <si>
    <t>C312</t>
  </si>
  <si>
    <t>CL312</t>
  </si>
  <si>
    <t>C313</t>
  </si>
  <si>
    <t>CL313</t>
  </si>
  <si>
    <t>C314</t>
  </si>
  <si>
    <t>CL314</t>
  </si>
  <si>
    <t>C315</t>
  </si>
  <si>
    <t>CL315</t>
  </si>
  <si>
    <t>C316</t>
  </si>
  <si>
    <t>CL316</t>
  </si>
  <si>
    <t>C317</t>
  </si>
  <si>
    <t>CL317</t>
  </si>
  <si>
    <t>C318</t>
  </si>
  <si>
    <t>CL318</t>
  </si>
  <si>
    <t>C319</t>
  </si>
  <si>
    <t>CL319</t>
  </si>
  <si>
    <t>C320</t>
  </si>
  <si>
    <t>CL320</t>
  </si>
  <si>
    <t>C321</t>
  </si>
  <si>
    <t>CL321</t>
  </si>
  <si>
    <t>C322</t>
  </si>
  <si>
    <t>CL322</t>
  </si>
  <si>
    <t>C323</t>
  </si>
  <si>
    <t>CL323</t>
  </si>
  <si>
    <t>C324</t>
  </si>
  <si>
    <t>CL324</t>
  </si>
  <si>
    <t>C325</t>
  </si>
  <si>
    <t>CL325</t>
  </si>
  <si>
    <t>C326</t>
  </si>
  <si>
    <t>CL326</t>
  </si>
  <si>
    <t>C327</t>
  </si>
  <si>
    <t>CL327</t>
  </si>
  <si>
    <t>C328</t>
  </si>
  <si>
    <t>CL328</t>
  </si>
  <si>
    <t>C329</t>
  </si>
  <si>
    <t>CL329</t>
  </si>
  <si>
    <t>C330</t>
  </si>
  <si>
    <t>CL330</t>
  </si>
  <si>
    <t>C331</t>
  </si>
  <si>
    <t>CL331</t>
  </si>
  <si>
    <t>C332</t>
  </si>
  <si>
    <t>CL332</t>
  </si>
  <si>
    <t>C333</t>
  </si>
  <si>
    <t>CL333</t>
  </si>
  <si>
    <t>C334</t>
  </si>
  <si>
    <t>CL334</t>
  </si>
  <si>
    <t>C335</t>
  </si>
  <si>
    <t>CL335</t>
  </si>
  <si>
    <t>C336</t>
  </si>
  <si>
    <t>CL336</t>
  </si>
  <si>
    <t>C337</t>
  </si>
  <si>
    <t>CL337</t>
  </si>
  <si>
    <t>C338</t>
  </si>
  <si>
    <t>CL338</t>
  </si>
  <si>
    <t>C339</t>
  </si>
  <si>
    <t>CL339</t>
  </si>
  <si>
    <t>C340</t>
  </si>
  <si>
    <t>CL340</t>
  </si>
  <si>
    <t>C341</t>
  </si>
  <si>
    <t>CL341</t>
  </si>
  <si>
    <t>C342</t>
  </si>
  <si>
    <t>CL342</t>
  </si>
  <si>
    <t>C343</t>
  </si>
  <si>
    <t>CL343</t>
  </si>
  <si>
    <t>C344</t>
  </si>
  <si>
    <t>CL344</t>
  </si>
  <si>
    <t>C345</t>
  </si>
  <si>
    <t>CL345</t>
  </si>
  <si>
    <t>C346</t>
  </si>
  <si>
    <t>CL346</t>
  </si>
  <si>
    <t>C347</t>
  </si>
  <si>
    <t>CL347</t>
  </si>
  <si>
    <t>C348</t>
  </si>
  <si>
    <t>CL348</t>
  </si>
  <si>
    <t>C349</t>
  </si>
  <si>
    <t>CL349</t>
  </si>
  <si>
    <t>C350</t>
  </si>
  <si>
    <t>CL350</t>
  </si>
  <si>
    <t>C351</t>
  </si>
  <si>
    <t>CL351</t>
  </si>
  <si>
    <t>C352</t>
  </si>
  <si>
    <t>CL352</t>
  </si>
  <si>
    <t>C353</t>
  </si>
  <si>
    <t>CL353</t>
  </si>
  <si>
    <t>C354</t>
  </si>
  <si>
    <t>CL354</t>
  </si>
  <si>
    <t>C355</t>
  </si>
  <si>
    <t>CL355</t>
  </si>
  <si>
    <t>C356</t>
  </si>
  <si>
    <t>CL356</t>
  </si>
  <si>
    <t>C357</t>
  </si>
  <si>
    <t>CL357</t>
  </si>
  <si>
    <t>C358</t>
  </si>
  <si>
    <t>CL358</t>
  </si>
  <si>
    <t>C359</t>
  </si>
  <si>
    <t>CL359</t>
  </si>
  <si>
    <t>C360</t>
  </si>
  <si>
    <t>CL360</t>
  </si>
  <si>
    <t>C361</t>
  </si>
  <si>
    <t>CL361</t>
  </si>
  <si>
    <t>C362</t>
  </si>
  <si>
    <t>CL362</t>
  </si>
  <si>
    <t>C363</t>
  </si>
  <si>
    <t>CL363</t>
  </si>
  <si>
    <t>C364</t>
  </si>
  <si>
    <t>CL364</t>
  </si>
  <si>
    <t>C365</t>
  </si>
  <si>
    <t>CL365</t>
  </si>
  <si>
    <t>C366</t>
  </si>
  <si>
    <t>CL366</t>
  </si>
  <si>
    <t>C367</t>
  </si>
  <si>
    <t>CL367</t>
  </si>
  <si>
    <t>C368</t>
  </si>
  <si>
    <t>CL368</t>
  </si>
  <si>
    <t>C369</t>
  </si>
  <si>
    <t>CL369</t>
  </si>
  <si>
    <t>C370</t>
  </si>
  <si>
    <t>CL370</t>
  </si>
  <si>
    <t>C371</t>
  </si>
  <si>
    <t>CL371</t>
  </si>
  <si>
    <t>C372</t>
  </si>
  <si>
    <t>CL372</t>
  </si>
  <si>
    <t>C373</t>
  </si>
  <si>
    <t>CL373</t>
  </si>
  <si>
    <t>C374</t>
  </si>
  <si>
    <t>CL374</t>
  </si>
  <si>
    <t>C375</t>
  </si>
  <si>
    <t>CL375</t>
  </si>
  <si>
    <t>C376</t>
  </si>
  <si>
    <t>CL376</t>
  </si>
  <si>
    <t>C377</t>
  </si>
  <si>
    <t>CL377</t>
  </si>
  <si>
    <t>C378</t>
  </si>
  <si>
    <t>CL378</t>
  </si>
  <si>
    <t>C379</t>
  </si>
  <si>
    <t>CL379</t>
  </si>
  <si>
    <t>C380</t>
  </si>
  <si>
    <t>CL380</t>
  </si>
  <si>
    <t>C381</t>
  </si>
  <si>
    <t>CL381</t>
  </si>
  <si>
    <t>C382</t>
  </si>
  <si>
    <t>CL382</t>
  </si>
  <si>
    <t>C383</t>
  </si>
  <si>
    <t>CL383</t>
  </si>
  <si>
    <t>C384</t>
  </si>
  <si>
    <t>CL384</t>
  </si>
  <si>
    <t>C385</t>
  </si>
  <si>
    <t>CL385</t>
  </si>
  <si>
    <t>C386</t>
  </si>
  <si>
    <t>CL386</t>
  </si>
  <si>
    <t>C387</t>
  </si>
  <si>
    <t>CL387</t>
  </si>
  <si>
    <t>C388</t>
  </si>
  <si>
    <t>CL388</t>
  </si>
  <si>
    <t>C389</t>
  </si>
  <si>
    <t>CL389</t>
  </si>
  <si>
    <t>C390</t>
  </si>
  <si>
    <t>CL390</t>
  </si>
  <si>
    <t>C391</t>
  </si>
  <si>
    <t>CL391</t>
  </si>
  <si>
    <t>C392</t>
  </si>
  <si>
    <t>CL392</t>
  </si>
  <si>
    <t>C393</t>
  </si>
  <si>
    <t>CL393</t>
  </si>
  <si>
    <t>C394</t>
  </si>
  <si>
    <t>CL394</t>
  </si>
  <si>
    <t>C395</t>
  </si>
  <si>
    <t>CL395</t>
  </si>
  <si>
    <t>C396</t>
  </si>
  <si>
    <t>CL396</t>
  </si>
  <si>
    <t>C397</t>
  </si>
  <si>
    <t>CL397</t>
  </si>
  <si>
    <t>C398</t>
  </si>
  <si>
    <t>CL398</t>
  </si>
  <si>
    <t>C399</t>
  </si>
  <si>
    <t>CL399</t>
  </si>
  <si>
    <t>C400</t>
  </si>
  <si>
    <t>CL400</t>
  </si>
  <si>
    <t>C401</t>
  </si>
  <si>
    <t>CL401</t>
  </si>
  <si>
    <t>C402</t>
  </si>
  <si>
    <t>CL402</t>
  </si>
  <si>
    <t>C403</t>
  </si>
  <si>
    <t>CL403</t>
  </si>
  <si>
    <t>C404</t>
  </si>
  <si>
    <t>CL404</t>
  </si>
  <si>
    <t>C405</t>
  </si>
  <si>
    <t>CL405</t>
  </si>
  <si>
    <t>C406</t>
  </si>
  <si>
    <t>CL406</t>
  </si>
  <si>
    <t>C407</t>
  </si>
  <si>
    <t>CL407</t>
  </si>
  <si>
    <t>C408</t>
  </si>
  <si>
    <t>CL408</t>
  </si>
  <si>
    <t>C409</t>
  </si>
  <si>
    <t>CL409</t>
  </si>
  <si>
    <t>C410</t>
  </si>
  <si>
    <t>CL410</t>
  </si>
  <si>
    <t>C411</t>
  </si>
  <si>
    <t>CL411</t>
  </si>
  <si>
    <t>C412</t>
  </si>
  <si>
    <t>CL412</t>
  </si>
  <si>
    <t>C413</t>
  </si>
  <si>
    <t>CL413</t>
  </si>
  <si>
    <t>C414</t>
  </si>
  <si>
    <t>CL414</t>
  </si>
  <si>
    <t>C415</t>
  </si>
  <si>
    <t>CL415</t>
  </si>
  <si>
    <t>C416</t>
  </si>
  <si>
    <t>CL416</t>
  </si>
  <si>
    <t>C417</t>
  </si>
  <si>
    <t>CL417</t>
  </si>
  <si>
    <t>C418</t>
  </si>
  <si>
    <t>CL418</t>
  </si>
  <si>
    <t>C419</t>
  </si>
  <si>
    <t>CL419</t>
  </si>
  <si>
    <t>C420</t>
  </si>
  <si>
    <t>CL420</t>
  </si>
  <si>
    <t>C421</t>
  </si>
  <si>
    <t>CL421</t>
  </si>
  <si>
    <t>C422</t>
  </si>
  <si>
    <t>CL422</t>
  </si>
  <si>
    <t>C423</t>
  </si>
  <si>
    <t>CL423</t>
  </si>
  <si>
    <t>C424</t>
  </si>
  <si>
    <t>CL424</t>
  </si>
  <si>
    <t>C425</t>
  </si>
  <si>
    <t>CL425</t>
  </si>
  <si>
    <t>C426</t>
  </si>
  <si>
    <t>CL426</t>
  </si>
  <si>
    <t>C427</t>
  </si>
  <si>
    <t>CL427</t>
  </si>
  <si>
    <t>C428</t>
  </si>
  <si>
    <t>CL428</t>
  </si>
  <si>
    <t>C429</t>
  </si>
  <si>
    <t>CL429</t>
  </si>
  <si>
    <t>C430</t>
  </si>
  <si>
    <t>CL430</t>
  </si>
  <si>
    <t>C431</t>
  </si>
  <si>
    <t>CL431</t>
  </si>
  <si>
    <t>C432</t>
  </si>
  <si>
    <t>CL432</t>
  </si>
  <si>
    <t>C433</t>
  </si>
  <si>
    <t>CL433</t>
  </si>
  <si>
    <t>C434</t>
  </si>
  <si>
    <t>CL434</t>
  </si>
  <si>
    <t>C435</t>
  </si>
  <si>
    <t>CL435</t>
  </si>
  <si>
    <t>C436</t>
  </si>
  <si>
    <t>CL436</t>
  </si>
  <si>
    <t>C437</t>
  </si>
  <si>
    <t>CL437</t>
  </si>
  <si>
    <t>C438</t>
  </si>
  <si>
    <t>CL438</t>
  </si>
  <si>
    <t>C439</t>
  </si>
  <si>
    <t>CL439</t>
  </si>
  <si>
    <t>C440</t>
  </si>
  <si>
    <t>CL440</t>
  </si>
  <si>
    <t>C441</t>
  </si>
  <si>
    <t>CL441</t>
  </si>
  <si>
    <t>C442</t>
  </si>
  <si>
    <t>CL442</t>
  </si>
  <si>
    <t>C443</t>
  </si>
  <si>
    <t>CL443</t>
  </si>
  <si>
    <t>C444</t>
  </si>
  <si>
    <t>CL444</t>
  </si>
  <si>
    <t>C445</t>
  </si>
  <si>
    <t>CL445</t>
  </si>
  <si>
    <t>C446</t>
  </si>
  <si>
    <t>CL446</t>
  </si>
  <si>
    <t>C447</t>
  </si>
  <si>
    <t>CL447</t>
  </si>
  <si>
    <t>C448</t>
  </si>
  <si>
    <t>CL448</t>
  </si>
  <si>
    <t>C449</t>
  </si>
  <si>
    <t>CL449</t>
  </si>
  <si>
    <t>C450</t>
  </si>
  <si>
    <t>CL450</t>
  </si>
  <si>
    <t>C451</t>
  </si>
  <si>
    <t>CL451</t>
  </si>
  <si>
    <t>C452</t>
  </si>
  <si>
    <t>CL452</t>
  </si>
  <si>
    <t>C453</t>
  </si>
  <si>
    <t>CL453</t>
  </si>
  <si>
    <t>C454</t>
  </si>
  <si>
    <t>CL454</t>
  </si>
  <si>
    <t>C455</t>
  </si>
  <si>
    <t>CL455</t>
  </si>
  <si>
    <t>C456</t>
  </si>
  <si>
    <t>CL456</t>
  </si>
  <si>
    <t>C457</t>
  </si>
  <si>
    <t>CL457</t>
  </si>
  <si>
    <t>C458</t>
  </si>
  <si>
    <t>CL458</t>
  </si>
  <si>
    <t>C459</t>
  </si>
  <si>
    <t>CL459</t>
  </si>
  <si>
    <t>C460</t>
  </si>
  <si>
    <t>CL460</t>
  </si>
  <si>
    <t>C461</t>
  </si>
  <si>
    <t>CL461</t>
  </si>
  <si>
    <t>C462</t>
  </si>
  <si>
    <t>CL462</t>
  </si>
  <si>
    <t>C463</t>
  </si>
  <si>
    <t>CL463</t>
  </si>
  <si>
    <t>C464</t>
  </si>
  <si>
    <t>CL464</t>
  </si>
  <si>
    <t>C465</t>
  </si>
  <si>
    <t>CL465</t>
  </si>
  <si>
    <t>C466</t>
  </si>
  <si>
    <t>CL466</t>
  </si>
  <si>
    <t>C467</t>
  </si>
  <si>
    <t>CL467</t>
  </si>
  <si>
    <t>C468</t>
  </si>
  <si>
    <t>CL468</t>
  </si>
  <si>
    <t>C469</t>
  </si>
  <si>
    <t>CL469</t>
  </si>
  <si>
    <t>C470</t>
  </si>
  <si>
    <t>CL470</t>
  </si>
  <si>
    <t>C471</t>
  </si>
  <si>
    <t>CL471</t>
  </si>
  <si>
    <t>C472</t>
  </si>
  <si>
    <t>CL472</t>
  </si>
  <si>
    <t>C473</t>
  </si>
  <si>
    <t>CL473</t>
  </si>
  <si>
    <t>C474</t>
  </si>
  <si>
    <t>CL474</t>
  </si>
  <si>
    <t>C475</t>
  </si>
  <si>
    <t>CL475</t>
  </si>
  <si>
    <t>C476</t>
  </si>
  <si>
    <t>CL476</t>
  </si>
  <si>
    <t>C477</t>
  </si>
  <si>
    <t>CL477</t>
  </si>
  <si>
    <t>C478</t>
  </si>
  <si>
    <t>CL478</t>
  </si>
  <si>
    <t>C479</t>
  </si>
  <si>
    <t>CL479</t>
  </si>
  <si>
    <t>C480</t>
  </si>
  <si>
    <t>CL480</t>
  </si>
  <si>
    <t>C481</t>
  </si>
  <si>
    <t>CL481</t>
  </si>
  <si>
    <t>C482</t>
  </si>
  <si>
    <t>CL482</t>
  </si>
  <si>
    <t>C483</t>
  </si>
  <si>
    <t>CL483</t>
  </si>
  <si>
    <t>C484</t>
  </si>
  <si>
    <t>CL484</t>
  </si>
  <si>
    <t>C485</t>
  </si>
  <si>
    <t>CL485</t>
  </si>
  <si>
    <t>C486</t>
  </si>
  <si>
    <t>CL486</t>
  </si>
  <si>
    <t>C487</t>
  </si>
  <si>
    <t>CL487</t>
  </si>
  <si>
    <t>C488</t>
  </si>
  <si>
    <t>CL488</t>
  </si>
  <si>
    <t>C489</t>
  </si>
  <si>
    <t>CL489</t>
  </si>
  <si>
    <t>C490</t>
  </si>
  <si>
    <t>CL490</t>
  </si>
  <si>
    <t>C491</t>
  </si>
  <si>
    <t>CL491</t>
  </si>
  <si>
    <t>C492</t>
  </si>
  <si>
    <t>CL492</t>
  </si>
  <si>
    <t>C493</t>
  </si>
  <si>
    <t>CL493</t>
  </si>
  <si>
    <t>C494</t>
  </si>
  <si>
    <t>CL494</t>
  </si>
  <si>
    <t>C495</t>
  </si>
  <si>
    <t>CL495</t>
  </si>
  <si>
    <t>C496</t>
  </si>
  <si>
    <t>CL496</t>
  </si>
  <si>
    <t>C497</t>
  </si>
  <si>
    <t>CL497</t>
  </si>
  <si>
    <t>C498</t>
  </si>
  <si>
    <t>CL498</t>
  </si>
  <si>
    <t>C499</t>
  </si>
  <si>
    <t>CL499</t>
  </si>
  <si>
    <t>C500</t>
  </si>
  <si>
    <t>CL500</t>
  </si>
  <si>
    <t>C501</t>
  </si>
  <si>
    <t>CL501</t>
  </si>
  <si>
    <t>C502</t>
  </si>
  <si>
    <t>CL502</t>
  </si>
  <si>
    <t>C503</t>
  </si>
  <si>
    <t>CL503</t>
  </si>
  <si>
    <t>C504</t>
  </si>
  <si>
    <t>CL504</t>
  </si>
  <si>
    <t>C505</t>
  </si>
  <si>
    <t>CL505</t>
  </si>
  <si>
    <t>C506</t>
  </si>
  <si>
    <t>CL506</t>
  </si>
  <si>
    <t>C507</t>
  </si>
  <si>
    <t>CL507</t>
  </si>
  <si>
    <t>C508</t>
  </si>
  <si>
    <t>CL508</t>
  </si>
  <si>
    <t>C509</t>
  </si>
  <si>
    <t>CL509</t>
  </si>
  <si>
    <t>C510</t>
  </si>
  <si>
    <t>CL510</t>
  </si>
  <si>
    <t>C511</t>
  </si>
  <si>
    <t>CL511</t>
  </si>
  <si>
    <t>C512</t>
  </si>
  <si>
    <t>CL512</t>
  </si>
  <si>
    <t>C513</t>
  </si>
  <si>
    <t>CL513</t>
  </si>
  <si>
    <t>C514</t>
  </si>
  <si>
    <t>CL514</t>
  </si>
  <si>
    <t>C515</t>
  </si>
  <si>
    <t>CL515</t>
  </si>
  <si>
    <t>C516</t>
  </si>
  <si>
    <t>CL516</t>
  </si>
  <si>
    <t>C517</t>
  </si>
  <si>
    <t>CL517</t>
  </si>
  <si>
    <t>C518</t>
  </si>
  <si>
    <t>CL518</t>
  </si>
  <si>
    <t>C519</t>
  </si>
  <si>
    <t>CL519</t>
  </si>
  <si>
    <t>C520</t>
  </si>
  <si>
    <t>CL520</t>
  </si>
  <si>
    <t>C521</t>
  </si>
  <si>
    <t>CL521</t>
  </si>
  <si>
    <t>C522</t>
  </si>
  <si>
    <t>CL522</t>
  </si>
  <si>
    <t>C523</t>
  </si>
  <si>
    <t>CL523</t>
  </si>
  <si>
    <t>C524</t>
  </si>
  <si>
    <t>CL524</t>
  </si>
  <si>
    <t>C525</t>
  </si>
  <si>
    <t>CL525</t>
  </si>
  <si>
    <t>C526</t>
  </si>
  <si>
    <t>CL526</t>
  </si>
  <si>
    <t>C527</t>
  </si>
  <si>
    <t>CL527</t>
  </si>
  <si>
    <t>C528</t>
  </si>
  <si>
    <t>CL528</t>
  </si>
  <si>
    <t>C529</t>
  </si>
  <si>
    <t>CL529</t>
  </si>
  <si>
    <t>C530</t>
  </si>
  <si>
    <t>CL530</t>
  </si>
  <si>
    <t>C531</t>
  </si>
  <si>
    <t>CL531</t>
  </si>
  <si>
    <t>C532</t>
  </si>
  <si>
    <t>CL532</t>
  </si>
  <si>
    <t>C533</t>
  </si>
  <si>
    <t>CL533</t>
  </si>
  <si>
    <t>C534</t>
  </si>
  <si>
    <t>CL534</t>
  </si>
  <si>
    <t>C535</t>
  </si>
  <si>
    <t>CL535</t>
  </si>
  <si>
    <t>C536</t>
  </si>
  <si>
    <t>CL536</t>
  </si>
  <si>
    <t>C537</t>
  </si>
  <si>
    <t>CL537</t>
  </si>
  <si>
    <t>C538</t>
  </si>
  <si>
    <t>CL538</t>
  </si>
  <si>
    <t>C539</t>
  </si>
  <si>
    <t>CL539</t>
  </si>
  <si>
    <t>C540</t>
  </si>
  <si>
    <t>CL540</t>
  </si>
  <si>
    <t>C541</t>
  </si>
  <si>
    <t>CL541</t>
  </si>
  <si>
    <t>C542</t>
  </si>
  <si>
    <t>CL542</t>
  </si>
  <si>
    <t>C543</t>
  </si>
  <si>
    <t>CL543</t>
  </si>
  <si>
    <t>C544</t>
  </si>
  <si>
    <t>CL544</t>
  </si>
  <si>
    <t>C545</t>
  </si>
  <si>
    <t>CL545</t>
  </si>
  <si>
    <t>C546</t>
  </si>
  <si>
    <t>CL546</t>
  </si>
  <si>
    <t>C547</t>
  </si>
  <si>
    <t>CL547</t>
  </si>
  <si>
    <t>C548</t>
  </si>
  <si>
    <t>CL548</t>
  </si>
  <si>
    <t>C549</t>
  </si>
  <si>
    <t>CL549</t>
  </si>
  <si>
    <t>C550</t>
  </si>
  <si>
    <t>CL550</t>
  </si>
  <si>
    <t>C551</t>
  </si>
  <si>
    <t>CL551</t>
  </si>
  <si>
    <t>C552</t>
  </si>
  <si>
    <t>CL552</t>
  </si>
  <si>
    <t>C553</t>
  </si>
  <si>
    <t>CL553</t>
  </si>
  <si>
    <t>C554</t>
  </si>
  <si>
    <t>CL554</t>
  </si>
  <si>
    <t>C555</t>
  </si>
  <si>
    <t>CL555</t>
  </si>
  <si>
    <t>C556</t>
  </si>
  <si>
    <t>CL556</t>
  </si>
  <si>
    <t>C557</t>
  </si>
  <si>
    <t>CL557</t>
  </si>
  <si>
    <t>C558</t>
  </si>
  <si>
    <t>CL558</t>
  </si>
  <si>
    <t>C559</t>
  </si>
  <si>
    <t>CL559</t>
  </si>
  <si>
    <t>C560</t>
  </si>
  <si>
    <t>CL560</t>
  </si>
  <si>
    <t>C561</t>
  </si>
  <si>
    <t>CL561</t>
  </si>
  <si>
    <t>C562</t>
  </si>
  <si>
    <t>CL562</t>
  </si>
  <si>
    <t>C563</t>
  </si>
  <si>
    <t>CL563</t>
  </si>
  <si>
    <t>C564</t>
  </si>
  <si>
    <t>CL564</t>
  </si>
  <si>
    <t>C565</t>
  </si>
  <si>
    <t>CL565</t>
  </si>
  <si>
    <t>C566</t>
  </si>
  <si>
    <t>CL566</t>
  </si>
  <si>
    <t>C567</t>
  </si>
  <si>
    <t>CL567</t>
  </si>
  <si>
    <t>C568</t>
  </si>
  <si>
    <t>CL568</t>
  </si>
  <si>
    <t>C569</t>
  </si>
  <si>
    <t>CL569</t>
  </si>
  <si>
    <t>C570</t>
  </si>
  <si>
    <t>CL570</t>
  </si>
  <si>
    <t>C571</t>
  </si>
  <si>
    <t>CL571</t>
  </si>
  <si>
    <t>C572</t>
  </si>
  <si>
    <t>CL572</t>
  </si>
  <si>
    <t>C573</t>
  </si>
  <si>
    <t>CL573</t>
  </si>
  <si>
    <t>C574</t>
  </si>
  <si>
    <t>CL574</t>
  </si>
  <si>
    <t>C575</t>
  </si>
  <si>
    <t>CL575</t>
  </si>
  <si>
    <t>C576</t>
  </si>
  <si>
    <t>CL576</t>
  </si>
  <si>
    <t>C577</t>
  </si>
  <si>
    <t>CL577</t>
  </si>
  <si>
    <t>C578</t>
  </si>
  <si>
    <t>CL578</t>
  </si>
  <si>
    <t>C579</t>
  </si>
  <si>
    <t>CL579</t>
  </si>
  <si>
    <t>C580</t>
  </si>
  <si>
    <t>CL580</t>
  </si>
  <si>
    <t>C581</t>
  </si>
  <si>
    <t>CL581</t>
  </si>
  <si>
    <t>C582</t>
  </si>
  <si>
    <t>CL582</t>
  </si>
  <si>
    <t>C583</t>
  </si>
  <si>
    <t>CL583</t>
  </si>
  <si>
    <t>C584</t>
  </si>
  <si>
    <t>CL584</t>
  </si>
  <si>
    <t>C585</t>
  </si>
  <si>
    <t>CL585</t>
  </si>
  <si>
    <t>C586</t>
  </si>
  <si>
    <t>CL586</t>
  </si>
  <si>
    <t>C587</t>
  </si>
  <si>
    <t>CL587</t>
  </si>
  <si>
    <t>C588</t>
  </si>
  <si>
    <t>CL588</t>
  </si>
  <si>
    <t>C589</t>
  </si>
  <si>
    <t>CL589</t>
  </si>
  <si>
    <t>C590</t>
  </si>
  <si>
    <t>CL590</t>
  </si>
  <si>
    <t>C591</t>
  </si>
  <si>
    <t>CL591</t>
  </si>
  <si>
    <t>C592</t>
  </si>
  <si>
    <t>CL592</t>
  </si>
  <si>
    <t>C593</t>
  </si>
  <si>
    <t>CL593</t>
  </si>
  <si>
    <t>C594</t>
  </si>
  <si>
    <t>CL594</t>
  </si>
  <si>
    <t>C595</t>
  </si>
  <si>
    <t>CL595</t>
  </si>
  <si>
    <t>C596</t>
  </si>
  <si>
    <t>CL596</t>
  </si>
  <si>
    <t>C597</t>
  </si>
  <si>
    <t>CL597</t>
  </si>
  <si>
    <t>C598</t>
  </si>
  <si>
    <t>CL598</t>
  </si>
  <si>
    <t>C599</t>
  </si>
  <si>
    <t>CL599</t>
  </si>
  <si>
    <t>C600</t>
  </si>
  <si>
    <t>CL600</t>
  </si>
  <si>
    <t>C601</t>
  </si>
  <si>
    <t>CL601</t>
  </si>
  <si>
    <t>C602</t>
  </si>
  <si>
    <t>CL602</t>
  </si>
  <si>
    <t>C603</t>
  </si>
  <si>
    <t>CL603</t>
  </si>
  <si>
    <t>C604</t>
  </si>
  <si>
    <t>CL604</t>
  </si>
  <si>
    <t>C605</t>
  </si>
  <si>
    <t>CL605</t>
  </si>
  <si>
    <t>C606</t>
  </si>
  <si>
    <t>CL606</t>
  </si>
  <si>
    <t>C607</t>
  </si>
  <si>
    <t>CL607</t>
  </si>
  <si>
    <t>C608</t>
  </si>
  <si>
    <t>CL608</t>
  </si>
  <si>
    <t>C609</t>
  </si>
  <si>
    <t>CL609</t>
  </si>
  <si>
    <t>C610</t>
  </si>
  <si>
    <t>CL610</t>
  </si>
  <si>
    <t>C611</t>
  </si>
  <si>
    <t>CL611</t>
  </si>
  <si>
    <t>C612</t>
  </si>
  <si>
    <t>CL612</t>
  </si>
  <si>
    <t>C613</t>
  </si>
  <si>
    <t>CL613</t>
  </si>
  <si>
    <t>C614</t>
  </si>
  <si>
    <t>CL614</t>
  </si>
  <si>
    <t>C615</t>
  </si>
  <si>
    <t>CL615</t>
  </si>
  <si>
    <t>C616</t>
  </si>
  <si>
    <t>CL616</t>
  </si>
  <si>
    <t>C617</t>
  </si>
  <si>
    <t>CL617</t>
  </si>
  <si>
    <t>C618</t>
  </si>
  <si>
    <t>CL618</t>
  </si>
  <si>
    <t>C619</t>
  </si>
  <si>
    <t>CL619</t>
  </si>
  <si>
    <t>C620</t>
  </si>
  <si>
    <t>CL620</t>
  </si>
  <si>
    <t>C621</t>
  </si>
  <si>
    <t>CL621</t>
  </si>
  <si>
    <t>C622</t>
  </si>
  <si>
    <t>CL622</t>
  </si>
  <si>
    <t>C623</t>
  </si>
  <si>
    <t>CL623</t>
  </si>
  <si>
    <t>C624</t>
  </si>
  <si>
    <t>CL624</t>
  </si>
  <si>
    <t>C625</t>
  </si>
  <si>
    <t>CL625</t>
  </si>
  <si>
    <t>C626</t>
  </si>
  <si>
    <t>CL626</t>
  </si>
  <si>
    <t>C627</t>
  </si>
  <si>
    <t>CL627</t>
  </si>
  <si>
    <t>C628</t>
  </si>
  <si>
    <t>CL628</t>
  </si>
  <si>
    <t>C629</t>
  </si>
  <si>
    <t>CL629</t>
  </si>
  <si>
    <t>C630</t>
  </si>
  <si>
    <t>CL630</t>
  </si>
  <si>
    <t>C631</t>
  </si>
  <si>
    <t>CL631</t>
  </si>
  <si>
    <t>C632</t>
  </si>
  <si>
    <t>CL632</t>
  </si>
  <si>
    <t>C633</t>
  </si>
  <si>
    <t>CL633</t>
  </si>
  <si>
    <t>C634</t>
  </si>
  <si>
    <t>CL634</t>
  </si>
  <si>
    <t>C635</t>
  </si>
  <si>
    <t>CL635</t>
  </si>
  <si>
    <t>C636</t>
  </si>
  <si>
    <t>CL636</t>
  </si>
  <si>
    <t>C637</t>
  </si>
  <si>
    <t>CL637</t>
  </si>
  <si>
    <t>C638</t>
  </si>
  <si>
    <t>CL638</t>
  </si>
  <si>
    <t>C639</t>
  </si>
  <si>
    <t>CL639</t>
  </si>
  <si>
    <t>C640</t>
  </si>
  <si>
    <t>CL640</t>
  </si>
  <si>
    <t>C641</t>
  </si>
  <si>
    <t>CL641</t>
  </si>
  <si>
    <t>C642</t>
  </si>
  <si>
    <t>CL642</t>
  </si>
  <si>
    <t>C643</t>
  </si>
  <si>
    <t>CL643</t>
  </si>
  <si>
    <t>C644</t>
  </si>
  <si>
    <t>CL644</t>
  </si>
  <si>
    <t>C645</t>
  </si>
  <si>
    <t>CL645</t>
  </si>
  <si>
    <t>C646</t>
  </si>
  <si>
    <t>CL646</t>
  </si>
  <si>
    <t>C647</t>
  </si>
  <si>
    <t>CL647</t>
  </si>
  <si>
    <t>C648</t>
  </si>
  <si>
    <t>CL648</t>
  </si>
  <si>
    <t>C649</t>
  </si>
  <si>
    <t>CL649</t>
  </si>
  <si>
    <t>C650</t>
  </si>
  <si>
    <t>CL650</t>
  </si>
  <si>
    <t>C651</t>
  </si>
  <si>
    <t>CL651</t>
  </si>
  <si>
    <t>C652</t>
  </si>
  <si>
    <t>CL652</t>
  </si>
  <si>
    <t>C653</t>
  </si>
  <si>
    <t>CL653</t>
  </si>
  <si>
    <t>C654</t>
  </si>
  <si>
    <t>CL654</t>
  </si>
  <si>
    <t>C655</t>
  </si>
  <si>
    <t>CL655</t>
  </si>
  <si>
    <t>C656</t>
  </si>
  <si>
    <t>CL656</t>
  </si>
  <si>
    <t>C657</t>
  </si>
  <si>
    <t>CL657</t>
  </si>
  <si>
    <t>C658</t>
  </si>
  <si>
    <t>CL658</t>
  </si>
  <si>
    <t>C659</t>
  </si>
  <si>
    <t>CL659</t>
  </si>
  <si>
    <t>C660</t>
  </si>
  <si>
    <t>CL660</t>
  </si>
  <si>
    <t>C661</t>
  </si>
  <si>
    <t>CL661</t>
  </si>
  <si>
    <t>C662</t>
  </si>
  <si>
    <t>CL662</t>
  </si>
  <si>
    <t>C663</t>
  </si>
  <si>
    <t>CL663</t>
  </si>
  <si>
    <t>C664</t>
  </si>
  <si>
    <t>CL664</t>
  </si>
  <si>
    <t>C665</t>
  </si>
  <si>
    <t>CL665</t>
  </si>
  <si>
    <t>C666</t>
  </si>
  <si>
    <t>CL666</t>
  </si>
  <si>
    <t>C667</t>
  </si>
  <si>
    <t>CL667</t>
  </si>
  <si>
    <t>C668</t>
  </si>
  <si>
    <t>CL668</t>
  </si>
  <si>
    <t>C669</t>
  </si>
  <si>
    <t>CL669</t>
  </si>
  <si>
    <t>C670</t>
  </si>
  <si>
    <t>CL670</t>
  </si>
  <si>
    <t>C671</t>
  </si>
  <si>
    <t>CL671</t>
  </si>
  <si>
    <t>C672</t>
  </si>
  <si>
    <t>CL672</t>
  </si>
  <si>
    <t>C673</t>
  </si>
  <si>
    <t>CL673</t>
  </si>
  <si>
    <t>C674</t>
  </si>
  <si>
    <t>CL674</t>
  </si>
  <si>
    <t>C675</t>
  </si>
  <si>
    <t>CL675</t>
  </si>
  <si>
    <t>C676</t>
  </si>
  <si>
    <t>CL676</t>
  </si>
  <si>
    <t>C677</t>
  </si>
  <si>
    <t>CL677</t>
  </si>
  <si>
    <t>C678</t>
  </si>
  <si>
    <t>CL678</t>
  </si>
  <si>
    <t>C679</t>
  </si>
  <si>
    <t>CL679</t>
  </si>
  <si>
    <t>C680</t>
  </si>
  <si>
    <t>CL680</t>
  </si>
  <si>
    <t>C681</t>
  </si>
  <si>
    <t>CL681</t>
  </si>
  <si>
    <t>C682</t>
  </si>
  <si>
    <t>CL682</t>
  </si>
  <si>
    <t>C683</t>
  </si>
  <si>
    <t>CL683</t>
  </si>
  <si>
    <t>C684</t>
  </si>
  <si>
    <t>CL684</t>
  </si>
  <si>
    <t>C685</t>
  </si>
  <si>
    <t>CL685</t>
  </si>
  <si>
    <t>C686</t>
  </si>
  <si>
    <t>CL686</t>
  </si>
  <si>
    <t>C687</t>
  </si>
  <si>
    <t>CL687</t>
  </si>
  <si>
    <t>C688</t>
  </si>
  <si>
    <t>CL688</t>
  </si>
  <si>
    <t>C689</t>
  </si>
  <si>
    <t>CL689</t>
  </si>
  <si>
    <t>C690</t>
  </si>
  <si>
    <t>CL690</t>
  </si>
  <si>
    <t>C691</t>
  </si>
  <si>
    <t>CL691</t>
  </si>
  <si>
    <t>C692</t>
  </si>
  <si>
    <t>CL692</t>
  </si>
  <si>
    <t>C693</t>
  </si>
  <si>
    <t>CL693</t>
  </si>
  <si>
    <t>C694</t>
  </si>
  <si>
    <t>CL694</t>
  </si>
  <si>
    <t>C695</t>
  </si>
  <si>
    <t>CL695</t>
  </si>
  <si>
    <t>C696</t>
  </si>
  <si>
    <t>CL696</t>
  </si>
  <si>
    <t>C697</t>
  </si>
  <si>
    <t>CL697</t>
  </si>
  <si>
    <t>C698</t>
  </si>
  <si>
    <t>CL698</t>
  </si>
  <si>
    <t>C699</t>
  </si>
  <si>
    <t>CL699</t>
  </si>
  <si>
    <t>C700</t>
  </si>
  <si>
    <t>CL700</t>
  </si>
  <si>
    <t>C701</t>
  </si>
  <si>
    <t>CL701</t>
  </si>
  <si>
    <t>C702</t>
  </si>
  <si>
    <t>CL702</t>
  </si>
  <si>
    <t>C703</t>
  </si>
  <si>
    <t>CL703</t>
  </si>
  <si>
    <t>C704</t>
  </si>
  <si>
    <t>CL704</t>
  </si>
  <si>
    <t>C705</t>
  </si>
  <si>
    <t>CL705</t>
  </si>
  <si>
    <t>C706</t>
  </si>
  <si>
    <t>CL706</t>
  </si>
  <si>
    <t>C707</t>
  </si>
  <si>
    <t>CL707</t>
  </si>
  <si>
    <t>C708</t>
  </si>
  <si>
    <t>CL708</t>
  </si>
  <si>
    <t>C709</t>
  </si>
  <si>
    <t>CL709</t>
  </si>
  <si>
    <t>C710</t>
  </si>
  <si>
    <t>CL710</t>
  </si>
  <si>
    <t>C711</t>
  </si>
  <si>
    <t>CL711</t>
  </si>
  <si>
    <t>C712</t>
  </si>
  <si>
    <t>CL712</t>
  </si>
  <si>
    <t>C713</t>
  </si>
  <si>
    <t>CL713</t>
  </si>
  <si>
    <t>C714</t>
  </si>
  <si>
    <t>CL714</t>
  </si>
  <si>
    <t>C715</t>
  </si>
  <si>
    <t>CL715</t>
  </si>
  <si>
    <t>C716</t>
  </si>
  <si>
    <t>CL716</t>
  </si>
  <si>
    <t>C717</t>
  </si>
  <si>
    <t>CL717</t>
  </si>
  <si>
    <t>C718</t>
  </si>
  <si>
    <t>CL718</t>
  </si>
  <si>
    <t>C719</t>
  </si>
  <si>
    <t>CL719</t>
  </si>
  <si>
    <t>C720</t>
  </si>
  <si>
    <t>CL720</t>
  </si>
  <si>
    <t>C721</t>
  </si>
  <si>
    <t>CL721</t>
  </si>
  <si>
    <t>C722</t>
  </si>
  <si>
    <t>CL722</t>
  </si>
  <si>
    <t>C723</t>
  </si>
  <si>
    <t>CL723</t>
  </si>
  <si>
    <t>C724</t>
  </si>
  <si>
    <t>CL724</t>
  </si>
  <si>
    <t>C725</t>
  </si>
  <si>
    <t>CL725</t>
  </si>
  <si>
    <t>C726</t>
  </si>
  <si>
    <t>CL726</t>
  </si>
  <si>
    <t>C727</t>
  </si>
  <si>
    <t>CL727</t>
  </si>
  <si>
    <t>C728</t>
  </si>
  <si>
    <t>CL728</t>
  </si>
  <si>
    <t>C729</t>
  </si>
  <si>
    <t>CL729</t>
  </si>
  <si>
    <t>C730</t>
  </si>
  <si>
    <t>CL730</t>
  </si>
  <si>
    <t>C731</t>
  </si>
  <si>
    <t>CL731</t>
  </si>
  <si>
    <t>C732</t>
  </si>
  <si>
    <t>CL732</t>
  </si>
  <si>
    <t>C733</t>
  </si>
  <si>
    <t>CL733</t>
  </si>
  <si>
    <t>C734</t>
  </si>
  <si>
    <t>CL734</t>
  </si>
  <si>
    <t>C735</t>
  </si>
  <si>
    <t>CL735</t>
  </si>
  <si>
    <t>C736</t>
  </si>
  <si>
    <t>CL736</t>
  </si>
  <si>
    <t>C737</t>
  </si>
  <si>
    <t>CL737</t>
  </si>
  <si>
    <t>C738</t>
  </si>
  <si>
    <t>CL738</t>
  </si>
  <si>
    <t>C739</t>
  </si>
  <si>
    <t>CL739</t>
  </si>
  <si>
    <t>C740</t>
  </si>
  <si>
    <t>CL740</t>
  </si>
  <si>
    <t>C741</t>
  </si>
  <si>
    <t>CL741</t>
  </si>
  <si>
    <t>C742</t>
  </si>
  <si>
    <t>CL742</t>
  </si>
  <si>
    <t>C743</t>
  </si>
  <si>
    <t>CL743</t>
  </si>
  <si>
    <t>C744</t>
  </si>
  <si>
    <t>CL744</t>
  </si>
  <si>
    <t>C745</t>
  </si>
  <si>
    <t>CL745</t>
  </si>
  <si>
    <t>C746</t>
  </si>
  <si>
    <t>CL746</t>
  </si>
  <si>
    <t>C747</t>
  </si>
  <si>
    <t>CL747</t>
  </si>
  <si>
    <t>C748</t>
  </si>
  <si>
    <t>CL748</t>
  </si>
  <si>
    <t>C749</t>
  </si>
  <si>
    <t>CL749</t>
  </si>
  <si>
    <t>C750</t>
  </si>
  <si>
    <t>CL750</t>
  </si>
  <si>
    <t>C751</t>
  </si>
  <si>
    <t>CL751</t>
  </si>
  <si>
    <t>C752</t>
  </si>
  <si>
    <t>CL752</t>
  </si>
  <si>
    <t>C753</t>
  </si>
  <si>
    <t>CL753</t>
  </si>
  <si>
    <t>C754</t>
  </si>
  <si>
    <t>CL754</t>
  </si>
  <si>
    <t>C755</t>
  </si>
  <si>
    <t>CL755</t>
  </si>
  <si>
    <t>C756</t>
  </si>
  <si>
    <t>CL756</t>
  </si>
  <si>
    <t>C757</t>
  </si>
  <si>
    <t>CL757</t>
  </si>
  <si>
    <t>C758</t>
  </si>
  <si>
    <t>CL758</t>
  </si>
  <si>
    <t>C759</t>
  </si>
  <si>
    <t>CL759</t>
  </si>
  <si>
    <t>C760</t>
  </si>
  <si>
    <t>CL760</t>
  </si>
  <si>
    <t>C761</t>
  </si>
  <si>
    <t>CL761</t>
  </si>
  <si>
    <t>C762</t>
  </si>
  <si>
    <t>CL762</t>
  </si>
  <si>
    <t>C763</t>
  </si>
  <si>
    <t>CL763</t>
  </si>
  <si>
    <t>C764</t>
  </si>
  <si>
    <t>CL764</t>
  </si>
  <si>
    <t>C765</t>
  </si>
  <si>
    <t>CL765</t>
  </si>
  <si>
    <t>C766</t>
  </si>
  <si>
    <t>CL766</t>
  </si>
  <si>
    <t>C767</t>
  </si>
  <si>
    <t>CL767</t>
  </si>
  <si>
    <t>C768</t>
  </si>
  <si>
    <t>CL768</t>
  </si>
  <si>
    <t>C769</t>
  </si>
  <si>
    <t>CL769</t>
  </si>
  <si>
    <t>C770</t>
  </si>
  <si>
    <t>CL770</t>
  </si>
  <si>
    <t>C771</t>
  </si>
  <si>
    <t>CL771</t>
  </si>
  <si>
    <t>C772</t>
  </si>
  <si>
    <t>CL772</t>
  </si>
  <si>
    <t>C773</t>
  </si>
  <si>
    <t>CL773</t>
  </si>
  <si>
    <t>C774</t>
  </si>
  <si>
    <t>CL774</t>
  </si>
  <si>
    <t>C775</t>
  </si>
  <si>
    <t>CL775</t>
  </si>
  <si>
    <t>C776</t>
  </si>
  <si>
    <t>CL776</t>
  </si>
  <si>
    <t>C777</t>
  </si>
  <si>
    <t>CL777</t>
  </si>
  <si>
    <t>C778</t>
  </si>
  <si>
    <t>CL778</t>
  </si>
  <si>
    <t>C779</t>
  </si>
  <si>
    <t>CL779</t>
  </si>
  <si>
    <t>C780</t>
  </si>
  <si>
    <t>CL780</t>
  </si>
  <si>
    <t>C781</t>
  </si>
  <si>
    <t>CL781</t>
  </si>
  <si>
    <t>C782</t>
  </si>
  <si>
    <t>CL782</t>
  </si>
  <si>
    <t>C783</t>
  </si>
  <si>
    <t>CL783</t>
  </si>
  <si>
    <t>C784</t>
  </si>
  <si>
    <t>CL784</t>
  </si>
  <si>
    <t>C785</t>
  </si>
  <si>
    <t>CL785</t>
  </si>
  <si>
    <t>C786</t>
  </si>
  <si>
    <t>CL786</t>
  </si>
  <si>
    <t>C787</t>
  </si>
  <si>
    <t>CL787</t>
  </si>
  <si>
    <t>C788</t>
  </si>
  <si>
    <t>CL788</t>
  </si>
  <si>
    <t>C789</t>
  </si>
  <si>
    <t>CL789</t>
  </si>
  <si>
    <t>C790</t>
  </si>
  <si>
    <t>CL790</t>
  </si>
  <si>
    <t>C791</t>
  </si>
  <si>
    <t>CL791</t>
  </si>
  <si>
    <t>C792</t>
  </si>
  <si>
    <t>CL792</t>
  </si>
  <si>
    <t>C793</t>
  </si>
  <si>
    <t>CL793</t>
  </si>
  <si>
    <t>C794</t>
  </si>
  <si>
    <t>CL794</t>
  </si>
  <si>
    <t>C795</t>
  </si>
  <si>
    <t>CL795</t>
  </si>
  <si>
    <t>C796</t>
  </si>
  <si>
    <t>CL796</t>
  </si>
  <si>
    <t>C797</t>
  </si>
  <si>
    <t>CL797</t>
  </si>
  <si>
    <t>C798</t>
  </si>
  <si>
    <t>CL798</t>
  </si>
  <si>
    <t>C799</t>
  </si>
  <si>
    <t>CL799</t>
  </si>
  <si>
    <t>C800</t>
  </si>
  <si>
    <t>CL800</t>
  </si>
  <si>
    <t>C801</t>
  </si>
  <si>
    <t>CL801</t>
  </si>
  <si>
    <t>C802</t>
  </si>
  <si>
    <t>CL802</t>
  </si>
  <si>
    <t>C803</t>
  </si>
  <si>
    <t>CL803</t>
  </si>
  <si>
    <t>C804</t>
  </si>
  <si>
    <t>CL804</t>
  </si>
  <si>
    <t>C805</t>
  </si>
  <si>
    <t>CL805</t>
  </si>
  <si>
    <t>C806</t>
  </si>
  <si>
    <t>CL806</t>
  </si>
  <si>
    <t>C807</t>
  </si>
  <si>
    <t>CL807</t>
  </si>
  <si>
    <t>C808</t>
  </si>
  <si>
    <t>CL808</t>
  </si>
  <si>
    <t>C809</t>
  </si>
  <si>
    <t>CL809</t>
  </si>
  <si>
    <t>C810</t>
  </si>
  <si>
    <t>CL810</t>
  </si>
  <si>
    <t>C811</t>
  </si>
  <si>
    <t>CL811</t>
  </si>
  <si>
    <t>C812</t>
  </si>
  <si>
    <t>CL812</t>
  </si>
  <si>
    <t>C813</t>
  </si>
  <si>
    <t>CL813</t>
  </si>
  <si>
    <t>C814</t>
  </si>
  <si>
    <t>CL814</t>
  </si>
  <si>
    <t>C815</t>
  </si>
  <si>
    <t>CL815</t>
  </si>
  <si>
    <t>C816</t>
  </si>
  <si>
    <t>CL816</t>
  </si>
  <si>
    <t>C817</t>
  </si>
  <si>
    <t>CL817</t>
  </si>
  <si>
    <t>C818</t>
  </si>
  <si>
    <t>CL818</t>
  </si>
  <si>
    <t>C819</t>
  </si>
  <si>
    <t>CL819</t>
  </si>
  <si>
    <t>C820</t>
  </si>
  <si>
    <t>CL820</t>
  </si>
  <si>
    <t>C821</t>
  </si>
  <si>
    <t>CL821</t>
  </si>
  <si>
    <t>C822</t>
  </si>
  <si>
    <t>CL822</t>
  </si>
  <si>
    <t>C823</t>
  </si>
  <si>
    <t>CL823</t>
  </si>
  <si>
    <t>C824</t>
  </si>
  <si>
    <t>CL824</t>
  </si>
  <si>
    <t>C825</t>
  </si>
  <si>
    <t>CL825</t>
  </si>
  <si>
    <t>C826</t>
  </si>
  <si>
    <t>CL826</t>
  </si>
  <si>
    <t>C827</t>
  </si>
  <si>
    <t>CL827</t>
  </si>
  <si>
    <t>C828</t>
  </si>
  <si>
    <t>CL828</t>
  </si>
  <si>
    <t>C829</t>
  </si>
  <si>
    <t>CL829</t>
  </si>
  <si>
    <t>C830</t>
  </si>
  <si>
    <t>CL830</t>
  </si>
  <si>
    <t>C831</t>
  </si>
  <si>
    <t>CL831</t>
  </si>
  <si>
    <t>C832</t>
  </si>
  <si>
    <t>CL832</t>
  </si>
  <si>
    <t>C833</t>
  </si>
  <si>
    <t>CL833</t>
  </si>
  <si>
    <t>C834</t>
  </si>
  <si>
    <t>CL834</t>
  </si>
  <si>
    <t>C835</t>
  </si>
  <si>
    <t>CL835</t>
  </si>
  <si>
    <t>C836</t>
  </si>
  <si>
    <t>CL836</t>
  </si>
  <si>
    <t>C837</t>
  </si>
  <si>
    <t>CL837</t>
  </si>
  <si>
    <t>C838</t>
  </si>
  <si>
    <t>CL838</t>
  </si>
  <si>
    <t>C839</t>
  </si>
  <si>
    <t>CL839</t>
  </si>
  <si>
    <t>C840</t>
  </si>
  <si>
    <t>CL840</t>
  </si>
  <si>
    <t>C841</t>
  </si>
  <si>
    <t>CL841</t>
  </si>
  <si>
    <t>C842</t>
  </si>
  <si>
    <t>CL842</t>
  </si>
  <si>
    <t>C843</t>
  </si>
  <si>
    <t>CL843</t>
  </si>
  <si>
    <t>C844</t>
  </si>
  <si>
    <t>CL844</t>
  </si>
  <si>
    <t>C845</t>
  </si>
  <si>
    <t>CL845</t>
  </si>
  <si>
    <t>C846</t>
  </si>
  <si>
    <t>CL846</t>
  </si>
  <si>
    <t>C847</t>
  </si>
  <si>
    <t>CL847</t>
  </si>
  <si>
    <t>C848</t>
  </si>
  <si>
    <t>CL848</t>
  </si>
  <si>
    <t>C849</t>
  </si>
  <si>
    <t>CL849</t>
  </si>
  <si>
    <t>C850</t>
  </si>
  <si>
    <t>CL850</t>
  </si>
  <si>
    <t>C851</t>
  </si>
  <si>
    <t>CL851</t>
  </si>
  <si>
    <t>C852</t>
  </si>
  <si>
    <t>CL852</t>
  </si>
  <si>
    <t>C853</t>
  </si>
  <si>
    <t>CL853</t>
  </si>
  <si>
    <t>C854</t>
  </si>
  <si>
    <t>CL854</t>
  </si>
  <si>
    <t>C855</t>
  </si>
  <si>
    <t>CL855</t>
  </si>
  <si>
    <t>C856</t>
  </si>
  <si>
    <t>CL856</t>
  </si>
  <si>
    <t>C857</t>
  </si>
  <si>
    <t>CL857</t>
  </si>
  <si>
    <t>C858</t>
  </si>
  <si>
    <t>CL858</t>
  </si>
  <si>
    <t>C859</t>
  </si>
  <si>
    <t>CL859</t>
  </si>
  <si>
    <t>C860</t>
  </si>
  <si>
    <t>CL860</t>
  </si>
  <si>
    <t>C861</t>
  </si>
  <si>
    <t>CL861</t>
  </si>
  <si>
    <t>C862</t>
  </si>
  <si>
    <t>CL862</t>
  </si>
  <si>
    <t>C863</t>
  </si>
  <si>
    <t>CL863</t>
  </si>
  <si>
    <t>C864</t>
  </si>
  <si>
    <t>CL864</t>
  </si>
  <si>
    <t>C865</t>
  </si>
  <si>
    <t>CL865</t>
  </si>
  <si>
    <t>C866</t>
  </si>
  <si>
    <t>CL866</t>
  </si>
  <si>
    <t>C867</t>
  </si>
  <si>
    <t>CL867</t>
  </si>
  <si>
    <t>C868</t>
  </si>
  <si>
    <t>CL868</t>
  </si>
  <si>
    <t>C869</t>
  </si>
  <si>
    <t>CL869</t>
  </si>
  <si>
    <t>C870</t>
  </si>
  <si>
    <t>CL870</t>
  </si>
  <si>
    <t>C871</t>
  </si>
  <si>
    <t>CL871</t>
  </si>
  <si>
    <t>C872</t>
  </si>
  <si>
    <t>CL872</t>
  </si>
  <si>
    <t>C873</t>
  </si>
  <si>
    <t>CL873</t>
  </si>
  <si>
    <t>C874</t>
  </si>
  <si>
    <t>CL874</t>
  </si>
  <si>
    <t>C875</t>
  </si>
  <si>
    <t>CL875</t>
  </si>
  <si>
    <t>C876</t>
  </si>
  <si>
    <t>CL876</t>
  </si>
  <si>
    <t>C877</t>
  </si>
  <si>
    <t>CL877</t>
  </si>
  <si>
    <t>C878</t>
  </si>
  <si>
    <t>CL878</t>
  </si>
  <si>
    <t>C879</t>
  </si>
  <si>
    <t>CL879</t>
  </si>
  <si>
    <t>C880</t>
  </si>
  <si>
    <t>CL880</t>
  </si>
  <si>
    <t>C881</t>
  </si>
  <si>
    <t>CL881</t>
  </si>
  <si>
    <t>C882</t>
  </si>
  <si>
    <t>CL882</t>
  </si>
  <si>
    <t>C883</t>
  </si>
  <si>
    <t>CL883</t>
  </si>
  <si>
    <t>C884</t>
  </si>
  <si>
    <t>CL884</t>
  </si>
  <si>
    <t>C885</t>
  </si>
  <si>
    <t>CL885</t>
  </si>
  <si>
    <t>C886</t>
  </si>
  <si>
    <t>CL886</t>
  </si>
  <si>
    <t>C887</t>
  </si>
  <si>
    <t>CL887</t>
  </si>
  <si>
    <t>C888</t>
  </si>
  <si>
    <t>CL888</t>
  </si>
  <si>
    <t>C889</t>
  </si>
  <si>
    <t>CL889</t>
  </si>
  <si>
    <t>C890</t>
  </si>
  <si>
    <t>CL890</t>
  </si>
  <si>
    <t>C891</t>
  </si>
  <si>
    <t>CL891</t>
  </si>
  <si>
    <t>C892</t>
  </si>
  <si>
    <t>CL892</t>
  </si>
  <si>
    <t>C893</t>
  </si>
  <si>
    <t>CL893</t>
  </si>
  <si>
    <t>C894</t>
  </si>
  <si>
    <t>CL894</t>
  </si>
  <si>
    <t>C895</t>
  </si>
  <si>
    <t>CL895</t>
  </si>
  <si>
    <t>C896</t>
  </si>
  <si>
    <t>CL896</t>
  </si>
  <si>
    <t>C897</t>
  </si>
  <si>
    <t>CL897</t>
  </si>
  <si>
    <t>C898</t>
  </si>
  <si>
    <t>CL898</t>
  </si>
  <si>
    <t>C899</t>
  </si>
  <si>
    <t>CL899</t>
  </si>
  <si>
    <t>C900</t>
  </si>
  <si>
    <t>CL900</t>
  </si>
  <si>
    <t>C901</t>
  </si>
  <si>
    <t>CL901</t>
  </si>
  <si>
    <t>C902</t>
  </si>
  <si>
    <t>CL902</t>
  </si>
  <si>
    <t>C903</t>
  </si>
  <si>
    <t>CL903</t>
  </si>
  <si>
    <t>C904</t>
  </si>
  <si>
    <t>CL904</t>
  </si>
  <si>
    <t>C905</t>
  </si>
  <si>
    <t>CL905</t>
  </si>
  <si>
    <t>C906</t>
  </si>
  <si>
    <t>CL906</t>
  </si>
  <si>
    <t>C907</t>
  </si>
  <si>
    <t>CL907</t>
  </si>
  <si>
    <t>C908</t>
  </si>
  <si>
    <t>CL908</t>
  </si>
  <si>
    <t>C909</t>
  </si>
  <si>
    <t>CL909</t>
  </si>
  <si>
    <t>C910</t>
  </si>
  <si>
    <t>CL910</t>
  </si>
  <si>
    <t>C911</t>
  </si>
  <si>
    <t>CL911</t>
  </si>
  <si>
    <t>C912</t>
  </si>
  <si>
    <t>CL912</t>
  </si>
  <si>
    <t>C913</t>
  </si>
  <si>
    <t>CL913</t>
  </si>
  <si>
    <t>C914</t>
  </si>
  <si>
    <t>CL914</t>
  </si>
  <si>
    <t>C915</t>
  </si>
  <si>
    <t>CL915</t>
  </si>
  <si>
    <t>C916</t>
  </si>
  <si>
    <t>CL916</t>
  </si>
  <si>
    <t>C917</t>
  </si>
  <si>
    <t>CL917</t>
  </si>
  <si>
    <t>C918</t>
  </si>
  <si>
    <t>CL918</t>
  </si>
  <si>
    <t>C919</t>
  </si>
  <si>
    <t>CL919</t>
  </si>
  <si>
    <t>C920</t>
  </si>
  <si>
    <t>CL920</t>
  </si>
  <si>
    <t>C921</t>
  </si>
  <si>
    <t>CL921</t>
  </si>
  <si>
    <t>C922</t>
  </si>
  <si>
    <t>CL922</t>
  </si>
  <si>
    <t>C923</t>
  </si>
  <si>
    <t>CL923</t>
  </si>
  <si>
    <t>C924</t>
  </si>
  <si>
    <t>CL924</t>
  </si>
  <si>
    <t>C925</t>
  </si>
  <si>
    <t>CL925</t>
  </si>
  <si>
    <t>C926</t>
  </si>
  <si>
    <t>CL926</t>
  </si>
  <si>
    <t>C927</t>
  </si>
  <si>
    <t>CL927</t>
  </si>
  <si>
    <t>C928</t>
  </si>
  <si>
    <t>CL928</t>
  </si>
  <si>
    <t>C929</t>
  </si>
  <si>
    <t>CL929</t>
  </si>
  <si>
    <t>C930</t>
  </si>
  <si>
    <t>CL930</t>
  </si>
  <si>
    <t>C931</t>
  </si>
  <si>
    <t>CL931</t>
  </si>
  <si>
    <t>C932</t>
  </si>
  <si>
    <t>CL932</t>
  </si>
  <si>
    <t>C933</t>
  </si>
  <si>
    <t>CL933</t>
  </si>
  <si>
    <t>C934</t>
  </si>
  <si>
    <t>CL934</t>
  </si>
  <si>
    <t>C935</t>
  </si>
  <si>
    <t>CL935</t>
  </si>
  <si>
    <t>C936</t>
  </si>
  <si>
    <t>CL936</t>
  </si>
  <si>
    <t>C937</t>
  </si>
  <si>
    <t>CL937</t>
  </si>
  <si>
    <t>C938</t>
  </si>
  <si>
    <t>CL938</t>
  </si>
  <si>
    <t>C939</t>
  </si>
  <si>
    <t>CL939</t>
  </si>
  <si>
    <t>C940</t>
  </si>
  <si>
    <t>CL940</t>
  </si>
  <si>
    <t>C941</t>
  </si>
  <si>
    <t>CL941</t>
  </si>
  <si>
    <t>C942</t>
  </si>
  <si>
    <t>CL942</t>
  </si>
  <si>
    <t>C943</t>
  </si>
  <si>
    <t>CL943</t>
  </si>
  <si>
    <t>C944</t>
  </si>
  <si>
    <t>CL944</t>
  </si>
  <si>
    <t>C945</t>
  </si>
  <si>
    <t>CL945</t>
  </si>
  <si>
    <t>C946</t>
  </si>
  <si>
    <t>CL946</t>
  </si>
  <si>
    <t>C947</t>
  </si>
  <si>
    <t>CL947</t>
  </si>
  <si>
    <t>C948</t>
  </si>
  <si>
    <t>CL948</t>
  </si>
  <si>
    <t>C949</t>
  </si>
  <si>
    <t>CL949</t>
  </si>
  <si>
    <t>C950</t>
  </si>
  <si>
    <t>CL950</t>
  </si>
  <si>
    <t>C951</t>
  </si>
  <si>
    <t>CL951</t>
  </si>
  <si>
    <t>C952</t>
  </si>
  <si>
    <t>CL952</t>
  </si>
  <si>
    <t>C953</t>
  </si>
  <si>
    <t>CL953</t>
  </si>
  <si>
    <t>C954</t>
  </si>
  <si>
    <t>CL954</t>
  </si>
  <si>
    <t>C955</t>
  </si>
  <si>
    <t>CL955</t>
  </si>
  <si>
    <t>C956</t>
  </si>
  <si>
    <t>CL956</t>
  </si>
  <si>
    <t>C957</t>
  </si>
  <si>
    <t>CL957</t>
  </si>
  <si>
    <t>C958</t>
  </si>
  <si>
    <t>CL958</t>
  </si>
  <si>
    <t>C959</t>
  </si>
  <si>
    <t>CL959</t>
  </si>
  <si>
    <t>C960</t>
  </si>
  <si>
    <t>CL960</t>
  </si>
  <si>
    <t>C961</t>
  </si>
  <si>
    <t>CL961</t>
  </si>
  <si>
    <t>C962</t>
  </si>
  <si>
    <t>CL962</t>
  </si>
  <si>
    <t>C963</t>
  </si>
  <si>
    <t>CL963</t>
  </si>
  <si>
    <t>C964</t>
  </si>
  <si>
    <t>CL964</t>
  </si>
  <si>
    <t>C965</t>
  </si>
  <si>
    <t>CL965</t>
  </si>
  <si>
    <t>C966</t>
  </si>
  <si>
    <t>CL966</t>
  </si>
  <si>
    <t>C967</t>
  </si>
  <si>
    <t>CL967</t>
  </si>
  <si>
    <t>C968</t>
  </si>
  <si>
    <t>CL968</t>
  </si>
  <si>
    <t>C969</t>
  </si>
  <si>
    <t>CL969</t>
  </si>
  <si>
    <t>C970</t>
  </si>
  <si>
    <t>CL970</t>
  </si>
  <si>
    <t>C971</t>
  </si>
  <si>
    <t>CL971</t>
  </si>
  <si>
    <t>C972</t>
  </si>
  <si>
    <t>CL972</t>
  </si>
  <si>
    <t>C973</t>
  </si>
  <si>
    <t>CL973</t>
  </si>
  <si>
    <t>C974</t>
  </si>
  <si>
    <t>CL974</t>
  </si>
  <si>
    <t>C975</t>
  </si>
  <si>
    <t>CL975</t>
  </si>
  <si>
    <t>C976</t>
  </si>
  <si>
    <t>CL976</t>
  </si>
  <si>
    <t>C977</t>
  </si>
  <si>
    <t>CL977</t>
  </si>
  <si>
    <t>C978</t>
  </si>
  <si>
    <t>CL978</t>
  </si>
  <si>
    <t>C979</t>
  </si>
  <si>
    <t>CL979</t>
  </si>
  <si>
    <t>C980</t>
  </si>
  <si>
    <t>CL980</t>
  </si>
  <si>
    <t>C981</t>
  </si>
  <si>
    <t>CL981</t>
  </si>
  <si>
    <t>C982</t>
  </si>
  <si>
    <t>CL982</t>
  </si>
  <si>
    <t>C983</t>
  </si>
  <si>
    <t>CL983</t>
  </si>
  <si>
    <t>C984</t>
  </si>
  <si>
    <t>CL984</t>
  </si>
  <si>
    <t>C985</t>
  </si>
  <si>
    <t>CL985</t>
  </si>
  <si>
    <t>C986</t>
  </si>
  <si>
    <t>CL986</t>
  </si>
  <si>
    <t>C987</t>
  </si>
  <si>
    <t>CL987</t>
  </si>
  <si>
    <t>C988</t>
  </si>
  <si>
    <t>CL988</t>
  </si>
  <si>
    <t>C989</t>
  </si>
  <si>
    <t>CL989</t>
  </si>
  <si>
    <t>C990</t>
  </si>
  <si>
    <t>CL990</t>
  </si>
  <si>
    <t>C991</t>
  </si>
  <si>
    <t>CL991</t>
  </si>
  <si>
    <t>C992</t>
  </si>
  <si>
    <t>CL992</t>
  </si>
  <si>
    <t>C993</t>
  </si>
  <si>
    <t>CL993</t>
  </si>
  <si>
    <t>C994</t>
  </si>
  <si>
    <t>CL994</t>
  </si>
  <si>
    <t>C995</t>
  </si>
  <si>
    <t>CL995</t>
  </si>
  <si>
    <t>C996</t>
  </si>
  <si>
    <t>CL996</t>
  </si>
  <si>
    <t>C997</t>
  </si>
  <si>
    <t>CL997</t>
  </si>
  <si>
    <t>C998</t>
  </si>
  <si>
    <t>CL998</t>
  </si>
  <si>
    <t>C999</t>
  </si>
  <si>
    <t>CL999</t>
  </si>
  <si>
    <t>C1000</t>
  </si>
  <si>
    <t>CL1000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</si>
</sst>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yyyy\-mm\-dd\ h:mm:ss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3" fontId="2" fillId="3" borderId="0" xfId="1" applyNumberFormat="1" applyFont="1" applyFill="1" applyAlignment="1">
      <alignment horizontal="center" vertical="center"/>
    </xf>
    <xf numFmtId="165" fontId="2" fillId="3" borderId="0" xfId="1" applyNumberFormat="1" applyFont="1" applyFill="1" applyAlignment="1">
      <alignment horizontal="center" vertical="center"/>
    </xf>
    <xf numFmtId="10" fontId="2" fillId="4" borderId="0" xfId="1" applyNumberFormat="1" applyFont="1" applyFill="1" applyAlignment="1">
      <alignment horizontal="center" vertical="center"/>
    </xf>
    <xf numFmtId="165" fontId="2" fillId="4" borderId="0" xfId="1" applyNumberFormat="1" applyFont="1" applyFill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166" fontId="3" fillId="2" borderId="0" xfId="1" applyNumberFormat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164" fontId="3" fillId="3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3" fontId="3" fillId="3" borderId="0" xfId="1" applyNumberFormat="1" applyFont="1" applyFill="1" applyAlignment="1">
      <alignment horizontal="center" vertical="center"/>
    </xf>
    <xf numFmtId="165" fontId="3" fillId="3" borderId="0" xfId="1" applyNumberFormat="1" applyFont="1" applyFill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horizontal="center" vertical="center"/>
    </xf>
    <xf numFmtId="165" fontId="1" fillId="0" borderId="0" xfId="1" applyNumberFormat="1"/>
    <xf numFmtId="0" fontId="1" fillId="2" borderId="0" xfId="1" applyFill="1"/>
    <xf numFmtId="2" fontId="1" fillId="2" borderId="0" xfId="1" applyNumberFormat="1" applyFill="1"/>
    <xf numFmtId="0" fontId="1" fillId="3" borderId="0" xfId="1" applyFill="1"/>
    <xf numFmtId="10" fontId="1" fillId="4" borderId="0" xfId="1" applyNumberFormat="1" applyFill="1"/>
    <xf numFmtId="0" fontId="1" fillId="4" borderId="0" xfId="1" applyFill="1"/>
  </cellXfs>
  <cellStyles count="2">
    <cellStyle name="Normal" xfId="0" builtinId="0"/>
    <cellStyle name="Normal 2" xfId="1" xr:uid="{DEE55D54-E81C-8043-82FF-C131864A96C1}"/>
  </cellStyles>
  <dxfs count="4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4" formatCode="&quot;$&quot;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5" formatCode="&quot;$&quot;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5" formatCode="&quot;$&quot;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5" formatCode="&quot;$&quot;#,##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4" formatCode="&quot;$&quot;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6" formatCode="yyyy\-mm\-dd\ h:mm:ss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F56D8-25F6-CC49-BAA2-7A2ED88CE8D9}" name="Table1" displayName="Table1" ref="A1:W1002" totalsRowCount="1">
  <autoFilter ref="A1:W1001" xr:uid="{392BD806-AFF6-DD40-A852-0BED3585ABF8}"/>
  <tableColumns count="23">
    <tableColumn id="1" xr3:uid="{82EF4EFD-8AF1-9144-9D4F-18A00674DF50}" name="Campaign ID" dataDxfId="43" totalsRowDxfId="44"/>
    <tableColumn id="2" xr3:uid="{88D00424-D901-D542-9BF5-66CE79827CD4}" name="Start Date" dataDxfId="41" totalsRowDxfId="42"/>
    <tableColumn id="3" xr3:uid="{54F2F59E-FF87-C543-9EFC-744F9173DE83}" name="End Date" dataDxfId="39" totalsRowDxfId="40"/>
    <tableColumn id="23" xr3:uid="{4197042F-F674-644B-BAAC-A9690418381B}" name="Status of Campaign" dataDxfId="37" totalsRowDxfId="38">
      <calculatedColumnFormula>IF(Table1[[#This Row],[Duration of Campaign]]=0, "Ongoing","Completed")</calculatedColumnFormula>
    </tableColumn>
    <tableColumn id="22" xr3:uid="{3C3F4714-760F-CC41-8259-15775E462413}" name="Duration of Campaign" dataDxfId="35" totalsRowDxfId="36">
      <calculatedColumnFormula>Table1[[#This Row],[End Date]]-Table1[[#This Row],[Start Date]]</calculatedColumnFormula>
    </tableColumn>
    <tableColumn id="4" xr3:uid="{F41DBA6F-4429-D043-B7F9-99BBBD3F3920}" name="Budget" dataDxfId="33" totalsRowDxfId="34"/>
    <tableColumn id="5" xr3:uid="{9CD2D84E-5C2F-1246-9FC2-6D479D1FDE04}" name="Audience" dataDxfId="31" totalsRowDxfId="32"/>
    <tableColumn id="6" xr3:uid="{825CD549-CBA2-9146-905D-D6BDA3055F7C}" name="Impressions '000" dataDxfId="29" totalsRowDxfId="30"/>
    <tableColumn id="7" xr3:uid="{BF7F0B66-F9AF-F446-9922-23EE5F584BED}" name="Clicks" dataDxfId="27" totalsRowDxfId="28"/>
    <tableColumn id="8" xr3:uid="{FB18C77E-1DC7-8846-959C-45282E5B991C}" name="Conversions" dataDxfId="25" totalsRowDxfId="26"/>
    <tableColumn id="9" xr3:uid="{A0DC752E-1831-9149-996F-E8C6A1BED899}" name="Revenue" dataDxfId="23" totalsRowDxfId="24"/>
    <tableColumn id="10" xr3:uid="{961A53D3-94E8-C44E-BAF5-3C940E908FB2}" name="Click Through Rate" dataDxfId="21" totalsRowDxfId="22">
      <calculatedColumnFormula>I2/H2</calculatedColumnFormula>
    </tableColumn>
    <tableColumn id="11" xr3:uid="{01086BC4-5B78-BF4F-9AAA-AC2AE9840002}" name="Conversion Rate" dataDxfId="19" totalsRowDxfId="20">
      <calculatedColumnFormula>J2/I2</calculatedColumnFormula>
    </tableColumn>
    <tableColumn id="12" xr3:uid="{6F545431-8517-0D45-A4A8-178918067483}" name="Cost per click" dataDxfId="17" totalsRowDxfId="18">
      <calculatedColumnFormula>U2/I2</calculatedColumnFormula>
    </tableColumn>
    <tableColumn id="13" xr3:uid="{2EF0A0B5-7475-0040-912B-AC5FF4F7473C}" name="Cost per acquisition" dataDxfId="15" totalsRowDxfId="16">
      <calculatedColumnFormula>U2/J2</calculatedColumnFormula>
    </tableColumn>
    <tableColumn id="14" xr3:uid="{3327EF63-316C-2247-87BC-72DBFCB1502E}" name="BUDGET UTILISATION" dataDxfId="13" totalsRowDxfId="14">
      <calculatedColumnFormula>U2/F2</calculatedColumnFormula>
    </tableColumn>
    <tableColumn id="15" xr3:uid="{5330EC33-E5FD-D540-ADFB-3C8CB38CC0D9}" name="ROAS" dataDxfId="11" totalsRowDxfId="12">
      <calculatedColumnFormula>K2/U2</calculatedColumnFormula>
    </tableColumn>
    <tableColumn id="16" xr3:uid="{6DFE9ECA-857F-B54C-8583-B4DC59B6B97F}" name="Client ID" dataDxfId="9" totalsRowDxfId="10"/>
    <tableColumn id="17" xr3:uid="{76B47C4D-6061-2F46-92B8-7884B4ACFD65}" name="Sector" dataDxfId="7" totalsRowDxfId="8"/>
    <tableColumn id="18" xr3:uid="{809BCAC7-B91D-E047-A1A3-C0BCEF6B49E3}" name="Company Size" dataDxfId="5" totalsRowDxfId="6"/>
    <tableColumn id="19" xr3:uid="{1FCF1D98-02F9-D04A-BE00-DF9A12D42DCB}" name="Ad Spend" dataDxfId="3" totalsRowDxfId="4"/>
    <tableColumn id="20" xr3:uid="{CB9E63A0-8970-7748-8318-C5F768BB4884}" name="Satisfaction Rating" dataDxfId="1" totalsRowDxfId="2"/>
    <tableColumn id="24" xr3:uid="{BE4ED74A-54E0-AA41-A029-8EAB71F81A6E}" name="Rating Classification" dataDxfId="0">
      <calculatedColumnFormula>IF(Table1[[#This Row],[Satisfaction Rating]]&lt;2, "Low", IF(Table1[[#This Row],[Satisfaction Rating]]&lt;4, "Medium", 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992F-E045-584F-962C-675333CA21D1}">
  <sheetPr>
    <outlinePr summaryBelow="0" summaryRight="0"/>
  </sheetPr>
  <dimension ref="A1:W1002"/>
  <sheetViews>
    <sheetView tabSelected="1" zoomScale="125" zoomScaleNormal="100" workbookViewId="0"/>
  </sheetViews>
  <sheetFormatPr baseColWidth="10" defaultColWidth="13.5" defaultRowHeight="15.75" customHeight="1" x14ac:dyDescent="0.2"/>
  <cols>
    <col min="1" max="1" width="13.83203125" style="9" bestFit="1" customWidth="1"/>
    <col min="2" max="3" width="14.1640625" style="20" bestFit="1" customWidth="1"/>
    <col min="4" max="4" width="18.1640625" style="20" bestFit="1" customWidth="1"/>
    <col min="5" max="5" width="19.6640625" style="21" bestFit="1" customWidth="1"/>
    <col min="6" max="6" width="10.5" style="22" bestFit="1" customWidth="1"/>
    <col min="7" max="7" width="13.1640625" style="20" bestFit="1" customWidth="1"/>
    <col min="8" max="8" width="16.1640625" style="22" bestFit="1" customWidth="1"/>
    <col min="9" max="9" width="9.5" style="22" bestFit="1" customWidth="1"/>
    <col min="10" max="10" width="13.6640625" style="22" bestFit="1" customWidth="1"/>
    <col min="11" max="11" width="11.1640625" style="22" bestFit="1" customWidth="1"/>
    <col min="12" max="12" width="17.83203125" style="23" bestFit="1" customWidth="1"/>
    <col min="13" max="13" width="16.1640625" style="23" bestFit="1" customWidth="1"/>
    <col min="14" max="14" width="14.1640625" style="24" bestFit="1" customWidth="1"/>
    <col min="15" max="15" width="18.33203125" style="24" bestFit="1" customWidth="1"/>
    <col min="16" max="16" width="20.1640625" style="23" bestFit="1" customWidth="1"/>
    <col min="17" max="17" width="9.6640625" style="23" bestFit="1" customWidth="1"/>
    <col min="18" max="18" width="11.1640625" style="9" bestFit="1" customWidth="1"/>
    <col min="19" max="19" width="9.83203125" style="20" bestFit="1" customWidth="1"/>
    <col min="20" max="20" width="14.6640625" style="20" bestFit="1" customWidth="1"/>
    <col min="21" max="21" width="12" style="22" bestFit="1" customWidth="1"/>
    <col min="22" max="22" width="17.6640625" style="22" bestFit="1" customWidth="1"/>
    <col min="23" max="23" width="20.6640625" style="9" bestFit="1" customWidth="1"/>
    <col min="24" max="16384" width="13.5" style="9"/>
  </cols>
  <sheetData>
    <row r="1" spans="1:2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1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9" t="s">
        <v>22</v>
      </c>
    </row>
    <row r="2" spans="1:23" ht="15.75" customHeight="1" x14ac:dyDescent="0.2">
      <c r="A2" s="10" t="s">
        <v>23</v>
      </c>
      <c r="B2" s="11">
        <v>45035.95579861111</v>
      </c>
      <c r="C2" s="11">
        <v>45337.488506944443</v>
      </c>
      <c r="D2" s="11" t="str">
        <f>IF(Table1[[#This Row],[Duration of Campaign]]=0, "Ongoing","Completed")</f>
        <v>Completed</v>
      </c>
      <c r="E2" s="12">
        <f>Table1[[#This Row],[End Date]]-Table1[[#This Row],[Start Date]]</f>
        <v>301.53270833333227</v>
      </c>
      <c r="F2" s="13">
        <v>3216</v>
      </c>
      <c r="G2" s="14" t="s">
        <v>24</v>
      </c>
      <c r="H2" s="15">
        <v>17862</v>
      </c>
      <c r="I2" s="15">
        <v>1352</v>
      </c>
      <c r="J2" s="15">
        <v>200</v>
      </c>
      <c r="K2" s="16">
        <v>5912</v>
      </c>
      <c r="L2" s="17">
        <f>I2/H2</f>
        <v>7.5691411935953426E-2</v>
      </c>
      <c r="M2" s="17">
        <f>J2/I2</f>
        <v>0.14792899408284024</v>
      </c>
      <c r="N2" s="18">
        <f>U2/I2</f>
        <v>2.165680473372781</v>
      </c>
      <c r="O2" s="18">
        <f>U2/J2</f>
        <v>14.64</v>
      </c>
      <c r="P2" s="17">
        <f>U2/F2</f>
        <v>0.91044776119402981</v>
      </c>
      <c r="Q2" s="17">
        <f>K2/U2</f>
        <v>2.0191256830601092</v>
      </c>
      <c r="R2" s="10" t="s">
        <v>25</v>
      </c>
      <c r="S2" s="14" t="s">
        <v>26</v>
      </c>
      <c r="T2" s="14" t="s">
        <v>27</v>
      </c>
      <c r="U2" s="13">
        <v>2928</v>
      </c>
      <c r="V2" s="15">
        <v>5</v>
      </c>
      <c r="W2" s="19" t="str">
        <f>IF(Table1[[#This Row],[Satisfaction Rating]]&lt;2, "Low", IF(Table1[[#This Row],[Satisfaction Rating]]&lt;4, "Medium", "High"))</f>
        <v>High</v>
      </c>
    </row>
    <row r="3" spans="1:23" ht="15.75" customHeight="1" x14ac:dyDescent="0.2">
      <c r="A3" s="10" t="s">
        <v>28</v>
      </c>
      <c r="B3" s="11">
        <v>45161.318645833337</v>
      </c>
      <c r="C3" s="11">
        <v>45161.318645833337</v>
      </c>
      <c r="D3" s="11" t="str">
        <f>IF(Table1[[#This Row],[Duration of Campaign]]=0, "Ongoing","Completed")</f>
        <v>Ongoing</v>
      </c>
      <c r="E3" s="12">
        <f>Table1[[#This Row],[End Date]]-Table1[[#This Row],[Start Date]]</f>
        <v>0</v>
      </c>
      <c r="F3" s="13">
        <v>1702</v>
      </c>
      <c r="G3" s="14" t="s">
        <v>29</v>
      </c>
      <c r="H3" s="15">
        <v>8625</v>
      </c>
      <c r="I3" s="15">
        <v>181</v>
      </c>
      <c r="J3" s="15">
        <v>51</v>
      </c>
      <c r="K3" s="16">
        <v>10101</v>
      </c>
      <c r="L3" s="17">
        <f t="shared" ref="L3:M66" si="0">I3/H3</f>
        <v>2.0985507246376812E-2</v>
      </c>
      <c r="M3" s="17">
        <f t="shared" si="0"/>
        <v>0.28176795580110497</v>
      </c>
      <c r="N3" s="18">
        <f t="shared" ref="N3:N66" si="1">U3/I3</f>
        <v>9.0718232044198892</v>
      </c>
      <c r="O3" s="18">
        <f t="shared" ref="O3:O66" si="2">U3/J3</f>
        <v>32.196078431372548</v>
      </c>
      <c r="P3" s="17">
        <f t="shared" ref="P3:P66" si="3">U3/F3</f>
        <v>0.96474735605170392</v>
      </c>
      <c r="Q3" s="17">
        <f t="shared" ref="Q3:Q66" si="4">K3/U3</f>
        <v>6.1516443361753961</v>
      </c>
      <c r="R3" s="10" t="s">
        <v>30</v>
      </c>
      <c r="S3" s="14" t="s">
        <v>31</v>
      </c>
      <c r="T3" s="14" t="s">
        <v>27</v>
      </c>
      <c r="U3" s="13">
        <v>1642</v>
      </c>
      <c r="V3" s="15">
        <v>2</v>
      </c>
      <c r="W3" s="19" t="str">
        <f>IF(Table1[[#This Row],[Satisfaction Rating]]&lt;2, "Low", IF(Table1[[#This Row],[Satisfaction Rating]]&lt;4, "Medium", "High"))</f>
        <v>Medium</v>
      </c>
    </row>
    <row r="4" spans="1:23" ht="15.75" customHeight="1" x14ac:dyDescent="0.2">
      <c r="A4" s="10" t="s">
        <v>32</v>
      </c>
      <c r="B4" s="11">
        <v>45007.497627314813</v>
      </c>
      <c r="C4" s="11">
        <v>45648.686932870369</v>
      </c>
      <c r="D4" s="11" t="str">
        <f>IF(Table1[[#This Row],[Duration of Campaign]]=0, "Ongoing","Completed")</f>
        <v>Completed</v>
      </c>
      <c r="E4" s="12">
        <f>Table1[[#This Row],[End Date]]-Table1[[#This Row],[Start Date]]</f>
        <v>641.18930555555562</v>
      </c>
      <c r="F4" s="13">
        <v>1665</v>
      </c>
      <c r="G4" s="14" t="s">
        <v>24</v>
      </c>
      <c r="H4" s="15">
        <v>10136</v>
      </c>
      <c r="I4" s="15">
        <v>1703</v>
      </c>
      <c r="J4" s="15">
        <v>386</v>
      </c>
      <c r="K4" s="16">
        <v>3148</v>
      </c>
      <c r="L4" s="17">
        <f t="shared" si="0"/>
        <v>0.1680149960536701</v>
      </c>
      <c r="M4" s="17">
        <f t="shared" si="0"/>
        <v>0.22665883734586026</v>
      </c>
      <c r="N4" s="18">
        <f t="shared" si="1"/>
        <v>10.540810334703464</v>
      </c>
      <c r="O4" s="18">
        <f t="shared" si="2"/>
        <v>46.505181347150256</v>
      </c>
      <c r="P4" s="17">
        <f t="shared" si="3"/>
        <v>10.781381381381381</v>
      </c>
      <c r="Q4" s="17">
        <f t="shared" si="4"/>
        <v>0.17536627485933931</v>
      </c>
      <c r="R4" s="10" t="s">
        <v>33</v>
      </c>
      <c r="S4" s="14" t="s">
        <v>34</v>
      </c>
      <c r="T4" s="14" t="s">
        <v>27</v>
      </c>
      <c r="U4" s="13">
        <v>17951</v>
      </c>
      <c r="V4" s="15">
        <v>4</v>
      </c>
      <c r="W4" s="9" t="str">
        <f>IF(Table1[[#This Row],[Satisfaction Rating]]&lt;2, "Low", IF(Table1[[#This Row],[Satisfaction Rating]]&lt;4, "Medium", "High"))</f>
        <v>High</v>
      </c>
    </row>
    <row r="5" spans="1:23" ht="15.75" customHeight="1" x14ac:dyDescent="0.2">
      <c r="A5" s="10" t="s">
        <v>35</v>
      </c>
      <c r="B5" s="11">
        <v>45421.395462962966</v>
      </c>
      <c r="C5" s="11">
        <v>45421.395462962966</v>
      </c>
      <c r="D5" s="11" t="str">
        <f>IF(Table1[[#This Row],[Duration of Campaign]]=0, "Ongoing","Completed")</f>
        <v>Ongoing</v>
      </c>
      <c r="E5" s="12">
        <f>Table1[[#This Row],[End Date]]-Table1[[#This Row],[Start Date]]</f>
        <v>0</v>
      </c>
      <c r="F5" s="13">
        <v>2883</v>
      </c>
      <c r="G5" s="14" t="s">
        <v>29</v>
      </c>
      <c r="H5" s="15">
        <v>7926</v>
      </c>
      <c r="I5" s="15">
        <v>1726</v>
      </c>
      <c r="J5" s="15">
        <v>84</v>
      </c>
      <c r="K5" s="16">
        <v>2137</v>
      </c>
      <c r="L5" s="17">
        <f t="shared" si="0"/>
        <v>0.21776431995962656</v>
      </c>
      <c r="M5" s="17">
        <f t="shared" si="0"/>
        <v>4.8667439165701043E-2</v>
      </c>
      <c r="N5" s="18">
        <f t="shared" si="1"/>
        <v>7.5150637311703363</v>
      </c>
      <c r="O5" s="18">
        <f t="shared" si="2"/>
        <v>154.41666666666666</v>
      </c>
      <c r="P5" s="17">
        <f t="shared" si="3"/>
        <v>4.4991328477280614</v>
      </c>
      <c r="Q5" s="17">
        <f t="shared" si="4"/>
        <v>0.16475213938786523</v>
      </c>
      <c r="R5" s="10" t="s">
        <v>36</v>
      </c>
      <c r="S5" s="14" t="s">
        <v>26</v>
      </c>
      <c r="T5" s="14" t="s">
        <v>37</v>
      </c>
      <c r="U5" s="13">
        <v>12971</v>
      </c>
      <c r="V5" s="15">
        <v>4</v>
      </c>
      <c r="W5" s="9" t="str">
        <f>IF(Table1[[#This Row],[Satisfaction Rating]]&lt;2, "Low", IF(Table1[[#This Row],[Satisfaction Rating]]&lt;4, "Medium", "High"))</f>
        <v>High</v>
      </c>
    </row>
    <row r="6" spans="1:23" ht="15.75" customHeight="1" x14ac:dyDescent="0.2">
      <c r="A6" s="10" t="s">
        <v>38</v>
      </c>
      <c r="B6" s="11">
        <v>45129.570902777778</v>
      </c>
      <c r="C6" s="11">
        <v>45606.619675925926</v>
      </c>
      <c r="D6" s="11" t="str">
        <f>IF(Table1[[#This Row],[Duration of Campaign]]=0, "Ongoing","Completed")</f>
        <v>Completed</v>
      </c>
      <c r="E6" s="12">
        <f>Table1[[#This Row],[End Date]]-Table1[[#This Row],[Start Date]]</f>
        <v>477.04877314814803</v>
      </c>
      <c r="F6" s="13">
        <v>9896</v>
      </c>
      <c r="G6" s="14" t="s">
        <v>24</v>
      </c>
      <c r="H6" s="15">
        <v>15176</v>
      </c>
      <c r="I6" s="15">
        <v>1603</v>
      </c>
      <c r="J6" s="15">
        <v>499</v>
      </c>
      <c r="K6" s="16">
        <v>11513</v>
      </c>
      <c r="L6" s="17">
        <f t="shared" si="0"/>
        <v>0.10562730627306273</v>
      </c>
      <c r="M6" s="17">
        <f t="shared" si="0"/>
        <v>0.31129132875857768</v>
      </c>
      <c r="N6" s="18">
        <f t="shared" si="1"/>
        <v>1.8041172800998129</v>
      </c>
      <c r="O6" s="18">
        <f t="shared" si="2"/>
        <v>5.7955911823647295</v>
      </c>
      <c r="P6" s="17">
        <f t="shared" si="3"/>
        <v>0.29223928860145515</v>
      </c>
      <c r="Q6" s="17">
        <f t="shared" si="4"/>
        <v>3.9809820193637622</v>
      </c>
      <c r="R6" s="10" t="s">
        <v>39</v>
      </c>
      <c r="S6" s="14" t="s">
        <v>40</v>
      </c>
      <c r="T6" s="14" t="s">
        <v>27</v>
      </c>
      <c r="U6" s="13">
        <v>2892</v>
      </c>
      <c r="V6" s="15">
        <v>4</v>
      </c>
      <c r="W6" s="9" t="str">
        <f>IF(Table1[[#This Row],[Satisfaction Rating]]&lt;2, "Low", IF(Table1[[#This Row],[Satisfaction Rating]]&lt;4, "Medium", "High"))</f>
        <v>High</v>
      </c>
    </row>
    <row r="7" spans="1:23" ht="15.75" customHeight="1" x14ac:dyDescent="0.2">
      <c r="A7" s="10" t="s">
        <v>41</v>
      </c>
      <c r="B7" s="11">
        <v>45653.359837962962</v>
      </c>
      <c r="C7" s="11">
        <v>45653.359837962962</v>
      </c>
      <c r="D7" s="11" t="str">
        <f>IF(Table1[[#This Row],[Duration of Campaign]]=0, "Ongoing","Completed")</f>
        <v>Ongoing</v>
      </c>
      <c r="E7" s="12">
        <f>Table1[[#This Row],[End Date]]-Table1[[#This Row],[Start Date]]</f>
        <v>0</v>
      </c>
      <c r="F7" s="13">
        <v>6576</v>
      </c>
      <c r="G7" s="14" t="s">
        <v>24</v>
      </c>
      <c r="H7" s="15">
        <v>14195</v>
      </c>
      <c r="I7" s="15">
        <v>1340</v>
      </c>
      <c r="J7" s="15">
        <v>128</v>
      </c>
      <c r="K7" s="16">
        <v>1074</v>
      </c>
      <c r="L7" s="17">
        <f t="shared" si="0"/>
        <v>9.4399436421275101E-2</v>
      </c>
      <c r="M7" s="17">
        <f t="shared" si="0"/>
        <v>9.5522388059701493E-2</v>
      </c>
      <c r="N7" s="18">
        <f t="shared" si="1"/>
        <v>12.394029850746268</v>
      </c>
      <c r="O7" s="18">
        <f t="shared" si="2"/>
        <v>129.75</v>
      </c>
      <c r="P7" s="17">
        <f t="shared" si="3"/>
        <v>2.5255474452554743</v>
      </c>
      <c r="Q7" s="17">
        <f t="shared" si="4"/>
        <v>6.4667630057803474E-2</v>
      </c>
      <c r="R7" s="10" t="s">
        <v>42</v>
      </c>
      <c r="S7" s="14" t="s">
        <v>40</v>
      </c>
      <c r="T7" s="14" t="s">
        <v>37</v>
      </c>
      <c r="U7" s="13">
        <v>16608</v>
      </c>
      <c r="V7" s="15">
        <v>2</v>
      </c>
      <c r="W7" s="9" t="str">
        <f>IF(Table1[[#This Row],[Satisfaction Rating]]&lt;2, "Low", IF(Table1[[#This Row],[Satisfaction Rating]]&lt;4, "Medium", "High"))</f>
        <v>Medium</v>
      </c>
    </row>
    <row r="8" spans="1:23" ht="15.75" customHeight="1" x14ac:dyDescent="0.2">
      <c r="A8" s="10" t="s">
        <v>43</v>
      </c>
      <c r="B8" s="11">
        <v>45034.877372685187</v>
      </c>
      <c r="C8" s="11">
        <v>45319.280046296299</v>
      </c>
      <c r="D8" s="11" t="str">
        <f>IF(Table1[[#This Row],[Duration of Campaign]]=0, "Ongoing","Completed")</f>
        <v>Completed</v>
      </c>
      <c r="E8" s="12">
        <f>Table1[[#This Row],[End Date]]-Table1[[#This Row],[Start Date]]</f>
        <v>284.40267361111182</v>
      </c>
      <c r="F8" s="13">
        <v>2580</v>
      </c>
      <c r="G8" s="14" t="s">
        <v>24</v>
      </c>
      <c r="H8" s="15">
        <v>6310</v>
      </c>
      <c r="I8" s="15">
        <v>664</v>
      </c>
      <c r="J8" s="15">
        <v>424</v>
      </c>
      <c r="K8" s="16">
        <v>7255</v>
      </c>
      <c r="L8" s="17">
        <f t="shared" si="0"/>
        <v>0.105229793977813</v>
      </c>
      <c r="M8" s="17">
        <f t="shared" si="0"/>
        <v>0.63855421686746983</v>
      </c>
      <c r="N8" s="18">
        <f t="shared" si="1"/>
        <v>2.7379518072289155</v>
      </c>
      <c r="O8" s="18">
        <f t="shared" si="2"/>
        <v>4.2877358490566042</v>
      </c>
      <c r="P8" s="17">
        <f t="shared" si="3"/>
        <v>0.70465116279069773</v>
      </c>
      <c r="Q8" s="17">
        <f t="shared" si="4"/>
        <v>3.9906490649064907</v>
      </c>
      <c r="R8" s="10" t="s">
        <v>44</v>
      </c>
      <c r="S8" s="14" t="s">
        <v>45</v>
      </c>
      <c r="T8" s="14" t="s">
        <v>37</v>
      </c>
      <c r="U8" s="13">
        <v>1818</v>
      </c>
      <c r="V8" s="15">
        <v>2</v>
      </c>
      <c r="W8" s="9" t="str">
        <f>IF(Table1[[#This Row],[Satisfaction Rating]]&lt;2, "Low", IF(Table1[[#This Row],[Satisfaction Rating]]&lt;4, "Medium", "High"))</f>
        <v>Medium</v>
      </c>
    </row>
    <row r="9" spans="1:23" ht="15.75" customHeight="1" x14ac:dyDescent="0.2">
      <c r="A9" s="10" t="s">
        <v>46</v>
      </c>
      <c r="B9" s="11">
        <v>45392.695902777778</v>
      </c>
      <c r="C9" s="11">
        <v>45392.695902777778</v>
      </c>
      <c r="D9" s="11" t="str">
        <f>IF(Table1[[#This Row],[Duration of Campaign]]=0, "Ongoing","Completed")</f>
        <v>Ongoing</v>
      </c>
      <c r="E9" s="12">
        <f>Table1[[#This Row],[End Date]]-Table1[[#This Row],[Start Date]]</f>
        <v>0</v>
      </c>
      <c r="F9" s="13">
        <v>8487</v>
      </c>
      <c r="G9" s="14" t="s">
        <v>47</v>
      </c>
      <c r="H9" s="15">
        <v>3619</v>
      </c>
      <c r="I9" s="15">
        <v>395</v>
      </c>
      <c r="J9" s="15">
        <v>329</v>
      </c>
      <c r="K9" s="16">
        <v>6899</v>
      </c>
      <c r="L9" s="17">
        <f t="shared" si="0"/>
        <v>0.10914617297596022</v>
      </c>
      <c r="M9" s="17">
        <f t="shared" si="0"/>
        <v>0.83291139240506329</v>
      </c>
      <c r="N9" s="18">
        <f t="shared" si="1"/>
        <v>23.703797468354431</v>
      </c>
      <c r="O9" s="18">
        <f t="shared" si="2"/>
        <v>28.458966565349545</v>
      </c>
      <c r="P9" s="17">
        <f t="shared" si="3"/>
        <v>1.1032166843407565</v>
      </c>
      <c r="Q9" s="17">
        <f t="shared" si="4"/>
        <v>0.73683648403289548</v>
      </c>
      <c r="R9" s="10" t="s">
        <v>48</v>
      </c>
      <c r="S9" s="14" t="s">
        <v>34</v>
      </c>
      <c r="T9" s="14" t="s">
        <v>37</v>
      </c>
      <c r="U9" s="13">
        <v>9363</v>
      </c>
      <c r="V9" s="15">
        <v>1</v>
      </c>
      <c r="W9" s="9" t="str">
        <f>IF(Table1[[#This Row],[Satisfaction Rating]]&lt;2, "Low", IF(Table1[[#This Row],[Satisfaction Rating]]&lt;4, "Medium", "High"))</f>
        <v>Low</v>
      </c>
    </row>
    <row r="10" spans="1:23" ht="15.75" customHeight="1" x14ac:dyDescent="0.2">
      <c r="A10" s="10" t="s">
        <v>49</v>
      </c>
      <c r="B10" s="11">
        <v>45116.4996875</v>
      </c>
      <c r="C10" s="11">
        <v>45407.077685185184</v>
      </c>
      <c r="D10" s="11" t="str">
        <f>IF(Table1[[#This Row],[Duration of Campaign]]=0, "Ongoing","Completed")</f>
        <v>Completed</v>
      </c>
      <c r="E10" s="12">
        <f>Table1[[#This Row],[End Date]]-Table1[[#This Row],[Start Date]]</f>
        <v>290.57799768518453</v>
      </c>
      <c r="F10" s="13">
        <v>2452</v>
      </c>
      <c r="G10" s="14" t="s">
        <v>29</v>
      </c>
      <c r="H10" s="15">
        <v>2749</v>
      </c>
      <c r="I10" s="15">
        <v>1229</v>
      </c>
      <c r="J10" s="15">
        <v>163</v>
      </c>
      <c r="K10" s="16">
        <v>4265</v>
      </c>
      <c r="L10" s="17">
        <f t="shared" si="0"/>
        <v>0.44707166242269919</v>
      </c>
      <c r="M10" s="17">
        <f t="shared" si="0"/>
        <v>0.13262815296989422</v>
      </c>
      <c r="N10" s="18">
        <f t="shared" si="1"/>
        <v>14.959316517493898</v>
      </c>
      <c r="O10" s="18">
        <f t="shared" si="2"/>
        <v>112.79141104294479</v>
      </c>
      <c r="P10" s="17">
        <f t="shared" si="3"/>
        <v>7.4979608482871125</v>
      </c>
      <c r="Q10" s="17">
        <f t="shared" si="4"/>
        <v>0.23198259450639108</v>
      </c>
      <c r="R10" s="10" t="s">
        <v>50</v>
      </c>
      <c r="S10" s="14" t="s">
        <v>34</v>
      </c>
      <c r="T10" s="14" t="s">
        <v>27</v>
      </c>
      <c r="U10" s="13">
        <v>18385</v>
      </c>
      <c r="V10" s="15">
        <v>4</v>
      </c>
      <c r="W10" s="9" t="str">
        <f>IF(Table1[[#This Row],[Satisfaction Rating]]&lt;2, "Low", IF(Table1[[#This Row],[Satisfaction Rating]]&lt;4, "Medium", "High"))</f>
        <v>High</v>
      </c>
    </row>
    <row r="11" spans="1:23" ht="15.75" customHeight="1" x14ac:dyDescent="0.2">
      <c r="A11" s="10" t="s">
        <v>51</v>
      </c>
      <c r="B11" s="11">
        <v>45383.444872685184</v>
      </c>
      <c r="C11" s="11">
        <v>45383.444872685184</v>
      </c>
      <c r="D11" s="11" t="str">
        <f>IF(Table1[[#This Row],[Duration of Campaign]]=0, "Ongoing","Completed")</f>
        <v>Ongoing</v>
      </c>
      <c r="E11" s="12">
        <f>Table1[[#This Row],[End Date]]-Table1[[#This Row],[Start Date]]</f>
        <v>0</v>
      </c>
      <c r="F11" s="13">
        <v>2112</v>
      </c>
      <c r="G11" s="14" t="s">
        <v>29</v>
      </c>
      <c r="H11" s="15">
        <v>18727</v>
      </c>
      <c r="I11" s="15">
        <v>1018</v>
      </c>
      <c r="J11" s="15">
        <v>179</v>
      </c>
      <c r="K11" s="16">
        <v>671</v>
      </c>
      <c r="L11" s="17">
        <f t="shared" si="0"/>
        <v>5.436001495167405E-2</v>
      </c>
      <c r="M11" s="17">
        <f t="shared" si="0"/>
        <v>0.17583497053045186</v>
      </c>
      <c r="N11" s="18">
        <f t="shared" si="1"/>
        <v>18.390962671905697</v>
      </c>
      <c r="O11" s="18">
        <f t="shared" si="2"/>
        <v>104.59217877094972</v>
      </c>
      <c r="P11" s="17">
        <f t="shared" si="3"/>
        <v>8.8645833333333339</v>
      </c>
      <c r="Q11" s="17">
        <f t="shared" si="4"/>
        <v>3.5840188014101056E-2</v>
      </c>
      <c r="R11" s="10" t="s">
        <v>52</v>
      </c>
      <c r="S11" s="14" t="s">
        <v>34</v>
      </c>
      <c r="T11" s="14" t="s">
        <v>27</v>
      </c>
      <c r="U11" s="13">
        <v>18722</v>
      </c>
      <c r="V11" s="15">
        <v>5</v>
      </c>
      <c r="W11" s="9" t="str">
        <f>IF(Table1[[#This Row],[Satisfaction Rating]]&lt;2, "Low", IF(Table1[[#This Row],[Satisfaction Rating]]&lt;4, "Medium", "High"))</f>
        <v>High</v>
      </c>
    </row>
    <row r="12" spans="1:23" ht="15.75" customHeight="1" x14ac:dyDescent="0.2">
      <c r="A12" s="10" t="s">
        <v>53</v>
      </c>
      <c r="B12" s="11">
        <v>45103.523506944446</v>
      </c>
      <c r="C12" s="11">
        <v>45358.708391203705</v>
      </c>
      <c r="D12" s="11" t="str">
        <f>IF(Table1[[#This Row],[Duration of Campaign]]=0, "Ongoing","Completed")</f>
        <v>Completed</v>
      </c>
      <c r="E12" s="12">
        <f>Table1[[#This Row],[End Date]]-Table1[[#This Row],[Start Date]]</f>
        <v>255.18488425925898</v>
      </c>
      <c r="F12" s="13">
        <v>5739</v>
      </c>
      <c r="G12" s="14" t="s">
        <v>29</v>
      </c>
      <c r="H12" s="15">
        <v>10638</v>
      </c>
      <c r="I12" s="15">
        <v>1902</v>
      </c>
      <c r="J12" s="15">
        <v>446</v>
      </c>
      <c r="K12" s="16">
        <v>4312</v>
      </c>
      <c r="L12" s="17">
        <f t="shared" si="0"/>
        <v>0.17879300620417371</v>
      </c>
      <c r="M12" s="17">
        <f t="shared" si="0"/>
        <v>0.23449001051524712</v>
      </c>
      <c r="N12" s="18">
        <f t="shared" si="1"/>
        <v>2.0893796004206098</v>
      </c>
      <c r="O12" s="18">
        <f t="shared" si="2"/>
        <v>8.9103139013452921</v>
      </c>
      <c r="P12" s="17">
        <f t="shared" si="3"/>
        <v>0.69245513155602023</v>
      </c>
      <c r="Q12" s="17">
        <f t="shared" si="4"/>
        <v>1.0850528434826372</v>
      </c>
      <c r="R12" s="10" t="s">
        <v>54</v>
      </c>
      <c r="S12" s="14" t="s">
        <v>26</v>
      </c>
      <c r="T12" s="14" t="s">
        <v>55</v>
      </c>
      <c r="U12" s="13">
        <v>3974</v>
      </c>
      <c r="V12" s="15">
        <v>4</v>
      </c>
      <c r="W12" s="9" t="str">
        <f>IF(Table1[[#This Row],[Satisfaction Rating]]&lt;2, "Low", IF(Table1[[#This Row],[Satisfaction Rating]]&lt;4, "Medium", "High"))</f>
        <v>High</v>
      </c>
    </row>
    <row r="13" spans="1:23" ht="15.75" customHeight="1" x14ac:dyDescent="0.2">
      <c r="A13" s="10" t="s">
        <v>56</v>
      </c>
      <c r="B13" s="11">
        <v>45214.932615740741</v>
      </c>
      <c r="C13" s="11">
        <v>45256.754745370374</v>
      </c>
      <c r="D13" s="11" t="str">
        <f>IF(Table1[[#This Row],[Duration of Campaign]]=0, "Ongoing","Completed")</f>
        <v>Completed</v>
      </c>
      <c r="E13" s="12">
        <f>Table1[[#This Row],[End Date]]-Table1[[#This Row],[Start Date]]</f>
        <v>41.8221296296324</v>
      </c>
      <c r="F13" s="13">
        <v>8988</v>
      </c>
      <c r="G13" s="14" t="s">
        <v>29</v>
      </c>
      <c r="H13" s="15">
        <v>1787</v>
      </c>
      <c r="I13" s="15">
        <v>1527</v>
      </c>
      <c r="J13" s="15">
        <v>103</v>
      </c>
      <c r="K13" s="16">
        <v>7600</v>
      </c>
      <c r="L13" s="17">
        <f t="shared" si="0"/>
        <v>0.85450475657526581</v>
      </c>
      <c r="M13" s="17">
        <f t="shared" si="0"/>
        <v>6.7452521283562536E-2</v>
      </c>
      <c r="N13" s="18">
        <f t="shared" si="1"/>
        <v>8.4014407334643089</v>
      </c>
      <c r="O13" s="18">
        <f t="shared" si="2"/>
        <v>124.55339805825243</v>
      </c>
      <c r="P13" s="17">
        <f t="shared" si="3"/>
        <v>1.4273475745438362</v>
      </c>
      <c r="Q13" s="17">
        <f t="shared" si="4"/>
        <v>0.5924078260191753</v>
      </c>
      <c r="R13" s="10" t="s">
        <v>57</v>
      </c>
      <c r="S13" s="14" t="s">
        <v>34</v>
      </c>
      <c r="T13" s="14" t="s">
        <v>27</v>
      </c>
      <c r="U13" s="13">
        <v>12829</v>
      </c>
      <c r="V13" s="15">
        <v>1</v>
      </c>
      <c r="W13" s="9" t="str">
        <f>IF(Table1[[#This Row],[Satisfaction Rating]]&lt;2, "Low", IF(Table1[[#This Row],[Satisfaction Rating]]&lt;4, "Medium", "High"))</f>
        <v>Low</v>
      </c>
    </row>
    <row r="14" spans="1:23" ht="15.75" customHeight="1" x14ac:dyDescent="0.2">
      <c r="A14" s="10" t="s">
        <v>58</v>
      </c>
      <c r="B14" s="11">
        <v>45501.199444444443</v>
      </c>
      <c r="C14" s="11">
        <v>45501.199444444443</v>
      </c>
      <c r="D14" s="11" t="str">
        <f>IF(Table1[[#This Row],[Duration of Campaign]]=0, "Ongoing","Completed")</f>
        <v>Ongoing</v>
      </c>
      <c r="E14" s="12">
        <f>Table1[[#This Row],[End Date]]-Table1[[#This Row],[Start Date]]</f>
        <v>0</v>
      </c>
      <c r="F14" s="13">
        <v>8686</v>
      </c>
      <c r="G14" s="14" t="s">
        <v>24</v>
      </c>
      <c r="H14" s="15">
        <v>13836</v>
      </c>
      <c r="I14" s="15">
        <v>1032</v>
      </c>
      <c r="J14" s="15">
        <v>135</v>
      </c>
      <c r="K14" s="16">
        <v>9430</v>
      </c>
      <c r="L14" s="17">
        <f t="shared" si="0"/>
        <v>7.4588031222896797E-2</v>
      </c>
      <c r="M14" s="17">
        <f t="shared" si="0"/>
        <v>0.1308139534883721</v>
      </c>
      <c r="N14" s="18">
        <f t="shared" si="1"/>
        <v>1.8914728682170543</v>
      </c>
      <c r="O14" s="18">
        <f t="shared" si="2"/>
        <v>14.459259259259259</v>
      </c>
      <c r="P14" s="17">
        <f t="shared" si="3"/>
        <v>0.22472944968915495</v>
      </c>
      <c r="Q14" s="17">
        <f t="shared" si="4"/>
        <v>4.8309426229508201</v>
      </c>
      <c r="R14" s="10" t="s">
        <v>59</v>
      </c>
      <c r="S14" s="14" t="s">
        <v>45</v>
      </c>
      <c r="T14" s="14" t="s">
        <v>27</v>
      </c>
      <c r="U14" s="13">
        <v>1952</v>
      </c>
      <c r="V14" s="15">
        <v>2</v>
      </c>
      <c r="W14" s="9" t="str">
        <f>IF(Table1[[#This Row],[Satisfaction Rating]]&lt;2, "Low", IF(Table1[[#This Row],[Satisfaction Rating]]&lt;4, "Medium", "High"))</f>
        <v>Medium</v>
      </c>
    </row>
    <row r="15" spans="1:23" ht="15.75" customHeight="1" x14ac:dyDescent="0.2">
      <c r="A15" s="10" t="s">
        <v>60</v>
      </c>
      <c r="B15" s="11">
        <v>45205.994247685187</v>
      </c>
      <c r="C15" s="11">
        <v>45305.833171296297</v>
      </c>
      <c r="D15" s="11" t="str">
        <f>IF(Table1[[#This Row],[Duration of Campaign]]=0, "Ongoing","Completed")</f>
        <v>Completed</v>
      </c>
      <c r="E15" s="12">
        <f>Table1[[#This Row],[End Date]]-Table1[[#This Row],[Start Date]]</f>
        <v>99.838923611110658</v>
      </c>
      <c r="F15" s="13">
        <v>1141</v>
      </c>
      <c r="G15" s="14" t="s">
        <v>24</v>
      </c>
      <c r="H15" s="15">
        <v>16637</v>
      </c>
      <c r="I15" s="15">
        <v>1223</v>
      </c>
      <c r="J15" s="15">
        <v>332</v>
      </c>
      <c r="K15" s="16">
        <v>10732</v>
      </c>
      <c r="L15" s="17">
        <f t="shared" si="0"/>
        <v>7.3510849311774956E-2</v>
      </c>
      <c r="M15" s="17">
        <f t="shared" si="0"/>
        <v>0.27146361406377761</v>
      </c>
      <c r="N15" s="18">
        <f t="shared" si="1"/>
        <v>8.6573998364677021</v>
      </c>
      <c r="O15" s="18">
        <f t="shared" si="2"/>
        <v>31.891566265060241</v>
      </c>
      <c r="P15" s="17">
        <f t="shared" si="3"/>
        <v>9.2795793163891318</v>
      </c>
      <c r="Q15" s="17">
        <f t="shared" si="4"/>
        <v>1.0136003022289384</v>
      </c>
      <c r="R15" s="10" t="s">
        <v>61</v>
      </c>
      <c r="S15" s="14" t="s">
        <v>26</v>
      </c>
      <c r="T15" s="14" t="s">
        <v>55</v>
      </c>
      <c r="U15" s="13">
        <v>10588</v>
      </c>
      <c r="V15" s="15">
        <v>3</v>
      </c>
      <c r="W15" s="9" t="str">
        <f>IF(Table1[[#This Row],[Satisfaction Rating]]&lt;2, "Low", IF(Table1[[#This Row],[Satisfaction Rating]]&lt;4, "Medium", "High"))</f>
        <v>Medium</v>
      </c>
    </row>
    <row r="16" spans="1:23" ht="15.75" customHeight="1" x14ac:dyDescent="0.2">
      <c r="A16" s="10" t="s">
        <v>62</v>
      </c>
      <c r="B16" s="11">
        <v>45463.751377314817</v>
      </c>
      <c r="C16" s="11">
        <v>45539.536030092589</v>
      </c>
      <c r="D16" s="11" t="str">
        <f>IF(Table1[[#This Row],[Duration of Campaign]]=0, "Ongoing","Completed")</f>
        <v>Completed</v>
      </c>
      <c r="E16" s="12">
        <f>Table1[[#This Row],[End Date]]-Table1[[#This Row],[Start Date]]</f>
        <v>75.784652777772862</v>
      </c>
      <c r="F16" s="13">
        <v>2097</v>
      </c>
      <c r="G16" s="14" t="s">
        <v>63</v>
      </c>
      <c r="H16" s="15">
        <v>9164</v>
      </c>
      <c r="I16" s="15">
        <v>601</v>
      </c>
      <c r="J16" s="15">
        <v>271</v>
      </c>
      <c r="K16" s="16">
        <v>11325</v>
      </c>
      <c r="L16" s="17">
        <f t="shared" si="0"/>
        <v>6.5582714971628112E-2</v>
      </c>
      <c r="M16" s="17">
        <f t="shared" si="0"/>
        <v>0.45091514143094841</v>
      </c>
      <c r="N16" s="18">
        <f t="shared" si="1"/>
        <v>15.668885191347753</v>
      </c>
      <c r="O16" s="18">
        <f t="shared" si="2"/>
        <v>34.749077490774908</v>
      </c>
      <c r="P16" s="17">
        <f t="shared" si="3"/>
        <v>4.4907010014306152</v>
      </c>
      <c r="Q16" s="17">
        <f t="shared" si="4"/>
        <v>1.2026122969098438</v>
      </c>
      <c r="R16" s="10" t="s">
        <v>64</v>
      </c>
      <c r="S16" s="14" t="s">
        <v>40</v>
      </c>
      <c r="T16" s="14" t="s">
        <v>55</v>
      </c>
      <c r="U16" s="13">
        <v>9417</v>
      </c>
      <c r="V16" s="15">
        <v>4</v>
      </c>
      <c r="W16" s="19" t="str">
        <f>IF(Table1[[#This Row],[Satisfaction Rating]]&lt;2, "Low", IF(Table1[[#This Row],[Satisfaction Rating]]&lt;4, "Medium", "High"))</f>
        <v>High</v>
      </c>
    </row>
    <row r="17" spans="1:23" ht="15.75" customHeight="1" x14ac:dyDescent="0.2">
      <c r="A17" s="10" t="s">
        <v>65</v>
      </c>
      <c r="B17" s="11">
        <v>45487.569976851853</v>
      </c>
      <c r="C17" s="11">
        <v>45506.56590277778</v>
      </c>
      <c r="D17" s="11" t="str">
        <f>IF(Table1[[#This Row],[Duration of Campaign]]=0, "Ongoing","Completed")</f>
        <v>Completed</v>
      </c>
      <c r="E17" s="12">
        <f>Table1[[#This Row],[End Date]]-Table1[[#This Row],[Start Date]]</f>
        <v>18.995925925926713</v>
      </c>
      <c r="F17" s="13">
        <v>1860</v>
      </c>
      <c r="G17" s="14" t="s">
        <v>47</v>
      </c>
      <c r="H17" s="15">
        <v>17013</v>
      </c>
      <c r="I17" s="15">
        <v>1737</v>
      </c>
      <c r="J17" s="15">
        <v>409</v>
      </c>
      <c r="K17" s="16">
        <v>10043</v>
      </c>
      <c r="L17" s="17">
        <f t="shared" si="0"/>
        <v>0.10209839534473637</v>
      </c>
      <c r="M17" s="17">
        <f t="shared" si="0"/>
        <v>0.23546344271732872</v>
      </c>
      <c r="N17" s="18">
        <f t="shared" si="1"/>
        <v>9.0725388601036272</v>
      </c>
      <c r="O17" s="18">
        <f t="shared" si="2"/>
        <v>38.530562347188265</v>
      </c>
      <c r="P17" s="17">
        <f t="shared" si="3"/>
        <v>8.4725806451612904</v>
      </c>
      <c r="Q17" s="17">
        <f t="shared" si="4"/>
        <v>0.63728662986230089</v>
      </c>
      <c r="R17" s="10" t="s">
        <v>66</v>
      </c>
      <c r="S17" s="14" t="s">
        <v>40</v>
      </c>
      <c r="T17" s="14" t="s">
        <v>37</v>
      </c>
      <c r="U17" s="13">
        <v>15759</v>
      </c>
      <c r="V17" s="15">
        <v>1</v>
      </c>
      <c r="W17" s="9" t="str">
        <f>IF(Table1[[#This Row],[Satisfaction Rating]]&lt;2, "Low", IF(Table1[[#This Row],[Satisfaction Rating]]&lt;4, "Medium", "High"))</f>
        <v>Low</v>
      </c>
    </row>
    <row r="18" spans="1:23" ht="15.75" customHeight="1" x14ac:dyDescent="0.2">
      <c r="A18" s="10" t="s">
        <v>67</v>
      </c>
      <c r="B18" s="11">
        <v>44951.611631944441</v>
      </c>
      <c r="C18" s="11">
        <v>45283.172199074077</v>
      </c>
      <c r="D18" s="11" t="str">
        <f>IF(Table1[[#This Row],[Duration of Campaign]]=0, "Ongoing","Completed")</f>
        <v>Completed</v>
      </c>
      <c r="E18" s="12">
        <f>Table1[[#This Row],[End Date]]-Table1[[#This Row],[Start Date]]</f>
        <v>331.56056712963618</v>
      </c>
      <c r="F18" s="13">
        <v>2969</v>
      </c>
      <c r="G18" s="14" t="s">
        <v>47</v>
      </c>
      <c r="H18" s="15">
        <v>2652</v>
      </c>
      <c r="I18" s="15">
        <v>237</v>
      </c>
      <c r="J18" s="15">
        <v>303</v>
      </c>
      <c r="K18" s="16">
        <v>13662</v>
      </c>
      <c r="L18" s="17">
        <f t="shared" si="0"/>
        <v>8.9366515837104074E-2</v>
      </c>
      <c r="M18" s="17">
        <f t="shared" si="0"/>
        <v>1.2784810126582278</v>
      </c>
      <c r="N18" s="18">
        <f t="shared" si="1"/>
        <v>60.801687763713083</v>
      </c>
      <c r="O18" s="18">
        <f t="shared" si="2"/>
        <v>47.557755775577554</v>
      </c>
      <c r="P18" s="17">
        <f t="shared" si="3"/>
        <v>4.8534860222297072</v>
      </c>
      <c r="Q18" s="17">
        <f t="shared" si="4"/>
        <v>0.94809160305343509</v>
      </c>
      <c r="R18" s="10" t="s">
        <v>68</v>
      </c>
      <c r="S18" s="14" t="s">
        <v>31</v>
      </c>
      <c r="T18" s="14" t="s">
        <v>55</v>
      </c>
      <c r="U18" s="13">
        <v>14410</v>
      </c>
      <c r="V18" s="15">
        <v>4</v>
      </c>
      <c r="W18" s="9" t="str">
        <f>IF(Table1[[#This Row],[Satisfaction Rating]]&lt;2, "Low", IF(Table1[[#This Row],[Satisfaction Rating]]&lt;4, "Medium", "High"))</f>
        <v>High</v>
      </c>
    </row>
    <row r="19" spans="1:23" ht="15.75" customHeight="1" x14ac:dyDescent="0.2">
      <c r="A19" s="10" t="s">
        <v>69</v>
      </c>
      <c r="B19" s="11">
        <v>45467.934907407405</v>
      </c>
      <c r="C19" s="11">
        <v>45467.934907407405</v>
      </c>
      <c r="D19" s="11" t="str">
        <f>IF(Table1[[#This Row],[Duration of Campaign]]=0, "Ongoing","Completed")</f>
        <v>Ongoing</v>
      </c>
      <c r="E19" s="12">
        <f>Table1[[#This Row],[End Date]]-Table1[[#This Row],[Start Date]]</f>
        <v>0</v>
      </c>
      <c r="F19" s="13">
        <v>7893</v>
      </c>
      <c r="G19" s="14" t="s">
        <v>63</v>
      </c>
      <c r="H19" s="15">
        <v>14819</v>
      </c>
      <c r="I19" s="15">
        <v>1091</v>
      </c>
      <c r="J19" s="15">
        <v>143</v>
      </c>
      <c r="K19" s="16">
        <v>1597</v>
      </c>
      <c r="L19" s="17">
        <f t="shared" si="0"/>
        <v>7.3621701869221942E-2</v>
      </c>
      <c r="M19" s="17">
        <f t="shared" si="0"/>
        <v>0.13107241063244729</v>
      </c>
      <c r="N19" s="18">
        <f t="shared" si="1"/>
        <v>1.3519706691109075</v>
      </c>
      <c r="O19" s="18">
        <f t="shared" si="2"/>
        <v>10.314685314685315</v>
      </c>
      <c r="P19" s="17">
        <f t="shared" si="3"/>
        <v>0.18687444571138984</v>
      </c>
      <c r="Q19" s="17">
        <f t="shared" si="4"/>
        <v>1.0827118644067797</v>
      </c>
      <c r="R19" s="10" t="s">
        <v>70</v>
      </c>
      <c r="S19" s="14" t="s">
        <v>26</v>
      </c>
      <c r="T19" s="14" t="s">
        <v>27</v>
      </c>
      <c r="U19" s="13">
        <v>1475</v>
      </c>
      <c r="V19" s="15">
        <v>2</v>
      </c>
      <c r="W19" s="9" t="str">
        <f>IF(Table1[[#This Row],[Satisfaction Rating]]&lt;2, "Low", IF(Table1[[#This Row],[Satisfaction Rating]]&lt;4, "Medium", "High"))</f>
        <v>Medium</v>
      </c>
    </row>
    <row r="20" spans="1:23" ht="15.75" customHeight="1" x14ac:dyDescent="0.2">
      <c r="A20" s="10" t="s">
        <v>71</v>
      </c>
      <c r="B20" s="11">
        <v>45003.584432870368</v>
      </c>
      <c r="C20" s="11">
        <v>45414.333935185183</v>
      </c>
      <c r="D20" s="11" t="str">
        <f>IF(Table1[[#This Row],[Duration of Campaign]]=0, "Ongoing","Completed")</f>
        <v>Completed</v>
      </c>
      <c r="E20" s="12">
        <f>Table1[[#This Row],[End Date]]-Table1[[#This Row],[Start Date]]</f>
        <v>410.74950231481489</v>
      </c>
      <c r="F20" s="13">
        <v>1624</v>
      </c>
      <c r="G20" s="14" t="s">
        <v>29</v>
      </c>
      <c r="H20" s="15">
        <v>19892</v>
      </c>
      <c r="I20" s="15">
        <v>633</v>
      </c>
      <c r="J20" s="15">
        <v>483</v>
      </c>
      <c r="K20" s="16">
        <v>4694</v>
      </c>
      <c r="L20" s="17">
        <f t="shared" si="0"/>
        <v>3.1821837924793886E-2</v>
      </c>
      <c r="M20" s="17">
        <f t="shared" si="0"/>
        <v>0.76303317535545023</v>
      </c>
      <c r="N20" s="18">
        <f t="shared" si="1"/>
        <v>11.898894154818326</v>
      </c>
      <c r="O20" s="18">
        <f t="shared" si="2"/>
        <v>15.594202898550725</v>
      </c>
      <c r="P20" s="17">
        <f t="shared" si="3"/>
        <v>4.6379310344827589</v>
      </c>
      <c r="Q20" s="17">
        <f t="shared" si="4"/>
        <v>0.62320764737121614</v>
      </c>
      <c r="R20" s="10" t="s">
        <v>72</v>
      </c>
      <c r="S20" s="14" t="s">
        <v>45</v>
      </c>
      <c r="T20" s="14" t="s">
        <v>37</v>
      </c>
      <c r="U20" s="13">
        <v>7532</v>
      </c>
      <c r="V20" s="15">
        <v>1</v>
      </c>
      <c r="W20" s="9" t="str">
        <f>IF(Table1[[#This Row],[Satisfaction Rating]]&lt;2, "Low", IF(Table1[[#This Row],[Satisfaction Rating]]&lt;4, "Medium", "High"))</f>
        <v>Low</v>
      </c>
    </row>
    <row r="21" spans="1:23" ht="15.75" customHeight="1" x14ac:dyDescent="0.2">
      <c r="A21" s="10" t="s">
        <v>73</v>
      </c>
      <c r="B21" s="11">
        <v>45107.992789351854</v>
      </c>
      <c r="C21" s="11">
        <v>45472.643194444441</v>
      </c>
      <c r="D21" s="11" t="str">
        <f>IF(Table1[[#This Row],[Duration of Campaign]]=0, "Ongoing","Completed")</f>
        <v>Completed</v>
      </c>
      <c r="E21" s="12">
        <f>Table1[[#This Row],[End Date]]-Table1[[#This Row],[Start Date]]</f>
        <v>364.65040509258688</v>
      </c>
      <c r="F21" s="13">
        <v>1950</v>
      </c>
      <c r="G21" s="14" t="s">
        <v>29</v>
      </c>
      <c r="H21" s="15">
        <v>10576</v>
      </c>
      <c r="I21" s="15">
        <v>1808</v>
      </c>
      <c r="J21" s="15">
        <v>96</v>
      </c>
      <c r="K21" s="16">
        <v>8192</v>
      </c>
      <c r="L21" s="17">
        <f t="shared" si="0"/>
        <v>0.17095310136157338</v>
      </c>
      <c r="M21" s="17">
        <f t="shared" si="0"/>
        <v>5.3097345132743362E-2</v>
      </c>
      <c r="N21" s="18">
        <f t="shared" si="1"/>
        <v>8.3871681415929196</v>
      </c>
      <c r="O21" s="18">
        <f t="shared" si="2"/>
        <v>157.95833333333334</v>
      </c>
      <c r="P21" s="17">
        <f t="shared" si="3"/>
        <v>7.7764102564102568</v>
      </c>
      <c r="Q21" s="17">
        <f t="shared" si="4"/>
        <v>0.54022685307306784</v>
      </c>
      <c r="R21" s="10" t="s">
        <v>74</v>
      </c>
      <c r="S21" s="14" t="s">
        <v>45</v>
      </c>
      <c r="T21" s="14" t="s">
        <v>37</v>
      </c>
      <c r="U21" s="13">
        <v>15164</v>
      </c>
      <c r="V21" s="15">
        <v>1</v>
      </c>
      <c r="W21" s="9" t="str">
        <f>IF(Table1[[#This Row],[Satisfaction Rating]]&lt;2, "Low", IF(Table1[[#This Row],[Satisfaction Rating]]&lt;4, "Medium", "High"))</f>
        <v>Low</v>
      </c>
    </row>
    <row r="22" spans="1:23" ht="15.75" customHeight="1" x14ac:dyDescent="0.2">
      <c r="A22" s="10" t="s">
        <v>75</v>
      </c>
      <c r="B22" s="11">
        <v>45305.63726851852</v>
      </c>
      <c r="C22" s="11">
        <v>45305.63726851852</v>
      </c>
      <c r="D22" s="11" t="str">
        <f>IF(Table1[[#This Row],[Duration of Campaign]]=0, "Ongoing","Completed")</f>
        <v>Ongoing</v>
      </c>
      <c r="E22" s="12">
        <f>Table1[[#This Row],[End Date]]-Table1[[#This Row],[Start Date]]</f>
        <v>0</v>
      </c>
      <c r="F22" s="13">
        <v>1704</v>
      </c>
      <c r="G22" s="14" t="s">
        <v>63</v>
      </c>
      <c r="H22" s="15">
        <v>3050</v>
      </c>
      <c r="I22" s="15">
        <v>1811</v>
      </c>
      <c r="J22" s="15">
        <v>249</v>
      </c>
      <c r="K22" s="16">
        <v>836</v>
      </c>
      <c r="L22" s="17">
        <f t="shared" si="0"/>
        <v>0.59377049180327868</v>
      </c>
      <c r="M22" s="17">
        <f t="shared" si="0"/>
        <v>0.13749309773605742</v>
      </c>
      <c r="N22" s="18">
        <f t="shared" si="1"/>
        <v>3.962451684152402</v>
      </c>
      <c r="O22" s="18">
        <f t="shared" si="2"/>
        <v>28.819277108433734</v>
      </c>
      <c r="P22" s="17">
        <f t="shared" si="3"/>
        <v>4.211267605633803</v>
      </c>
      <c r="Q22" s="17">
        <f t="shared" si="4"/>
        <v>0.1164994425863991</v>
      </c>
      <c r="R22" s="10" t="s">
        <v>76</v>
      </c>
      <c r="S22" s="14" t="s">
        <v>34</v>
      </c>
      <c r="T22" s="14" t="s">
        <v>27</v>
      </c>
      <c r="U22" s="13">
        <v>7176</v>
      </c>
      <c r="V22" s="15">
        <v>2</v>
      </c>
      <c r="W22" s="9" t="str">
        <f>IF(Table1[[#This Row],[Satisfaction Rating]]&lt;2, "Low", IF(Table1[[#This Row],[Satisfaction Rating]]&lt;4, "Medium", "High"))</f>
        <v>Medium</v>
      </c>
    </row>
    <row r="23" spans="1:23" ht="14" x14ac:dyDescent="0.2">
      <c r="A23" s="10" t="s">
        <v>77</v>
      </c>
      <c r="B23" s="11">
        <v>45442.905659722222</v>
      </c>
      <c r="C23" s="11">
        <v>45442.905659722222</v>
      </c>
      <c r="D23" s="11" t="str">
        <f>IF(Table1[[#This Row],[Duration of Campaign]]=0, "Ongoing","Completed")</f>
        <v>Ongoing</v>
      </c>
      <c r="E23" s="12">
        <f>Table1[[#This Row],[End Date]]-Table1[[#This Row],[Start Date]]</f>
        <v>0</v>
      </c>
      <c r="F23" s="13">
        <v>5600</v>
      </c>
      <c r="G23" s="14" t="s">
        <v>47</v>
      </c>
      <c r="H23" s="15">
        <v>13567</v>
      </c>
      <c r="I23" s="15">
        <v>1671</v>
      </c>
      <c r="J23" s="15">
        <v>174</v>
      </c>
      <c r="K23" s="16">
        <v>13357</v>
      </c>
      <c r="L23" s="17">
        <f t="shared" si="0"/>
        <v>0.12316650696543083</v>
      </c>
      <c r="M23" s="17">
        <f t="shared" si="0"/>
        <v>0.10412926391382406</v>
      </c>
      <c r="N23" s="18">
        <f t="shared" si="1"/>
        <v>11.533812088569718</v>
      </c>
      <c r="O23" s="18">
        <f t="shared" si="2"/>
        <v>110.76436781609195</v>
      </c>
      <c r="P23" s="17">
        <f t="shared" si="3"/>
        <v>3.4416071428571429</v>
      </c>
      <c r="Q23" s="17">
        <f t="shared" si="4"/>
        <v>0.69304207959321329</v>
      </c>
      <c r="R23" s="10" t="s">
        <v>78</v>
      </c>
      <c r="S23" s="14" t="s">
        <v>45</v>
      </c>
      <c r="T23" s="14" t="s">
        <v>27</v>
      </c>
      <c r="U23" s="13">
        <v>19273</v>
      </c>
      <c r="V23" s="15">
        <v>4</v>
      </c>
      <c r="W23" s="9" t="str">
        <f>IF(Table1[[#This Row],[Satisfaction Rating]]&lt;2, "Low", IF(Table1[[#This Row],[Satisfaction Rating]]&lt;4, "Medium", "High"))</f>
        <v>High</v>
      </c>
    </row>
    <row r="24" spans="1:23" ht="14" x14ac:dyDescent="0.2">
      <c r="A24" s="10" t="s">
        <v>79</v>
      </c>
      <c r="B24" s="11">
        <v>45091.978738425925</v>
      </c>
      <c r="C24" s="11">
        <v>45655.297939814816</v>
      </c>
      <c r="D24" s="11" t="str">
        <f>IF(Table1[[#This Row],[Duration of Campaign]]=0, "Ongoing","Completed")</f>
        <v>Completed</v>
      </c>
      <c r="E24" s="12">
        <f>Table1[[#This Row],[End Date]]-Table1[[#This Row],[Start Date]]</f>
        <v>563.31920138889109</v>
      </c>
      <c r="F24" s="13">
        <v>6106</v>
      </c>
      <c r="G24" s="14" t="s">
        <v>29</v>
      </c>
      <c r="H24" s="15">
        <v>19338</v>
      </c>
      <c r="I24" s="15">
        <v>1514</v>
      </c>
      <c r="J24" s="15">
        <v>385</v>
      </c>
      <c r="K24" s="16">
        <v>6256</v>
      </c>
      <c r="L24" s="17">
        <f t="shared" si="0"/>
        <v>7.8291446892129482E-2</v>
      </c>
      <c r="M24" s="17">
        <f t="shared" si="0"/>
        <v>0.25429326287978865</v>
      </c>
      <c r="N24" s="18">
        <f t="shared" si="1"/>
        <v>3.2780713342140024</v>
      </c>
      <c r="O24" s="18">
        <f t="shared" si="2"/>
        <v>12.890909090909091</v>
      </c>
      <c r="P24" s="17">
        <f t="shared" si="3"/>
        <v>0.81280707500818872</v>
      </c>
      <c r="Q24" s="17">
        <f t="shared" si="4"/>
        <v>1.2605279065081605</v>
      </c>
      <c r="R24" s="10" t="s">
        <v>80</v>
      </c>
      <c r="S24" s="14" t="s">
        <v>31</v>
      </c>
      <c r="T24" s="14" t="s">
        <v>27</v>
      </c>
      <c r="U24" s="13">
        <v>4963</v>
      </c>
      <c r="V24" s="15">
        <v>2</v>
      </c>
      <c r="W24" s="9" t="str">
        <f>IF(Table1[[#This Row],[Satisfaction Rating]]&lt;2, "Low", IF(Table1[[#This Row],[Satisfaction Rating]]&lt;4, "Medium", "High"))</f>
        <v>Medium</v>
      </c>
    </row>
    <row r="25" spans="1:23" ht="14" x14ac:dyDescent="0.2">
      <c r="A25" s="10" t="s">
        <v>81</v>
      </c>
      <c r="B25" s="11">
        <v>45487.104768518519</v>
      </c>
      <c r="C25" s="11">
        <v>45588.239768518521</v>
      </c>
      <c r="D25" s="11" t="str">
        <f>IF(Table1[[#This Row],[Duration of Campaign]]=0, "Ongoing","Completed")</f>
        <v>Completed</v>
      </c>
      <c r="E25" s="12">
        <f>Table1[[#This Row],[End Date]]-Table1[[#This Row],[Start Date]]</f>
        <v>101.13500000000204</v>
      </c>
      <c r="F25" s="13">
        <v>6528</v>
      </c>
      <c r="G25" s="14" t="s">
        <v>24</v>
      </c>
      <c r="H25" s="15">
        <v>14851</v>
      </c>
      <c r="I25" s="15">
        <v>1892</v>
      </c>
      <c r="J25" s="15">
        <v>344</v>
      </c>
      <c r="K25" s="16">
        <v>13299</v>
      </c>
      <c r="L25" s="17">
        <f t="shared" si="0"/>
        <v>0.12739882836172647</v>
      </c>
      <c r="M25" s="17">
        <f t="shared" si="0"/>
        <v>0.18181818181818182</v>
      </c>
      <c r="N25" s="18">
        <f t="shared" si="1"/>
        <v>3.3705073995771668</v>
      </c>
      <c r="O25" s="18">
        <f t="shared" si="2"/>
        <v>18.537790697674417</v>
      </c>
      <c r="P25" s="17">
        <f t="shared" si="3"/>
        <v>0.97686887254901966</v>
      </c>
      <c r="Q25" s="17">
        <f t="shared" si="4"/>
        <v>2.0854633840363808</v>
      </c>
      <c r="R25" s="10" t="s">
        <v>82</v>
      </c>
      <c r="S25" s="14" t="s">
        <v>45</v>
      </c>
      <c r="T25" s="14" t="s">
        <v>55</v>
      </c>
      <c r="U25" s="13">
        <v>6377</v>
      </c>
      <c r="V25" s="15">
        <v>4</v>
      </c>
      <c r="W25" s="9" t="str">
        <f>IF(Table1[[#This Row],[Satisfaction Rating]]&lt;2, "Low", IF(Table1[[#This Row],[Satisfaction Rating]]&lt;4, "Medium", "High"))</f>
        <v>High</v>
      </c>
    </row>
    <row r="26" spans="1:23" ht="14" x14ac:dyDescent="0.2">
      <c r="A26" s="10" t="s">
        <v>83</v>
      </c>
      <c r="B26" s="11">
        <v>45000.519618055558</v>
      </c>
      <c r="C26" s="11">
        <v>45225.492627314816</v>
      </c>
      <c r="D26" s="11" t="str">
        <f>IF(Table1[[#This Row],[Duration of Campaign]]=0, "Ongoing","Completed")</f>
        <v>Completed</v>
      </c>
      <c r="E26" s="12">
        <f>Table1[[#This Row],[End Date]]-Table1[[#This Row],[Start Date]]</f>
        <v>224.97300925925811</v>
      </c>
      <c r="F26" s="13">
        <v>6053</v>
      </c>
      <c r="G26" s="14" t="s">
        <v>63</v>
      </c>
      <c r="H26" s="15">
        <v>13853</v>
      </c>
      <c r="I26" s="15">
        <v>1010</v>
      </c>
      <c r="J26" s="15">
        <v>368</v>
      </c>
      <c r="K26" s="16">
        <v>1838</v>
      </c>
      <c r="L26" s="17">
        <f t="shared" si="0"/>
        <v>7.2908395293438247E-2</v>
      </c>
      <c r="M26" s="17">
        <f t="shared" si="0"/>
        <v>0.36435643564356435</v>
      </c>
      <c r="N26" s="18">
        <f t="shared" si="1"/>
        <v>16.016831683168316</v>
      </c>
      <c r="O26" s="18">
        <f t="shared" si="2"/>
        <v>43.959239130434781</v>
      </c>
      <c r="P26" s="17">
        <f t="shared" si="3"/>
        <v>2.6725590616223363</v>
      </c>
      <c r="Q26" s="17">
        <f t="shared" si="4"/>
        <v>0.11361809977128021</v>
      </c>
      <c r="R26" s="10" t="s">
        <v>84</v>
      </c>
      <c r="S26" s="14" t="s">
        <v>40</v>
      </c>
      <c r="T26" s="14" t="s">
        <v>27</v>
      </c>
      <c r="U26" s="13">
        <v>16177</v>
      </c>
      <c r="V26" s="15">
        <v>1</v>
      </c>
      <c r="W26" s="9" t="str">
        <f>IF(Table1[[#This Row],[Satisfaction Rating]]&lt;2, "Low", IF(Table1[[#This Row],[Satisfaction Rating]]&lt;4, "Medium", "High"))</f>
        <v>Low</v>
      </c>
    </row>
    <row r="27" spans="1:23" ht="14" x14ac:dyDescent="0.2">
      <c r="A27" s="10" t="s">
        <v>85</v>
      </c>
      <c r="B27" s="11">
        <v>45063.169004629628</v>
      </c>
      <c r="C27" s="11">
        <v>45115.09443287037</v>
      </c>
      <c r="D27" s="11" t="str">
        <f>IF(Table1[[#This Row],[Duration of Campaign]]=0, "Ongoing","Completed")</f>
        <v>Completed</v>
      </c>
      <c r="E27" s="12">
        <f>Table1[[#This Row],[End Date]]-Table1[[#This Row],[Start Date]]</f>
        <v>51.925428240741894</v>
      </c>
      <c r="F27" s="13">
        <v>4549</v>
      </c>
      <c r="G27" s="14" t="s">
        <v>24</v>
      </c>
      <c r="H27" s="15">
        <v>6912</v>
      </c>
      <c r="I27" s="15">
        <v>1739</v>
      </c>
      <c r="J27" s="15">
        <v>287</v>
      </c>
      <c r="K27" s="16">
        <v>11590</v>
      </c>
      <c r="L27" s="17">
        <f t="shared" si="0"/>
        <v>0.25159143518518517</v>
      </c>
      <c r="M27" s="17">
        <f t="shared" si="0"/>
        <v>0.16503737780333524</v>
      </c>
      <c r="N27" s="18">
        <f t="shared" si="1"/>
        <v>6.2524439332949973</v>
      </c>
      <c r="O27" s="18">
        <f t="shared" si="2"/>
        <v>37.88501742160279</v>
      </c>
      <c r="P27" s="17">
        <f t="shared" si="3"/>
        <v>2.3901956473950321</v>
      </c>
      <c r="Q27" s="17">
        <f t="shared" si="4"/>
        <v>1.0659431619608204</v>
      </c>
      <c r="R27" s="10" t="s">
        <v>86</v>
      </c>
      <c r="S27" s="14" t="s">
        <v>45</v>
      </c>
      <c r="T27" s="14" t="s">
        <v>27</v>
      </c>
      <c r="U27" s="13">
        <v>10873</v>
      </c>
      <c r="V27" s="15">
        <v>3</v>
      </c>
      <c r="W27" s="9" t="str">
        <f>IF(Table1[[#This Row],[Satisfaction Rating]]&lt;2, "Low", IF(Table1[[#This Row],[Satisfaction Rating]]&lt;4, "Medium", "High"))</f>
        <v>Medium</v>
      </c>
    </row>
    <row r="28" spans="1:23" ht="14" x14ac:dyDescent="0.2">
      <c r="A28" s="10" t="s">
        <v>87</v>
      </c>
      <c r="B28" s="11">
        <v>45558.752523148149</v>
      </c>
      <c r="C28" s="11">
        <v>45558.752523148149</v>
      </c>
      <c r="D28" s="11" t="str">
        <f>IF(Table1[[#This Row],[Duration of Campaign]]=0, "Ongoing","Completed")</f>
        <v>Ongoing</v>
      </c>
      <c r="E28" s="12">
        <f>Table1[[#This Row],[End Date]]-Table1[[#This Row],[Start Date]]</f>
        <v>0</v>
      </c>
      <c r="F28" s="13">
        <v>6545</v>
      </c>
      <c r="G28" s="14" t="s">
        <v>47</v>
      </c>
      <c r="H28" s="15">
        <v>1735</v>
      </c>
      <c r="I28" s="15">
        <v>1304</v>
      </c>
      <c r="J28" s="15">
        <v>177</v>
      </c>
      <c r="K28" s="16">
        <v>8444</v>
      </c>
      <c r="L28" s="17">
        <f t="shared" si="0"/>
        <v>0.75158501440922187</v>
      </c>
      <c r="M28" s="17">
        <f t="shared" si="0"/>
        <v>0.1357361963190184</v>
      </c>
      <c r="N28" s="18">
        <f t="shared" si="1"/>
        <v>2.5030674846625769</v>
      </c>
      <c r="O28" s="18">
        <f t="shared" si="2"/>
        <v>18.440677966101696</v>
      </c>
      <c r="P28" s="17">
        <f t="shared" si="3"/>
        <v>0.4987012987012987</v>
      </c>
      <c r="Q28" s="17">
        <f t="shared" si="4"/>
        <v>2.5870098039215685</v>
      </c>
      <c r="R28" s="10" t="s">
        <v>88</v>
      </c>
      <c r="S28" s="14" t="s">
        <v>31</v>
      </c>
      <c r="T28" s="14" t="s">
        <v>37</v>
      </c>
      <c r="U28" s="13">
        <v>3264</v>
      </c>
      <c r="V28" s="15">
        <v>5</v>
      </c>
      <c r="W28" s="9" t="str">
        <f>IF(Table1[[#This Row],[Satisfaction Rating]]&lt;2, "Low", IF(Table1[[#This Row],[Satisfaction Rating]]&lt;4, "Medium", "High"))</f>
        <v>High</v>
      </c>
    </row>
    <row r="29" spans="1:23" ht="14" x14ac:dyDescent="0.2">
      <c r="A29" s="10" t="s">
        <v>89</v>
      </c>
      <c r="B29" s="11">
        <v>45199.113287037035</v>
      </c>
      <c r="C29" s="11">
        <v>45199.113287037035</v>
      </c>
      <c r="D29" s="11" t="str">
        <f>IF(Table1[[#This Row],[Duration of Campaign]]=0, "Ongoing","Completed")</f>
        <v>Ongoing</v>
      </c>
      <c r="E29" s="12">
        <f>Table1[[#This Row],[End Date]]-Table1[[#This Row],[Start Date]]</f>
        <v>0</v>
      </c>
      <c r="F29" s="13">
        <v>1092</v>
      </c>
      <c r="G29" s="14" t="s">
        <v>29</v>
      </c>
      <c r="H29" s="15">
        <v>4713</v>
      </c>
      <c r="I29" s="15">
        <v>320</v>
      </c>
      <c r="J29" s="15">
        <v>184</v>
      </c>
      <c r="K29" s="16">
        <v>11643</v>
      </c>
      <c r="L29" s="17">
        <f t="shared" si="0"/>
        <v>6.7897305325694893E-2</v>
      </c>
      <c r="M29" s="17">
        <f t="shared" si="0"/>
        <v>0.57499999999999996</v>
      </c>
      <c r="N29" s="18">
        <f t="shared" si="1"/>
        <v>7.2125000000000004</v>
      </c>
      <c r="O29" s="18">
        <f t="shared" si="2"/>
        <v>12.543478260869565</v>
      </c>
      <c r="P29" s="17">
        <f t="shared" si="3"/>
        <v>2.1135531135531136</v>
      </c>
      <c r="Q29" s="17">
        <f t="shared" si="4"/>
        <v>5.0446273830155981</v>
      </c>
      <c r="R29" s="10" t="s">
        <v>90</v>
      </c>
      <c r="S29" s="14" t="s">
        <v>31</v>
      </c>
      <c r="T29" s="14" t="s">
        <v>27</v>
      </c>
      <c r="U29" s="13">
        <v>2308</v>
      </c>
      <c r="V29" s="15">
        <v>3</v>
      </c>
      <c r="W29" s="9" t="str">
        <f>IF(Table1[[#This Row],[Satisfaction Rating]]&lt;2, "Low", IF(Table1[[#This Row],[Satisfaction Rating]]&lt;4, "Medium", "High"))</f>
        <v>Medium</v>
      </c>
    </row>
    <row r="30" spans="1:23" ht="14" x14ac:dyDescent="0.2">
      <c r="A30" s="10" t="s">
        <v>91</v>
      </c>
      <c r="B30" s="11">
        <v>45323.302928240744</v>
      </c>
      <c r="C30" s="11">
        <v>45636.676365740743</v>
      </c>
      <c r="D30" s="11" t="str">
        <f>IF(Table1[[#This Row],[Duration of Campaign]]=0, "Ongoing","Completed")</f>
        <v>Completed</v>
      </c>
      <c r="E30" s="12">
        <f>Table1[[#This Row],[End Date]]-Table1[[#This Row],[Start Date]]</f>
        <v>313.37343749999854</v>
      </c>
      <c r="F30" s="13">
        <v>4780</v>
      </c>
      <c r="G30" s="14" t="s">
        <v>24</v>
      </c>
      <c r="H30" s="15">
        <v>3644</v>
      </c>
      <c r="I30" s="15">
        <v>1208</v>
      </c>
      <c r="J30" s="15">
        <v>251</v>
      </c>
      <c r="K30" s="16">
        <v>14695</v>
      </c>
      <c r="L30" s="17">
        <f t="shared" si="0"/>
        <v>0.33150384193194293</v>
      </c>
      <c r="M30" s="17">
        <f t="shared" si="0"/>
        <v>0.20778145695364239</v>
      </c>
      <c r="N30" s="18">
        <f t="shared" si="1"/>
        <v>4.0778145695364234</v>
      </c>
      <c r="O30" s="18">
        <f t="shared" si="2"/>
        <v>19.625498007968126</v>
      </c>
      <c r="P30" s="17">
        <f t="shared" si="3"/>
        <v>1.0305439330543933</v>
      </c>
      <c r="Q30" s="17">
        <f t="shared" si="4"/>
        <v>2.9831506293138448</v>
      </c>
      <c r="R30" s="10" t="s">
        <v>92</v>
      </c>
      <c r="S30" s="14" t="s">
        <v>26</v>
      </c>
      <c r="T30" s="14" t="s">
        <v>27</v>
      </c>
      <c r="U30" s="13">
        <v>4926</v>
      </c>
      <c r="V30" s="15">
        <v>5</v>
      </c>
      <c r="W30" s="9" t="str">
        <f>IF(Table1[[#This Row],[Satisfaction Rating]]&lt;2, "Low", IF(Table1[[#This Row],[Satisfaction Rating]]&lt;4, "Medium", "High"))</f>
        <v>High</v>
      </c>
    </row>
    <row r="31" spans="1:23" ht="14" x14ac:dyDescent="0.2">
      <c r="A31" s="10" t="s">
        <v>93</v>
      </c>
      <c r="B31" s="11">
        <v>45090.012488425928</v>
      </c>
      <c r="C31" s="11">
        <v>45355.746238425927</v>
      </c>
      <c r="D31" s="11" t="str">
        <f>IF(Table1[[#This Row],[Duration of Campaign]]=0, "Ongoing","Completed")</f>
        <v>Completed</v>
      </c>
      <c r="E31" s="12">
        <f>Table1[[#This Row],[End Date]]-Table1[[#This Row],[Start Date]]</f>
        <v>265.73374999999942</v>
      </c>
      <c r="F31" s="13">
        <v>7056</v>
      </c>
      <c r="G31" s="14" t="s">
        <v>47</v>
      </c>
      <c r="H31" s="15">
        <v>9331</v>
      </c>
      <c r="I31" s="15">
        <v>153</v>
      </c>
      <c r="J31" s="15">
        <v>282</v>
      </c>
      <c r="K31" s="16">
        <v>7872</v>
      </c>
      <c r="L31" s="17">
        <f t="shared" si="0"/>
        <v>1.639695638195263E-2</v>
      </c>
      <c r="M31" s="17">
        <f t="shared" si="0"/>
        <v>1.8431372549019607</v>
      </c>
      <c r="N31" s="18">
        <f t="shared" si="1"/>
        <v>5.8692810457516336</v>
      </c>
      <c r="O31" s="18">
        <f t="shared" si="2"/>
        <v>3.1843971631205674</v>
      </c>
      <c r="P31" s="17">
        <f t="shared" si="3"/>
        <v>0.12726757369614514</v>
      </c>
      <c r="Q31" s="17">
        <f t="shared" si="4"/>
        <v>8.7661469933184861</v>
      </c>
      <c r="R31" s="10" t="s">
        <v>94</v>
      </c>
      <c r="S31" s="14" t="s">
        <v>40</v>
      </c>
      <c r="T31" s="14" t="s">
        <v>37</v>
      </c>
      <c r="U31" s="13">
        <v>898</v>
      </c>
      <c r="V31" s="15">
        <v>5</v>
      </c>
      <c r="W31" s="9" t="str">
        <f>IF(Table1[[#This Row],[Satisfaction Rating]]&lt;2, "Low", IF(Table1[[#This Row],[Satisfaction Rating]]&lt;4, "Medium", "High"))</f>
        <v>High</v>
      </c>
    </row>
    <row r="32" spans="1:23" ht="14" x14ac:dyDescent="0.2">
      <c r="A32" s="10" t="s">
        <v>95</v>
      </c>
      <c r="B32" s="11">
        <v>45421.456701388888</v>
      </c>
      <c r="C32" s="11">
        <v>45421.456701388888</v>
      </c>
      <c r="D32" s="11" t="str">
        <f>IF(Table1[[#This Row],[Duration of Campaign]]=0, "Ongoing","Completed")</f>
        <v>Ongoing</v>
      </c>
      <c r="E32" s="12">
        <f>Table1[[#This Row],[End Date]]-Table1[[#This Row],[Start Date]]</f>
        <v>0</v>
      </c>
      <c r="F32" s="13">
        <v>7807</v>
      </c>
      <c r="G32" s="14" t="s">
        <v>24</v>
      </c>
      <c r="H32" s="15">
        <v>4416</v>
      </c>
      <c r="I32" s="15">
        <v>922</v>
      </c>
      <c r="J32" s="15">
        <v>470</v>
      </c>
      <c r="K32" s="16">
        <v>4232</v>
      </c>
      <c r="L32" s="17">
        <f t="shared" si="0"/>
        <v>0.20878623188405798</v>
      </c>
      <c r="M32" s="17">
        <f t="shared" si="0"/>
        <v>0.50976138828633411</v>
      </c>
      <c r="N32" s="18">
        <f t="shared" si="1"/>
        <v>12.951193058568331</v>
      </c>
      <c r="O32" s="18">
        <f t="shared" si="2"/>
        <v>25.406382978723403</v>
      </c>
      <c r="P32" s="17">
        <f t="shared" si="3"/>
        <v>1.529524785448956</v>
      </c>
      <c r="Q32" s="17">
        <f t="shared" si="4"/>
        <v>0.35440917846076542</v>
      </c>
      <c r="R32" s="10" t="s">
        <v>96</v>
      </c>
      <c r="S32" s="14" t="s">
        <v>34</v>
      </c>
      <c r="T32" s="14" t="s">
        <v>27</v>
      </c>
      <c r="U32" s="13">
        <v>11941</v>
      </c>
      <c r="V32" s="15">
        <v>1</v>
      </c>
      <c r="W32" s="9" t="str">
        <f>IF(Table1[[#This Row],[Satisfaction Rating]]&lt;2, "Low", IF(Table1[[#This Row],[Satisfaction Rating]]&lt;4, "Medium", "High"))</f>
        <v>Low</v>
      </c>
    </row>
    <row r="33" spans="1:23" ht="14" x14ac:dyDescent="0.2">
      <c r="A33" s="10" t="s">
        <v>97</v>
      </c>
      <c r="B33" s="11">
        <v>45398.062476851854</v>
      </c>
      <c r="C33" s="11">
        <v>45398.062476851854</v>
      </c>
      <c r="D33" s="11" t="str">
        <f>IF(Table1[[#This Row],[Duration of Campaign]]=0, "Ongoing","Completed")</f>
        <v>Ongoing</v>
      </c>
      <c r="E33" s="12">
        <f>Table1[[#This Row],[End Date]]-Table1[[#This Row],[Start Date]]</f>
        <v>0</v>
      </c>
      <c r="F33" s="13">
        <v>9746</v>
      </c>
      <c r="G33" s="14" t="s">
        <v>63</v>
      </c>
      <c r="H33" s="15">
        <v>1611</v>
      </c>
      <c r="I33" s="15">
        <v>1430</v>
      </c>
      <c r="J33" s="15">
        <v>368</v>
      </c>
      <c r="K33" s="16">
        <v>6214</v>
      </c>
      <c r="L33" s="17">
        <f t="shared" si="0"/>
        <v>0.88764742396027307</v>
      </c>
      <c r="M33" s="17">
        <f t="shared" si="0"/>
        <v>0.25734265734265732</v>
      </c>
      <c r="N33" s="18">
        <f t="shared" si="1"/>
        <v>3.6923076923076925</v>
      </c>
      <c r="O33" s="18">
        <f t="shared" si="2"/>
        <v>14.347826086956522</v>
      </c>
      <c r="P33" s="17">
        <f t="shared" si="3"/>
        <v>0.54176072234762984</v>
      </c>
      <c r="Q33" s="17">
        <f t="shared" si="4"/>
        <v>1.1768939393939395</v>
      </c>
      <c r="R33" s="10" t="s">
        <v>98</v>
      </c>
      <c r="S33" s="14" t="s">
        <v>45</v>
      </c>
      <c r="T33" s="14" t="s">
        <v>55</v>
      </c>
      <c r="U33" s="13">
        <v>5280</v>
      </c>
      <c r="V33" s="15">
        <v>1</v>
      </c>
      <c r="W33" s="9" t="str">
        <f>IF(Table1[[#This Row],[Satisfaction Rating]]&lt;2, "Low", IF(Table1[[#This Row],[Satisfaction Rating]]&lt;4, "Medium", "High"))</f>
        <v>Low</v>
      </c>
    </row>
    <row r="34" spans="1:23" ht="14" x14ac:dyDescent="0.2">
      <c r="A34" s="10" t="s">
        <v>99</v>
      </c>
      <c r="B34" s="11">
        <v>44938.410787037035</v>
      </c>
      <c r="C34" s="11">
        <v>45311.59642361111</v>
      </c>
      <c r="D34" s="11" t="str">
        <f>IF(Table1[[#This Row],[Duration of Campaign]]=0, "Ongoing","Completed")</f>
        <v>Completed</v>
      </c>
      <c r="E34" s="12">
        <f>Table1[[#This Row],[End Date]]-Table1[[#This Row],[Start Date]]</f>
        <v>373.18563657407503</v>
      </c>
      <c r="F34" s="13">
        <v>5215</v>
      </c>
      <c r="G34" s="14" t="s">
        <v>29</v>
      </c>
      <c r="H34" s="15">
        <v>2584</v>
      </c>
      <c r="I34" s="15">
        <v>182</v>
      </c>
      <c r="J34" s="15">
        <v>192</v>
      </c>
      <c r="K34" s="16">
        <v>14543</v>
      </c>
      <c r="L34" s="17">
        <f t="shared" si="0"/>
        <v>7.0433436532507734E-2</v>
      </c>
      <c r="M34" s="17">
        <f t="shared" si="0"/>
        <v>1.054945054945055</v>
      </c>
      <c r="N34" s="18">
        <f t="shared" si="1"/>
        <v>40.57692307692308</v>
      </c>
      <c r="O34" s="18">
        <f t="shared" si="2"/>
        <v>38.463541666666664</v>
      </c>
      <c r="P34" s="17">
        <f t="shared" si="3"/>
        <v>1.4161073825503356</v>
      </c>
      <c r="Q34" s="17">
        <f t="shared" si="4"/>
        <v>1.9692620176032498</v>
      </c>
      <c r="R34" s="10" t="s">
        <v>100</v>
      </c>
      <c r="S34" s="14" t="s">
        <v>31</v>
      </c>
      <c r="T34" s="14" t="s">
        <v>37</v>
      </c>
      <c r="U34" s="13">
        <v>7385</v>
      </c>
      <c r="V34" s="15">
        <v>5</v>
      </c>
      <c r="W34" s="9" t="str">
        <f>IF(Table1[[#This Row],[Satisfaction Rating]]&lt;2, "Low", IF(Table1[[#This Row],[Satisfaction Rating]]&lt;4, "Medium", "High"))</f>
        <v>High</v>
      </c>
    </row>
    <row r="35" spans="1:23" ht="14" x14ac:dyDescent="0.2">
      <c r="A35" s="10" t="s">
        <v>101</v>
      </c>
      <c r="B35" s="11">
        <v>45617.073182870372</v>
      </c>
      <c r="C35" s="11">
        <v>45617.073182870372</v>
      </c>
      <c r="D35" s="11" t="str">
        <f>IF(Table1[[#This Row],[Duration of Campaign]]=0, "Ongoing","Completed")</f>
        <v>Ongoing</v>
      </c>
      <c r="E35" s="12">
        <f>Table1[[#This Row],[End Date]]-Table1[[#This Row],[Start Date]]</f>
        <v>0</v>
      </c>
      <c r="F35" s="13">
        <v>9587</v>
      </c>
      <c r="G35" s="14" t="s">
        <v>29</v>
      </c>
      <c r="H35" s="15">
        <v>16932</v>
      </c>
      <c r="I35" s="15">
        <v>1105</v>
      </c>
      <c r="J35" s="15">
        <v>97</v>
      </c>
      <c r="K35" s="16">
        <v>4456</v>
      </c>
      <c r="L35" s="17">
        <f t="shared" si="0"/>
        <v>6.5261044176706834E-2</v>
      </c>
      <c r="M35" s="17">
        <f t="shared" si="0"/>
        <v>8.7782805429864247E-2</v>
      </c>
      <c r="N35" s="18">
        <f t="shared" si="1"/>
        <v>10.109502262443439</v>
      </c>
      <c r="O35" s="18">
        <f t="shared" si="2"/>
        <v>115.16494845360825</v>
      </c>
      <c r="P35" s="17">
        <f t="shared" si="3"/>
        <v>1.1652237404819026</v>
      </c>
      <c r="Q35" s="17">
        <f t="shared" si="4"/>
        <v>0.39888998299167489</v>
      </c>
      <c r="R35" s="10" t="s">
        <v>102</v>
      </c>
      <c r="S35" s="14" t="s">
        <v>40</v>
      </c>
      <c r="T35" s="14" t="s">
        <v>27</v>
      </c>
      <c r="U35" s="13">
        <v>11171</v>
      </c>
      <c r="V35" s="15">
        <v>3</v>
      </c>
      <c r="W35" s="9" t="str">
        <f>IF(Table1[[#This Row],[Satisfaction Rating]]&lt;2, "Low", IF(Table1[[#This Row],[Satisfaction Rating]]&lt;4, "Medium", "High"))</f>
        <v>Medium</v>
      </c>
    </row>
    <row r="36" spans="1:23" ht="14" x14ac:dyDescent="0.2">
      <c r="A36" s="10" t="s">
        <v>103</v>
      </c>
      <c r="B36" s="11">
        <v>45155.431493055556</v>
      </c>
      <c r="C36" s="11">
        <v>45155.431493055556</v>
      </c>
      <c r="D36" s="11" t="str">
        <f>IF(Table1[[#This Row],[Duration of Campaign]]=0, "Ongoing","Completed")</f>
        <v>Ongoing</v>
      </c>
      <c r="E36" s="12">
        <f>Table1[[#This Row],[End Date]]-Table1[[#This Row],[Start Date]]</f>
        <v>0</v>
      </c>
      <c r="F36" s="13">
        <v>5625</v>
      </c>
      <c r="G36" s="14" t="s">
        <v>29</v>
      </c>
      <c r="H36" s="15">
        <v>18293</v>
      </c>
      <c r="I36" s="15">
        <v>359</v>
      </c>
      <c r="J36" s="15">
        <v>330</v>
      </c>
      <c r="K36" s="16">
        <v>9099</v>
      </c>
      <c r="L36" s="17">
        <f t="shared" si="0"/>
        <v>1.962499316678511E-2</v>
      </c>
      <c r="M36" s="17">
        <f t="shared" si="0"/>
        <v>0.91922005571030641</v>
      </c>
      <c r="N36" s="18">
        <f t="shared" si="1"/>
        <v>54.902506963788298</v>
      </c>
      <c r="O36" s="18">
        <f t="shared" si="2"/>
        <v>59.727272727272727</v>
      </c>
      <c r="P36" s="17">
        <f t="shared" si="3"/>
        <v>3.504</v>
      </c>
      <c r="Q36" s="17">
        <f t="shared" si="4"/>
        <v>0.46164383561643835</v>
      </c>
      <c r="R36" s="10" t="s">
        <v>104</v>
      </c>
      <c r="S36" s="14" t="s">
        <v>26</v>
      </c>
      <c r="T36" s="14" t="s">
        <v>27</v>
      </c>
      <c r="U36" s="13">
        <v>19710</v>
      </c>
      <c r="V36" s="15">
        <v>2</v>
      </c>
      <c r="W36" s="9" t="str">
        <f>IF(Table1[[#This Row],[Satisfaction Rating]]&lt;2, "Low", IF(Table1[[#This Row],[Satisfaction Rating]]&lt;4, "Medium", "High"))</f>
        <v>Medium</v>
      </c>
    </row>
    <row r="37" spans="1:23" ht="14" x14ac:dyDescent="0.2">
      <c r="A37" s="10" t="s">
        <v>105</v>
      </c>
      <c r="B37" s="11">
        <v>45203.460439814815</v>
      </c>
      <c r="C37" s="11">
        <v>45367.124513888892</v>
      </c>
      <c r="D37" s="11" t="str">
        <f>IF(Table1[[#This Row],[Duration of Campaign]]=0, "Ongoing","Completed")</f>
        <v>Completed</v>
      </c>
      <c r="E37" s="12">
        <f>Table1[[#This Row],[End Date]]-Table1[[#This Row],[Start Date]]</f>
        <v>163.66407407407678</v>
      </c>
      <c r="F37" s="13">
        <v>3366</v>
      </c>
      <c r="G37" s="14" t="s">
        <v>63</v>
      </c>
      <c r="H37" s="15">
        <v>15705</v>
      </c>
      <c r="I37" s="15">
        <v>381</v>
      </c>
      <c r="J37" s="15">
        <v>240</v>
      </c>
      <c r="K37" s="16">
        <v>875</v>
      </c>
      <c r="L37" s="17">
        <f t="shared" si="0"/>
        <v>2.425978987583572E-2</v>
      </c>
      <c r="M37" s="17">
        <f t="shared" si="0"/>
        <v>0.62992125984251968</v>
      </c>
      <c r="N37" s="18">
        <f t="shared" si="1"/>
        <v>41.897637795275593</v>
      </c>
      <c r="O37" s="18">
        <f t="shared" si="2"/>
        <v>66.512500000000003</v>
      </c>
      <c r="P37" s="17">
        <f t="shared" si="3"/>
        <v>4.7424242424242422</v>
      </c>
      <c r="Q37" s="17">
        <f t="shared" si="4"/>
        <v>5.4814257971559234E-2</v>
      </c>
      <c r="R37" s="10" t="s">
        <v>106</v>
      </c>
      <c r="S37" s="14" t="s">
        <v>34</v>
      </c>
      <c r="T37" s="14" t="s">
        <v>27</v>
      </c>
      <c r="U37" s="13">
        <v>15963</v>
      </c>
      <c r="V37" s="15">
        <v>3</v>
      </c>
      <c r="W37" s="9" t="str">
        <f>IF(Table1[[#This Row],[Satisfaction Rating]]&lt;2, "Low", IF(Table1[[#This Row],[Satisfaction Rating]]&lt;4, "Medium", "High"))</f>
        <v>Medium</v>
      </c>
    </row>
    <row r="38" spans="1:23" ht="14" x14ac:dyDescent="0.2">
      <c r="A38" s="10" t="s">
        <v>107</v>
      </c>
      <c r="B38" s="11">
        <v>45043.539004629631</v>
      </c>
      <c r="C38" s="11">
        <v>45544.358680555553</v>
      </c>
      <c r="D38" s="11" t="str">
        <f>IF(Table1[[#This Row],[Duration of Campaign]]=0, "Ongoing","Completed")</f>
        <v>Completed</v>
      </c>
      <c r="E38" s="12">
        <f>Table1[[#This Row],[End Date]]-Table1[[#This Row],[Start Date]]</f>
        <v>500.81967592592264</v>
      </c>
      <c r="F38" s="13">
        <v>9689</v>
      </c>
      <c r="G38" s="14" t="s">
        <v>63</v>
      </c>
      <c r="H38" s="15">
        <v>4059</v>
      </c>
      <c r="I38" s="15">
        <v>984</v>
      </c>
      <c r="J38" s="15">
        <v>267</v>
      </c>
      <c r="K38" s="16">
        <v>3568</v>
      </c>
      <c r="L38" s="17">
        <f t="shared" si="0"/>
        <v>0.24242424242424243</v>
      </c>
      <c r="M38" s="17">
        <f t="shared" si="0"/>
        <v>0.27134146341463417</v>
      </c>
      <c r="N38" s="18">
        <f t="shared" si="1"/>
        <v>9.0243902439024382</v>
      </c>
      <c r="O38" s="18">
        <f t="shared" si="2"/>
        <v>33.258426966292134</v>
      </c>
      <c r="P38" s="17">
        <f t="shared" si="3"/>
        <v>0.91650325110950559</v>
      </c>
      <c r="Q38" s="17">
        <f t="shared" si="4"/>
        <v>0.40180180180180181</v>
      </c>
      <c r="R38" s="10" t="s">
        <v>108</v>
      </c>
      <c r="S38" s="14" t="s">
        <v>31</v>
      </c>
      <c r="T38" s="14" t="s">
        <v>37</v>
      </c>
      <c r="U38" s="13">
        <v>8880</v>
      </c>
      <c r="V38" s="15">
        <v>2</v>
      </c>
      <c r="W38" s="9" t="str">
        <f>IF(Table1[[#This Row],[Satisfaction Rating]]&lt;2, "Low", IF(Table1[[#This Row],[Satisfaction Rating]]&lt;4, "Medium", "High"))</f>
        <v>Medium</v>
      </c>
    </row>
    <row r="39" spans="1:23" ht="14" x14ac:dyDescent="0.2">
      <c r="A39" s="10" t="s">
        <v>109</v>
      </c>
      <c r="B39" s="11">
        <v>45396.503437500003</v>
      </c>
      <c r="C39" s="11">
        <v>45533.672048611108</v>
      </c>
      <c r="D39" s="11" t="str">
        <f>IF(Table1[[#This Row],[Duration of Campaign]]=0, "Ongoing","Completed")</f>
        <v>Completed</v>
      </c>
      <c r="E39" s="12">
        <f>Table1[[#This Row],[End Date]]-Table1[[#This Row],[Start Date]]</f>
        <v>137.16861111110484</v>
      </c>
      <c r="F39" s="13">
        <v>5201</v>
      </c>
      <c r="G39" s="14" t="s">
        <v>24</v>
      </c>
      <c r="H39" s="15">
        <v>16403</v>
      </c>
      <c r="I39" s="15">
        <v>447</v>
      </c>
      <c r="J39" s="15">
        <v>437</v>
      </c>
      <c r="K39" s="16">
        <v>8058</v>
      </c>
      <c r="L39" s="17">
        <f t="shared" si="0"/>
        <v>2.7251112601353412E-2</v>
      </c>
      <c r="M39" s="17">
        <f t="shared" si="0"/>
        <v>0.97762863534675615</v>
      </c>
      <c r="N39" s="18">
        <f t="shared" si="1"/>
        <v>29.029082774049218</v>
      </c>
      <c r="O39" s="18">
        <f t="shared" si="2"/>
        <v>29.693363844393591</v>
      </c>
      <c r="P39" s="17">
        <f t="shared" si="3"/>
        <v>2.4949048259950009</v>
      </c>
      <c r="Q39" s="17">
        <f t="shared" si="4"/>
        <v>0.62099260172626392</v>
      </c>
      <c r="R39" s="10" t="s">
        <v>110</v>
      </c>
      <c r="S39" s="14" t="s">
        <v>34</v>
      </c>
      <c r="T39" s="14" t="s">
        <v>37</v>
      </c>
      <c r="U39" s="13">
        <v>12976</v>
      </c>
      <c r="V39" s="15">
        <v>5</v>
      </c>
      <c r="W39" s="9" t="str">
        <f>IF(Table1[[#This Row],[Satisfaction Rating]]&lt;2, "Low", IF(Table1[[#This Row],[Satisfaction Rating]]&lt;4, "Medium", "High"))</f>
        <v>High</v>
      </c>
    </row>
    <row r="40" spans="1:23" ht="14" x14ac:dyDescent="0.2">
      <c r="A40" s="10" t="s">
        <v>111</v>
      </c>
      <c r="B40" s="11">
        <v>45543.825532407405</v>
      </c>
      <c r="C40" s="11">
        <v>45543.825532407405</v>
      </c>
      <c r="D40" s="11" t="str">
        <f>IF(Table1[[#This Row],[Duration of Campaign]]=0, "Ongoing","Completed")</f>
        <v>Ongoing</v>
      </c>
      <c r="E40" s="12">
        <f>Table1[[#This Row],[End Date]]-Table1[[#This Row],[Start Date]]</f>
        <v>0</v>
      </c>
      <c r="F40" s="13">
        <v>4944</v>
      </c>
      <c r="G40" s="14" t="s">
        <v>29</v>
      </c>
      <c r="H40" s="15">
        <v>11642</v>
      </c>
      <c r="I40" s="15">
        <v>302</v>
      </c>
      <c r="J40" s="15">
        <v>146</v>
      </c>
      <c r="K40" s="16">
        <v>5588</v>
      </c>
      <c r="L40" s="17">
        <f t="shared" si="0"/>
        <v>2.5940560041230028E-2</v>
      </c>
      <c r="M40" s="17">
        <f t="shared" si="0"/>
        <v>0.48344370860927155</v>
      </c>
      <c r="N40" s="18">
        <f t="shared" si="1"/>
        <v>10.235099337748345</v>
      </c>
      <c r="O40" s="18">
        <f t="shared" si="2"/>
        <v>21.171232876712327</v>
      </c>
      <c r="P40" s="17">
        <f t="shared" si="3"/>
        <v>0.62520226537216828</v>
      </c>
      <c r="Q40" s="17">
        <f t="shared" si="4"/>
        <v>1.8078291814946619</v>
      </c>
      <c r="R40" s="10" t="s">
        <v>112</v>
      </c>
      <c r="S40" s="14" t="s">
        <v>31</v>
      </c>
      <c r="T40" s="14" t="s">
        <v>37</v>
      </c>
      <c r="U40" s="13">
        <v>3091</v>
      </c>
      <c r="V40" s="15">
        <v>4</v>
      </c>
      <c r="W40" s="9" t="str">
        <f>IF(Table1[[#This Row],[Satisfaction Rating]]&lt;2, "Low", IF(Table1[[#This Row],[Satisfaction Rating]]&lt;4, "Medium", "High"))</f>
        <v>High</v>
      </c>
    </row>
    <row r="41" spans="1:23" ht="14" x14ac:dyDescent="0.2">
      <c r="A41" s="10" t="s">
        <v>113</v>
      </c>
      <c r="B41" s="11">
        <v>45243.322175925925</v>
      </c>
      <c r="C41" s="11">
        <v>45647.327986111108</v>
      </c>
      <c r="D41" s="11" t="str">
        <f>IF(Table1[[#This Row],[Duration of Campaign]]=0, "Ongoing","Completed")</f>
        <v>Completed</v>
      </c>
      <c r="E41" s="12">
        <f>Table1[[#This Row],[End Date]]-Table1[[#This Row],[Start Date]]</f>
        <v>404.00581018518278</v>
      </c>
      <c r="F41" s="13">
        <v>2196</v>
      </c>
      <c r="G41" s="14" t="s">
        <v>63</v>
      </c>
      <c r="H41" s="15">
        <v>12915</v>
      </c>
      <c r="I41" s="15">
        <v>1174</v>
      </c>
      <c r="J41" s="15">
        <v>145</v>
      </c>
      <c r="K41" s="16">
        <v>14307</v>
      </c>
      <c r="L41" s="17">
        <f t="shared" si="0"/>
        <v>9.0902051877661635E-2</v>
      </c>
      <c r="M41" s="17">
        <f t="shared" si="0"/>
        <v>0.12350936967632027</v>
      </c>
      <c r="N41" s="18">
        <f t="shared" si="1"/>
        <v>12.420783645655877</v>
      </c>
      <c r="O41" s="18">
        <f t="shared" si="2"/>
        <v>100.56551724137931</v>
      </c>
      <c r="P41" s="17">
        <f t="shared" si="3"/>
        <v>6.6402550091074684</v>
      </c>
      <c r="Q41" s="17">
        <f t="shared" si="4"/>
        <v>0.98114113290357974</v>
      </c>
      <c r="R41" s="10" t="s">
        <v>114</v>
      </c>
      <c r="S41" s="14" t="s">
        <v>31</v>
      </c>
      <c r="T41" s="14" t="s">
        <v>55</v>
      </c>
      <c r="U41" s="13">
        <v>14582</v>
      </c>
      <c r="V41" s="15">
        <v>3</v>
      </c>
      <c r="W41" s="9" t="str">
        <f>IF(Table1[[#This Row],[Satisfaction Rating]]&lt;2, "Low", IF(Table1[[#This Row],[Satisfaction Rating]]&lt;4, "Medium", "High"))</f>
        <v>Medium</v>
      </c>
    </row>
    <row r="42" spans="1:23" ht="14" x14ac:dyDescent="0.2">
      <c r="A42" s="10" t="s">
        <v>115</v>
      </c>
      <c r="B42" s="11">
        <v>45597.319201388891</v>
      </c>
      <c r="C42" s="11">
        <v>45597.319201388891</v>
      </c>
      <c r="D42" s="11" t="str">
        <f>IF(Table1[[#This Row],[Duration of Campaign]]=0, "Ongoing","Completed")</f>
        <v>Ongoing</v>
      </c>
      <c r="E42" s="12">
        <f>Table1[[#This Row],[End Date]]-Table1[[#This Row],[Start Date]]</f>
        <v>0</v>
      </c>
      <c r="F42" s="13">
        <v>7885</v>
      </c>
      <c r="G42" s="14" t="s">
        <v>29</v>
      </c>
      <c r="H42" s="15">
        <v>1511</v>
      </c>
      <c r="I42" s="15">
        <v>196</v>
      </c>
      <c r="J42" s="15">
        <v>459</v>
      </c>
      <c r="K42" s="16">
        <v>4173</v>
      </c>
      <c r="L42" s="17">
        <f t="shared" si="0"/>
        <v>0.12971542025148908</v>
      </c>
      <c r="M42" s="17">
        <f t="shared" si="0"/>
        <v>2.3418367346938775</v>
      </c>
      <c r="N42" s="18">
        <f t="shared" si="1"/>
        <v>17.877551020408163</v>
      </c>
      <c r="O42" s="18">
        <f t="shared" si="2"/>
        <v>7.6339869281045756</v>
      </c>
      <c r="P42" s="17">
        <f t="shared" si="3"/>
        <v>0.44438807863031071</v>
      </c>
      <c r="Q42" s="17">
        <f t="shared" si="4"/>
        <v>1.1909246575342465</v>
      </c>
      <c r="R42" s="10" t="s">
        <v>116</v>
      </c>
      <c r="S42" s="14" t="s">
        <v>34</v>
      </c>
      <c r="T42" s="14" t="s">
        <v>37</v>
      </c>
      <c r="U42" s="13">
        <v>3504</v>
      </c>
      <c r="V42" s="15">
        <v>5</v>
      </c>
      <c r="W42" s="9" t="str">
        <f>IF(Table1[[#This Row],[Satisfaction Rating]]&lt;2, "Low", IF(Table1[[#This Row],[Satisfaction Rating]]&lt;4, "Medium", "High"))</f>
        <v>High</v>
      </c>
    </row>
    <row r="43" spans="1:23" ht="14" x14ac:dyDescent="0.2">
      <c r="A43" s="10" t="s">
        <v>117</v>
      </c>
      <c r="B43" s="11">
        <v>45519.402291666665</v>
      </c>
      <c r="C43" s="11">
        <v>45519.402291666665</v>
      </c>
      <c r="D43" s="11" t="str">
        <f>IF(Table1[[#This Row],[Duration of Campaign]]=0, "Ongoing","Completed")</f>
        <v>Ongoing</v>
      </c>
      <c r="E43" s="12">
        <f>Table1[[#This Row],[End Date]]-Table1[[#This Row],[Start Date]]</f>
        <v>0</v>
      </c>
      <c r="F43" s="13">
        <v>9316</v>
      </c>
      <c r="G43" s="14" t="s">
        <v>24</v>
      </c>
      <c r="H43" s="15">
        <v>9370</v>
      </c>
      <c r="I43" s="15">
        <v>1824</v>
      </c>
      <c r="J43" s="15">
        <v>377</v>
      </c>
      <c r="K43" s="16">
        <v>4251</v>
      </c>
      <c r="L43" s="17">
        <f t="shared" si="0"/>
        <v>0.19466382070437566</v>
      </c>
      <c r="M43" s="17">
        <f t="shared" si="0"/>
        <v>0.20668859649122806</v>
      </c>
      <c r="N43" s="18">
        <f t="shared" si="1"/>
        <v>8.6951754385964914</v>
      </c>
      <c r="O43" s="18">
        <f t="shared" si="2"/>
        <v>42.068965517241381</v>
      </c>
      <c r="P43" s="17">
        <f t="shared" si="3"/>
        <v>1.7024474023185916</v>
      </c>
      <c r="Q43" s="17">
        <f t="shared" si="4"/>
        <v>0.2680327868852459</v>
      </c>
      <c r="R43" s="10" t="s">
        <v>118</v>
      </c>
      <c r="S43" s="14" t="s">
        <v>45</v>
      </c>
      <c r="T43" s="14" t="s">
        <v>55</v>
      </c>
      <c r="U43" s="13">
        <v>15860</v>
      </c>
      <c r="V43" s="15">
        <v>2</v>
      </c>
      <c r="W43" s="9" t="str">
        <f>IF(Table1[[#This Row],[Satisfaction Rating]]&lt;2, "Low", IF(Table1[[#This Row],[Satisfaction Rating]]&lt;4, "Medium", "High"))</f>
        <v>Medium</v>
      </c>
    </row>
    <row r="44" spans="1:23" ht="14" x14ac:dyDescent="0.2">
      <c r="A44" s="10" t="s">
        <v>119</v>
      </c>
      <c r="B44" s="11">
        <v>45569.269675925927</v>
      </c>
      <c r="C44" s="11">
        <v>45569.269675925927</v>
      </c>
      <c r="D44" s="11" t="str">
        <f>IF(Table1[[#This Row],[Duration of Campaign]]=0, "Ongoing","Completed")</f>
        <v>Ongoing</v>
      </c>
      <c r="E44" s="12">
        <f>Table1[[#This Row],[End Date]]-Table1[[#This Row],[Start Date]]</f>
        <v>0</v>
      </c>
      <c r="F44" s="13">
        <v>7090</v>
      </c>
      <c r="G44" s="14" t="s">
        <v>63</v>
      </c>
      <c r="H44" s="15">
        <v>19404</v>
      </c>
      <c r="I44" s="15">
        <v>207</v>
      </c>
      <c r="J44" s="15">
        <v>61</v>
      </c>
      <c r="K44" s="16">
        <v>11931</v>
      </c>
      <c r="L44" s="17">
        <f t="shared" si="0"/>
        <v>1.0667903525046383E-2</v>
      </c>
      <c r="M44" s="17">
        <f t="shared" si="0"/>
        <v>0.29468599033816423</v>
      </c>
      <c r="N44" s="18">
        <f t="shared" si="1"/>
        <v>92.787439613526573</v>
      </c>
      <c r="O44" s="18">
        <f t="shared" si="2"/>
        <v>314.86885245901641</v>
      </c>
      <c r="P44" s="17">
        <f t="shared" si="3"/>
        <v>2.7090267983074754</v>
      </c>
      <c r="Q44" s="17">
        <f t="shared" si="4"/>
        <v>0.62117977820586245</v>
      </c>
      <c r="R44" s="10" t="s">
        <v>120</v>
      </c>
      <c r="S44" s="14" t="s">
        <v>34</v>
      </c>
      <c r="T44" s="14" t="s">
        <v>37</v>
      </c>
      <c r="U44" s="13">
        <v>19207</v>
      </c>
      <c r="V44" s="15">
        <v>2</v>
      </c>
      <c r="W44" s="9" t="str">
        <f>IF(Table1[[#This Row],[Satisfaction Rating]]&lt;2, "Low", IF(Table1[[#This Row],[Satisfaction Rating]]&lt;4, "Medium", "High"))</f>
        <v>Medium</v>
      </c>
    </row>
    <row r="45" spans="1:23" ht="14" x14ac:dyDescent="0.2">
      <c r="A45" s="10" t="s">
        <v>121</v>
      </c>
      <c r="B45" s="11">
        <v>45089.894467592596</v>
      </c>
      <c r="C45" s="11">
        <v>45411.435578703706</v>
      </c>
      <c r="D45" s="11" t="str">
        <f>IF(Table1[[#This Row],[Duration of Campaign]]=0, "Ongoing","Completed")</f>
        <v>Completed</v>
      </c>
      <c r="E45" s="12">
        <f>Table1[[#This Row],[End Date]]-Table1[[#This Row],[Start Date]]</f>
        <v>321.54111111110979</v>
      </c>
      <c r="F45" s="13">
        <v>9579</v>
      </c>
      <c r="G45" s="14" t="s">
        <v>47</v>
      </c>
      <c r="H45" s="15">
        <v>1899</v>
      </c>
      <c r="I45" s="15">
        <v>603</v>
      </c>
      <c r="J45" s="15">
        <v>486</v>
      </c>
      <c r="K45" s="16">
        <v>5661</v>
      </c>
      <c r="L45" s="17">
        <f t="shared" si="0"/>
        <v>0.31753554502369669</v>
      </c>
      <c r="M45" s="17">
        <f t="shared" si="0"/>
        <v>0.80597014925373134</v>
      </c>
      <c r="N45" s="18">
        <f t="shared" si="1"/>
        <v>9.0497512437810954</v>
      </c>
      <c r="O45" s="18">
        <f t="shared" si="2"/>
        <v>11.228395061728396</v>
      </c>
      <c r="P45" s="17">
        <f t="shared" si="3"/>
        <v>0.56968368305668649</v>
      </c>
      <c r="Q45" s="17">
        <f t="shared" si="4"/>
        <v>1.0373831775700935</v>
      </c>
      <c r="R45" s="10" t="s">
        <v>122</v>
      </c>
      <c r="S45" s="14" t="s">
        <v>26</v>
      </c>
      <c r="T45" s="14" t="s">
        <v>55</v>
      </c>
      <c r="U45" s="13">
        <v>5457</v>
      </c>
      <c r="V45" s="15">
        <v>5</v>
      </c>
      <c r="W45" s="9" t="str">
        <f>IF(Table1[[#This Row],[Satisfaction Rating]]&lt;2, "Low", IF(Table1[[#This Row],[Satisfaction Rating]]&lt;4, "Medium", "High"))</f>
        <v>High</v>
      </c>
    </row>
    <row r="46" spans="1:23" ht="14" x14ac:dyDescent="0.2">
      <c r="A46" s="10" t="s">
        <v>123</v>
      </c>
      <c r="B46" s="11">
        <v>45450.894942129627</v>
      </c>
      <c r="C46" s="11">
        <v>45450.894942129627</v>
      </c>
      <c r="D46" s="11" t="str">
        <f>IF(Table1[[#This Row],[Duration of Campaign]]=0, "Ongoing","Completed")</f>
        <v>Ongoing</v>
      </c>
      <c r="E46" s="12">
        <f>Table1[[#This Row],[End Date]]-Table1[[#This Row],[Start Date]]</f>
        <v>0</v>
      </c>
      <c r="F46" s="13">
        <v>1701</v>
      </c>
      <c r="G46" s="14" t="s">
        <v>47</v>
      </c>
      <c r="H46" s="15">
        <v>12620</v>
      </c>
      <c r="I46" s="15">
        <v>588</v>
      </c>
      <c r="J46" s="15">
        <v>116</v>
      </c>
      <c r="K46" s="16">
        <v>13139</v>
      </c>
      <c r="L46" s="17">
        <f t="shared" si="0"/>
        <v>4.6592709984152138E-2</v>
      </c>
      <c r="M46" s="17">
        <f t="shared" si="0"/>
        <v>0.19727891156462585</v>
      </c>
      <c r="N46" s="18">
        <f t="shared" si="1"/>
        <v>22.945578231292519</v>
      </c>
      <c r="O46" s="18">
        <f t="shared" si="2"/>
        <v>116.31034482758621</v>
      </c>
      <c r="P46" s="17">
        <f t="shared" si="3"/>
        <v>7.93180482069371</v>
      </c>
      <c r="Q46" s="17">
        <f t="shared" si="4"/>
        <v>0.97383634746516456</v>
      </c>
      <c r="R46" s="10" t="s">
        <v>124</v>
      </c>
      <c r="S46" s="14" t="s">
        <v>26</v>
      </c>
      <c r="T46" s="14" t="s">
        <v>27</v>
      </c>
      <c r="U46" s="13">
        <v>13492</v>
      </c>
      <c r="V46" s="15">
        <v>5</v>
      </c>
      <c r="W46" s="9" t="str">
        <f>IF(Table1[[#This Row],[Satisfaction Rating]]&lt;2, "Low", IF(Table1[[#This Row],[Satisfaction Rating]]&lt;4, "Medium", "High"))</f>
        <v>High</v>
      </c>
    </row>
    <row r="47" spans="1:23" ht="14" x14ac:dyDescent="0.2">
      <c r="A47" s="10" t="s">
        <v>125</v>
      </c>
      <c r="B47" s="11">
        <v>45570.400127314817</v>
      </c>
      <c r="C47" s="11">
        <v>45570.400127314817</v>
      </c>
      <c r="D47" s="11" t="str">
        <f>IF(Table1[[#This Row],[Duration of Campaign]]=0, "Ongoing","Completed")</f>
        <v>Ongoing</v>
      </c>
      <c r="E47" s="12">
        <f>Table1[[#This Row],[End Date]]-Table1[[#This Row],[Start Date]]</f>
        <v>0</v>
      </c>
      <c r="F47" s="13">
        <v>9860</v>
      </c>
      <c r="G47" s="14" t="s">
        <v>47</v>
      </c>
      <c r="H47" s="15">
        <v>2801</v>
      </c>
      <c r="I47" s="15">
        <v>1327</v>
      </c>
      <c r="J47" s="15">
        <v>202</v>
      </c>
      <c r="K47" s="16">
        <v>13898</v>
      </c>
      <c r="L47" s="17">
        <f t="shared" si="0"/>
        <v>0.4737593716529811</v>
      </c>
      <c r="M47" s="17">
        <f t="shared" si="0"/>
        <v>0.1522230595327807</v>
      </c>
      <c r="N47" s="18">
        <f t="shared" si="1"/>
        <v>8.3496608892238129</v>
      </c>
      <c r="O47" s="18">
        <f t="shared" si="2"/>
        <v>54.851485148514854</v>
      </c>
      <c r="P47" s="17">
        <f t="shared" si="3"/>
        <v>1.1237322515212982</v>
      </c>
      <c r="Q47" s="17">
        <f t="shared" si="4"/>
        <v>1.254332129963899</v>
      </c>
      <c r="R47" s="10" t="s">
        <v>126</v>
      </c>
      <c r="S47" s="14" t="s">
        <v>34</v>
      </c>
      <c r="T47" s="14" t="s">
        <v>55</v>
      </c>
      <c r="U47" s="13">
        <v>11080</v>
      </c>
      <c r="V47" s="15">
        <v>4</v>
      </c>
      <c r="W47" s="9" t="str">
        <f>IF(Table1[[#This Row],[Satisfaction Rating]]&lt;2, "Low", IF(Table1[[#This Row],[Satisfaction Rating]]&lt;4, "Medium", "High"))</f>
        <v>High</v>
      </c>
    </row>
    <row r="48" spans="1:23" ht="14" x14ac:dyDescent="0.2">
      <c r="A48" s="10" t="s">
        <v>127</v>
      </c>
      <c r="B48" s="11">
        <v>45489.007418981484</v>
      </c>
      <c r="C48" s="11">
        <v>45489.007418981484</v>
      </c>
      <c r="D48" s="11" t="str">
        <f>IF(Table1[[#This Row],[Duration of Campaign]]=0, "Ongoing","Completed")</f>
        <v>Ongoing</v>
      </c>
      <c r="E48" s="12">
        <f>Table1[[#This Row],[End Date]]-Table1[[#This Row],[Start Date]]</f>
        <v>0</v>
      </c>
      <c r="F48" s="13">
        <v>2182</v>
      </c>
      <c r="G48" s="14" t="s">
        <v>47</v>
      </c>
      <c r="H48" s="15">
        <v>16206</v>
      </c>
      <c r="I48" s="15">
        <v>473</v>
      </c>
      <c r="J48" s="15">
        <v>219</v>
      </c>
      <c r="K48" s="16">
        <v>3226</v>
      </c>
      <c r="L48" s="17">
        <f t="shared" si="0"/>
        <v>2.9186720967542885E-2</v>
      </c>
      <c r="M48" s="17">
        <f t="shared" si="0"/>
        <v>0.46300211416490489</v>
      </c>
      <c r="N48" s="18">
        <f t="shared" si="1"/>
        <v>41.329809725158562</v>
      </c>
      <c r="O48" s="18">
        <f t="shared" si="2"/>
        <v>89.264840182648399</v>
      </c>
      <c r="P48" s="17">
        <f t="shared" si="3"/>
        <v>8.9592117323556373</v>
      </c>
      <c r="Q48" s="17">
        <f t="shared" si="4"/>
        <v>0.16502122870735075</v>
      </c>
      <c r="R48" s="10" t="s">
        <v>128</v>
      </c>
      <c r="S48" s="14" t="s">
        <v>40</v>
      </c>
      <c r="T48" s="14" t="s">
        <v>37</v>
      </c>
      <c r="U48" s="13">
        <v>19549</v>
      </c>
      <c r="V48" s="15">
        <v>5</v>
      </c>
      <c r="W48" s="9" t="str">
        <f>IF(Table1[[#This Row],[Satisfaction Rating]]&lt;2, "Low", IF(Table1[[#This Row],[Satisfaction Rating]]&lt;4, "Medium", "High"))</f>
        <v>High</v>
      </c>
    </row>
    <row r="49" spans="1:23" ht="14" x14ac:dyDescent="0.2">
      <c r="A49" s="10" t="s">
        <v>129</v>
      </c>
      <c r="B49" s="11">
        <v>45437.513310185182</v>
      </c>
      <c r="C49" s="11">
        <v>45437.513310185182</v>
      </c>
      <c r="D49" s="11" t="str">
        <f>IF(Table1[[#This Row],[Duration of Campaign]]=0, "Ongoing","Completed")</f>
        <v>Ongoing</v>
      </c>
      <c r="E49" s="12">
        <f>Table1[[#This Row],[End Date]]-Table1[[#This Row],[Start Date]]</f>
        <v>0</v>
      </c>
      <c r="F49" s="13">
        <v>1836</v>
      </c>
      <c r="G49" s="14" t="s">
        <v>24</v>
      </c>
      <c r="H49" s="15">
        <v>9781</v>
      </c>
      <c r="I49" s="15">
        <v>559</v>
      </c>
      <c r="J49" s="15">
        <v>335</v>
      </c>
      <c r="K49" s="16">
        <v>9167</v>
      </c>
      <c r="L49" s="17">
        <f t="shared" si="0"/>
        <v>5.7151620488702586E-2</v>
      </c>
      <c r="M49" s="17">
        <f t="shared" si="0"/>
        <v>0.59928443649373886</v>
      </c>
      <c r="N49" s="18">
        <f t="shared" si="1"/>
        <v>19.677996422182467</v>
      </c>
      <c r="O49" s="18">
        <f t="shared" si="2"/>
        <v>32.835820895522389</v>
      </c>
      <c r="P49" s="17">
        <f t="shared" si="3"/>
        <v>5.9912854030501093</v>
      </c>
      <c r="Q49" s="17">
        <f t="shared" si="4"/>
        <v>0.83336363636363642</v>
      </c>
      <c r="R49" s="10" t="s">
        <v>130</v>
      </c>
      <c r="S49" s="14" t="s">
        <v>31</v>
      </c>
      <c r="T49" s="14" t="s">
        <v>55</v>
      </c>
      <c r="U49" s="13">
        <v>11000</v>
      </c>
      <c r="V49" s="15">
        <v>4</v>
      </c>
      <c r="W49" s="9" t="str">
        <f>IF(Table1[[#This Row],[Satisfaction Rating]]&lt;2, "Low", IF(Table1[[#This Row],[Satisfaction Rating]]&lt;4, "Medium", "High"))</f>
        <v>High</v>
      </c>
    </row>
    <row r="50" spans="1:23" ht="14" x14ac:dyDescent="0.2">
      <c r="A50" s="10" t="s">
        <v>131</v>
      </c>
      <c r="B50" s="11">
        <v>45024.949675925927</v>
      </c>
      <c r="C50" s="11">
        <v>45331.222094907411</v>
      </c>
      <c r="D50" s="11" t="str">
        <f>IF(Table1[[#This Row],[Duration of Campaign]]=0, "Ongoing","Completed")</f>
        <v>Completed</v>
      </c>
      <c r="E50" s="12">
        <f>Table1[[#This Row],[End Date]]-Table1[[#This Row],[Start Date]]</f>
        <v>306.2724189814835</v>
      </c>
      <c r="F50" s="13">
        <v>7769</v>
      </c>
      <c r="G50" s="14" t="s">
        <v>24</v>
      </c>
      <c r="H50" s="15">
        <v>14964</v>
      </c>
      <c r="I50" s="15">
        <v>602</v>
      </c>
      <c r="J50" s="15">
        <v>495</v>
      </c>
      <c r="K50" s="16">
        <v>8712</v>
      </c>
      <c r="L50" s="17">
        <f t="shared" si="0"/>
        <v>4.0229885057471264E-2</v>
      </c>
      <c r="M50" s="17">
        <f t="shared" si="0"/>
        <v>0.82225913621262459</v>
      </c>
      <c r="N50" s="18">
        <f t="shared" si="1"/>
        <v>5.9235880398671092</v>
      </c>
      <c r="O50" s="18">
        <f t="shared" si="2"/>
        <v>7.2040404040404038</v>
      </c>
      <c r="P50" s="17">
        <f t="shared" si="3"/>
        <v>0.45900373278414208</v>
      </c>
      <c r="Q50" s="17">
        <f t="shared" si="4"/>
        <v>2.4430734716769491</v>
      </c>
      <c r="R50" s="10" t="s">
        <v>132</v>
      </c>
      <c r="S50" s="14" t="s">
        <v>34</v>
      </c>
      <c r="T50" s="14" t="s">
        <v>37</v>
      </c>
      <c r="U50" s="13">
        <v>3566</v>
      </c>
      <c r="V50" s="15">
        <v>2</v>
      </c>
      <c r="W50" s="9" t="str">
        <f>IF(Table1[[#This Row],[Satisfaction Rating]]&lt;2, "Low", IF(Table1[[#This Row],[Satisfaction Rating]]&lt;4, "Medium", "High"))</f>
        <v>Medium</v>
      </c>
    </row>
    <row r="51" spans="1:23" ht="14" x14ac:dyDescent="0.2">
      <c r="A51" s="10" t="s">
        <v>133</v>
      </c>
      <c r="B51" s="11">
        <v>45154.210405092592</v>
      </c>
      <c r="C51" s="11">
        <v>45154.210405092592</v>
      </c>
      <c r="D51" s="11" t="str">
        <f>IF(Table1[[#This Row],[Duration of Campaign]]=0, "Ongoing","Completed")</f>
        <v>Ongoing</v>
      </c>
      <c r="E51" s="12">
        <f>Table1[[#This Row],[End Date]]-Table1[[#This Row],[Start Date]]</f>
        <v>0</v>
      </c>
      <c r="F51" s="13">
        <v>9873</v>
      </c>
      <c r="G51" s="14" t="s">
        <v>29</v>
      </c>
      <c r="H51" s="15">
        <v>12982</v>
      </c>
      <c r="I51" s="15">
        <v>637</v>
      </c>
      <c r="J51" s="15">
        <v>284</v>
      </c>
      <c r="K51" s="16">
        <v>4137</v>
      </c>
      <c r="L51" s="17">
        <f t="shared" si="0"/>
        <v>4.9067940224926825E-2</v>
      </c>
      <c r="M51" s="17">
        <f t="shared" si="0"/>
        <v>0.44583987441130296</v>
      </c>
      <c r="N51" s="18">
        <f t="shared" si="1"/>
        <v>2.0753532182103611</v>
      </c>
      <c r="O51" s="18">
        <f t="shared" si="2"/>
        <v>4.654929577464789</v>
      </c>
      <c r="P51" s="17">
        <f t="shared" si="3"/>
        <v>0.13390053681758332</v>
      </c>
      <c r="Q51" s="17">
        <f t="shared" si="4"/>
        <v>3.1293494704992435</v>
      </c>
      <c r="R51" s="10" t="s">
        <v>134</v>
      </c>
      <c r="S51" s="14" t="s">
        <v>26</v>
      </c>
      <c r="T51" s="14" t="s">
        <v>55</v>
      </c>
      <c r="U51" s="13">
        <v>1322</v>
      </c>
      <c r="V51" s="15">
        <v>1</v>
      </c>
      <c r="W51" s="9" t="str">
        <f>IF(Table1[[#This Row],[Satisfaction Rating]]&lt;2, "Low", IF(Table1[[#This Row],[Satisfaction Rating]]&lt;4, "Medium", "High"))</f>
        <v>Low</v>
      </c>
    </row>
    <row r="52" spans="1:23" ht="14" x14ac:dyDescent="0.2">
      <c r="A52" s="10" t="s">
        <v>135</v>
      </c>
      <c r="B52" s="11">
        <v>45153.848009259258</v>
      </c>
      <c r="C52" s="11">
        <v>45153.848009259258</v>
      </c>
      <c r="D52" s="11" t="str">
        <f>IF(Table1[[#This Row],[Duration of Campaign]]=0, "Ongoing","Completed")</f>
        <v>Ongoing</v>
      </c>
      <c r="E52" s="12">
        <f>Table1[[#This Row],[End Date]]-Table1[[#This Row],[Start Date]]</f>
        <v>0</v>
      </c>
      <c r="F52" s="13">
        <v>7642</v>
      </c>
      <c r="G52" s="14" t="s">
        <v>63</v>
      </c>
      <c r="H52" s="15">
        <v>19272</v>
      </c>
      <c r="I52" s="15">
        <v>1411</v>
      </c>
      <c r="J52" s="15">
        <v>361</v>
      </c>
      <c r="K52" s="16">
        <v>8299</v>
      </c>
      <c r="L52" s="17">
        <f t="shared" si="0"/>
        <v>7.3215026982150266E-2</v>
      </c>
      <c r="M52" s="17">
        <f t="shared" si="0"/>
        <v>0.25584691708008506</v>
      </c>
      <c r="N52" s="18">
        <f t="shared" si="1"/>
        <v>13.119064493267187</v>
      </c>
      <c r="O52" s="18">
        <f t="shared" si="2"/>
        <v>51.277008310249307</v>
      </c>
      <c r="P52" s="17">
        <f t="shared" si="3"/>
        <v>2.4222716566343889</v>
      </c>
      <c r="Q52" s="17">
        <f t="shared" si="4"/>
        <v>0.4483280211765977</v>
      </c>
      <c r="R52" s="10" t="s">
        <v>136</v>
      </c>
      <c r="S52" s="14" t="s">
        <v>45</v>
      </c>
      <c r="T52" s="14" t="s">
        <v>37</v>
      </c>
      <c r="U52" s="13">
        <v>18511</v>
      </c>
      <c r="V52" s="15">
        <v>4</v>
      </c>
      <c r="W52" s="9" t="str">
        <f>IF(Table1[[#This Row],[Satisfaction Rating]]&lt;2, "Low", IF(Table1[[#This Row],[Satisfaction Rating]]&lt;4, "Medium", "High"))</f>
        <v>High</v>
      </c>
    </row>
    <row r="53" spans="1:23" ht="14" x14ac:dyDescent="0.2">
      <c r="A53" s="10" t="s">
        <v>137</v>
      </c>
      <c r="B53" s="11">
        <v>45057.413437499999</v>
      </c>
      <c r="C53" s="11">
        <v>45138.715763888889</v>
      </c>
      <c r="D53" s="11" t="str">
        <f>IF(Table1[[#This Row],[Duration of Campaign]]=0, "Ongoing","Completed")</f>
        <v>Completed</v>
      </c>
      <c r="E53" s="12">
        <f>Table1[[#This Row],[End Date]]-Table1[[#This Row],[Start Date]]</f>
        <v>81.302326388889924</v>
      </c>
      <c r="F53" s="13">
        <v>7632</v>
      </c>
      <c r="G53" s="14" t="s">
        <v>29</v>
      </c>
      <c r="H53" s="15">
        <v>12676</v>
      </c>
      <c r="I53" s="15">
        <v>1315</v>
      </c>
      <c r="J53" s="15">
        <v>265</v>
      </c>
      <c r="K53" s="16">
        <v>10333</v>
      </c>
      <c r="L53" s="17">
        <f t="shared" si="0"/>
        <v>0.10373934995266645</v>
      </c>
      <c r="M53" s="17">
        <f t="shared" si="0"/>
        <v>0.20152091254752852</v>
      </c>
      <c r="N53" s="18">
        <f t="shared" si="1"/>
        <v>11.638022813688213</v>
      </c>
      <c r="O53" s="18">
        <f t="shared" si="2"/>
        <v>57.750943396226418</v>
      </c>
      <c r="P53" s="17">
        <f t="shared" si="3"/>
        <v>2.0052410901467503</v>
      </c>
      <c r="Q53" s="17">
        <f t="shared" si="4"/>
        <v>0.67518295870360689</v>
      </c>
      <c r="R53" s="10" t="s">
        <v>138</v>
      </c>
      <c r="S53" s="14" t="s">
        <v>31</v>
      </c>
      <c r="T53" s="14" t="s">
        <v>27</v>
      </c>
      <c r="U53" s="13">
        <v>15304</v>
      </c>
      <c r="V53" s="15">
        <v>2</v>
      </c>
      <c r="W53" s="9" t="str">
        <f>IF(Table1[[#This Row],[Satisfaction Rating]]&lt;2, "Low", IF(Table1[[#This Row],[Satisfaction Rating]]&lt;4, "Medium", "High"))</f>
        <v>Medium</v>
      </c>
    </row>
    <row r="54" spans="1:23" ht="14" x14ac:dyDescent="0.2">
      <c r="A54" s="10" t="s">
        <v>139</v>
      </c>
      <c r="B54" s="11">
        <v>45147.805995370371</v>
      </c>
      <c r="C54" s="11">
        <v>45147.805995370371</v>
      </c>
      <c r="D54" s="11" t="str">
        <f>IF(Table1[[#This Row],[Duration of Campaign]]=0, "Ongoing","Completed")</f>
        <v>Ongoing</v>
      </c>
      <c r="E54" s="12">
        <f>Table1[[#This Row],[End Date]]-Table1[[#This Row],[Start Date]]</f>
        <v>0</v>
      </c>
      <c r="F54" s="13">
        <v>4035</v>
      </c>
      <c r="G54" s="14" t="s">
        <v>24</v>
      </c>
      <c r="H54" s="15">
        <v>11715</v>
      </c>
      <c r="I54" s="15">
        <v>101</v>
      </c>
      <c r="J54" s="15">
        <v>239</v>
      </c>
      <c r="K54" s="16">
        <v>8828</v>
      </c>
      <c r="L54" s="17">
        <f t="shared" si="0"/>
        <v>8.6214255228339743E-3</v>
      </c>
      <c r="M54" s="17">
        <f t="shared" si="0"/>
        <v>2.3663366336633662</v>
      </c>
      <c r="N54" s="18">
        <f t="shared" si="1"/>
        <v>108.52475247524752</v>
      </c>
      <c r="O54" s="18">
        <f t="shared" si="2"/>
        <v>45.861924686192467</v>
      </c>
      <c r="P54" s="17">
        <f t="shared" si="3"/>
        <v>2.7164807930607187</v>
      </c>
      <c r="Q54" s="17">
        <f t="shared" si="4"/>
        <v>0.80540096706504882</v>
      </c>
      <c r="R54" s="10" t="s">
        <v>140</v>
      </c>
      <c r="S54" s="14" t="s">
        <v>34</v>
      </c>
      <c r="T54" s="14" t="s">
        <v>27</v>
      </c>
      <c r="U54" s="13">
        <v>10961</v>
      </c>
      <c r="V54" s="15">
        <v>4</v>
      </c>
      <c r="W54" s="9" t="str">
        <f>IF(Table1[[#This Row],[Satisfaction Rating]]&lt;2, "Low", IF(Table1[[#This Row],[Satisfaction Rating]]&lt;4, "Medium", "High"))</f>
        <v>High</v>
      </c>
    </row>
    <row r="55" spans="1:23" ht="14" x14ac:dyDescent="0.2">
      <c r="A55" s="10" t="s">
        <v>141</v>
      </c>
      <c r="B55" s="11">
        <v>45393.831307870372</v>
      </c>
      <c r="C55" s="11">
        <v>45393.831307870372</v>
      </c>
      <c r="D55" s="11" t="str">
        <f>IF(Table1[[#This Row],[Duration of Campaign]]=0, "Ongoing","Completed")</f>
        <v>Ongoing</v>
      </c>
      <c r="E55" s="12">
        <f>Table1[[#This Row],[End Date]]-Table1[[#This Row],[Start Date]]</f>
        <v>0</v>
      </c>
      <c r="F55" s="13">
        <v>9075</v>
      </c>
      <c r="G55" s="14" t="s">
        <v>24</v>
      </c>
      <c r="H55" s="15">
        <v>10653</v>
      </c>
      <c r="I55" s="15">
        <v>1598</v>
      </c>
      <c r="J55" s="15">
        <v>97</v>
      </c>
      <c r="K55" s="16">
        <v>11468</v>
      </c>
      <c r="L55" s="17">
        <f t="shared" si="0"/>
        <v>0.15000469351356424</v>
      </c>
      <c r="M55" s="17">
        <f t="shared" si="0"/>
        <v>6.07008760951189E-2</v>
      </c>
      <c r="N55" s="18">
        <f t="shared" si="1"/>
        <v>0.33979974968710891</v>
      </c>
      <c r="O55" s="18">
        <f t="shared" si="2"/>
        <v>5.5979381443298966</v>
      </c>
      <c r="P55" s="17">
        <f t="shared" si="3"/>
        <v>5.9834710743801652E-2</v>
      </c>
      <c r="Q55" s="17">
        <f t="shared" si="4"/>
        <v>21.119705340699817</v>
      </c>
      <c r="R55" s="10" t="s">
        <v>142</v>
      </c>
      <c r="S55" s="14" t="s">
        <v>45</v>
      </c>
      <c r="T55" s="14" t="s">
        <v>27</v>
      </c>
      <c r="U55" s="13">
        <v>543</v>
      </c>
      <c r="V55" s="15">
        <v>5</v>
      </c>
      <c r="W55" s="9" t="str">
        <f>IF(Table1[[#This Row],[Satisfaction Rating]]&lt;2, "Low", IF(Table1[[#This Row],[Satisfaction Rating]]&lt;4, "Medium", "High"))</f>
        <v>High</v>
      </c>
    </row>
    <row r="56" spans="1:23" ht="14" x14ac:dyDescent="0.2">
      <c r="A56" s="10" t="s">
        <v>143</v>
      </c>
      <c r="B56" s="11">
        <v>45239.952939814815</v>
      </c>
      <c r="C56" s="11">
        <v>45476.580381944441</v>
      </c>
      <c r="D56" s="11" t="str">
        <f>IF(Table1[[#This Row],[Duration of Campaign]]=0, "Ongoing","Completed")</f>
        <v>Completed</v>
      </c>
      <c r="E56" s="12">
        <f>Table1[[#This Row],[End Date]]-Table1[[#This Row],[Start Date]]</f>
        <v>236.62744212962571</v>
      </c>
      <c r="F56" s="13">
        <v>6588</v>
      </c>
      <c r="G56" s="14" t="s">
        <v>47</v>
      </c>
      <c r="H56" s="15">
        <v>14597</v>
      </c>
      <c r="I56" s="15">
        <v>1162</v>
      </c>
      <c r="J56" s="15">
        <v>287</v>
      </c>
      <c r="K56" s="16">
        <v>1008</v>
      </c>
      <c r="L56" s="17">
        <f t="shared" si="0"/>
        <v>7.9605398369527985E-2</v>
      </c>
      <c r="M56" s="17">
        <f t="shared" si="0"/>
        <v>0.24698795180722891</v>
      </c>
      <c r="N56" s="18">
        <f t="shared" si="1"/>
        <v>6.4328743545611013</v>
      </c>
      <c r="O56" s="18">
        <f t="shared" si="2"/>
        <v>26.045296167247386</v>
      </c>
      <c r="P56" s="17">
        <f t="shared" si="3"/>
        <v>1.1346387370977535</v>
      </c>
      <c r="Q56" s="17">
        <f t="shared" si="4"/>
        <v>0.13484949832775919</v>
      </c>
      <c r="R56" s="10" t="s">
        <v>144</v>
      </c>
      <c r="S56" s="14" t="s">
        <v>31</v>
      </c>
      <c r="T56" s="14" t="s">
        <v>37</v>
      </c>
      <c r="U56" s="13">
        <v>7475</v>
      </c>
      <c r="V56" s="15">
        <v>5</v>
      </c>
      <c r="W56" s="9" t="str">
        <f>IF(Table1[[#This Row],[Satisfaction Rating]]&lt;2, "Low", IF(Table1[[#This Row],[Satisfaction Rating]]&lt;4, "Medium", "High"))</f>
        <v>High</v>
      </c>
    </row>
    <row r="57" spans="1:23" ht="14" x14ac:dyDescent="0.2">
      <c r="A57" s="10" t="s">
        <v>145</v>
      </c>
      <c r="B57" s="11">
        <v>45362.562696759262</v>
      </c>
      <c r="C57" s="11">
        <v>45516.854166666664</v>
      </c>
      <c r="D57" s="11" t="str">
        <f>IF(Table1[[#This Row],[Duration of Campaign]]=0, "Ongoing","Completed")</f>
        <v>Completed</v>
      </c>
      <c r="E57" s="12">
        <f>Table1[[#This Row],[End Date]]-Table1[[#This Row],[Start Date]]</f>
        <v>154.29146990740264</v>
      </c>
      <c r="F57" s="13">
        <v>6042</v>
      </c>
      <c r="G57" s="14" t="s">
        <v>24</v>
      </c>
      <c r="H57" s="15">
        <v>17042</v>
      </c>
      <c r="I57" s="15">
        <v>1834</v>
      </c>
      <c r="J57" s="15">
        <v>426</v>
      </c>
      <c r="K57" s="16">
        <v>1632</v>
      </c>
      <c r="L57" s="17">
        <f t="shared" si="0"/>
        <v>0.10761647693932637</v>
      </c>
      <c r="M57" s="17">
        <f t="shared" si="0"/>
        <v>0.23227917121046893</v>
      </c>
      <c r="N57" s="18">
        <f t="shared" si="1"/>
        <v>6.808069792802617</v>
      </c>
      <c r="O57" s="18">
        <f t="shared" si="2"/>
        <v>29.309859154929576</v>
      </c>
      <c r="P57" s="17">
        <f t="shared" si="3"/>
        <v>2.0665342601787486</v>
      </c>
      <c r="Q57" s="17">
        <f t="shared" si="4"/>
        <v>0.13070639115809707</v>
      </c>
      <c r="R57" s="10" t="s">
        <v>146</v>
      </c>
      <c r="S57" s="14" t="s">
        <v>34</v>
      </c>
      <c r="T57" s="14" t="s">
        <v>27</v>
      </c>
      <c r="U57" s="13">
        <v>12486</v>
      </c>
      <c r="V57" s="15">
        <v>5</v>
      </c>
      <c r="W57" s="9" t="str">
        <f>IF(Table1[[#This Row],[Satisfaction Rating]]&lt;2, "Low", IF(Table1[[#This Row],[Satisfaction Rating]]&lt;4, "Medium", "High"))</f>
        <v>High</v>
      </c>
    </row>
    <row r="58" spans="1:23" ht="14" x14ac:dyDescent="0.2">
      <c r="A58" s="10" t="s">
        <v>147</v>
      </c>
      <c r="B58" s="11">
        <v>45025.468472222223</v>
      </c>
      <c r="C58" s="11">
        <v>45025.468472222223</v>
      </c>
      <c r="D58" s="11" t="str">
        <f>IF(Table1[[#This Row],[Duration of Campaign]]=0, "Ongoing","Completed")</f>
        <v>Ongoing</v>
      </c>
      <c r="E58" s="12">
        <f>Table1[[#This Row],[End Date]]-Table1[[#This Row],[Start Date]]</f>
        <v>0</v>
      </c>
      <c r="F58" s="13">
        <v>1953</v>
      </c>
      <c r="G58" s="14" t="s">
        <v>63</v>
      </c>
      <c r="H58" s="15">
        <v>5166</v>
      </c>
      <c r="I58" s="15">
        <v>1007</v>
      </c>
      <c r="J58" s="15">
        <v>423</v>
      </c>
      <c r="K58" s="16">
        <v>9876</v>
      </c>
      <c r="L58" s="17">
        <f t="shared" si="0"/>
        <v>0.19492837785520711</v>
      </c>
      <c r="M58" s="17">
        <f t="shared" si="0"/>
        <v>0.42005958291956308</v>
      </c>
      <c r="N58" s="18">
        <f t="shared" si="1"/>
        <v>15.067527308838134</v>
      </c>
      <c r="O58" s="18">
        <f t="shared" si="2"/>
        <v>35.869976359338061</v>
      </c>
      <c r="P58" s="17">
        <f t="shared" si="3"/>
        <v>7.7690732206861242</v>
      </c>
      <c r="Q58" s="17">
        <f t="shared" si="4"/>
        <v>0.65089303367824425</v>
      </c>
      <c r="R58" s="10" t="s">
        <v>148</v>
      </c>
      <c r="S58" s="14" t="s">
        <v>31</v>
      </c>
      <c r="T58" s="14" t="s">
        <v>37</v>
      </c>
      <c r="U58" s="13">
        <v>15173</v>
      </c>
      <c r="V58" s="15">
        <v>4</v>
      </c>
      <c r="W58" s="9" t="str">
        <f>IF(Table1[[#This Row],[Satisfaction Rating]]&lt;2, "Low", IF(Table1[[#This Row],[Satisfaction Rating]]&lt;4, "Medium", "High"))</f>
        <v>High</v>
      </c>
    </row>
    <row r="59" spans="1:23" ht="14" x14ac:dyDescent="0.2">
      <c r="A59" s="10" t="s">
        <v>149</v>
      </c>
      <c r="B59" s="11">
        <v>44994.891157407408</v>
      </c>
      <c r="C59" s="11">
        <v>45559.413472222222</v>
      </c>
      <c r="D59" s="11" t="str">
        <f>IF(Table1[[#This Row],[Duration of Campaign]]=0, "Ongoing","Completed")</f>
        <v>Completed</v>
      </c>
      <c r="E59" s="12">
        <f>Table1[[#This Row],[End Date]]-Table1[[#This Row],[Start Date]]</f>
        <v>564.52231481481431</v>
      </c>
      <c r="F59" s="13">
        <v>8366</v>
      </c>
      <c r="G59" s="14" t="s">
        <v>24</v>
      </c>
      <c r="H59" s="15">
        <v>15485</v>
      </c>
      <c r="I59" s="15">
        <v>1280</v>
      </c>
      <c r="J59" s="15">
        <v>74</v>
      </c>
      <c r="K59" s="16">
        <v>3220</v>
      </c>
      <c r="L59" s="17">
        <f t="shared" si="0"/>
        <v>8.2660639328382302E-2</v>
      </c>
      <c r="M59" s="17">
        <f t="shared" si="0"/>
        <v>5.7812500000000003E-2</v>
      </c>
      <c r="N59" s="18">
        <f t="shared" si="1"/>
        <v>4.34765625</v>
      </c>
      <c r="O59" s="18">
        <f t="shared" si="2"/>
        <v>75.202702702702709</v>
      </c>
      <c r="P59" s="17">
        <f t="shared" si="3"/>
        <v>0.66519244561319624</v>
      </c>
      <c r="Q59" s="17">
        <f t="shared" si="4"/>
        <v>0.57861635220125784</v>
      </c>
      <c r="R59" s="10" t="s">
        <v>150</v>
      </c>
      <c r="S59" s="14" t="s">
        <v>26</v>
      </c>
      <c r="T59" s="14" t="s">
        <v>37</v>
      </c>
      <c r="U59" s="13">
        <v>5565</v>
      </c>
      <c r="V59" s="15">
        <v>3</v>
      </c>
      <c r="W59" s="9" t="str">
        <f>IF(Table1[[#This Row],[Satisfaction Rating]]&lt;2, "Low", IF(Table1[[#This Row],[Satisfaction Rating]]&lt;4, "Medium", "High"))</f>
        <v>Medium</v>
      </c>
    </row>
    <row r="60" spans="1:23" ht="14" x14ac:dyDescent="0.2">
      <c r="A60" s="10" t="s">
        <v>151</v>
      </c>
      <c r="B60" s="11">
        <v>45434.965717592589</v>
      </c>
      <c r="C60" s="11">
        <v>45471.060844907406</v>
      </c>
      <c r="D60" s="11" t="str">
        <f>IF(Table1[[#This Row],[Duration of Campaign]]=0, "Ongoing","Completed")</f>
        <v>Completed</v>
      </c>
      <c r="E60" s="12">
        <f>Table1[[#This Row],[End Date]]-Table1[[#This Row],[Start Date]]</f>
        <v>36.095127314816636</v>
      </c>
      <c r="F60" s="13">
        <v>2672</v>
      </c>
      <c r="G60" s="14" t="s">
        <v>47</v>
      </c>
      <c r="H60" s="15">
        <v>11712</v>
      </c>
      <c r="I60" s="15">
        <v>724</v>
      </c>
      <c r="J60" s="15">
        <v>458</v>
      </c>
      <c r="K60" s="16">
        <v>11219</v>
      </c>
      <c r="L60" s="17">
        <f t="shared" si="0"/>
        <v>6.1816939890710382E-2</v>
      </c>
      <c r="M60" s="17">
        <f t="shared" si="0"/>
        <v>0.63259668508287292</v>
      </c>
      <c r="N60" s="18">
        <f t="shared" si="1"/>
        <v>18.933701657458563</v>
      </c>
      <c r="O60" s="18">
        <f t="shared" si="2"/>
        <v>29.930131004366814</v>
      </c>
      <c r="P60" s="17">
        <f t="shared" si="3"/>
        <v>5.1302395209580842</v>
      </c>
      <c r="Q60" s="17">
        <f t="shared" si="4"/>
        <v>0.8184271957980741</v>
      </c>
      <c r="R60" s="10" t="s">
        <v>152</v>
      </c>
      <c r="S60" s="14" t="s">
        <v>40</v>
      </c>
      <c r="T60" s="14" t="s">
        <v>37</v>
      </c>
      <c r="U60" s="13">
        <v>13708</v>
      </c>
      <c r="V60" s="15">
        <v>4</v>
      </c>
      <c r="W60" s="9" t="str">
        <f>IF(Table1[[#This Row],[Satisfaction Rating]]&lt;2, "Low", IF(Table1[[#This Row],[Satisfaction Rating]]&lt;4, "Medium", "High"))</f>
        <v>High</v>
      </c>
    </row>
    <row r="61" spans="1:23" ht="14" x14ac:dyDescent="0.2">
      <c r="A61" s="10" t="s">
        <v>153</v>
      </c>
      <c r="B61" s="11">
        <v>45470.526388888888</v>
      </c>
      <c r="C61" s="11">
        <v>45470.526388888888</v>
      </c>
      <c r="D61" s="11" t="str">
        <f>IF(Table1[[#This Row],[Duration of Campaign]]=0, "Ongoing","Completed")</f>
        <v>Ongoing</v>
      </c>
      <c r="E61" s="12">
        <f>Table1[[#This Row],[End Date]]-Table1[[#This Row],[Start Date]]</f>
        <v>0</v>
      </c>
      <c r="F61" s="13">
        <v>5638</v>
      </c>
      <c r="G61" s="14" t="s">
        <v>29</v>
      </c>
      <c r="H61" s="15">
        <v>1565</v>
      </c>
      <c r="I61" s="15">
        <v>756</v>
      </c>
      <c r="J61" s="15">
        <v>291</v>
      </c>
      <c r="K61" s="16">
        <v>8026</v>
      </c>
      <c r="L61" s="17">
        <f t="shared" si="0"/>
        <v>0.48306709265175718</v>
      </c>
      <c r="M61" s="17">
        <f t="shared" si="0"/>
        <v>0.38492063492063494</v>
      </c>
      <c r="N61" s="18">
        <f t="shared" si="1"/>
        <v>6.5886243386243386</v>
      </c>
      <c r="O61" s="18">
        <f t="shared" si="2"/>
        <v>17.116838487972508</v>
      </c>
      <c r="P61" s="17">
        <f t="shared" si="3"/>
        <v>0.88346931536005679</v>
      </c>
      <c r="Q61" s="17">
        <f t="shared" si="4"/>
        <v>1.6113230275045172</v>
      </c>
      <c r="R61" s="10" t="s">
        <v>154</v>
      </c>
      <c r="S61" s="14" t="s">
        <v>31</v>
      </c>
      <c r="T61" s="14" t="s">
        <v>55</v>
      </c>
      <c r="U61" s="13">
        <v>4981</v>
      </c>
      <c r="V61" s="15">
        <v>2</v>
      </c>
      <c r="W61" s="9" t="str">
        <f>IF(Table1[[#This Row],[Satisfaction Rating]]&lt;2, "Low", IF(Table1[[#This Row],[Satisfaction Rating]]&lt;4, "Medium", "High"))</f>
        <v>Medium</v>
      </c>
    </row>
    <row r="62" spans="1:23" ht="14" x14ac:dyDescent="0.2">
      <c r="A62" s="10" t="s">
        <v>155</v>
      </c>
      <c r="B62" s="11">
        <v>45228.540798611109</v>
      </c>
      <c r="C62" s="11">
        <v>45228.540798611109</v>
      </c>
      <c r="D62" s="11" t="str">
        <f>IF(Table1[[#This Row],[Duration of Campaign]]=0, "Ongoing","Completed")</f>
        <v>Ongoing</v>
      </c>
      <c r="E62" s="12">
        <f>Table1[[#This Row],[End Date]]-Table1[[#This Row],[Start Date]]</f>
        <v>0</v>
      </c>
      <c r="F62" s="13">
        <v>4977</v>
      </c>
      <c r="G62" s="14" t="s">
        <v>47</v>
      </c>
      <c r="H62" s="15">
        <v>4429</v>
      </c>
      <c r="I62" s="15">
        <v>1818</v>
      </c>
      <c r="J62" s="15">
        <v>18</v>
      </c>
      <c r="K62" s="16">
        <v>3835</v>
      </c>
      <c r="L62" s="17">
        <f t="shared" si="0"/>
        <v>0.41047640550914427</v>
      </c>
      <c r="M62" s="17">
        <f t="shared" si="0"/>
        <v>9.9009900990099011E-3</v>
      </c>
      <c r="N62" s="18">
        <f t="shared" si="1"/>
        <v>6.6386138613861387</v>
      </c>
      <c r="O62" s="18">
        <f t="shared" si="2"/>
        <v>670.5</v>
      </c>
      <c r="P62" s="17">
        <f t="shared" si="3"/>
        <v>2.4249547920433998</v>
      </c>
      <c r="Q62" s="17">
        <f t="shared" si="4"/>
        <v>0.31775623498218575</v>
      </c>
      <c r="R62" s="10" t="s">
        <v>156</v>
      </c>
      <c r="S62" s="14" t="s">
        <v>34</v>
      </c>
      <c r="T62" s="14" t="s">
        <v>27</v>
      </c>
      <c r="U62" s="13">
        <v>12069</v>
      </c>
      <c r="V62" s="15">
        <v>4</v>
      </c>
      <c r="W62" s="9" t="str">
        <f>IF(Table1[[#This Row],[Satisfaction Rating]]&lt;2, "Low", IF(Table1[[#This Row],[Satisfaction Rating]]&lt;4, "Medium", "High"))</f>
        <v>High</v>
      </c>
    </row>
    <row r="63" spans="1:23" ht="14" x14ac:dyDescent="0.2">
      <c r="A63" s="10" t="s">
        <v>157</v>
      </c>
      <c r="B63" s="11">
        <v>44987.653368055559</v>
      </c>
      <c r="C63" s="11">
        <v>45368.155775462961</v>
      </c>
      <c r="D63" s="11" t="str">
        <f>IF(Table1[[#This Row],[Duration of Campaign]]=0, "Ongoing","Completed")</f>
        <v>Completed</v>
      </c>
      <c r="E63" s="12">
        <f>Table1[[#This Row],[End Date]]-Table1[[#This Row],[Start Date]]</f>
        <v>380.50240740740264</v>
      </c>
      <c r="F63" s="13">
        <v>8332</v>
      </c>
      <c r="G63" s="14" t="s">
        <v>24</v>
      </c>
      <c r="H63" s="15">
        <v>2345</v>
      </c>
      <c r="I63" s="15">
        <v>1168</v>
      </c>
      <c r="J63" s="15">
        <v>495</v>
      </c>
      <c r="K63" s="16">
        <v>13522</v>
      </c>
      <c r="L63" s="17">
        <f t="shared" si="0"/>
        <v>0.49808102345415778</v>
      </c>
      <c r="M63" s="17">
        <f t="shared" si="0"/>
        <v>0.4238013698630137</v>
      </c>
      <c r="N63" s="18">
        <f t="shared" si="1"/>
        <v>7.8621575342465757</v>
      </c>
      <c r="O63" s="18">
        <f t="shared" si="2"/>
        <v>18.551515151515151</v>
      </c>
      <c r="P63" s="17">
        <f t="shared" si="3"/>
        <v>1.1021363418146903</v>
      </c>
      <c r="Q63" s="17">
        <f t="shared" si="4"/>
        <v>1.4725035391484265</v>
      </c>
      <c r="R63" s="10" t="s">
        <v>158</v>
      </c>
      <c r="S63" s="14" t="s">
        <v>45</v>
      </c>
      <c r="T63" s="14" t="s">
        <v>27</v>
      </c>
      <c r="U63" s="13">
        <v>9183</v>
      </c>
      <c r="V63" s="15">
        <v>5</v>
      </c>
      <c r="W63" s="9" t="str">
        <f>IF(Table1[[#This Row],[Satisfaction Rating]]&lt;2, "Low", IF(Table1[[#This Row],[Satisfaction Rating]]&lt;4, "Medium", "High"))</f>
        <v>High</v>
      </c>
    </row>
    <row r="64" spans="1:23" ht="14" x14ac:dyDescent="0.2">
      <c r="A64" s="10" t="s">
        <v>159</v>
      </c>
      <c r="B64" s="11">
        <v>45619.883043981485</v>
      </c>
      <c r="C64" s="11">
        <v>45619.883043981485</v>
      </c>
      <c r="D64" s="11" t="str">
        <f>IF(Table1[[#This Row],[Duration of Campaign]]=0, "Ongoing","Completed")</f>
        <v>Ongoing</v>
      </c>
      <c r="E64" s="12">
        <f>Table1[[#This Row],[End Date]]-Table1[[#This Row],[Start Date]]</f>
        <v>0</v>
      </c>
      <c r="F64" s="13">
        <v>4294</v>
      </c>
      <c r="G64" s="14" t="s">
        <v>24</v>
      </c>
      <c r="H64" s="15">
        <v>17009</v>
      </c>
      <c r="I64" s="15">
        <v>837</v>
      </c>
      <c r="J64" s="15">
        <v>119</v>
      </c>
      <c r="K64" s="16">
        <v>5063</v>
      </c>
      <c r="L64" s="17">
        <f t="shared" si="0"/>
        <v>4.9209242165912166E-2</v>
      </c>
      <c r="M64" s="17">
        <f t="shared" si="0"/>
        <v>0.14217443249701314</v>
      </c>
      <c r="N64" s="18">
        <f t="shared" si="1"/>
        <v>22.285543608124254</v>
      </c>
      <c r="O64" s="18">
        <f t="shared" si="2"/>
        <v>156.74789915966386</v>
      </c>
      <c r="P64" s="17">
        <f t="shared" si="3"/>
        <v>4.3439683278993941</v>
      </c>
      <c r="Q64" s="17">
        <f t="shared" si="4"/>
        <v>0.27143086902911062</v>
      </c>
      <c r="R64" s="10" t="s">
        <v>160</v>
      </c>
      <c r="S64" s="14" t="s">
        <v>26</v>
      </c>
      <c r="T64" s="14" t="s">
        <v>37</v>
      </c>
      <c r="U64" s="13">
        <v>18653</v>
      </c>
      <c r="V64" s="15">
        <v>2</v>
      </c>
      <c r="W64" s="9" t="str">
        <f>IF(Table1[[#This Row],[Satisfaction Rating]]&lt;2, "Low", IF(Table1[[#This Row],[Satisfaction Rating]]&lt;4, "Medium", "High"))</f>
        <v>Medium</v>
      </c>
    </row>
    <row r="65" spans="1:23" ht="14" x14ac:dyDescent="0.2">
      <c r="A65" s="10" t="s">
        <v>161</v>
      </c>
      <c r="B65" s="11">
        <v>45486.498854166668</v>
      </c>
      <c r="C65" s="11">
        <v>45544.031192129631</v>
      </c>
      <c r="D65" s="11" t="str">
        <f>IF(Table1[[#This Row],[Duration of Campaign]]=0, "Ongoing","Completed")</f>
        <v>Completed</v>
      </c>
      <c r="E65" s="12">
        <f>Table1[[#This Row],[End Date]]-Table1[[#This Row],[Start Date]]</f>
        <v>57.532337962962629</v>
      </c>
      <c r="F65" s="13">
        <v>3484</v>
      </c>
      <c r="G65" s="14" t="s">
        <v>63</v>
      </c>
      <c r="H65" s="15">
        <v>9889</v>
      </c>
      <c r="I65" s="15">
        <v>1893</v>
      </c>
      <c r="J65" s="15">
        <v>329</v>
      </c>
      <c r="K65" s="16">
        <v>12904</v>
      </c>
      <c r="L65" s="17">
        <f t="shared" si="0"/>
        <v>0.19142481545151177</v>
      </c>
      <c r="M65" s="17">
        <f t="shared" si="0"/>
        <v>0.17379820390913894</v>
      </c>
      <c r="N65" s="18">
        <f t="shared" si="1"/>
        <v>1.7913365029054411</v>
      </c>
      <c r="O65" s="18">
        <f t="shared" si="2"/>
        <v>10.306990881458967</v>
      </c>
      <c r="P65" s="17">
        <f t="shared" si="3"/>
        <v>0.97330654420206664</v>
      </c>
      <c r="Q65" s="17">
        <f t="shared" si="4"/>
        <v>3.8053671483338247</v>
      </c>
      <c r="R65" s="10" t="s">
        <v>162</v>
      </c>
      <c r="S65" s="14" t="s">
        <v>31</v>
      </c>
      <c r="T65" s="14" t="s">
        <v>55</v>
      </c>
      <c r="U65" s="13">
        <v>3391</v>
      </c>
      <c r="V65" s="15">
        <v>5</v>
      </c>
      <c r="W65" s="9" t="str">
        <f>IF(Table1[[#This Row],[Satisfaction Rating]]&lt;2, "Low", IF(Table1[[#This Row],[Satisfaction Rating]]&lt;4, "Medium", "High"))</f>
        <v>High</v>
      </c>
    </row>
    <row r="66" spans="1:23" ht="14" x14ac:dyDescent="0.2">
      <c r="A66" s="10" t="s">
        <v>163</v>
      </c>
      <c r="B66" s="11">
        <v>45282.487939814811</v>
      </c>
      <c r="C66" s="11">
        <v>45420.583703703705</v>
      </c>
      <c r="D66" s="11" t="str">
        <f>IF(Table1[[#This Row],[Duration of Campaign]]=0, "Ongoing","Completed")</f>
        <v>Completed</v>
      </c>
      <c r="E66" s="12">
        <f>Table1[[#This Row],[End Date]]-Table1[[#This Row],[Start Date]]</f>
        <v>138.095763888894</v>
      </c>
      <c r="F66" s="13">
        <v>7354</v>
      </c>
      <c r="G66" s="14" t="s">
        <v>24</v>
      </c>
      <c r="H66" s="15">
        <v>14296</v>
      </c>
      <c r="I66" s="15">
        <v>698</v>
      </c>
      <c r="J66" s="15">
        <v>222</v>
      </c>
      <c r="K66" s="16">
        <v>13779</v>
      </c>
      <c r="L66" s="17">
        <f t="shared" si="0"/>
        <v>4.8824846110800221E-2</v>
      </c>
      <c r="M66" s="17">
        <f t="shared" si="0"/>
        <v>0.31805157593123207</v>
      </c>
      <c r="N66" s="18">
        <f t="shared" si="1"/>
        <v>6.0802292263610314</v>
      </c>
      <c r="O66" s="18">
        <f t="shared" si="2"/>
        <v>19.117117117117118</v>
      </c>
      <c r="P66" s="17">
        <f t="shared" si="3"/>
        <v>0.57710089747076421</v>
      </c>
      <c r="Q66" s="17">
        <f t="shared" si="4"/>
        <v>3.2467012252591894</v>
      </c>
      <c r="R66" s="10" t="s">
        <v>164</v>
      </c>
      <c r="S66" s="14" t="s">
        <v>26</v>
      </c>
      <c r="T66" s="14" t="s">
        <v>55</v>
      </c>
      <c r="U66" s="13">
        <v>4244</v>
      </c>
      <c r="V66" s="15">
        <v>1</v>
      </c>
      <c r="W66" s="9" t="str">
        <f>IF(Table1[[#This Row],[Satisfaction Rating]]&lt;2, "Low", IF(Table1[[#This Row],[Satisfaction Rating]]&lt;4, "Medium", "High"))</f>
        <v>Low</v>
      </c>
    </row>
    <row r="67" spans="1:23" ht="14" x14ac:dyDescent="0.2">
      <c r="A67" s="10" t="s">
        <v>165</v>
      </c>
      <c r="B67" s="11">
        <v>45039.724386574075</v>
      </c>
      <c r="C67" s="11">
        <v>45289.40353009259</v>
      </c>
      <c r="D67" s="11" t="str">
        <f>IF(Table1[[#This Row],[Duration of Campaign]]=0, "Ongoing","Completed")</f>
        <v>Completed</v>
      </c>
      <c r="E67" s="12">
        <f>Table1[[#This Row],[End Date]]-Table1[[#This Row],[Start Date]]</f>
        <v>249.67914351851505</v>
      </c>
      <c r="F67" s="13">
        <v>9963</v>
      </c>
      <c r="G67" s="14" t="s">
        <v>24</v>
      </c>
      <c r="H67" s="15">
        <v>14218</v>
      </c>
      <c r="I67" s="15">
        <v>888</v>
      </c>
      <c r="J67" s="15">
        <v>82</v>
      </c>
      <c r="K67" s="16">
        <v>7338</v>
      </c>
      <c r="L67" s="17">
        <f t="shared" ref="L67:M130" si="5">I67/H67</f>
        <v>6.2456041637361091E-2</v>
      </c>
      <c r="M67" s="17">
        <f t="shared" si="5"/>
        <v>9.2342342342342343E-2</v>
      </c>
      <c r="N67" s="18">
        <f t="shared" ref="N67:N130" si="6">U67/I67</f>
        <v>16.206081081081081</v>
      </c>
      <c r="O67" s="18">
        <f t="shared" ref="O67:O130" si="7">U67/J67</f>
        <v>175.5</v>
      </c>
      <c r="P67" s="17">
        <f t="shared" ref="P67:P130" si="8">U67/F67</f>
        <v>1.4444444444444444</v>
      </c>
      <c r="Q67" s="17">
        <f t="shared" ref="Q67:Q130" si="9">K67/U67</f>
        <v>0.50990202209714408</v>
      </c>
      <c r="R67" s="10" t="s">
        <v>166</v>
      </c>
      <c r="S67" s="14" t="s">
        <v>34</v>
      </c>
      <c r="T67" s="14" t="s">
        <v>55</v>
      </c>
      <c r="U67" s="13">
        <v>14391</v>
      </c>
      <c r="V67" s="15">
        <v>2</v>
      </c>
      <c r="W67" s="9" t="str">
        <f>IF(Table1[[#This Row],[Satisfaction Rating]]&lt;2, "Low", IF(Table1[[#This Row],[Satisfaction Rating]]&lt;4, "Medium", "High"))</f>
        <v>Medium</v>
      </c>
    </row>
    <row r="68" spans="1:23" ht="14" x14ac:dyDescent="0.2">
      <c r="A68" s="10" t="s">
        <v>167</v>
      </c>
      <c r="B68" s="11">
        <v>45168.764930555553</v>
      </c>
      <c r="C68" s="11">
        <v>45168.764930555553</v>
      </c>
      <c r="D68" s="11" t="str">
        <f>IF(Table1[[#This Row],[Duration of Campaign]]=0, "Ongoing","Completed")</f>
        <v>Ongoing</v>
      </c>
      <c r="E68" s="12">
        <f>Table1[[#This Row],[End Date]]-Table1[[#This Row],[Start Date]]</f>
        <v>0</v>
      </c>
      <c r="F68" s="13">
        <v>6144</v>
      </c>
      <c r="G68" s="14" t="s">
        <v>24</v>
      </c>
      <c r="H68" s="15">
        <v>16755</v>
      </c>
      <c r="I68" s="15">
        <v>143</v>
      </c>
      <c r="J68" s="15">
        <v>135</v>
      </c>
      <c r="K68" s="16">
        <v>4664</v>
      </c>
      <c r="L68" s="17">
        <f t="shared" si="5"/>
        <v>8.5347657415696804E-3</v>
      </c>
      <c r="M68" s="17">
        <f t="shared" si="5"/>
        <v>0.94405594405594406</v>
      </c>
      <c r="N68" s="18">
        <f t="shared" si="6"/>
        <v>88.055944055944053</v>
      </c>
      <c r="O68" s="18">
        <f t="shared" si="7"/>
        <v>93.274074074074079</v>
      </c>
      <c r="P68" s="17">
        <f t="shared" si="8"/>
        <v>2.0494791666666665</v>
      </c>
      <c r="Q68" s="17">
        <f t="shared" si="9"/>
        <v>0.37039390088945362</v>
      </c>
      <c r="R68" s="10" t="s">
        <v>168</v>
      </c>
      <c r="S68" s="14" t="s">
        <v>40</v>
      </c>
      <c r="T68" s="14" t="s">
        <v>55</v>
      </c>
      <c r="U68" s="13">
        <v>12592</v>
      </c>
      <c r="V68" s="15">
        <v>3</v>
      </c>
      <c r="W68" s="9" t="str">
        <f>IF(Table1[[#This Row],[Satisfaction Rating]]&lt;2, "Low", IF(Table1[[#This Row],[Satisfaction Rating]]&lt;4, "Medium", "High"))</f>
        <v>Medium</v>
      </c>
    </row>
    <row r="69" spans="1:23" ht="14" x14ac:dyDescent="0.2">
      <c r="A69" s="10" t="s">
        <v>169</v>
      </c>
      <c r="B69" s="11">
        <v>45503.797349537039</v>
      </c>
      <c r="C69" s="11">
        <v>45503.797349537039</v>
      </c>
      <c r="D69" s="11" t="str">
        <f>IF(Table1[[#This Row],[Duration of Campaign]]=0, "Ongoing","Completed")</f>
        <v>Ongoing</v>
      </c>
      <c r="E69" s="12">
        <f>Table1[[#This Row],[End Date]]-Table1[[#This Row],[Start Date]]</f>
        <v>0</v>
      </c>
      <c r="F69" s="13">
        <v>9854</v>
      </c>
      <c r="G69" s="14" t="s">
        <v>24</v>
      </c>
      <c r="H69" s="15">
        <v>18392</v>
      </c>
      <c r="I69" s="15">
        <v>1610</v>
      </c>
      <c r="J69" s="15">
        <v>314</v>
      </c>
      <c r="K69" s="16">
        <v>12249</v>
      </c>
      <c r="L69" s="17">
        <f t="shared" si="5"/>
        <v>8.7538060026098305E-2</v>
      </c>
      <c r="M69" s="17">
        <f t="shared" si="5"/>
        <v>0.19503105590062111</v>
      </c>
      <c r="N69" s="18">
        <f t="shared" si="6"/>
        <v>11.362732919254658</v>
      </c>
      <c r="O69" s="18">
        <f t="shared" si="7"/>
        <v>58.261146496815286</v>
      </c>
      <c r="P69" s="17">
        <f t="shared" si="8"/>
        <v>1.8565049725999594</v>
      </c>
      <c r="Q69" s="17">
        <f t="shared" si="9"/>
        <v>0.66956379140701872</v>
      </c>
      <c r="R69" s="10" t="s">
        <v>170</v>
      </c>
      <c r="S69" s="14" t="s">
        <v>40</v>
      </c>
      <c r="T69" s="14" t="s">
        <v>27</v>
      </c>
      <c r="U69" s="13">
        <v>18294</v>
      </c>
      <c r="V69" s="15">
        <v>4</v>
      </c>
      <c r="W69" s="9" t="str">
        <f>IF(Table1[[#This Row],[Satisfaction Rating]]&lt;2, "Low", IF(Table1[[#This Row],[Satisfaction Rating]]&lt;4, "Medium", "High"))</f>
        <v>High</v>
      </c>
    </row>
    <row r="70" spans="1:23" ht="14" x14ac:dyDescent="0.2">
      <c r="A70" s="10" t="s">
        <v>171</v>
      </c>
      <c r="B70" s="11">
        <v>45465.089062500003</v>
      </c>
      <c r="C70" s="11">
        <v>45465.089062500003</v>
      </c>
      <c r="D70" s="11" t="str">
        <f>IF(Table1[[#This Row],[Duration of Campaign]]=0, "Ongoing","Completed")</f>
        <v>Ongoing</v>
      </c>
      <c r="E70" s="12">
        <f>Table1[[#This Row],[End Date]]-Table1[[#This Row],[Start Date]]</f>
        <v>0</v>
      </c>
      <c r="F70" s="13">
        <v>4881</v>
      </c>
      <c r="G70" s="14" t="s">
        <v>24</v>
      </c>
      <c r="H70" s="15">
        <v>9572</v>
      </c>
      <c r="I70" s="15">
        <v>1399</v>
      </c>
      <c r="J70" s="15">
        <v>115</v>
      </c>
      <c r="K70" s="16">
        <v>4262</v>
      </c>
      <c r="L70" s="17">
        <f t="shared" si="5"/>
        <v>0.14615545340576683</v>
      </c>
      <c r="M70" s="17">
        <f t="shared" si="5"/>
        <v>8.2201572551822727E-2</v>
      </c>
      <c r="N70" s="18">
        <f t="shared" si="6"/>
        <v>8.521801286633309</v>
      </c>
      <c r="O70" s="18">
        <f t="shared" si="7"/>
        <v>103.66956521739131</v>
      </c>
      <c r="P70" s="17">
        <f t="shared" si="8"/>
        <v>2.4425322679778736</v>
      </c>
      <c r="Q70" s="17">
        <f t="shared" si="9"/>
        <v>0.3574903539674551</v>
      </c>
      <c r="R70" s="10" t="s">
        <v>172</v>
      </c>
      <c r="S70" s="14" t="s">
        <v>34</v>
      </c>
      <c r="T70" s="14" t="s">
        <v>55</v>
      </c>
      <c r="U70" s="13">
        <v>11922</v>
      </c>
      <c r="V70" s="15">
        <v>5</v>
      </c>
      <c r="W70" s="9" t="str">
        <f>IF(Table1[[#This Row],[Satisfaction Rating]]&lt;2, "Low", IF(Table1[[#This Row],[Satisfaction Rating]]&lt;4, "Medium", "High"))</f>
        <v>High</v>
      </c>
    </row>
    <row r="71" spans="1:23" ht="14" x14ac:dyDescent="0.2">
      <c r="A71" s="10" t="s">
        <v>173</v>
      </c>
      <c r="B71" s="11">
        <v>45625.009502314817</v>
      </c>
      <c r="C71" s="11">
        <v>45625.009502314817</v>
      </c>
      <c r="D71" s="11" t="str">
        <f>IF(Table1[[#This Row],[Duration of Campaign]]=0, "Ongoing","Completed")</f>
        <v>Ongoing</v>
      </c>
      <c r="E71" s="12">
        <f>Table1[[#This Row],[End Date]]-Table1[[#This Row],[Start Date]]</f>
        <v>0</v>
      </c>
      <c r="F71" s="13">
        <v>3918</v>
      </c>
      <c r="G71" s="14" t="s">
        <v>29</v>
      </c>
      <c r="H71" s="15">
        <v>5586</v>
      </c>
      <c r="I71" s="15">
        <v>1151</v>
      </c>
      <c r="J71" s="15">
        <v>102</v>
      </c>
      <c r="K71" s="16">
        <v>1404</v>
      </c>
      <c r="L71" s="17">
        <f t="shared" si="5"/>
        <v>0.20605084138918725</v>
      </c>
      <c r="M71" s="17">
        <f t="shared" si="5"/>
        <v>8.8618592528236312E-2</v>
      </c>
      <c r="N71" s="18">
        <f t="shared" si="6"/>
        <v>11.280625543006082</v>
      </c>
      <c r="O71" s="18">
        <f t="shared" si="7"/>
        <v>127.29411764705883</v>
      </c>
      <c r="P71" s="17">
        <f t="shared" si="8"/>
        <v>3.313935681470138</v>
      </c>
      <c r="Q71" s="17">
        <f t="shared" si="9"/>
        <v>0.10813308687615526</v>
      </c>
      <c r="R71" s="10" t="s">
        <v>174</v>
      </c>
      <c r="S71" s="14" t="s">
        <v>31</v>
      </c>
      <c r="T71" s="14" t="s">
        <v>27</v>
      </c>
      <c r="U71" s="13">
        <v>12984</v>
      </c>
      <c r="V71" s="15">
        <v>2</v>
      </c>
      <c r="W71" s="9" t="str">
        <f>IF(Table1[[#This Row],[Satisfaction Rating]]&lt;2, "Low", IF(Table1[[#This Row],[Satisfaction Rating]]&lt;4, "Medium", "High"))</f>
        <v>Medium</v>
      </c>
    </row>
    <row r="72" spans="1:23" ht="14" x14ac:dyDescent="0.2">
      <c r="A72" s="10" t="s">
        <v>175</v>
      </c>
      <c r="B72" s="11">
        <v>45635.661840277775</v>
      </c>
      <c r="C72" s="11">
        <v>45635.661840277775</v>
      </c>
      <c r="D72" s="11" t="str">
        <f>IF(Table1[[#This Row],[Duration of Campaign]]=0, "Ongoing","Completed")</f>
        <v>Ongoing</v>
      </c>
      <c r="E72" s="12">
        <f>Table1[[#This Row],[End Date]]-Table1[[#This Row],[Start Date]]</f>
        <v>0</v>
      </c>
      <c r="F72" s="13">
        <v>3791</v>
      </c>
      <c r="G72" s="14" t="s">
        <v>47</v>
      </c>
      <c r="H72" s="15">
        <v>14243</v>
      </c>
      <c r="I72" s="15">
        <v>1190</v>
      </c>
      <c r="J72" s="15">
        <v>199</v>
      </c>
      <c r="K72" s="16">
        <v>8666</v>
      </c>
      <c r="L72" s="17">
        <f t="shared" si="5"/>
        <v>8.3549813943691639E-2</v>
      </c>
      <c r="M72" s="17">
        <f t="shared" si="5"/>
        <v>0.16722689075630251</v>
      </c>
      <c r="N72" s="18">
        <f t="shared" si="6"/>
        <v>16.604201680672269</v>
      </c>
      <c r="O72" s="18">
        <f t="shared" si="7"/>
        <v>99.291457286432163</v>
      </c>
      <c r="P72" s="17">
        <f t="shared" si="8"/>
        <v>5.2120812450540752</v>
      </c>
      <c r="Q72" s="17">
        <f t="shared" si="9"/>
        <v>0.43858494863100361</v>
      </c>
      <c r="R72" s="10" t="s">
        <v>176</v>
      </c>
      <c r="S72" s="14" t="s">
        <v>34</v>
      </c>
      <c r="T72" s="14" t="s">
        <v>55</v>
      </c>
      <c r="U72" s="13">
        <v>19759</v>
      </c>
      <c r="V72" s="15">
        <v>4</v>
      </c>
      <c r="W72" s="9" t="str">
        <f>IF(Table1[[#This Row],[Satisfaction Rating]]&lt;2, "Low", IF(Table1[[#This Row],[Satisfaction Rating]]&lt;4, "Medium", "High"))</f>
        <v>High</v>
      </c>
    </row>
    <row r="73" spans="1:23" ht="14" x14ac:dyDescent="0.2">
      <c r="A73" s="10" t="s">
        <v>177</v>
      </c>
      <c r="B73" s="11">
        <v>45368.744675925926</v>
      </c>
      <c r="C73" s="11">
        <v>45368.744675925926</v>
      </c>
      <c r="D73" s="11" t="str">
        <f>IF(Table1[[#This Row],[Duration of Campaign]]=0, "Ongoing","Completed")</f>
        <v>Ongoing</v>
      </c>
      <c r="E73" s="12">
        <f>Table1[[#This Row],[End Date]]-Table1[[#This Row],[Start Date]]</f>
        <v>0</v>
      </c>
      <c r="F73" s="13">
        <v>3584</v>
      </c>
      <c r="G73" s="14" t="s">
        <v>47</v>
      </c>
      <c r="H73" s="15">
        <v>5731</v>
      </c>
      <c r="I73" s="15">
        <v>476</v>
      </c>
      <c r="J73" s="15">
        <v>387</v>
      </c>
      <c r="K73" s="16">
        <v>5937</v>
      </c>
      <c r="L73" s="17">
        <f t="shared" si="5"/>
        <v>8.3057058105042755E-2</v>
      </c>
      <c r="M73" s="17">
        <f t="shared" si="5"/>
        <v>0.81302521008403361</v>
      </c>
      <c r="N73" s="18">
        <f t="shared" si="6"/>
        <v>4.3046218487394956</v>
      </c>
      <c r="O73" s="18">
        <f t="shared" si="7"/>
        <v>5.2945736434108523</v>
      </c>
      <c r="P73" s="17">
        <f t="shared" si="8"/>
        <v>0.5717075892857143</v>
      </c>
      <c r="Q73" s="17">
        <f t="shared" si="9"/>
        <v>2.8975109809663251</v>
      </c>
      <c r="R73" s="10" t="s">
        <v>178</v>
      </c>
      <c r="S73" s="14" t="s">
        <v>40</v>
      </c>
      <c r="T73" s="14" t="s">
        <v>27</v>
      </c>
      <c r="U73" s="13">
        <v>2049</v>
      </c>
      <c r="V73" s="15">
        <v>5</v>
      </c>
      <c r="W73" s="9" t="str">
        <f>IF(Table1[[#This Row],[Satisfaction Rating]]&lt;2, "Low", IF(Table1[[#This Row],[Satisfaction Rating]]&lt;4, "Medium", "High"))</f>
        <v>High</v>
      </c>
    </row>
    <row r="74" spans="1:23" ht="14" x14ac:dyDescent="0.2">
      <c r="A74" s="10" t="s">
        <v>179</v>
      </c>
      <c r="B74" s="11">
        <v>45333.020972222221</v>
      </c>
      <c r="C74" s="11">
        <v>45333.020972222221</v>
      </c>
      <c r="D74" s="11" t="str">
        <f>IF(Table1[[#This Row],[Duration of Campaign]]=0, "Ongoing","Completed")</f>
        <v>Ongoing</v>
      </c>
      <c r="E74" s="12">
        <f>Table1[[#This Row],[End Date]]-Table1[[#This Row],[Start Date]]</f>
        <v>0</v>
      </c>
      <c r="F74" s="13">
        <v>1613</v>
      </c>
      <c r="G74" s="14" t="s">
        <v>29</v>
      </c>
      <c r="H74" s="15">
        <v>11944</v>
      </c>
      <c r="I74" s="15">
        <v>667</v>
      </c>
      <c r="J74" s="15">
        <v>217</v>
      </c>
      <c r="K74" s="16">
        <v>10203</v>
      </c>
      <c r="L74" s="17">
        <f t="shared" si="5"/>
        <v>5.5843938379102481E-2</v>
      </c>
      <c r="M74" s="17">
        <f t="shared" si="5"/>
        <v>0.32533733133433285</v>
      </c>
      <c r="N74" s="18">
        <f t="shared" si="6"/>
        <v>28.923538230884557</v>
      </c>
      <c r="O74" s="18">
        <f t="shared" si="7"/>
        <v>88.903225806451616</v>
      </c>
      <c r="P74" s="17">
        <f t="shared" si="8"/>
        <v>11.960322380657161</v>
      </c>
      <c r="Q74" s="17">
        <f t="shared" si="9"/>
        <v>0.52887207132490155</v>
      </c>
      <c r="R74" s="10" t="s">
        <v>180</v>
      </c>
      <c r="S74" s="14" t="s">
        <v>31</v>
      </c>
      <c r="T74" s="14" t="s">
        <v>27</v>
      </c>
      <c r="U74" s="13">
        <v>19292</v>
      </c>
      <c r="V74" s="15">
        <v>3</v>
      </c>
      <c r="W74" s="9" t="str">
        <f>IF(Table1[[#This Row],[Satisfaction Rating]]&lt;2, "Low", IF(Table1[[#This Row],[Satisfaction Rating]]&lt;4, "Medium", "High"))</f>
        <v>Medium</v>
      </c>
    </row>
    <row r="75" spans="1:23" ht="14" x14ac:dyDescent="0.2">
      <c r="A75" s="10" t="s">
        <v>181</v>
      </c>
      <c r="B75" s="11">
        <v>45299.36986111111</v>
      </c>
      <c r="C75" s="11">
        <v>45471.091990740744</v>
      </c>
      <c r="D75" s="11" t="str">
        <f>IF(Table1[[#This Row],[Duration of Campaign]]=0, "Ongoing","Completed")</f>
        <v>Completed</v>
      </c>
      <c r="E75" s="12">
        <f>Table1[[#This Row],[End Date]]-Table1[[#This Row],[Start Date]]</f>
        <v>171.72212962963386</v>
      </c>
      <c r="F75" s="13">
        <v>6972</v>
      </c>
      <c r="G75" s="14" t="s">
        <v>63</v>
      </c>
      <c r="H75" s="15">
        <v>16890</v>
      </c>
      <c r="I75" s="15">
        <v>174</v>
      </c>
      <c r="J75" s="15">
        <v>252</v>
      </c>
      <c r="K75" s="16">
        <v>8176</v>
      </c>
      <c r="L75" s="17">
        <f t="shared" si="5"/>
        <v>1.0301953818827708E-2</v>
      </c>
      <c r="M75" s="17">
        <f t="shared" si="5"/>
        <v>1.4482758620689655</v>
      </c>
      <c r="N75" s="18">
        <f t="shared" si="6"/>
        <v>74.281609195402297</v>
      </c>
      <c r="O75" s="18">
        <f t="shared" si="7"/>
        <v>51.289682539682538</v>
      </c>
      <c r="P75" s="17">
        <f t="shared" si="8"/>
        <v>1.8538439472174413</v>
      </c>
      <c r="Q75" s="17">
        <f t="shared" si="9"/>
        <v>0.63257253384912959</v>
      </c>
      <c r="R75" s="10" t="s">
        <v>182</v>
      </c>
      <c r="S75" s="14" t="s">
        <v>45</v>
      </c>
      <c r="T75" s="14" t="s">
        <v>55</v>
      </c>
      <c r="U75" s="13">
        <v>12925</v>
      </c>
      <c r="V75" s="15">
        <v>4</v>
      </c>
      <c r="W75" s="9" t="str">
        <f>IF(Table1[[#This Row],[Satisfaction Rating]]&lt;2, "Low", IF(Table1[[#This Row],[Satisfaction Rating]]&lt;4, "Medium", "High"))</f>
        <v>High</v>
      </c>
    </row>
    <row r="76" spans="1:23" ht="14" x14ac:dyDescent="0.2">
      <c r="A76" s="10" t="s">
        <v>183</v>
      </c>
      <c r="B76" s="11">
        <v>45354.642175925925</v>
      </c>
      <c r="C76" s="11">
        <v>45595.767337962963</v>
      </c>
      <c r="D76" s="11" t="str">
        <f>IF(Table1[[#This Row],[Duration of Campaign]]=0, "Ongoing","Completed")</f>
        <v>Completed</v>
      </c>
      <c r="E76" s="12">
        <f>Table1[[#This Row],[End Date]]-Table1[[#This Row],[Start Date]]</f>
        <v>241.12516203703854</v>
      </c>
      <c r="F76" s="13">
        <v>6557</v>
      </c>
      <c r="G76" s="14" t="s">
        <v>63</v>
      </c>
      <c r="H76" s="15">
        <v>11062</v>
      </c>
      <c r="I76" s="15">
        <v>233</v>
      </c>
      <c r="J76" s="15">
        <v>212</v>
      </c>
      <c r="K76" s="16">
        <v>8987</v>
      </c>
      <c r="L76" s="17">
        <f t="shared" si="5"/>
        <v>2.1063098897125293E-2</v>
      </c>
      <c r="M76" s="17">
        <f t="shared" si="5"/>
        <v>0.90987124463519309</v>
      </c>
      <c r="N76" s="18">
        <f t="shared" si="6"/>
        <v>38.480686695278969</v>
      </c>
      <c r="O76" s="18">
        <f t="shared" si="7"/>
        <v>42.29245283018868</v>
      </c>
      <c r="P76" s="17">
        <f t="shared" si="8"/>
        <v>1.3673936251334451</v>
      </c>
      <c r="Q76" s="17">
        <f t="shared" si="9"/>
        <v>1.0023421815748383</v>
      </c>
      <c r="R76" s="10" t="s">
        <v>184</v>
      </c>
      <c r="S76" s="14" t="s">
        <v>31</v>
      </c>
      <c r="T76" s="14" t="s">
        <v>27</v>
      </c>
      <c r="U76" s="13">
        <v>8966</v>
      </c>
      <c r="V76" s="15">
        <v>5</v>
      </c>
      <c r="W76" s="9" t="str">
        <f>IF(Table1[[#This Row],[Satisfaction Rating]]&lt;2, "Low", IF(Table1[[#This Row],[Satisfaction Rating]]&lt;4, "Medium", "High"))</f>
        <v>High</v>
      </c>
    </row>
    <row r="77" spans="1:23" ht="14" x14ac:dyDescent="0.2">
      <c r="A77" s="10" t="s">
        <v>185</v>
      </c>
      <c r="B77" s="11">
        <v>45545.160983796297</v>
      </c>
      <c r="C77" s="11">
        <v>45545.160983796297</v>
      </c>
      <c r="D77" s="11" t="str">
        <f>IF(Table1[[#This Row],[Duration of Campaign]]=0, "Ongoing","Completed")</f>
        <v>Ongoing</v>
      </c>
      <c r="E77" s="12">
        <f>Table1[[#This Row],[End Date]]-Table1[[#This Row],[Start Date]]</f>
        <v>0</v>
      </c>
      <c r="F77" s="13">
        <v>4429</v>
      </c>
      <c r="G77" s="14" t="s">
        <v>47</v>
      </c>
      <c r="H77" s="15">
        <v>18797</v>
      </c>
      <c r="I77" s="15">
        <v>1440</v>
      </c>
      <c r="J77" s="15">
        <v>95</v>
      </c>
      <c r="K77" s="16">
        <v>10494</v>
      </c>
      <c r="L77" s="17">
        <f t="shared" si="5"/>
        <v>7.6607969356812258E-2</v>
      </c>
      <c r="M77" s="17">
        <f t="shared" si="5"/>
        <v>6.5972222222222224E-2</v>
      </c>
      <c r="N77" s="18">
        <f t="shared" si="6"/>
        <v>9.1416666666666675</v>
      </c>
      <c r="O77" s="18">
        <f t="shared" si="7"/>
        <v>138.56842105263158</v>
      </c>
      <c r="P77" s="17">
        <f t="shared" si="8"/>
        <v>2.9722284940167079</v>
      </c>
      <c r="Q77" s="17">
        <f t="shared" si="9"/>
        <v>0.79717411121239745</v>
      </c>
      <c r="R77" s="10" t="s">
        <v>186</v>
      </c>
      <c r="S77" s="14" t="s">
        <v>40</v>
      </c>
      <c r="T77" s="14" t="s">
        <v>55</v>
      </c>
      <c r="U77" s="13">
        <v>13164</v>
      </c>
      <c r="V77" s="15">
        <v>5</v>
      </c>
      <c r="W77" s="9" t="str">
        <f>IF(Table1[[#This Row],[Satisfaction Rating]]&lt;2, "Low", IF(Table1[[#This Row],[Satisfaction Rating]]&lt;4, "Medium", "High"))</f>
        <v>High</v>
      </c>
    </row>
    <row r="78" spans="1:23" ht="14" x14ac:dyDescent="0.2">
      <c r="A78" s="10" t="s">
        <v>187</v>
      </c>
      <c r="B78" s="11">
        <v>45433.681956018518</v>
      </c>
      <c r="C78" s="11">
        <v>45433.681956018518</v>
      </c>
      <c r="D78" s="11" t="str">
        <f>IF(Table1[[#This Row],[Duration of Campaign]]=0, "Ongoing","Completed")</f>
        <v>Ongoing</v>
      </c>
      <c r="E78" s="12">
        <f>Table1[[#This Row],[End Date]]-Table1[[#This Row],[Start Date]]</f>
        <v>0</v>
      </c>
      <c r="F78" s="13">
        <v>2400</v>
      </c>
      <c r="G78" s="14" t="s">
        <v>29</v>
      </c>
      <c r="H78" s="15">
        <v>2699</v>
      </c>
      <c r="I78" s="15">
        <v>1542</v>
      </c>
      <c r="J78" s="15">
        <v>306</v>
      </c>
      <c r="K78" s="16">
        <v>14392</v>
      </c>
      <c r="L78" s="17">
        <f t="shared" si="5"/>
        <v>0.57132271211559837</v>
      </c>
      <c r="M78" s="17">
        <f t="shared" si="5"/>
        <v>0.19844357976653695</v>
      </c>
      <c r="N78" s="18">
        <f t="shared" si="6"/>
        <v>9.1057068741893641</v>
      </c>
      <c r="O78" s="18">
        <f t="shared" si="7"/>
        <v>45.885620915032682</v>
      </c>
      <c r="P78" s="17">
        <f t="shared" si="8"/>
        <v>5.8504166666666668</v>
      </c>
      <c r="Q78" s="17">
        <f t="shared" si="9"/>
        <v>1.0249982195000356</v>
      </c>
      <c r="R78" s="10" t="s">
        <v>188</v>
      </c>
      <c r="S78" s="14" t="s">
        <v>34</v>
      </c>
      <c r="T78" s="14" t="s">
        <v>27</v>
      </c>
      <c r="U78" s="13">
        <v>14041</v>
      </c>
      <c r="V78" s="15">
        <v>2</v>
      </c>
      <c r="W78" s="9" t="str">
        <f>IF(Table1[[#This Row],[Satisfaction Rating]]&lt;2, "Low", IF(Table1[[#This Row],[Satisfaction Rating]]&lt;4, "Medium", "High"))</f>
        <v>Medium</v>
      </c>
    </row>
    <row r="79" spans="1:23" ht="14" x14ac:dyDescent="0.2">
      <c r="A79" s="10" t="s">
        <v>189</v>
      </c>
      <c r="B79" s="11">
        <v>45517.480729166666</v>
      </c>
      <c r="C79" s="11">
        <v>45517.480729166666</v>
      </c>
      <c r="D79" s="11" t="str">
        <f>IF(Table1[[#This Row],[Duration of Campaign]]=0, "Ongoing","Completed")</f>
        <v>Ongoing</v>
      </c>
      <c r="E79" s="12">
        <f>Table1[[#This Row],[End Date]]-Table1[[#This Row],[Start Date]]</f>
        <v>0</v>
      </c>
      <c r="F79" s="13">
        <v>3565</v>
      </c>
      <c r="G79" s="14" t="s">
        <v>63</v>
      </c>
      <c r="H79" s="15">
        <v>7034</v>
      </c>
      <c r="I79" s="15">
        <v>434</v>
      </c>
      <c r="J79" s="15">
        <v>255</v>
      </c>
      <c r="K79" s="16">
        <v>6390</v>
      </c>
      <c r="L79" s="17">
        <f t="shared" si="5"/>
        <v>6.1700312766562411E-2</v>
      </c>
      <c r="M79" s="17">
        <f t="shared" si="5"/>
        <v>0.5875576036866359</v>
      </c>
      <c r="N79" s="18">
        <f t="shared" si="6"/>
        <v>26.875576036866359</v>
      </c>
      <c r="O79" s="18">
        <f t="shared" si="7"/>
        <v>45.741176470588236</v>
      </c>
      <c r="P79" s="17">
        <f t="shared" si="8"/>
        <v>3.2718092566619914</v>
      </c>
      <c r="Q79" s="17">
        <f t="shared" si="9"/>
        <v>0.5478395061728395</v>
      </c>
      <c r="R79" s="10" t="s">
        <v>190</v>
      </c>
      <c r="S79" s="14" t="s">
        <v>40</v>
      </c>
      <c r="T79" s="14" t="s">
        <v>37</v>
      </c>
      <c r="U79" s="13">
        <v>11664</v>
      </c>
      <c r="V79" s="15">
        <v>4</v>
      </c>
      <c r="W79" s="9" t="str">
        <f>IF(Table1[[#This Row],[Satisfaction Rating]]&lt;2, "Low", IF(Table1[[#This Row],[Satisfaction Rating]]&lt;4, "Medium", "High"))</f>
        <v>High</v>
      </c>
    </row>
    <row r="80" spans="1:23" ht="14" x14ac:dyDescent="0.2">
      <c r="A80" s="10" t="s">
        <v>191</v>
      </c>
      <c r="B80" s="11">
        <v>45514.580497685187</v>
      </c>
      <c r="C80" s="11">
        <v>45548.584479166668</v>
      </c>
      <c r="D80" s="11" t="str">
        <f>IF(Table1[[#This Row],[Duration of Campaign]]=0, "Ongoing","Completed")</f>
        <v>Completed</v>
      </c>
      <c r="E80" s="12">
        <f>Table1[[#This Row],[End Date]]-Table1[[#This Row],[Start Date]]</f>
        <v>34.003981481480878</v>
      </c>
      <c r="F80" s="13">
        <v>3316</v>
      </c>
      <c r="G80" s="14" t="s">
        <v>47</v>
      </c>
      <c r="H80" s="15">
        <v>14750</v>
      </c>
      <c r="I80" s="15">
        <v>1722</v>
      </c>
      <c r="J80" s="15">
        <v>231</v>
      </c>
      <c r="K80" s="16">
        <v>1438</v>
      </c>
      <c r="L80" s="17">
        <f t="shared" si="5"/>
        <v>0.1167457627118644</v>
      </c>
      <c r="M80" s="17">
        <f t="shared" si="5"/>
        <v>0.13414634146341464</v>
      </c>
      <c r="N80" s="18">
        <f t="shared" si="6"/>
        <v>9.0969802555168418</v>
      </c>
      <c r="O80" s="18">
        <f t="shared" si="7"/>
        <v>67.813852813852819</v>
      </c>
      <c r="P80" s="17">
        <f t="shared" si="8"/>
        <v>4.7240651387213513</v>
      </c>
      <c r="Q80" s="17">
        <f t="shared" si="9"/>
        <v>9.1796999680817115E-2</v>
      </c>
      <c r="R80" s="10" t="s">
        <v>192</v>
      </c>
      <c r="S80" s="14" t="s">
        <v>40</v>
      </c>
      <c r="T80" s="14" t="s">
        <v>55</v>
      </c>
      <c r="U80" s="13">
        <v>15665</v>
      </c>
      <c r="V80" s="15">
        <v>4</v>
      </c>
      <c r="W80" s="9" t="str">
        <f>IF(Table1[[#This Row],[Satisfaction Rating]]&lt;2, "Low", IF(Table1[[#This Row],[Satisfaction Rating]]&lt;4, "Medium", "High"))</f>
        <v>High</v>
      </c>
    </row>
    <row r="81" spans="1:23" ht="14" x14ac:dyDescent="0.2">
      <c r="A81" s="10" t="s">
        <v>193</v>
      </c>
      <c r="B81" s="11">
        <v>45452.251550925925</v>
      </c>
      <c r="C81" s="11">
        <v>45452.251550925925</v>
      </c>
      <c r="D81" s="11" t="str">
        <f>IF(Table1[[#This Row],[Duration of Campaign]]=0, "Ongoing","Completed")</f>
        <v>Ongoing</v>
      </c>
      <c r="E81" s="12">
        <f>Table1[[#This Row],[End Date]]-Table1[[#This Row],[Start Date]]</f>
        <v>0</v>
      </c>
      <c r="F81" s="13">
        <v>9801</v>
      </c>
      <c r="G81" s="14" t="s">
        <v>47</v>
      </c>
      <c r="H81" s="15">
        <v>12755</v>
      </c>
      <c r="I81" s="15">
        <v>645</v>
      </c>
      <c r="J81" s="15">
        <v>54</v>
      </c>
      <c r="K81" s="16">
        <v>4937</v>
      </c>
      <c r="L81" s="17">
        <f t="shared" si="5"/>
        <v>5.0568404547236379E-2</v>
      </c>
      <c r="M81" s="17">
        <f t="shared" si="5"/>
        <v>8.3720930232558138E-2</v>
      </c>
      <c r="N81" s="18">
        <f t="shared" si="6"/>
        <v>5.6930232558139533</v>
      </c>
      <c r="O81" s="18">
        <f t="shared" si="7"/>
        <v>68</v>
      </c>
      <c r="P81" s="17">
        <f t="shared" si="8"/>
        <v>0.37465564738292012</v>
      </c>
      <c r="Q81" s="17">
        <f t="shared" si="9"/>
        <v>1.3444989106753813</v>
      </c>
      <c r="R81" s="10" t="s">
        <v>194</v>
      </c>
      <c r="S81" s="14" t="s">
        <v>26</v>
      </c>
      <c r="T81" s="14" t="s">
        <v>37</v>
      </c>
      <c r="U81" s="13">
        <v>3672</v>
      </c>
      <c r="V81" s="15">
        <v>2</v>
      </c>
      <c r="W81" s="9" t="str">
        <f>IF(Table1[[#This Row],[Satisfaction Rating]]&lt;2, "Low", IF(Table1[[#This Row],[Satisfaction Rating]]&lt;4, "Medium", "High"))</f>
        <v>Medium</v>
      </c>
    </row>
    <row r="82" spans="1:23" ht="14" x14ac:dyDescent="0.2">
      <c r="A82" s="10" t="s">
        <v>195</v>
      </c>
      <c r="B82" s="11">
        <v>45513.054722222223</v>
      </c>
      <c r="C82" s="11">
        <v>45513.054722222223</v>
      </c>
      <c r="D82" s="11" t="str">
        <f>IF(Table1[[#This Row],[Duration of Campaign]]=0, "Ongoing","Completed")</f>
        <v>Ongoing</v>
      </c>
      <c r="E82" s="12">
        <f>Table1[[#This Row],[End Date]]-Table1[[#This Row],[Start Date]]</f>
        <v>0</v>
      </c>
      <c r="F82" s="13">
        <v>7863</v>
      </c>
      <c r="G82" s="14" t="s">
        <v>47</v>
      </c>
      <c r="H82" s="15">
        <v>17622</v>
      </c>
      <c r="I82" s="15">
        <v>550</v>
      </c>
      <c r="J82" s="15">
        <v>446</v>
      </c>
      <c r="K82" s="16">
        <v>7468</v>
      </c>
      <c r="L82" s="17">
        <f t="shared" si="5"/>
        <v>3.1210986267166042E-2</v>
      </c>
      <c r="M82" s="17">
        <f t="shared" si="5"/>
        <v>0.81090909090909091</v>
      </c>
      <c r="N82" s="18">
        <f t="shared" si="6"/>
        <v>31.098181818181818</v>
      </c>
      <c r="O82" s="18">
        <f t="shared" si="7"/>
        <v>38.349775784753362</v>
      </c>
      <c r="P82" s="17">
        <f t="shared" si="8"/>
        <v>2.1752511763957778</v>
      </c>
      <c r="Q82" s="17">
        <f t="shared" si="9"/>
        <v>0.43662301216089805</v>
      </c>
      <c r="R82" s="10" t="s">
        <v>196</v>
      </c>
      <c r="S82" s="14" t="s">
        <v>26</v>
      </c>
      <c r="T82" s="14" t="s">
        <v>55</v>
      </c>
      <c r="U82" s="13">
        <v>17104</v>
      </c>
      <c r="V82" s="15">
        <v>1</v>
      </c>
      <c r="W82" s="9" t="str">
        <f>IF(Table1[[#This Row],[Satisfaction Rating]]&lt;2, "Low", IF(Table1[[#This Row],[Satisfaction Rating]]&lt;4, "Medium", "High"))</f>
        <v>Low</v>
      </c>
    </row>
    <row r="83" spans="1:23" ht="14" x14ac:dyDescent="0.2">
      <c r="A83" s="10" t="s">
        <v>197</v>
      </c>
      <c r="B83" s="11">
        <v>45273.726111111115</v>
      </c>
      <c r="C83" s="11">
        <v>45273.726111111115</v>
      </c>
      <c r="D83" s="11" t="str">
        <f>IF(Table1[[#This Row],[Duration of Campaign]]=0, "Ongoing","Completed")</f>
        <v>Ongoing</v>
      </c>
      <c r="E83" s="12">
        <f>Table1[[#This Row],[End Date]]-Table1[[#This Row],[Start Date]]</f>
        <v>0</v>
      </c>
      <c r="F83" s="13">
        <v>6697</v>
      </c>
      <c r="G83" s="14" t="s">
        <v>47</v>
      </c>
      <c r="H83" s="15">
        <v>15673</v>
      </c>
      <c r="I83" s="15">
        <v>828</v>
      </c>
      <c r="J83" s="15">
        <v>21</v>
      </c>
      <c r="K83" s="16">
        <v>9841</v>
      </c>
      <c r="L83" s="17">
        <f t="shared" si="5"/>
        <v>5.2829707139666941E-2</v>
      </c>
      <c r="M83" s="17">
        <f t="shared" si="5"/>
        <v>2.5362318840579712E-2</v>
      </c>
      <c r="N83" s="18">
        <f t="shared" si="6"/>
        <v>7.7463768115942031</v>
      </c>
      <c r="O83" s="18">
        <f t="shared" si="7"/>
        <v>305.42857142857144</v>
      </c>
      <c r="P83" s="17">
        <f t="shared" si="8"/>
        <v>0.95774227265939971</v>
      </c>
      <c r="Q83" s="17">
        <f t="shared" si="9"/>
        <v>1.5342999688182102</v>
      </c>
      <c r="R83" s="10" t="s">
        <v>198</v>
      </c>
      <c r="S83" s="14" t="s">
        <v>31</v>
      </c>
      <c r="T83" s="14" t="s">
        <v>27</v>
      </c>
      <c r="U83" s="13">
        <v>6414</v>
      </c>
      <c r="V83" s="15">
        <v>5</v>
      </c>
      <c r="W83" s="9" t="str">
        <f>IF(Table1[[#This Row],[Satisfaction Rating]]&lt;2, "Low", IF(Table1[[#This Row],[Satisfaction Rating]]&lt;4, "Medium", "High"))</f>
        <v>High</v>
      </c>
    </row>
    <row r="84" spans="1:23" ht="14" x14ac:dyDescent="0.2">
      <c r="A84" s="10" t="s">
        <v>199</v>
      </c>
      <c r="B84" s="11">
        <v>45150.64949074074</v>
      </c>
      <c r="C84" s="11">
        <v>45403.584479166668</v>
      </c>
      <c r="D84" s="11" t="str">
        <f>IF(Table1[[#This Row],[Duration of Campaign]]=0, "Ongoing","Completed")</f>
        <v>Completed</v>
      </c>
      <c r="E84" s="12">
        <f>Table1[[#This Row],[End Date]]-Table1[[#This Row],[Start Date]]</f>
        <v>252.93498842592817</v>
      </c>
      <c r="F84" s="13">
        <v>7160</v>
      </c>
      <c r="G84" s="14" t="s">
        <v>29</v>
      </c>
      <c r="H84" s="15">
        <v>4174</v>
      </c>
      <c r="I84" s="15">
        <v>738</v>
      </c>
      <c r="J84" s="15">
        <v>118</v>
      </c>
      <c r="K84" s="16">
        <v>6809</v>
      </c>
      <c r="L84" s="17">
        <f t="shared" si="5"/>
        <v>0.17680881648298993</v>
      </c>
      <c r="M84" s="17">
        <f t="shared" si="5"/>
        <v>0.15989159891598917</v>
      </c>
      <c r="N84" s="18">
        <f t="shared" si="6"/>
        <v>22.372628726287264</v>
      </c>
      <c r="O84" s="18">
        <f t="shared" si="7"/>
        <v>139.92372881355934</v>
      </c>
      <c r="P84" s="17">
        <f t="shared" si="8"/>
        <v>2.3060055865921787</v>
      </c>
      <c r="Q84" s="17">
        <f t="shared" si="9"/>
        <v>0.41239173884077279</v>
      </c>
      <c r="R84" s="10" t="s">
        <v>200</v>
      </c>
      <c r="S84" s="14" t="s">
        <v>45</v>
      </c>
      <c r="T84" s="14" t="s">
        <v>37</v>
      </c>
      <c r="U84" s="13">
        <v>16511</v>
      </c>
      <c r="V84" s="15">
        <v>3</v>
      </c>
      <c r="W84" s="9" t="str">
        <f>IF(Table1[[#This Row],[Satisfaction Rating]]&lt;2, "Low", IF(Table1[[#This Row],[Satisfaction Rating]]&lt;4, "Medium", "High"))</f>
        <v>Medium</v>
      </c>
    </row>
    <row r="85" spans="1:23" ht="14" x14ac:dyDescent="0.2">
      <c r="A85" s="10" t="s">
        <v>201</v>
      </c>
      <c r="B85" s="11">
        <v>45044.434270833335</v>
      </c>
      <c r="C85" s="11">
        <v>45370.609861111108</v>
      </c>
      <c r="D85" s="11" t="str">
        <f>IF(Table1[[#This Row],[Duration of Campaign]]=0, "Ongoing","Completed")</f>
        <v>Completed</v>
      </c>
      <c r="E85" s="12">
        <f>Table1[[#This Row],[End Date]]-Table1[[#This Row],[Start Date]]</f>
        <v>326.17559027777315</v>
      </c>
      <c r="F85" s="13">
        <v>1746</v>
      </c>
      <c r="G85" s="14" t="s">
        <v>29</v>
      </c>
      <c r="H85" s="15">
        <v>13723</v>
      </c>
      <c r="I85" s="15">
        <v>1826</v>
      </c>
      <c r="J85" s="15">
        <v>57</v>
      </c>
      <c r="K85" s="16">
        <v>9352</v>
      </c>
      <c r="L85" s="17">
        <f t="shared" si="5"/>
        <v>0.13306128397580705</v>
      </c>
      <c r="M85" s="17">
        <f t="shared" si="5"/>
        <v>3.12157721796276E-2</v>
      </c>
      <c r="N85" s="18">
        <f t="shared" si="6"/>
        <v>1.0580503833515882</v>
      </c>
      <c r="O85" s="18">
        <f t="shared" si="7"/>
        <v>33.89473684210526</v>
      </c>
      <c r="P85" s="17">
        <f t="shared" si="8"/>
        <v>1.1065292096219932</v>
      </c>
      <c r="Q85" s="17">
        <f t="shared" si="9"/>
        <v>4.8405797101449277</v>
      </c>
      <c r="R85" s="10" t="s">
        <v>202</v>
      </c>
      <c r="S85" s="14" t="s">
        <v>31</v>
      </c>
      <c r="T85" s="14" t="s">
        <v>37</v>
      </c>
      <c r="U85" s="13">
        <v>1932</v>
      </c>
      <c r="V85" s="15">
        <v>3</v>
      </c>
      <c r="W85" s="9" t="str">
        <f>IF(Table1[[#This Row],[Satisfaction Rating]]&lt;2, "Low", IF(Table1[[#This Row],[Satisfaction Rating]]&lt;4, "Medium", "High"))</f>
        <v>Medium</v>
      </c>
    </row>
    <row r="86" spans="1:23" ht="14" x14ac:dyDescent="0.2">
      <c r="A86" s="10" t="s">
        <v>203</v>
      </c>
      <c r="B86" s="11">
        <v>45031.778171296297</v>
      </c>
      <c r="C86" s="11">
        <v>45551.85260416667</v>
      </c>
      <c r="D86" s="11" t="str">
        <f>IF(Table1[[#This Row],[Duration of Campaign]]=0, "Ongoing","Completed")</f>
        <v>Completed</v>
      </c>
      <c r="E86" s="12">
        <f>Table1[[#This Row],[End Date]]-Table1[[#This Row],[Start Date]]</f>
        <v>520.07443287037313</v>
      </c>
      <c r="F86" s="13">
        <v>2762</v>
      </c>
      <c r="G86" s="14" t="s">
        <v>24</v>
      </c>
      <c r="H86" s="15">
        <v>3702</v>
      </c>
      <c r="I86" s="15">
        <v>1475</v>
      </c>
      <c r="J86" s="15">
        <v>196</v>
      </c>
      <c r="K86" s="16">
        <v>4723</v>
      </c>
      <c r="L86" s="17">
        <f t="shared" si="5"/>
        <v>0.39843327930848188</v>
      </c>
      <c r="M86" s="17">
        <f t="shared" si="5"/>
        <v>0.13288135593220338</v>
      </c>
      <c r="N86" s="18">
        <f t="shared" si="6"/>
        <v>5.1349152542372885</v>
      </c>
      <c r="O86" s="18">
        <f t="shared" si="7"/>
        <v>38.642857142857146</v>
      </c>
      <c r="P86" s="17">
        <f t="shared" si="8"/>
        <v>2.7422157856625633</v>
      </c>
      <c r="Q86" s="17">
        <f t="shared" si="9"/>
        <v>0.62358067071560597</v>
      </c>
      <c r="R86" s="10" t="s">
        <v>204</v>
      </c>
      <c r="S86" s="14" t="s">
        <v>34</v>
      </c>
      <c r="T86" s="14" t="s">
        <v>37</v>
      </c>
      <c r="U86" s="13">
        <v>7574</v>
      </c>
      <c r="V86" s="15">
        <v>2</v>
      </c>
      <c r="W86" s="9" t="str">
        <f>IF(Table1[[#This Row],[Satisfaction Rating]]&lt;2, "Low", IF(Table1[[#This Row],[Satisfaction Rating]]&lt;4, "Medium", "High"))</f>
        <v>Medium</v>
      </c>
    </row>
    <row r="87" spans="1:23" ht="14" x14ac:dyDescent="0.2">
      <c r="A87" s="10" t="s">
        <v>205</v>
      </c>
      <c r="B87" s="11">
        <v>44996.680138888885</v>
      </c>
      <c r="C87" s="11">
        <v>45032.87060185185</v>
      </c>
      <c r="D87" s="11" t="str">
        <f>IF(Table1[[#This Row],[Duration of Campaign]]=0, "Ongoing","Completed")</f>
        <v>Completed</v>
      </c>
      <c r="E87" s="12">
        <f>Table1[[#This Row],[End Date]]-Table1[[#This Row],[Start Date]]</f>
        <v>36.190462962964375</v>
      </c>
      <c r="F87" s="13">
        <v>5405</v>
      </c>
      <c r="G87" s="14" t="s">
        <v>47</v>
      </c>
      <c r="H87" s="15">
        <v>12061</v>
      </c>
      <c r="I87" s="15">
        <v>1206</v>
      </c>
      <c r="J87" s="15">
        <v>223</v>
      </c>
      <c r="K87" s="16">
        <v>14650</v>
      </c>
      <c r="L87" s="17">
        <f t="shared" si="5"/>
        <v>9.9991708813531213E-2</v>
      </c>
      <c r="M87" s="17">
        <f t="shared" si="5"/>
        <v>0.18490878938640132</v>
      </c>
      <c r="N87" s="18">
        <f t="shared" si="6"/>
        <v>9.1210613598673298</v>
      </c>
      <c r="O87" s="18">
        <f t="shared" si="7"/>
        <v>49.327354260089685</v>
      </c>
      <c r="P87" s="17">
        <f t="shared" si="8"/>
        <v>2.0351526364477337</v>
      </c>
      <c r="Q87" s="17">
        <f t="shared" si="9"/>
        <v>1.3318181818181818</v>
      </c>
      <c r="R87" s="10" t="s">
        <v>206</v>
      </c>
      <c r="S87" s="14" t="s">
        <v>40</v>
      </c>
      <c r="T87" s="14" t="s">
        <v>55</v>
      </c>
      <c r="U87" s="13">
        <v>11000</v>
      </c>
      <c r="V87" s="15">
        <v>2</v>
      </c>
      <c r="W87" s="9" t="str">
        <f>IF(Table1[[#This Row],[Satisfaction Rating]]&lt;2, "Low", IF(Table1[[#This Row],[Satisfaction Rating]]&lt;4, "Medium", "High"))</f>
        <v>Medium</v>
      </c>
    </row>
    <row r="88" spans="1:23" ht="14" x14ac:dyDescent="0.2">
      <c r="A88" s="10" t="s">
        <v>207</v>
      </c>
      <c r="B88" s="11">
        <v>45600.861446759256</v>
      </c>
      <c r="C88" s="11">
        <v>45600.861446759256</v>
      </c>
      <c r="D88" s="11" t="str">
        <f>IF(Table1[[#This Row],[Duration of Campaign]]=0, "Ongoing","Completed")</f>
        <v>Ongoing</v>
      </c>
      <c r="E88" s="12">
        <f>Table1[[#This Row],[End Date]]-Table1[[#This Row],[Start Date]]</f>
        <v>0</v>
      </c>
      <c r="F88" s="13">
        <v>7044</v>
      </c>
      <c r="G88" s="14" t="s">
        <v>29</v>
      </c>
      <c r="H88" s="15">
        <v>2141</v>
      </c>
      <c r="I88" s="15">
        <v>1280</v>
      </c>
      <c r="J88" s="15">
        <v>203</v>
      </c>
      <c r="K88" s="16">
        <v>10362</v>
      </c>
      <c r="L88" s="17">
        <f t="shared" si="5"/>
        <v>0.59785147127510507</v>
      </c>
      <c r="M88" s="17">
        <f t="shared" si="5"/>
        <v>0.15859375000000001</v>
      </c>
      <c r="N88" s="18">
        <f t="shared" si="6"/>
        <v>1.3687499999999999</v>
      </c>
      <c r="O88" s="18">
        <f t="shared" si="7"/>
        <v>8.6305418719211815</v>
      </c>
      <c r="P88" s="17">
        <f t="shared" si="8"/>
        <v>0.24872231686541738</v>
      </c>
      <c r="Q88" s="17">
        <f t="shared" si="9"/>
        <v>5.9143835616438354</v>
      </c>
      <c r="R88" s="10" t="s">
        <v>208</v>
      </c>
      <c r="S88" s="14" t="s">
        <v>31</v>
      </c>
      <c r="T88" s="14" t="s">
        <v>27</v>
      </c>
      <c r="U88" s="13">
        <v>1752</v>
      </c>
      <c r="V88" s="15">
        <v>1</v>
      </c>
      <c r="W88" s="9" t="str">
        <f>IF(Table1[[#This Row],[Satisfaction Rating]]&lt;2, "Low", IF(Table1[[#This Row],[Satisfaction Rating]]&lt;4, "Medium", "High"))</f>
        <v>Low</v>
      </c>
    </row>
    <row r="89" spans="1:23" ht="14" x14ac:dyDescent="0.2">
      <c r="A89" s="10" t="s">
        <v>209</v>
      </c>
      <c r="B89" s="11">
        <v>45592.151678240742</v>
      </c>
      <c r="C89" s="11">
        <v>45592.151678240742</v>
      </c>
      <c r="D89" s="11" t="str">
        <f>IF(Table1[[#This Row],[Duration of Campaign]]=0, "Ongoing","Completed")</f>
        <v>Ongoing</v>
      </c>
      <c r="E89" s="12">
        <f>Table1[[#This Row],[End Date]]-Table1[[#This Row],[Start Date]]</f>
        <v>0</v>
      </c>
      <c r="F89" s="13">
        <v>2950</v>
      </c>
      <c r="G89" s="14" t="s">
        <v>47</v>
      </c>
      <c r="H89" s="15">
        <v>17874</v>
      </c>
      <c r="I89" s="15">
        <v>1078</v>
      </c>
      <c r="J89" s="15">
        <v>235</v>
      </c>
      <c r="K89" s="16">
        <v>12351</v>
      </c>
      <c r="L89" s="17">
        <f t="shared" si="5"/>
        <v>6.0311066353362426E-2</v>
      </c>
      <c r="M89" s="17">
        <f t="shared" si="5"/>
        <v>0.21799628942486085</v>
      </c>
      <c r="N89" s="18">
        <f t="shared" si="6"/>
        <v>7.304267161410019</v>
      </c>
      <c r="O89" s="18">
        <f t="shared" si="7"/>
        <v>33.506382978723401</v>
      </c>
      <c r="P89" s="17">
        <f t="shared" si="8"/>
        <v>2.6691525423728812</v>
      </c>
      <c r="Q89" s="17">
        <f t="shared" si="9"/>
        <v>1.5685801371602743</v>
      </c>
      <c r="R89" s="10" t="s">
        <v>210</v>
      </c>
      <c r="S89" s="14" t="s">
        <v>26</v>
      </c>
      <c r="T89" s="14" t="s">
        <v>55</v>
      </c>
      <c r="U89" s="13">
        <v>7874</v>
      </c>
      <c r="V89" s="15">
        <v>4</v>
      </c>
      <c r="W89" s="9" t="str">
        <f>IF(Table1[[#This Row],[Satisfaction Rating]]&lt;2, "Low", IF(Table1[[#This Row],[Satisfaction Rating]]&lt;4, "Medium", "High"))</f>
        <v>High</v>
      </c>
    </row>
    <row r="90" spans="1:23" ht="14" x14ac:dyDescent="0.2">
      <c r="A90" s="10" t="s">
        <v>211</v>
      </c>
      <c r="B90" s="11">
        <v>44950.3284375</v>
      </c>
      <c r="C90" s="11">
        <v>45215.508113425924</v>
      </c>
      <c r="D90" s="11" t="str">
        <f>IF(Table1[[#This Row],[Duration of Campaign]]=0, "Ongoing","Completed")</f>
        <v>Completed</v>
      </c>
      <c r="E90" s="12">
        <f>Table1[[#This Row],[End Date]]-Table1[[#This Row],[Start Date]]</f>
        <v>265.17967592592322</v>
      </c>
      <c r="F90" s="13">
        <v>3944</v>
      </c>
      <c r="G90" s="14" t="s">
        <v>63</v>
      </c>
      <c r="H90" s="15">
        <v>13936</v>
      </c>
      <c r="I90" s="15">
        <v>152</v>
      </c>
      <c r="J90" s="15">
        <v>279</v>
      </c>
      <c r="K90" s="16">
        <v>1492</v>
      </c>
      <c r="L90" s="17">
        <f t="shared" si="5"/>
        <v>1.0907003444316877E-2</v>
      </c>
      <c r="M90" s="17">
        <f t="shared" si="5"/>
        <v>1.8355263157894737</v>
      </c>
      <c r="N90" s="18">
        <f t="shared" si="6"/>
        <v>28.842105263157894</v>
      </c>
      <c r="O90" s="18">
        <f t="shared" si="7"/>
        <v>15.713261648745521</v>
      </c>
      <c r="P90" s="17">
        <f t="shared" si="8"/>
        <v>1.1115618661257607</v>
      </c>
      <c r="Q90" s="17">
        <f t="shared" si="9"/>
        <v>0.34032846715328469</v>
      </c>
      <c r="R90" s="10" t="s">
        <v>212</v>
      </c>
      <c r="S90" s="14" t="s">
        <v>34</v>
      </c>
      <c r="T90" s="14" t="s">
        <v>37</v>
      </c>
      <c r="U90" s="13">
        <v>4384</v>
      </c>
      <c r="V90" s="15">
        <v>5</v>
      </c>
      <c r="W90" s="9" t="str">
        <f>IF(Table1[[#This Row],[Satisfaction Rating]]&lt;2, "Low", IF(Table1[[#This Row],[Satisfaction Rating]]&lt;4, "Medium", "High"))</f>
        <v>High</v>
      </c>
    </row>
    <row r="91" spans="1:23" ht="14" x14ac:dyDescent="0.2">
      <c r="A91" s="10" t="s">
        <v>213</v>
      </c>
      <c r="B91" s="11">
        <v>44980.777280092596</v>
      </c>
      <c r="C91" s="11">
        <v>45203.233194444445</v>
      </c>
      <c r="D91" s="11" t="str">
        <f>IF(Table1[[#This Row],[Duration of Campaign]]=0, "Ongoing","Completed")</f>
        <v>Completed</v>
      </c>
      <c r="E91" s="12">
        <f>Table1[[#This Row],[End Date]]-Table1[[#This Row],[Start Date]]</f>
        <v>222.45591435184906</v>
      </c>
      <c r="F91" s="13">
        <v>3082</v>
      </c>
      <c r="G91" s="14" t="s">
        <v>47</v>
      </c>
      <c r="H91" s="15">
        <v>16376</v>
      </c>
      <c r="I91" s="15">
        <v>1790</v>
      </c>
      <c r="J91" s="15">
        <v>86</v>
      </c>
      <c r="K91" s="16">
        <v>5897</v>
      </c>
      <c r="L91" s="17">
        <f t="shared" si="5"/>
        <v>0.10930630190522717</v>
      </c>
      <c r="M91" s="17">
        <f t="shared" si="5"/>
        <v>4.8044692737430165E-2</v>
      </c>
      <c r="N91" s="18">
        <f t="shared" si="6"/>
        <v>5.976536312849162</v>
      </c>
      <c r="O91" s="18">
        <f t="shared" si="7"/>
        <v>124.3953488372093</v>
      </c>
      <c r="P91" s="17">
        <f t="shared" si="8"/>
        <v>3.4711226476314083</v>
      </c>
      <c r="Q91" s="17">
        <f t="shared" si="9"/>
        <v>0.55122452794914933</v>
      </c>
      <c r="R91" s="10" t="s">
        <v>214</v>
      </c>
      <c r="S91" s="14" t="s">
        <v>40</v>
      </c>
      <c r="T91" s="14" t="s">
        <v>55</v>
      </c>
      <c r="U91" s="13">
        <v>10698</v>
      </c>
      <c r="V91" s="15">
        <v>4</v>
      </c>
      <c r="W91" s="9" t="str">
        <f>IF(Table1[[#This Row],[Satisfaction Rating]]&lt;2, "Low", IF(Table1[[#This Row],[Satisfaction Rating]]&lt;4, "Medium", "High"))</f>
        <v>High</v>
      </c>
    </row>
    <row r="92" spans="1:23" ht="14" x14ac:dyDescent="0.2">
      <c r="A92" s="10" t="s">
        <v>215</v>
      </c>
      <c r="B92" s="11">
        <v>45557.083958333336</v>
      </c>
      <c r="C92" s="11">
        <v>45557.083958333336</v>
      </c>
      <c r="D92" s="11" t="str">
        <f>IF(Table1[[#This Row],[Duration of Campaign]]=0, "Ongoing","Completed")</f>
        <v>Ongoing</v>
      </c>
      <c r="E92" s="12">
        <f>Table1[[#This Row],[End Date]]-Table1[[#This Row],[Start Date]]</f>
        <v>0</v>
      </c>
      <c r="F92" s="13">
        <v>5530</v>
      </c>
      <c r="G92" s="14" t="s">
        <v>47</v>
      </c>
      <c r="H92" s="15">
        <v>18904</v>
      </c>
      <c r="I92" s="15">
        <v>355</v>
      </c>
      <c r="J92" s="15">
        <v>369</v>
      </c>
      <c r="K92" s="16">
        <v>14423</v>
      </c>
      <c r="L92" s="17">
        <f t="shared" si="5"/>
        <v>1.8779094371561573E-2</v>
      </c>
      <c r="M92" s="17">
        <f t="shared" si="5"/>
        <v>1.0394366197183098</v>
      </c>
      <c r="N92" s="18">
        <f t="shared" si="6"/>
        <v>34.101408450704227</v>
      </c>
      <c r="O92" s="18">
        <f t="shared" si="7"/>
        <v>32.807588075880759</v>
      </c>
      <c r="P92" s="17">
        <f t="shared" si="8"/>
        <v>2.1891500904159131</v>
      </c>
      <c r="Q92" s="17">
        <f t="shared" si="9"/>
        <v>1.1913926978357838</v>
      </c>
      <c r="R92" s="10" t="s">
        <v>216</v>
      </c>
      <c r="S92" s="14" t="s">
        <v>26</v>
      </c>
      <c r="T92" s="14" t="s">
        <v>55</v>
      </c>
      <c r="U92" s="13">
        <v>12106</v>
      </c>
      <c r="V92" s="15">
        <v>3</v>
      </c>
      <c r="W92" s="9" t="str">
        <f>IF(Table1[[#This Row],[Satisfaction Rating]]&lt;2, "Low", IF(Table1[[#This Row],[Satisfaction Rating]]&lt;4, "Medium", "High"))</f>
        <v>Medium</v>
      </c>
    </row>
    <row r="93" spans="1:23" ht="14" x14ac:dyDescent="0.2">
      <c r="A93" s="10" t="s">
        <v>217</v>
      </c>
      <c r="B93" s="11">
        <v>45361.977523148147</v>
      </c>
      <c r="C93" s="11">
        <v>45361.977523148147</v>
      </c>
      <c r="D93" s="11" t="str">
        <f>IF(Table1[[#This Row],[Duration of Campaign]]=0, "Ongoing","Completed")</f>
        <v>Ongoing</v>
      </c>
      <c r="E93" s="12">
        <f>Table1[[#This Row],[End Date]]-Table1[[#This Row],[Start Date]]</f>
        <v>0</v>
      </c>
      <c r="F93" s="13">
        <v>4168</v>
      </c>
      <c r="G93" s="14" t="s">
        <v>63</v>
      </c>
      <c r="H93" s="15">
        <v>2896</v>
      </c>
      <c r="I93" s="15">
        <v>440</v>
      </c>
      <c r="J93" s="15">
        <v>194</v>
      </c>
      <c r="K93" s="16">
        <v>12094</v>
      </c>
      <c r="L93" s="17">
        <f t="shared" si="5"/>
        <v>0.15193370165745856</v>
      </c>
      <c r="M93" s="17">
        <f t="shared" si="5"/>
        <v>0.44090909090909092</v>
      </c>
      <c r="N93" s="18">
        <f t="shared" si="6"/>
        <v>32.877272727272725</v>
      </c>
      <c r="O93" s="18">
        <f t="shared" si="7"/>
        <v>74.567010309278345</v>
      </c>
      <c r="P93" s="17">
        <f t="shared" si="8"/>
        <v>3.4707293666026873</v>
      </c>
      <c r="Q93" s="17">
        <f t="shared" si="9"/>
        <v>0.83602931010645654</v>
      </c>
      <c r="R93" s="10" t="s">
        <v>218</v>
      </c>
      <c r="S93" s="14" t="s">
        <v>34</v>
      </c>
      <c r="T93" s="14" t="s">
        <v>37</v>
      </c>
      <c r="U93" s="13">
        <v>14466</v>
      </c>
      <c r="V93" s="15">
        <v>1</v>
      </c>
      <c r="W93" s="9" t="str">
        <f>IF(Table1[[#This Row],[Satisfaction Rating]]&lt;2, "Low", IF(Table1[[#This Row],[Satisfaction Rating]]&lt;4, "Medium", "High"))</f>
        <v>Low</v>
      </c>
    </row>
    <row r="94" spans="1:23" ht="14" x14ac:dyDescent="0.2">
      <c r="A94" s="10" t="s">
        <v>219</v>
      </c>
      <c r="B94" s="11">
        <v>45045.036666666667</v>
      </c>
      <c r="C94" s="11">
        <v>45559.738310185188</v>
      </c>
      <c r="D94" s="11" t="str">
        <f>IF(Table1[[#This Row],[Duration of Campaign]]=0, "Ongoing","Completed")</f>
        <v>Completed</v>
      </c>
      <c r="E94" s="12">
        <f>Table1[[#This Row],[End Date]]-Table1[[#This Row],[Start Date]]</f>
        <v>514.70164351852145</v>
      </c>
      <c r="F94" s="13">
        <v>3110</v>
      </c>
      <c r="G94" s="14" t="s">
        <v>24</v>
      </c>
      <c r="H94" s="15">
        <v>19956</v>
      </c>
      <c r="I94" s="15">
        <v>694</v>
      </c>
      <c r="J94" s="15">
        <v>55</v>
      </c>
      <c r="K94" s="16">
        <v>13873</v>
      </c>
      <c r="L94" s="17">
        <f t="shared" si="5"/>
        <v>3.4776508318300259E-2</v>
      </c>
      <c r="M94" s="17">
        <f t="shared" si="5"/>
        <v>7.9250720461095103E-2</v>
      </c>
      <c r="N94" s="18">
        <f t="shared" si="6"/>
        <v>21.354466858789625</v>
      </c>
      <c r="O94" s="18">
        <f t="shared" si="7"/>
        <v>269.45454545454544</v>
      </c>
      <c r="P94" s="17">
        <f t="shared" si="8"/>
        <v>4.765273311897106</v>
      </c>
      <c r="Q94" s="17">
        <f t="shared" si="9"/>
        <v>0.93609986504723341</v>
      </c>
      <c r="R94" s="10" t="s">
        <v>220</v>
      </c>
      <c r="S94" s="14" t="s">
        <v>34</v>
      </c>
      <c r="T94" s="14" t="s">
        <v>55</v>
      </c>
      <c r="U94" s="13">
        <v>14820</v>
      </c>
      <c r="V94" s="15">
        <v>4</v>
      </c>
      <c r="W94" s="9" t="str">
        <f>IF(Table1[[#This Row],[Satisfaction Rating]]&lt;2, "Low", IF(Table1[[#This Row],[Satisfaction Rating]]&lt;4, "Medium", "High"))</f>
        <v>High</v>
      </c>
    </row>
    <row r="95" spans="1:23" ht="14" x14ac:dyDescent="0.2">
      <c r="A95" s="10" t="s">
        <v>221</v>
      </c>
      <c r="B95" s="11">
        <v>45429.520439814813</v>
      </c>
      <c r="C95" s="11">
        <v>45429.520439814813</v>
      </c>
      <c r="D95" s="11" t="str">
        <f>IF(Table1[[#This Row],[Duration of Campaign]]=0, "Ongoing","Completed")</f>
        <v>Ongoing</v>
      </c>
      <c r="E95" s="12">
        <f>Table1[[#This Row],[End Date]]-Table1[[#This Row],[Start Date]]</f>
        <v>0</v>
      </c>
      <c r="F95" s="13">
        <v>2041</v>
      </c>
      <c r="G95" s="14" t="s">
        <v>24</v>
      </c>
      <c r="H95" s="15">
        <v>12551</v>
      </c>
      <c r="I95" s="15">
        <v>1197</v>
      </c>
      <c r="J95" s="15">
        <v>334</v>
      </c>
      <c r="K95" s="16">
        <v>2031</v>
      </c>
      <c r="L95" s="17">
        <f t="shared" si="5"/>
        <v>9.5370886781929731E-2</v>
      </c>
      <c r="M95" s="17">
        <f t="shared" si="5"/>
        <v>0.27903091060985796</v>
      </c>
      <c r="N95" s="18">
        <f t="shared" si="6"/>
        <v>13.487050960735171</v>
      </c>
      <c r="O95" s="18">
        <f t="shared" si="7"/>
        <v>48.335329341317369</v>
      </c>
      <c r="P95" s="17">
        <f t="shared" si="8"/>
        <v>7.9098481136697698</v>
      </c>
      <c r="Q95" s="17">
        <f t="shared" si="9"/>
        <v>0.12580525272547077</v>
      </c>
      <c r="R95" s="10" t="s">
        <v>222</v>
      </c>
      <c r="S95" s="14" t="s">
        <v>40</v>
      </c>
      <c r="T95" s="14" t="s">
        <v>27</v>
      </c>
      <c r="U95" s="13">
        <v>16144</v>
      </c>
      <c r="V95" s="15">
        <v>2</v>
      </c>
      <c r="W95" s="9" t="str">
        <f>IF(Table1[[#This Row],[Satisfaction Rating]]&lt;2, "Low", IF(Table1[[#This Row],[Satisfaction Rating]]&lt;4, "Medium", "High"))</f>
        <v>Medium</v>
      </c>
    </row>
    <row r="96" spans="1:23" ht="14" x14ac:dyDescent="0.2">
      <c r="A96" s="10" t="s">
        <v>223</v>
      </c>
      <c r="B96" s="11">
        <v>45483.328414351854</v>
      </c>
      <c r="C96" s="11">
        <v>45539.421261574076</v>
      </c>
      <c r="D96" s="11" t="str">
        <f>IF(Table1[[#This Row],[Duration of Campaign]]=0, "Ongoing","Completed")</f>
        <v>Completed</v>
      </c>
      <c r="E96" s="12">
        <f>Table1[[#This Row],[End Date]]-Table1[[#This Row],[Start Date]]</f>
        <v>56.09284722222219</v>
      </c>
      <c r="F96" s="13">
        <v>9620</v>
      </c>
      <c r="G96" s="14" t="s">
        <v>47</v>
      </c>
      <c r="H96" s="15">
        <v>7844</v>
      </c>
      <c r="I96" s="15">
        <v>1705</v>
      </c>
      <c r="J96" s="15">
        <v>164</v>
      </c>
      <c r="K96" s="16">
        <v>12548</v>
      </c>
      <c r="L96" s="17">
        <f t="shared" si="5"/>
        <v>0.21736359000509944</v>
      </c>
      <c r="M96" s="17">
        <f t="shared" si="5"/>
        <v>9.6187683284457481E-2</v>
      </c>
      <c r="N96" s="18">
        <f t="shared" si="6"/>
        <v>8.8076246334310859</v>
      </c>
      <c r="O96" s="18">
        <f t="shared" si="7"/>
        <v>91.567073170731703</v>
      </c>
      <c r="P96" s="17">
        <f t="shared" si="8"/>
        <v>1.561018711018711</v>
      </c>
      <c r="Q96" s="17">
        <f t="shared" si="9"/>
        <v>0.83558633548644867</v>
      </c>
      <c r="R96" s="10" t="s">
        <v>224</v>
      </c>
      <c r="S96" s="14" t="s">
        <v>26</v>
      </c>
      <c r="T96" s="14" t="s">
        <v>55</v>
      </c>
      <c r="U96" s="13">
        <v>15017</v>
      </c>
      <c r="V96" s="15">
        <v>3</v>
      </c>
      <c r="W96" s="9" t="str">
        <f>IF(Table1[[#This Row],[Satisfaction Rating]]&lt;2, "Low", IF(Table1[[#This Row],[Satisfaction Rating]]&lt;4, "Medium", "High"))</f>
        <v>Medium</v>
      </c>
    </row>
    <row r="97" spans="1:23" ht="14" x14ac:dyDescent="0.2">
      <c r="A97" s="10" t="s">
        <v>225</v>
      </c>
      <c r="B97" s="11">
        <v>45002.792141203703</v>
      </c>
      <c r="C97" s="11">
        <v>45482.721296296295</v>
      </c>
      <c r="D97" s="11" t="str">
        <f>IF(Table1[[#This Row],[Duration of Campaign]]=0, "Ongoing","Completed")</f>
        <v>Completed</v>
      </c>
      <c r="E97" s="12">
        <f>Table1[[#This Row],[End Date]]-Table1[[#This Row],[Start Date]]</f>
        <v>479.92915509259183</v>
      </c>
      <c r="F97" s="13">
        <v>9793</v>
      </c>
      <c r="G97" s="14" t="s">
        <v>47</v>
      </c>
      <c r="H97" s="15">
        <v>14815</v>
      </c>
      <c r="I97" s="15">
        <v>923</v>
      </c>
      <c r="J97" s="15">
        <v>199</v>
      </c>
      <c r="K97" s="16">
        <v>10155</v>
      </c>
      <c r="L97" s="17">
        <f t="shared" si="5"/>
        <v>6.2301721228484645E-2</v>
      </c>
      <c r="M97" s="17">
        <f t="shared" si="5"/>
        <v>0.21560130010834236</v>
      </c>
      <c r="N97" s="18">
        <f t="shared" si="6"/>
        <v>19.722643553629471</v>
      </c>
      <c r="O97" s="18">
        <f t="shared" si="7"/>
        <v>91.477386934673362</v>
      </c>
      <c r="P97" s="17">
        <f t="shared" si="8"/>
        <v>1.8588787909731441</v>
      </c>
      <c r="Q97" s="17">
        <f t="shared" si="9"/>
        <v>0.5578444297956493</v>
      </c>
      <c r="R97" s="10" t="s">
        <v>226</v>
      </c>
      <c r="S97" s="14" t="s">
        <v>40</v>
      </c>
      <c r="T97" s="14" t="s">
        <v>27</v>
      </c>
      <c r="U97" s="13">
        <v>18204</v>
      </c>
      <c r="V97" s="15">
        <v>5</v>
      </c>
      <c r="W97" s="9" t="str">
        <f>IF(Table1[[#This Row],[Satisfaction Rating]]&lt;2, "Low", IF(Table1[[#This Row],[Satisfaction Rating]]&lt;4, "Medium", "High"))</f>
        <v>High</v>
      </c>
    </row>
    <row r="98" spans="1:23" ht="14" x14ac:dyDescent="0.2">
      <c r="A98" s="10" t="s">
        <v>227</v>
      </c>
      <c r="B98" s="11">
        <v>45147.665451388886</v>
      </c>
      <c r="C98" s="11">
        <v>45565.813287037039</v>
      </c>
      <c r="D98" s="11" t="str">
        <f>IF(Table1[[#This Row],[Duration of Campaign]]=0, "Ongoing","Completed")</f>
        <v>Completed</v>
      </c>
      <c r="E98" s="12">
        <f>Table1[[#This Row],[End Date]]-Table1[[#This Row],[Start Date]]</f>
        <v>418.14783564815298</v>
      </c>
      <c r="F98" s="13">
        <v>3959</v>
      </c>
      <c r="G98" s="14" t="s">
        <v>24</v>
      </c>
      <c r="H98" s="15">
        <v>19920</v>
      </c>
      <c r="I98" s="15">
        <v>1208</v>
      </c>
      <c r="J98" s="15">
        <v>162</v>
      </c>
      <c r="K98" s="16">
        <v>10600</v>
      </c>
      <c r="L98" s="17">
        <f t="shared" si="5"/>
        <v>6.0642570281124498E-2</v>
      </c>
      <c r="M98" s="17">
        <f t="shared" si="5"/>
        <v>0.13410596026490065</v>
      </c>
      <c r="N98" s="18">
        <f t="shared" si="6"/>
        <v>2.3543046357615895</v>
      </c>
      <c r="O98" s="18">
        <f t="shared" si="7"/>
        <v>17.555555555555557</v>
      </c>
      <c r="P98" s="17">
        <f t="shared" si="8"/>
        <v>0.71836322303612021</v>
      </c>
      <c r="Q98" s="17">
        <f t="shared" si="9"/>
        <v>3.7271448663853728</v>
      </c>
      <c r="R98" s="10" t="s">
        <v>228</v>
      </c>
      <c r="S98" s="14" t="s">
        <v>26</v>
      </c>
      <c r="T98" s="14" t="s">
        <v>27</v>
      </c>
      <c r="U98" s="13">
        <v>2844</v>
      </c>
      <c r="V98" s="15">
        <v>5</v>
      </c>
      <c r="W98" s="9" t="str">
        <f>IF(Table1[[#This Row],[Satisfaction Rating]]&lt;2, "Low", IF(Table1[[#This Row],[Satisfaction Rating]]&lt;4, "Medium", "High"))</f>
        <v>High</v>
      </c>
    </row>
    <row r="99" spans="1:23" ht="14" x14ac:dyDescent="0.2">
      <c r="A99" s="10" t="s">
        <v>229</v>
      </c>
      <c r="B99" s="11">
        <v>45275.597928240742</v>
      </c>
      <c r="C99" s="11">
        <v>45390.749756944446</v>
      </c>
      <c r="D99" s="11" t="str">
        <f>IF(Table1[[#This Row],[Duration of Campaign]]=0, "Ongoing","Completed")</f>
        <v>Completed</v>
      </c>
      <c r="E99" s="12">
        <f>Table1[[#This Row],[End Date]]-Table1[[#This Row],[Start Date]]</f>
        <v>115.15182870370336</v>
      </c>
      <c r="F99" s="13">
        <v>8779</v>
      </c>
      <c r="G99" s="14" t="s">
        <v>29</v>
      </c>
      <c r="H99" s="15">
        <v>9421</v>
      </c>
      <c r="I99" s="15">
        <v>132</v>
      </c>
      <c r="J99" s="15">
        <v>241</v>
      </c>
      <c r="K99" s="16">
        <v>11863</v>
      </c>
      <c r="L99" s="17">
        <f t="shared" si="5"/>
        <v>1.401125145950536E-2</v>
      </c>
      <c r="M99" s="17">
        <f t="shared" si="5"/>
        <v>1.8257575757575757</v>
      </c>
      <c r="N99" s="18">
        <f t="shared" si="6"/>
        <v>85.25</v>
      </c>
      <c r="O99" s="18">
        <f t="shared" si="7"/>
        <v>46.692946058091287</v>
      </c>
      <c r="P99" s="17">
        <f t="shared" si="8"/>
        <v>1.2818088620571819</v>
      </c>
      <c r="Q99" s="17">
        <f t="shared" si="9"/>
        <v>1.0542077668177374</v>
      </c>
      <c r="R99" s="10" t="s">
        <v>230</v>
      </c>
      <c r="S99" s="14" t="s">
        <v>26</v>
      </c>
      <c r="T99" s="14" t="s">
        <v>55</v>
      </c>
      <c r="U99" s="13">
        <v>11253</v>
      </c>
      <c r="V99" s="15">
        <v>2</v>
      </c>
      <c r="W99" s="9" t="str">
        <f>IF(Table1[[#This Row],[Satisfaction Rating]]&lt;2, "Low", IF(Table1[[#This Row],[Satisfaction Rating]]&lt;4, "Medium", "High"))</f>
        <v>Medium</v>
      </c>
    </row>
    <row r="100" spans="1:23" ht="14" x14ac:dyDescent="0.2">
      <c r="A100" s="10" t="s">
        <v>231</v>
      </c>
      <c r="B100" s="11">
        <v>45129.175925925927</v>
      </c>
      <c r="C100" s="11">
        <v>45129.175925925927</v>
      </c>
      <c r="D100" s="11" t="str">
        <f>IF(Table1[[#This Row],[Duration of Campaign]]=0, "Ongoing","Completed")</f>
        <v>Ongoing</v>
      </c>
      <c r="E100" s="12">
        <f>Table1[[#This Row],[End Date]]-Table1[[#This Row],[Start Date]]</f>
        <v>0</v>
      </c>
      <c r="F100" s="13">
        <v>6556</v>
      </c>
      <c r="G100" s="14" t="s">
        <v>24</v>
      </c>
      <c r="H100" s="15">
        <v>1519</v>
      </c>
      <c r="I100" s="15">
        <v>1821</v>
      </c>
      <c r="J100" s="15">
        <v>348</v>
      </c>
      <c r="K100" s="16">
        <v>2838</v>
      </c>
      <c r="L100" s="17">
        <f t="shared" si="5"/>
        <v>1.1988150098749177</v>
      </c>
      <c r="M100" s="17">
        <f t="shared" si="5"/>
        <v>0.19110378912685339</v>
      </c>
      <c r="N100" s="18">
        <f t="shared" si="6"/>
        <v>4.5299286106534868</v>
      </c>
      <c r="O100" s="18">
        <f t="shared" si="7"/>
        <v>23.704022988505749</v>
      </c>
      <c r="P100" s="17">
        <f t="shared" si="8"/>
        <v>1.2582367297132397</v>
      </c>
      <c r="Q100" s="17">
        <f t="shared" si="9"/>
        <v>0.34404170202448781</v>
      </c>
      <c r="R100" s="10" t="s">
        <v>232</v>
      </c>
      <c r="S100" s="14" t="s">
        <v>45</v>
      </c>
      <c r="T100" s="14" t="s">
        <v>55</v>
      </c>
      <c r="U100" s="13">
        <v>8249</v>
      </c>
      <c r="V100" s="15">
        <v>5</v>
      </c>
      <c r="W100" s="9" t="str">
        <f>IF(Table1[[#This Row],[Satisfaction Rating]]&lt;2, "Low", IF(Table1[[#This Row],[Satisfaction Rating]]&lt;4, "Medium", "High"))</f>
        <v>High</v>
      </c>
    </row>
    <row r="101" spans="1:23" ht="14" x14ac:dyDescent="0.2">
      <c r="A101" s="10" t="s">
        <v>233</v>
      </c>
      <c r="B101" s="11">
        <v>45515.769687499997</v>
      </c>
      <c r="C101" s="11">
        <v>45515.769687499997</v>
      </c>
      <c r="D101" s="11" t="str">
        <f>IF(Table1[[#This Row],[Duration of Campaign]]=0, "Ongoing","Completed")</f>
        <v>Ongoing</v>
      </c>
      <c r="E101" s="12">
        <f>Table1[[#This Row],[End Date]]-Table1[[#This Row],[Start Date]]</f>
        <v>0</v>
      </c>
      <c r="F101" s="13">
        <v>9385</v>
      </c>
      <c r="G101" s="14" t="s">
        <v>63</v>
      </c>
      <c r="H101" s="15">
        <v>8723</v>
      </c>
      <c r="I101" s="15">
        <v>1107</v>
      </c>
      <c r="J101" s="15">
        <v>342</v>
      </c>
      <c r="K101" s="16">
        <v>2313</v>
      </c>
      <c r="L101" s="17">
        <f t="shared" si="5"/>
        <v>0.12690588100424166</v>
      </c>
      <c r="M101" s="17">
        <f t="shared" si="5"/>
        <v>0.30894308943089432</v>
      </c>
      <c r="N101" s="18">
        <f t="shared" si="6"/>
        <v>9.3911472448057811</v>
      </c>
      <c r="O101" s="18">
        <f t="shared" si="7"/>
        <v>30.397660818713451</v>
      </c>
      <c r="P101" s="17">
        <f t="shared" si="8"/>
        <v>1.1077250932338838</v>
      </c>
      <c r="Q101" s="17">
        <f t="shared" si="9"/>
        <v>0.22248941900731051</v>
      </c>
      <c r="R101" s="10" t="s">
        <v>234</v>
      </c>
      <c r="S101" s="14" t="s">
        <v>26</v>
      </c>
      <c r="T101" s="14" t="s">
        <v>55</v>
      </c>
      <c r="U101" s="13">
        <v>10396</v>
      </c>
      <c r="V101" s="15">
        <v>4</v>
      </c>
      <c r="W101" s="9" t="str">
        <f>IF(Table1[[#This Row],[Satisfaction Rating]]&lt;2, "Low", IF(Table1[[#This Row],[Satisfaction Rating]]&lt;4, "Medium", "High"))</f>
        <v>High</v>
      </c>
    </row>
    <row r="102" spans="1:23" ht="14" x14ac:dyDescent="0.2">
      <c r="A102" s="10" t="s">
        <v>235</v>
      </c>
      <c r="B102" s="11">
        <v>45203.109837962962</v>
      </c>
      <c r="C102" s="11">
        <v>45203.109837962962</v>
      </c>
      <c r="D102" s="11" t="str">
        <f>IF(Table1[[#This Row],[Duration of Campaign]]=0, "Ongoing","Completed")</f>
        <v>Ongoing</v>
      </c>
      <c r="E102" s="12">
        <f>Table1[[#This Row],[End Date]]-Table1[[#This Row],[Start Date]]</f>
        <v>0</v>
      </c>
      <c r="F102" s="13">
        <v>5686</v>
      </c>
      <c r="G102" s="14" t="s">
        <v>24</v>
      </c>
      <c r="H102" s="15">
        <v>14864</v>
      </c>
      <c r="I102" s="15">
        <v>581</v>
      </c>
      <c r="J102" s="15">
        <v>391</v>
      </c>
      <c r="K102" s="16">
        <v>6576</v>
      </c>
      <c r="L102" s="17">
        <f t="shared" si="5"/>
        <v>3.9087728740581272E-2</v>
      </c>
      <c r="M102" s="17">
        <f t="shared" si="5"/>
        <v>0.67297762478485368</v>
      </c>
      <c r="N102" s="18">
        <f t="shared" si="6"/>
        <v>19.542168674698797</v>
      </c>
      <c r="O102" s="18">
        <f t="shared" si="7"/>
        <v>29.038363171355499</v>
      </c>
      <c r="P102" s="17">
        <f t="shared" si="8"/>
        <v>1.9968343299331692</v>
      </c>
      <c r="Q102" s="17">
        <f t="shared" si="9"/>
        <v>0.57917914391403913</v>
      </c>
      <c r="R102" s="10" t="s">
        <v>236</v>
      </c>
      <c r="S102" s="14" t="s">
        <v>31</v>
      </c>
      <c r="T102" s="14" t="s">
        <v>55</v>
      </c>
      <c r="U102" s="13">
        <v>11354</v>
      </c>
      <c r="V102" s="15">
        <v>5</v>
      </c>
      <c r="W102" s="9" t="str">
        <f>IF(Table1[[#This Row],[Satisfaction Rating]]&lt;2, "Low", IF(Table1[[#This Row],[Satisfaction Rating]]&lt;4, "Medium", "High"))</f>
        <v>High</v>
      </c>
    </row>
    <row r="103" spans="1:23" ht="14" x14ac:dyDescent="0.2">
      <c r="A103" s="10" t="s">
        <v>237</v>
      </c>
      <c r="B103" s="11">
        <v>45387.593692129631</v>
      </c>
      <c r="C103" s="11">
        <v>45549.080729166664</v>
      </c>
      <c r="D103" s="11" t="str">
        <f>IF(Table1[[#This Row],[Duration of Campaign]]=0, "Ongoing","Completed")</f>
        <v>Completed</v>
      </c>
      <c r="E103" s="12">
        <f>Table1[[#This Row],[End Date]]-Table1[[#This Row],[Start Date]]</f>
        <v>161.48703703703359</v>
      </c>
      <c r="F103" s="13">
        <v>9511</v>
      </c>
      <c r="G103" s="14" t="s">
        <v>29</v>
      </c>
      <c r="H103" s="15">
        <v>13556</v>
      </c>
      <c r="I103" s="15">
        <v>1528</v>
      </c>
      <c r="J103" s="15">
        <v>420</v>
      </c>
      <c r="K103" s="16">
        <v>13463</v>
      </c>
      <c r="L103" s="17">
        <f t="shared" si="5"/>
        <v>0.11271761581587489</v>
      </c>
      <c r="M103" s="17">
        <f t="shared" si="5"/>
        <v>0.27486910994764396</v>
      </c>
      <c r="N103" s="18">
        <f t="shared" si="6"/>
        <v>1.7859947643979057</v>
      </c>
      <c r="O103" s="18">
        <f t="shared" si="7"/>
        <v>6.4976190476190476</v>
      </c>
      <c r="P103" s="17">
        <f t="shared" si="8"/>
        <v>0.28693092209021132</v>
      </c>
      <c r="Q103" s="17">
        <f t="shared" si="9"/>
        <v>4.9333089043605716</v>
      </c>
      <c r="R103" s="10" t="s">
        <v>238</v>
      </c>
      <c r="S103" s="14" t="s">
        <v>34</v>
      </c>
      <c r="T103" s="14" t="s">
        <v>27</v>
      </c>
      <c r="U103" s="13">
        <v>2729</v>
      </c>
      <c r="V103" s="15">
        <v>1</v>
      </c>
      <c r="W103" s="9" t="str">
        <f>IF(Table1[[#This Row],[Satisfaction Rating]]&lt;2, "Low", IF(Table1[[#This Row],[Satisfaction Rating]]&lt;4, "Medium", "High"))</f>
        <v>Low</v>
      </c>
    </row>
    <row r="104" spans="1:23" ht="14" x14ac:dyDescent="0.2">
      <c r="A104" s="10" t="s">
        <v>239</v>
      </c>
      <c r="B104" s="11">
        <v>45289.241979166669</v>
      </c>
      <c r="C104" s="11">
        <v>45289.241979166669</v>
      </c>
      <c r="D104" s="11" t="str">
        <f>IF(Table1[[#This Row],[Duration of Campaign]]=0, "Ongoing","Completed")</f>
        <v>Ongoing</v>
      </c>
      <c r="E104" s="12">
        <f>Table1[[#This Row],[End Date]]-Table1[[#This Row],[Start Date]]</f>
        <v>0</v>
      </c>
      <c r="F104" s="13">
        <v>1673</v>
      </c>
      <c r="G104" s="14" t="s">
        <v>63</v>
      </c>
      <c r="H104" s="15">
        <v>3765</v>
      </c>
      <c r="I104" s="15">
        <v>1775</v>
      </c>
      <c r="J104" s="15">
        <v>324</v>
      </c>
      <c r="K104" s="16">
        <v>509</v>
      </c>
      <c r="L104" s="17">
        <f t="shared" si="5"/>
        <v>0.4714475431606906</v>
      </c>
      <c r="M104" s="17">
        <f t="shared" si="5"/>
        <v>0.18253521126760563</v>
      </c>
      <c r="N104" s="18">
        <f t="shared" si="6"/>
        <v>0.75380281690140849</v>
      </c>
      <c r="O104" s="18">
        <f t="shared" si="7"/>
        <v>4.1296296296296298</v>
      </c>
      <c r="P104" s="17">
        <f t="shared" si="8"/>
        <v>0.79976090854751947</v>
      </c>
      <c r="Q104" s="17">
        <f t="shared" si="9"/>
        <v>0.38041853512705531</v>
      </c>
      <c r="R104" s="10" t="s">
        <v>240</v>
      </c>
      <c r="S104" s="14" t="s">
        <v>31</v>
      </c>
      <c r="T104" s="14" t="s">
        <v>27</v>
      </c>
      <c r="U104" s="13">
        <v>1338</v>
      </c>
      <c r="V104" s="15">
        <v>4</v>
      </c>
      <c r="W104" s="9" t="str">
        <f>IF(Table1[[#This Row],[Satisfaction Rating]]&lt;2, "Low", IF(Table1[[#This Row],[Satisfaction Rating]]&lt;4, "Medium", "High"))</f>
        <v>High</v>
      </c>
    </row>
    <row r="105" spans="1:23" ht="14" x14ac:dyDescent="0.2">
      <c r="A105" s="10" t="s">
        <v>241</v>
      </c>
      <c r="B105" s="11">
        <v>44960.869872685187</v>
      </c>
      <c r="C105" s="11">
        <v>45322.864560185182</v>
      </c>
      <c r="D105" s="11" t="str">
        <f>IF(Table1[[#This Row],[Duration of Campaign]]=0, "Ongoing","Completed")</f>
        <v>Completed</v>
      </c>
      <c r="E105" s="12">
        <f>Table1[[#This Row],[End Date]]-Table1[[#This Row],[Start Date]]</f>
        <v>361.99468749999505</v>
      </c>
      <c r="F105" s="13">
        <v>1030</v>
      </c>
      <c r="G105" s="14" t="s">
        <v>24</v>
      </c>
      <c r="H105" s="15">
        <v>8079</v>
      </c>
      <c r="I105" s="15">
        <v>1030</v>
      </c>
      <c r="J105" s="15">
        <v>450</v>
      </c>
      <c r="K105" s="16">
        <v>7476</v>
      </c>
      <c r="L105" s="17">
        <f t="shared" si="5"/>
        <v>0.1274910261170937</v>
      </c>
      <c r="M105" s="17">
        <f t="shared" si="5"/>
        <v>0.43689320388349512</v>
      </c>
      <c r="N105" s="18">
        <f t="shared" si="6"/>
        <v>18.99514563106796</v>
      </c>
      <c r="O105" s="18">
        <f t="shared" si="7"/>
        <v>43.477777777777774</v>
      </c>
      <c r="P105" s="17">
        <f t="shared" si="8"/>
        <v>18.99514563106796</v>
      </c>
      <c r="Q105" s="17">
        <f t="shared" si="9"/>
        <v>0.3821109123434705</v>
      </c>
      <c r="R105" s="10" t="s">
        <v>242</v>
      </c>
      <c r="S105" s="14" t="s">
        <v>45</v>
      </c>
      <c r="T105" s="14" t="s">
        <v>55</v>
      </c>
      <c r="U105" s="13">
        <v>19565</v>
      </c>
      <c r="V105" s="15">
        <v>1</v>
      </c>
      <c r="W105" s="9" t="str">
        <f>IF(Table1[[#This Row],[Satisfaction Rating]]&lt;2, "Low", IF(Table1[[#This Row],[Satisfaction Rating]]&lt;4, "Medium", "High"))</f>
        <v>Low</v>
      </c>
    </row>
    <row r="106" spans="1:23" ht="14" x14ac:dyDescent="0.2">
      <c r="A106" s="10" t="s">
        <v>243</v>
      </c>
      <c r="B106" s="11">
        <v>45227.906990740739</v>
      </c>
      <c r="C106" s="11">
        <v>45227.906990740739</v>
      </c>
      <c r="D106" s="11" t="str">
        <f>IF(Table1[[#This Row],[Duration of Campaign]]=0, "Ongoing","Completed")</f>
        <v>Ongoing</v>
      </c>
      <c r="E106" s="12">
        <f>Table1[[#This Row],[End Date]]-Table1[[#This Row],[Start Date]]</f>
        <v>0</v>
      </c>
      <c r="F106" s="13">
        <v>7138</v>
      </c>
      <c r="G106" s="14" t="s">
        <v>63</v>
      </c>
      <c r="H106" s="15">
        <v>15887</v>
      </c>
      <c r="I106" s="15">
        <v>360</v>
      </c>
      <c r="J106" s="15">
        <v>56</v>
      </c>
      <c r="K106" s="16">
        <v>7781</v>
      </c>
      <c r="L106" s="17">
        <f t="shared" si="5"/>
        <v>2.2660036507836597E-2</v>
      </c>
      <c r="M106" s="17">
        <f t="shared" si="5"/>
        <v>0.15555555555555556</v>
      </c>
      <c r="N106" s="18">
        <f t="shared" si="6"/>
        <v>27.722222222222221</v>
      </c>
      <c r="O106" s="18">
        <f t="shared" si="7"/>
        <v>178.21428571428572</v>
      </c>
      <c r="P106" s="17">
        <f t="shared" si="8"/>
        <v>1.3981507425049033</v>
      </c>
      <c r="Q106" s="17">
        <f t="shared" si="9"/>
        <v>0.77965931863727456</v>
      </c>
      <c r="R106" s="10" t="s">
        <v>244</v>
      </c>
      <c r="S106" s="14" t="s">
        <v>45</v>
      </c>
      <c r="T106" s="14" t="s">
        <v>27</v>
      </c>
      <c r="U106" s="13">
        <v>9980</v>
      </c>
      <c r="V106" s="15">
        <v>1</v>
      </c>
      <c r="W106" s="9" t="str">
        <f>IF(Table1[[#This Row],[Satisfaction Rating]]&lt;2, "Low", IF(Table1[[#This Row],[Satisfaction Rating]]&lt;4, "Medium", "High"))</f>
        <v>Low</v>
      </c>
    </row>
    <row r="107" spans="1:23" ht="14" x14ac:dyDescent="0.2">
      <c r="A107" s="10" t="s">
        <v>245</v>
      </c>
      <c r="B107" s="11">
        <v>45153.808506944442</v>
      </c>
      <c r="C107" s="11">
        <v>45402.674687500003</v>
      </c>
      <c r="D107" s="11" t="str">
        <f>IF(Table1[[#This Row],[Duration of Campaign]]=0, "Ongoing","Completed")</f>
        <v>Completed</v>
      </c>
      <c r="E107" s="12">
        <f>Table1[[#This Row],[End Date]]-Table1[[#This Row],[Start Date]]</f>
        <v>248.86618055556028</v>
      </c>
      <c r="F107" s="13">
        <v>7079</v>
      </c>
      <c r="G107" s="14" t="s">
        <v>29</v>
      </c>
      <c r="H107" s="15">
        <v>12778</v>
      </c>
      <c r="I107" s="15">
        <v>467</v>
      </c>
      <c r="J107" s="15">
        <v>145</v>
      </c>
      <c r="K107" s="16">
        <v>4349</v>
      </c>
      <c r="L107" s="17">
        <f t="shared" si="5"/>
        <v>3.6547190483643764E-2</v>
      </c>
      <c r="M107" s="17">
        <f t="shared" si="5"/>
        <v>0.31049250535331907</v>
      </c>
      <c r="N107" s="18">
        <f t="shared" si="6"/>
        <v>20.907922912205567</v>
      </c>
      <c r="O107" s="18">
        <f t="shared" si="7"/>
        <v>67.337931034482764</v>
      </c>
      <c r="P107" s="17">
        <f t="shared" si="8"/>
        <v>1.3792908602910015</v>
      </c>
      <c r="Q107" s="17">
        <f t="shared" si="9"/>
        <v>0.44541171650962719</v>
      </c>
      <c r="R107" s="10" t="s">
        <v>246</v>
      </c>
      <c r="S107" s="14" t="s">
        <v>26</v>
      </c>
      <c r="T107" s="14" t="s">
        <v>27</v>
      </c>
      <c r="U107" s="13">
        <v>9764</v>
      </c>
      <c r="V107" s="15">
        <v>1</v>
      </c>
      <c r="W107" s="9" t="str">
        <f>IF(Table1[[#This Row],[Satisfaction Rating]]&lt;2, "Low", IF(Table1[[#This Row],[Satisfaction Rating]]&lt;4, "Medium", "High"))</f>
        <v>Low</v>
      </c>
    </row>
    <row r="108" spans="1:23" ht="14" x14ac:dyDescent="0.2">
      <c r="A108" s="10" t="s">
        <v>247</v>
      </c>
      <c r="B108" s="11">
        <v>45171.935659722221</v>
      </c>
      <c r="C108" s="11">
        <v>45215.05159722222</v>
      </c>
      <c r="D108" s="11" t="str">
        <f>IF(Table1[[#This Row],[Duration of Campaign]]=0, "Ongoing","Completed")</f>
        <v>Completed</v>
      </c>
      <c r="E108" s="12">
        <f>Table1[[#This Row],[End Date]]-Table1[[#This Row],[Start Date]]</f>
        <v>43.115937499998836</v>
      </c>
      <c r="F108" s="13">
        <v>6157</v>
      </c>
      <c r="G108" s="14" t="s">
        <v>29</v>
      </c>
      <c r="H108" s="15">
        <v>1673</v>
      </c>
      <c r="I108" s="15">
        <v>1777</v>
      </c>
      <c r="J108" s="15">
        <v>486</v>
      </c>
      <c r="K108" s="16">
        <v>7042</v>
      </c>
      <c r="L108" s="17">
        <f t="shared" si="5"/>
        <v>1.0621637776449493</v>
      </c>
      <c r="M108" s="17">
        <f t="shared" si="5"/>
        <v>0.27349465391108613</v>
      </c>
      <c r="N108" s="18">
        <f t="shared" si="6"/>
        <v>4.5047833427124369</v>
      </c>
      <c r="O108" s="18">
        <f t="shared" si="7"/>
        <v>16.47119341563786</v>
      </c>
      <c r="P108" s="17">
        <f t="shared" si="8"/>
        <v>1.3001461750852688</v>
      </c>
      <c r="Q108" s="17">
        <f t="shared" si="9"/>
        <v>0.87970018738288569</v>
      </c>
      <c r="R108" s="10" t="s">
        <v>248</v>
      </c>
      <c r="S108" s="14" t="s">
        <v>31</v>
      </c>
      <c r="T108" s="14" t="s">
        <v>55</v>
      </c>
      <c r="U108" s="13">
        <v>8005</v>
      </c>
      <c r="V108" s="15">
        <v>1</v>
      </c>
      <c r="W108" s="9" t="str">
        <f>IF(Table1[[#This Row],[Satisfaction Rating]]&lt;2, "Low", IF(Table1[[#This Row],[Satisfaction Rating]]&lt;4, "Medium", "High"))</f>
        <v>Low</v>
      </c>
    </row>
    <row r="109" spans="1:23" ht="14" x14ac:dyDescent="0.2">
      <c r="A109" s="10" t="s">
        <v>249</v>
      </c>
      <c r="B109" s="11">
        <v>45337.904490740744</v>
      </c>
      <c r="C109" s="11">
        <v>45375.868414351855</v>
      </c>
      <c r="D109" s="11" t="str">
        <f>IF(Table1[[#This Row],[Duration of Campaign]]=0, "Ongoing","Completed")</f>
        <v>Completed</v>
      </c>
      <c r="E109" s="12">
        <f>Table1[[#This Row],[End Date]]-Table1[[#This Row],[Start Date]]</f>
        <v>37.963923611110658</v>
      </c>
      <c r="F109" s="13">
        <v>5699</v>
      </c>
      <c r="G109" s="14" t="s">
        <v>29</v>
      </c>
      <c r="H109" s="15">
        <v>17622</v>
      </c>
      <c r="I109" s="15">
        <v>1319</v>
      </c>
      <c r="J109" s="15">
        <v>457</v>
      </c>
      <c r="K109" s="16">
        <v>968</v>
      </c>
      <c r="L109" s="17">
        <f t="shared" si="5"/>
        <v>7.4849619793440014E-2</v>
      </c>
      <c r="M109" s="17">
        <f t="shared" si="5"/>
        <v>0.34647460197119029</v>
      </c>
      <c r="N109" s="18">
        <f t="shared" si="6"/>
        <v>13.794541319181198</v>
      </c>
      <c r="O109" s="18">
        <f t="shared" si="7"/>
        <v>39.814004376367613</v>
      </c>
      <c r="P109" s="17">
        <f t="shared" si="8"/>
        <v>3.192665379891209</v>
      </c>
      <c r="Q109" s="17">
        <f t="shared" si="9"/>
        <v>5.3201428964001096E-2</v>
      </c>
      <c r="R109" s="10" t="s">
        <v>250</v>
      </c>
      <c r="S109" s="14" t="s">
        <v>40</v>
      </c>
      <c r="T109" s="14" t="s">
        <v>55</v>
      </c>
      <c r="U109" s="13">
        <v>18195</v>
      </c>
      <c r="V109" s="15">
        <v>3</v>
      </c>
      <c r="W109" s="9" t="str">
        <f>IF(Table1[[#This Row],[Satisfaction Rating]]&lt;2, "Low", IF(Table1[[#This Row],[Satisfaction Rating]]&lt;4, "Medium", "High"))</f>
        <v>Medium</v>
      </c>
    </row>
    <row r="110" spans="1:23" ht="14" x14ac:dyDescent="0.2">
      <c r="A110" s="10" t="s">
        <v>251</v>
      </c>
      <c r="B110" s="11">
        <v>45436.052361111113</v>
      </c>
      <c r="C110" s="11">
        <v>45436.052361111113</v>
      </c>
      <c r="D110" s="11" t="str">
        <f>IF(Table1[[#This Row],[Duration of Campaign]]=0, "Ongoing","Completed")</f>
        <v>Ongoing</v>
      </c>
      <c r="E110" s="12">
        <f>Table1[[#This Row],[End Date]]-Table1[[#This Row],[Start Date]]</f>
        <v>0</v>
      </c>
      <c r="F110" s="13">
        <v>3947</v>
      </c>
      <c r="G110" s="14" t="s">
        <v>29</v>
      </c>
      <c r="H110" s="15">
        <v>19587</v>
      </c>
      <c r="I110" s="15">
        <v>559</v>
      </c>
      <c r="J110" s="15">
        <v>165</v>
      </c>
      <c r="K110" s="16">
        <v>10061</v>
      </c>
      <c r="L110" s="17">
        <f t="shared" si="5"/>
        <v>2.8539337315566446E-2</v>
      </c>
      <c r="M110" s="17">
        <f t="shared" si="5"/>
        <v>0.29516994633273702</v>
      </c>
      <c r="N110" s="18">
        <f t="shared" si="6"/>
        <v>13.010733452593918</v>
      </c>
      <c r="O110" s="18">
        <f t="shared" si="7"/>
        <v>44.078787878787878</v>
      </c>
      <c r="P110" s="17">
        <f t="shared" si="8"/>
        <v>1.8426653154294401</v>
      </c>
      <c r="Q110" s="17">
        <f t="shared" si="9"/>
        <v>1.3833356249140658</v>
      </c>
      <c r="R110" s="10" t="s">
        <v>252</v>
      </c>
      <c r="S110" s="14" t="s">
        <v>34</v>
      </c>
      <c r="T110" s="14" t="s">
        <v>27</v>
      </c>
      <c r="U110" s="13">
        <v>7273</v>
      </c>
      <c r="V110" s="15">
        <v>3</v>
      </c>
      <c r="W110" s="9" t="str">
        <f>IF(Table1[[#This Row],[Satisfaction Rating]]&lt;2, "Low", IF(Table1[[#This Row],[Satisfaction Rating]]&lt;4, "Medium", "High"))</f>
        <v>Medium</v>
      </c>
    </row>
    <row r="111" spans="1:23" ht="14" x14ac:dyDescent="0.2">
      <c r="A111" s="10" t="s">
        <v>253</v>
      </c>
      <c r="B111" s="11">
        <v>45089.748229166667</v>
      </c>
      <c r="C111" s="11">
        <v>45101.690694444442</v>
      </c>
      <c r="D111" s="11" t="str">
        <f>IF(Table1[[#This Row],[Duration of Campaign]]=0, "Ongoing","Completed")</f>
        <v>Completed</v>
      </c>
      <c r="E111" s="12">
        <f>Table1[[#This Row],[End Date]]-Table1[[#This Row],[Start Date]]</f>
        <v>11.942465277774318</v>
      </c>
      <c r="F111" s="13">
        <v>6938</v>
      </c>
      <c r="G111" s="14" t="s">
        <v>29</v>
      </c>
      <c r="H111" s="15">
        <v>18649</v>
      </c>
      <c r="I111" s="15">
        <v>433</v>
      </c>
      <c r="J111" s="15">
        <v>107</v>
      </c>
      <c r="K111" s="16">
        <v>5910</v>
      </c>
      <c r="L111" s="17">
        <f t="shared" si="5"/>
        <v>2.3218403131535201E-2</v>
      </c>
      <c r="M111" s="17">
        <f t="shared" si="5"/>
        <v>0.24711316397228639</v>
      </c>
      <c r="N111" s="18">
        <f t="shared" si="6"/>
        <v>3.840646651270208</v>
      </c>
      <c r="O111" s="18">
        <f t="shared" si="7"/>
        <v>15.542056074766355</v>
      </c>
      <c r="P111" s="17">
        <f t="shared" si="8"/>
        <v>0.23969443643701355</v>
      </c>
      <c r="Q111" s="17">
        <f t="shared" si="9"/>
        <v>3.5538184004810582</v>
      </c>
      <c r="R111" s="10" t="s">
        <v>254</v>
      </c>
      <c r="S111" s="14" t="s">
        <v>45</v>
      </c>
      <c r="T111" s="14" t="s">
        <v>37</v>
      </c>
      <c r="U111" s="13">
        <v>1663</v>
      </c>
      <c r="V111" s="15">
        <v>3</v>
      </c>
      <c r="W111" s="9" t="str">
        <f>IF(Table1[[#This Row],[Satisfaction Rating]]&lt;2, "Low", IF(Table1[[#This Row],[Satisfaction Rating]]&lt;4, "Medium", "High"))</f>
        <v>Medium</v>
      </c>
    </row>
    <row r="112" spans="1:23" ht="14" x14ac:dyDescent="0.2">
      <c r="A112" s="10" t="s">
        <v>255</v>
      </c>
      <c r="B112" s="11">
        <v>44930.652037037034</v>
      </c>
      <c r="C112" s="11">
        <v>45367.261793981481</v>
      </c>
      <c r="D112" s="11" t="str">
        <f>IF(Table1[[#This Row],[Duration of Campaign]]=0, "Ongoing","Completed")</f>
        <v>Completed</v>
      </c>
      <c r="E112" s="12">
        <f>Table1[[#This Row],[End Date]]-Table1[[#This Row],[Start Date]]</f>
        <v>436.60975694444642</v>
      </c>
      <c r="F112" s="13">
        <v>4643</v>
      </c>
      <c r="G112" s="14" t="s">
        <v>63</v>
      </c>
      <c r="H112" s="15">
        <v>2903</v>
      </c>
      <c r="I112" s="15">
        <v>849</v>
      </c>
      <c r="J112" s="15">
        <v>267</v>
      </c>
      <c r="K112" s="16">
        <v>895</v>
      </c>
      <c r="L112" s="17">
        <f t="shared" si="5"/>
        <v>0.29245607991732692</v>
      </c>
      <c r="M112" s="17">
        <f t="shared" si="5"/>
        <v>0.31448763250883394</v>
      </c>
      <c r="N112" s="18">
        <f t="shared" si="6"/>
        <v>9.0129564193168434</v>
      </c>
      <c r="O112" s="18">
        <f t="shared" si="7"/>
        <v>28.659176029962548</v>
      </c>
      <c r="P112" s="17">
        <f t="shared" si="8"/>
        <v>1.6480723670040922</v>
      </c>
      <c r="Q112" s="17">
        <f t="shared" si="9"/>
        <v>0.11696288552012546</v>
      </c>
      <c r="R112" s="10" t="s">
        <v>256</v>
      </c>
      <c r="S112" s="14" t="s">
        <v>26</v>
      </c>
      <c r="T112" s="14" t="s">
        <v>55</v>
      </c>
      <c r="U112" s="13">
        <v>7652</v>
      </c>
      <c r="V112" s="15">
        <v>5</v>
      </c>
      <c r="W112" s="9" t="str">
        <f>IF(Table1[[#This Row],[Satisfaction Rating]]&lt;2, "Low", IF(Table1[[#This Row],[Satisfaction Rating]]&lt;4, "Medium", "High"))</f>
        <v>High</v>
      </c>
    </row>
    <row r="113" spans="1:23" ht="14" x14ac:dyDescent="0.2">
      <c r="A113" s="10" t="s">
        <v>257</v>
      </c>
      <c r="B113" s="11">
        <v>45022.763240740744</v>
      </c>
      <c r="C113" s="11">
        <v>45414.987337962964</v>
      </c>
      <c r="D113" s="11" t="str">
        <f>IF(Table1[[#This Row],[Duration of Campaign]]=0, "Ongoing","Completed")</f>
        <v>Completed</v>
      </c>
      <c r="E113" s="12">
        <f>Table1[[#This Row],[End Date]]-Table1[[#This Row],[Start Date]]</f>
        <v>392.22409722222073</v>
      </c>
      <c r="F113" s="13">
        <v>1129</v>
      </c>
      <c r="G113" s="14" t="s">
        <v>63</v>
      </c>
      <c r="H113" s="15">
        <v>19332</v>
      </c>
      <c r="I113" s="15">
        <v>1492</v>
      </c>
      <c r="J113" s="15">
        <v>474</v>
      </c>
      <c r="K113" s="16">
        <v>14557</v>
      </c>
      <c r="L113" s="17">
        <f t="shared" si="5"/>
        <v>7.7177736395613497E-2</v>
      </c>
      <c r="M113" s="17">
        <f t="shared" si="5"/>
        <v>0.31769436997319034</v>
      </c>
      <c r="N113" s="18">
        <f t="shared" si="6"/>
        <v>1.0650134048257374</v>
      </c>
      <c r="O113" s="18">
        <f t="shared" si="7"/>
        <v>3.352320675105485</v>
      </c>
      <c r="P113" s="17">
        <f t="shared" si="8"/>
        <v>1.4074402125775023</v>
      </c>
      <c r="Q113" s="17">
        <f t="shared" si="9"/>
        <v>9.1611076148521082</v>
      </c>
      <c r="R113" s="10" t="s">
        <v>258</v>
      </c>
      <c r="S113" s="14" t="s">
        <v>40</v>
      </c>
      <c r="T113" s="14" t="s">
        <v>55</v>
      </c>
      <c r="U113" s="13">
        <v>1589</v>
      </c>
      <c r="V113" s="15">
        <v>1</v>
      </c>
      <c r="W113" s="9" t="str">
        <f>IF(Table1[[#This Row],[Satisfaction Rating]]&lt;2, "Low", IF(Table1[[#This Row],[Satisfaction Rating]]&lt;4, "Medium", "High"))</f>
        <v>Low</v>
      </c>
    </row>
    <row r="114" spans="1:23" ht="14" x14ac:dyDescent="0.2">
      <c r="A114" s="10" t="s">
        <v>259</v>
      </c>
      <c r="B114" s="11">
        <v>45575.970324074071</v>
      </c>
      <c r="C114" s="11">
        <v>45575.970324074071</v>
      </c>
      <c r="D114" s="11" t="str">
        <f>IF(Table1[[#This Row],[Duration of Campaign]]=0, "Ongoing","Completed")</f>
        <v>Ongoing</v>
      </c>
      <c r="E114" s="12">
        <f>Table1[[#This Row],[End Date]]-Table1[[#This Row],[Start Date]]</f>
        <v>0</v>
      </c>
      <c r="F114" s="13">
        <v>8949</v>
      </c>
      <c r="G114" s="14" t="s">
        <v>29</v>
      </c>
      <c r="H114" s="15">
        <v>13335</v>
      </c>
      <c r="I114" s="15">
        <v>1387</v>
      </c>
      <c r="J114" s="15">
        <v>248</v>
      </c>
      <c r="K114" s="16">
        <v>10563</v>
      </c>
      <c r="L114" s="17">
        <f t="shared" si="5"/>
        <v>0.10401199850018748</v>
      </c>
      <c r="M114" s="17">
        <f t="shared" si="5"/>
        <v>0.1788031723143475</v>
      </c>
      <c r="N114" s="18">
        <f t="shared" si="6"/>
        <v>10.996395097332371</v>
      </c>
      <c r="O114" s="18">
        <f t="shared" si="7"/>
        <v>61.5</v>
      </c>
      <c r="P114" s="17">
        <f t="shared" si="8"/>
        <v>1.7043245055313443</v>
      </c>
      <c r="Q114" s="17">
        <f t="shared" si="9"/>
        <v>0.69256490952006289</v>
      </c>
      <c r="R114" s="10" t="s">
        <v>260</v>
      </c>
      <c r="S114" s="14" t="s">
        <v>26</v>
      </c>
      <c r="T114" s="14" t="s">
        <v>55</v>
      </c>
      <c r="U114" s="13">
        <v>15252</v>
      </c>
      <c r="V114" s="15">
        <v>2</v>
      </c>
      <c r="W114" s="9" t="str">
        <f>IF(Table1[[#This Row],[Satisfaction Rating]]&lt;2, "Low", IF(Table1[[#This Row],[Satisfaction Rating]]&lt;4, "Medium", "High"))</f>
        <v>Medium</v>
      </c>
    </row>
    <row r="115" spans="1:23" ht="14" x14ac:dyDescent="0.2">
      <c r="A115" s="10" t="s">
        <v>261</v>
      </c>
      <c r="B115" s="11">
        <v>45488.686620370368</v>
      </c>
      <c r="C115" s="11">
        <v>45512.040081018517</v>
      </c>
      <c r="D115" s="11" t="str">
        <f>IF(Table1[[#This Row],[Duration of Campaign]]=0, "Ongoing","Completed")</f>
        <v>Completed</v>
      </c>
      <c r="E115" s="12">
        <f>Table1[[#This Row],[End Date]]-Table1[[#This Row],[Start Date]]</f>
        <v>23.35346064814803</v>
      </c>
      <c r="F115" s="13">
        <v>4333</v>
      </c>
      <c r="G115" s="14" t="s">
        <v>47</v>
      </c>
      <c r="H115" s="15">
        <v>16679</v>
      </c>
      <c r="I115" s="15">
        <v>1663</v>
      </c>
      <c r="J115" s="15">
        <v>249</v>
      </c>
      <c r="K115" s="16">
        <v>7461</v>
      </c>
      <c r="L115" s="17">
        <f t="shared" si="5"/>
        <v>9.970621739912465E-2</v>
      </c>
      <c r="M115" s="17">
        <f t="shared" si="5"/>
        <v>0.1497294046903187</v>
      </c>
      <c r="N115" s="18">
        <f t="shared" si="6"/>
        <v>5.2453397474443779</v>
      </c>
      <c r="O115" s="18">
        <f t="shared" si="7"/>
        <v>35.032128514056225</v>
      </c>
      <c r="P115" s="17">
        <f t="shared" si="8"/>
        <v>2.013154858066005</v>
      </c>
      <c r="Q115" s="17">
        <f t="shared" si="9"/>
        <v>0.85532500286598645</v>
      </c>
      <c r="R115" s="10" t="s">
        <v>262</v>
      </c>
      <c r="S115" s="14" t="s">
        <v>34</v>
      </c>
      <c r="T115" s="14" t="s">
        <v>27</v>
      </c>
      <c r="U115" s="13">
        <v>8723</v>
      </c>
      <c r="V115" s="15">
        <v>3</v>
      </c>
      <c r="W115" s="9" t="str">
        <f>IF(Table1[[#This Row],[Satisfaction Rating]]&lt;2, "Low", IF(Table1[[#This Row],[Satisfaction Rating]]&lt;4, "Medium", "High"))</f>
        <v>Medium</v>
      </c>
    </row>
    <row r="116" spans="1:23" ht="14" x14ac:dyDescent="0.2">
      <c r="A116" s="10" t="s">
        <v>263</v>
      </c>
      <c r="B116" s="11">
        <v>45542.50440972222</v>
      </c>
      <c r="C116" s="11">
        <v>45542.50440972222</v>
      </c>
      <c r="D116" s="11" t="str">
        <f>IF(Table1[[#This Row],[Duration of Campaign]]=0, "Ongoing","Completed")</f>
        <v>Ongoing</v>
      </c>
      <c r="E116" s="12">
        <f>Table1[[#This Row],[End Date]]-Table1[[#This Row],[Start Date]]</f>
        <v>0</v>
      </c>
      <c r="F116" s="13">
        <v>1255</v>
      </c>
      <c r="G116" s="14" t="s">
        <v>63</v>
      </c>
      <c r="H116" s="15">
        <v>19027</v>
      </c>
      <c r="I116" s="15">
        <v>188</v>
      </c>
      <c r="J116" s="15">
        <v>174</v>
      </c>
      <c r="K116" s="16">
        <v>1387</v>
      </c>
      <c r="L116" s="17">
        <f t="shared" si="5"/>
        <v>9.8806958532611545E-3</v>
      </c>
      <c r="M116" s="17">
        <f t="shared" si="5"/>
        <v>0.92553191489361697</v>
      </c>
      <c r="N116" s="18">
        <f t="shared" si="6"/>
        <v>32.468085106382979</v>
      </c>
      <c r="O116" s="18">
        <f t="shared" si="7"/>
        <v>35.080459770114942</v>
      </c>
      <c r="P116" s="17">
        <f t="shared" si="8"/>
        <v>4.8637450199203185</v>
      </c>
      <c r="Q116" s="17">
        <f t="shared" si="9"/>
        <v>0.22722804718217562</v>
      </c>
      <c r="R116" s="10" t="s">
        <v>264</v>
      </c>
      <c r="S116" s="14" t="s">
        <v>40</v>
      </c>
      <c r="T116" s="14" t="s">
        <v>55</v>
      </c>
      <c r="U116" s="13">
        <v>6104</v>
      </c>
      <c r="V116" s="15">
        <v>4</v>
      </c>
      <c r="W116" s="9" t="str">
        <f>IF(Table1[[#This Row],[Satisfaction Rating]]&lt;2, "Low", IF(Table1[[#This Row],[Satisfaction Rating]]&lt;4, "Medium", "High"))</f>
        <v>High</v>
      </c>
    </row>
    <row r="117" spans="1:23" ht="14" x14ac:dyDescent="0.2">
      <c r="A117" s="10" t="s">
        <v>265</v>
      </c>
      <c r="B117" s="11">
        <v>45205.700092592589</v>
      </c>
      <c r="C117" s="11">
        <v>45545.125474537039</v>
      </c>
      <c r="D117" s="11" t="str">
        <f>IF(Table1[[#This Row],[Duration of Campaign]]=0, "Ongoing","Completed")</f>
        <v>Completed</v>
      </c>
      <c r="E117" s="12">
        <f>Table1[[#This Row],[End Date]]-Table1[[#This Row],[Start Date]]</f>
        <v>339.42538194444933</v>
      </c>
      <c r="F117" s="13">
        <v>8055</v>
      </c>
      <c r="G117" s="14" t="s">
        <v>63</v>
      </c>
      <c r="H117" s="15">
        <v>6646</v>
      </c>
      <c r="I117" s="15">
        <v>1597</v>
      </c>
      <c r="J117" s="15">
        <v>225</v>
      </c>
      <c r="K117" s="16">
        <v>11491</v>
      </c>
      <c r="L117" s="17">
        <f t="shared" si="5"/>
        <v>0.2402949142341258</v>
      </c>
      <c r="M117" s="17">
        <f t="shared" si="5"/>
        <v>0.14088916718847841</v>
      </c>
      <c r="N117" s="18">
        <f t="shared" si="6"/>
        <v>9.8365685660613646</v>
      </c>
      <c r="O117" s="18">
        <f t="shared" si="7"/>
        <v>69.817777777777778</v>
      </c>
      <c r="P117" s="17">
        <f t="shared" si="8"/>
        <v>1.9502172563625078</v>
      </c>
      <c r="Q117" s="17">
        <f t="shared" si="9"/>
        <v>0.73149150168693111</v>
      </c>
      <c r="R117" s="10" t="s">
        <v>266</v>
      </c>
      <c r="S117" s="14" t="s">
        <v>31</v>
      </c>
      <c r="T117" s="14" t="s">
        <v>27</v>
      </c>
      <c r="U117" s="13">
        <v>15709</v>
      </c>
      <c r="V117" s="15">
        <v>1</v>
      </c>
      <c r="W117" s="9" t="str">
        <f>IF(Table1[[#This Row],[Satisfaction Rating]]&lt;2, "Low", IF(Table1[[#This Row],[Satisfaction Rating]]&lt;4, "Medium", "High"))</f>
        <v>Low</v>
      </c>
    </row>
    <row r="118" spans="1:23" ht="14" x14ac:dyDescent="0.2">
      <c r="A118" s="10" t="s">
        <v>267</v>
      </c>
      <c r="B118" s="11">
        <v>45484.920057870368</v>
      </c>
      <c r="C118" s="11">
        <v>45484.920057870368</v>
      </c>
      <c r="D118" s="11" t="str">
        <f>IF(Table1[[#This Row],[Duration of Campaign]]=0, "Ongoing","Completed")</f>
        <v>Ongoing</v>
      </c>
      <c r="E118" s="12">
        <f>Table1[[#This Row],[End Date]]-Table1[[#This Row],[Start Date]]</f>
        <v>0</v>
      </c>
      <c r="F118" s="13">
        <v>2712</v>
      </c>
      <c r="G118" s="14" t="s">
        <v>63</v>
      </c>
      <c r="H118" s="15">
        <v>5126</v>
      </c>
      <c r="I118" s="15">
        <v>692</v>
      </c>
      <c r="J118" s="15">
        <v>368</v>
      </c>
      <c r="K118" s="16">
        <v>917</v>
      </c>
      <c r="L118" s="17">
        <f t="shared" si="5"/>
        <v>0.13499804916113928</v>
      </c>
      <c r="M118" s="17">
        <f t="shared" si="5"/>
        <v>0.53179190751445082</v>
      </c>
      <c r="N118" s="18">
        <f t="shared" si="6"/>
        <v>10.544797687861271</v>
      </c>
      <c r="O118" s="18">
        <f t="shared" si="7"/>
        <v>19.828804347826086</v>
      </c>
      <c r="P118" s="17">
        <f t="shared" si="8"/>
        <v>2.6906342182890857</v>
      </c>
      <c r="Q118" s="17">
        <f t="shared" si="9"/>
        <v>0.12566808277374264</v>
      </c>
      <c r="R118" s="10" t="s">
        <v>268</v>
      </c>
      <c r="S118" s="14" t="s">
        <v>40</v>
      </c>
      <c r="T118" s="14" t="s">
        <v>37</v>
      </c>
      <c r="U118" s="13">
        <v>7297</v>
      </c>
      <c r="V118" s="15">
        <v>5</v>
      </c>
      <c r="W118" s="9" t="str">
        <f>IF(Table1[[#This Row],[Satisfaction Rating]]&lt;2, "Low", IF(Table1[[#This Row],[Satisfaction Rating]]&lt;4, "Medium", "High"))</f>
        <v>High</v>
      </c>
    </row>
    <row r="119" spans="1:23" ht="14" x14ac:dyDescent="0.2">
      <c r="A119" s="10" t="s">
        <v>269</v>
      </c>
      <c r="B119" s="11">
        <v>45062.107893518521</v>
      </c>
      <c r="C119" s="11">
        <v>45547.218877314815</v>
      </c>
      <c r="D119" s="11" t="str">
        <f>IF(Table1[[#This Row],[Duration of Campaign]]=0, "Ongoing","Completed")</f>
        <v>Completed</v>
      </c>
      <c r="E119" s="12">
        <f>Table1[[#This Row],[End Date]]-Table1[[#This Row],[Start Date]]</f>
        <v>485.11098379629402</v>
      </c>
      <c r="F119" s="13">
        <v>3068</v>
      </c>
      <c r="G119" s="14" t="s">
        <v>47</v>
      </c>
      <c r="H119" s="15">
        <v>15685</v>
      </c>
      <c r="I119" s="15">
        <v>1267</v>
      </c>
      <c r="J119" s="15">
        <v>153</v>
      </c>
      <c r="K119" s="16">
        <v>13206</v>
      </c>
      <c r="L119" s="17">
        <f t="shared" si="5"/>
        <v>8.0777813197322287E-2</v>
      </c>
      <c r="M119" s="17">
        <f t="shared" si="5"/>
        <v>0.12075769534333071</v>
      </c>
      <c r="N119" s="18">
        <f t="shared" si="6"/>
        <v>11.021310181531176</v>
      </c>
      <c r="O119" s="18">
        <f t="shared" si="7"/>
        <v>91.267973856209153</v>
      </c>
      <c r="P119" s="17">
        <f t="shared" si="8"/>
        <v>4.5514993481095178</v>
      </c>
      <c r="Q119" s="17">
        <f t="shared" si="9"/>
        <v>0.94571755943855629</v>
      </c>
      <c r="R119" s="10" t="s">
        <v>270</v>
      </c>
      <c r="S119" s="14" t="s">
        <v>40</v>
      </c>
      <c r="T119" s="14" t="s">
        <v>27</v>
      </c>
      <c r="U119" s="13">
        <v>13964</v>
      </c>
      <c r="V119" s="15">
        <v>1</v>
      </c>
      <c r="W119" s="9" t="str">
        <f>IF(Table1[[#This Row],[Satisfaction Rating]]&lt;2, "Low", IF(Table1[[#This Row],[Satisfaction Rating]]&lt;4, "Medium", "High"))</f>
        <v>Low</v>
      </c>
    </row>
    <row r="120" spans="1:23" ht="14" x14ac:dyDescent="0.2">
      <c r="A120" s="10" t="s">
        <v>271</v>
      </c>
      <c r="B120" s="11">
        <v>45445.180543981478</v>
      </c>
      <c r="C120" s="11">
        <v>45628.88386574074</v>
      </c>
      <c r="D120" s="11" t="str">
        <f>IF(Table1[[#This Row],[Duration of Campaign]]=0, "Ongoing","Completed")</f>
        <v>Completed</v>
      </c>
      <c r="E120" s="12">
        <f>Table1[[#This Row],[End Date]]-Table1[[#This Row],[Start Date]]</f>
        <v>183.7033217592616</v>
      </c>
      <c r="F120" s="13">
        <v>8132</v>
      </c>
      <c r="G120" s="14" t="s">
        <v>29</v>
      </c>
      <c r="H120" s="15">
        <v>12192</v>
      </c>
      <c r="I120" s="15">
        <v>1332</v>
      </c>
      <c r="J120" s="15">
        <v>417</v>
      </c>
      <c r="K120" s="16">
        <v>2172</v>
      </c>
      <c r="L120" s="17">
        <f t="shared" si="5"/>
        <v>0.10925196850393701</v>
      </c>
      <c r="M120" s="17">
        <f t="shared" si="5"/>
        <v>0.31306306306306309</v>
      </c>
      <c r="N120" s="18">
        <f t="shared" si="6"/>
        <v>1.5908408408408408</v>
      </c>
      <c r="O120" s="18">
        <f t="shared" si="7"/>
        <v>5.0815347721822546</v>
      </c>
      <c r="P120" s="17">
        <f t="shared" si="8"/>
        <v>0.26057550418101327</v>
      </c>
      <c r="Q120" s="17">
        <f t="shared" si="9"/>
        <v>1.025011798017933</v>
      </c>
      <c r="R120" s="10" t="s">
        <v>272</v>
      </c>
      <c r="S120" s="14" t="s">
        <v>45</v>
      </c>
      <c r="T120" s="14" t="s">
        <v>27</v>
      </c>
      <c r="U120" s="13">
        <v>2119</v>
      </c>
      <c r="V120" s="15">
        <v>2</v>
      </c>
      <c r="W120" s="9" t="str">
        <f>IF(Table1[[#This Row],[Satisfaction Rating]]&lt;2, "Low", IF(Table1[[#This Row],[Satisfaction Rating]]&lt;4, "Medium", "High"))</f>
        <v>Medium</v>
      </c>
    </row>
    <row r="121" spans="1:23" ht="14" x14ac:dyDescent="0.2">
      <c r="A121" s="10" t="s">
        <v>273</v>
      </c>
      <c r="B121" s="11">
        <v>45507.229166666664</v>
      </c>
      <c r="C121" s="11">
        <v>45606.559918981482</v>
      </c>
      <c r="D121" s="11" t="str">
        <f>IF(Table1[[#This Row],[Duration of Campaign]]=0, "Ongoing","Completed")</f>
        <v>Completed</v>
      </c>
      <c r="E121" s="12">
        <f>Table1[[#This Row],[End Date]]-Table1[[#This Row],[Start Date]]</f>
        <v>99.330752314817801</v>
      </c>
      <c r="F121" s="13">
        <v>2748</v>
      </c>
      <c r="G121" s="14" t="s">
        <v>63</v>
      </c>
      <c r="H121" s="15">
        <v>3968</v>
      </c>
      <c r="I121" s="15">
        <v>1206</v>
      </c>
      <c r="J121" s="15">
        <v>357</v>
      </c>
      <c r="K121" s="16">
        <v>6374</v>
      </c>
      <c r="L121" s="17">
        <f t="shared" si="5"/>
        <v>0.30393145161290325</v>
      </c>
      <c r="M121" s="17">
        <f t="shared" si="5"/>
        <v>0.29601990049751242</v>
      </c>
      <c r="N121" s="18">
        <f t="shared" si="6"/>
        <v>7.1011608623548925</v>
      </c>
      <c r="O121" s="18">
        <f t="shared" si="7"/>
        <v>23.988795518207283</v>
      </c>
      <c r="P121" s="17">
        <f t="shared" si="8"/>
        <v>3.1164483260553131</v>
      </c>
      <c r="Q121" s="17">
        <f t="shared" si="9"/>
        <v>0.74427837459131252</v>
      </c>
      <c r="R121" s="10" t="s">
        <v>274</v>
      </c>
      <c r="S121" s="14" t="s">
        <v>45</v>
      </c>
      <c r="T121" s="14" t="s">
        <v>37</v>
      </c>
      <c r="U121" s="13">
        <v>8564</v>
      </c>
      <c r="V121" s="15">
        <v>1</v>
      </c>
      <c r="W121" s="9" t="str">
        <f>IF(Table1[[#This Row],[Satisfaction Rating]]&lt;2, "Low", IF(Table1[[#This Row],[Satisfaction Rating]]&lt;4, "Medium", "High"))</f>
        <v>Low</v>
      </c>
    </row>
    <row r="122" spans="1:23" ht="14" x14ac:dyDescent="0.2">
      <c r="A122" s="10" t="s">
        <v>275</v>
      </c>
      <c r="B122" s="11">
        <v>45393.826203703706</v>
      </c>
      <c r="C122" s="11">
        <v>45393.826203703706</v>
      </c>
      <c r="D122" s="11" t="str">
        <f>IF(Table1[[#This Row],[Duration of Campaign]]=0, "Ongoing","Completed")</f>
        <v>Ongoing</v>
      </c>
      <c r="E122" s="12">
        <f>Table1[[#This Row],[End Date]]-Table1[[#This Row],[Start Date]]</f>
        <v>0</v>
      </c>
      <c r="F122" s="13">
        <v>3122</v>
      </c>
      <c r="G122" s="14" t="s">
        <v>29</v>
      </c>
      <c r="H122" s="15">
        <v>3248</v>
      </c>
      <c r="I122" s="15">
        <v>754</v>
      </c>
      <c r="J122" s="15">
        <v>97</v>
      </c>
      <c r="K122" s="16">
        <v>9770</v>
      </c>
      <c r="L122" s="17">
        <f t="shared" si="5"/>
        <v>0.23214285714285715</v>
      </c>
      <c r="M122" s="17">
        <f t="shared" si="5"/>
        <v>0.1286472148541114</v>
      </c>
      <c r="N122" s="18">
        <f t="shared" si="6"/>
        <v>16.575596816976127</v>
      </c>
      <c r="O122" s="18">
        <f t="shared" si="7"/>
        <v>128.84536082474227</v>
      </c>
      <c r="P122" s="17">
        <f t="shared" si="8"/>
        <v>4.003203074951954</v>
      </c>
      <c r="Q122" s="17">
        <f t="shared" si="9"/>
        <v>0.7817250760121619</v>
      </c>
      <c r="R122" s="10" t="s">
        <v>276</v>
      </c>
      <c r="S122" s="14" t="s">
        <v>26</v>
      </c>
      <c r="T122" s="14" t="s">
        <v>27</v>
      </c>
      <c r="U122" s="13">
        <v>12498</v>
      </c>
      <c r="V122" s="15">
        <v>5</v>
      </c>
      <c r="W122" s="9" t="str">
        <f>IF(Table1[[#This Row],[Satisfaction Rating]]&lt;2, "Low", IF(Table1[[#This Row],[Satisfaction Rating]]&lt;4, "Medium", "High"))</f>
        <v>High</v>
      </c>
    </row>
    <row r="123" spans="1:23" ht="14" x14ac:dyDescent="0.2">
      <c r="A123" s="10" t="s">
        <v>277</v>
      </c>
      <c r="B123" s="11">
        <v>45480.047199074077</v>
      </c>
      <c r="C123" s="11">
        <v>45480.047199074077</v>
      </c>
      <c r="D123" s="11" t="str">
        <f>IF(Table1[[#This Row],[Duration of Campaign]]=0, "Ongoing","Completed")</f>
        <v>Ongoing</v>
      </c>
      <c r="E123" s="12">
        <f>Table1[[#This Row],[End Date]]-Table1[[#This Row],[Start Date]]</f>
        <v>0</v>
      </c>
      <c r="F123" s="13">
        <v>5426</v>
      </c>
      <c r="G123" s="14" t="s">
        <v>24</v>
      </c>
      <c r="H123" s="15">
        <v>13502</v>
      </c>
      <c r="I123" s="15">
        <v>894</v>
      </c>
      <c r="J123" s="15">
        <v>431</v>
      </c>
      <c r="K123" s="16">
        <v>1297</v>
      </c>
      <c r="L123" s="17">
        <f t="shared" si="5"/>
        <v>6.6212412975855423E-2</v>
      </c>
      <c r="M123" s="17">
        <f t="shared" si="5"/>
        <v>0.48210290827740493</v>
      </c>
      <c r="N123" s="18">
        <f t="shared" si="6"/>
        <v>11.280760626398211</v>
      </c>
      <c r="O123" s="18">
        <f t="shared" si="7"/>
        <v>23.399071925754061</v>
      </c>
      <c r="P123" s="17">
        <f t="shared" si="8"/>
        <v>1.8586435680058975</v>
      </c>
      <c r="Q123" s="17">
        <f t="shared" si="9"/>
        <v>0.12860684184432325</v>
      </c>
      <c r="R123" s="10" t="s">
        <v>278</v>
      </c>
      <c r="S123" s="14" t="s">
        <v>34</v>
      </c>
      <c r="T123" s="14" t="s">
        <v>37</v>
      </c>
      <c r="U123" s="13">
        <v>10085</v>
      </c>
      <c r="V123" s="15">
        <v>5</v>
      </c>
      <c r="W123" s="9" t="str">
        <f>IF(Table1[[#This Row],[Satisfaction Rating]]&lt;2, "Low", IF(Table1[[#This Row],[Satisfaction Rating]]&lt;4, "Medium", "High"))</f>
        <v>High</v>
      </c>
    </row>
    <row r="124" spans="1:23" ht="14" x14ac:dyDescent="0.2">
      <c r="A124" s="10" t="s">
        <v>279</v>
      </c>
      <c r="B124" s="11">
        <v>45068.23201388889</v>
      </c>
      <c r="C124" s="11">
        <v>45473.540393518517</v>
      </c>
      <c r="D124" s="11" t="str">
        <f>IF(Table1[[#This Row],[Duration of Campaign]]=0, "Ongoing","Completed")</f>
        <v>Completed</v>
      </c>
      <c r="E124" s="12">
        <f>Table1[[#This Row],[End Date]]-Table1[[#This Row],[Start Date]]</f>
        <v>405.30837962962687</v>
      </c>
      <c r="F124" s="13">
        <v>1535</v>
      </c>
      <c r="G124" s="14" t="s">
        <v>47</v>
      </c>
      <c r="H124" s="15">
        <v>15698</v>
      </c>
      <c r="I124" s="15">
        <v>1645</v>
      </c>
      <c r="J124" s="15">
        <v>119</v>
      </c>
      <c r="K124" s="16">
        <v>5869</v>
      </c>
      <c r="L124" s="17">
        <f t="shared" si="5"/>
        <v>0.10479041916167664</v>
      </c>
      <c r="M124" s="17">
        <f t="shared" si="5"/>
        <v>7.2340425531914887E-2</v>
      </c>
      <c r="N124" s="18">
        <f t="shared" si="6"/>
        <v>10.293009118541033</v>
      </c>
      <c r="O124" s="18">
        <f t="shared" si="7"/>
        <v>142.28571428571428</v>
      </c>
      <c r="P124" s="17">
        <f t="shared" si="8"/>
        <v>11.030618892508143</v>
      </c>
      <c r="Q124" s="17">
        <f t="shared" si="9"/>
        <v>0.34662178124261755</v>
      </c>
      <c r="R124" s="10" t="s">
        <v>280</v>
      </c>
      <c r="S124" s="14" t="s">
        <v>26</v>
      </c>
      <c r="T124" s="14" t="s">
        <v>37</v>
      </c>
      <c r="U124" s="13">
        <v>16932</v>
      </c>
      <c r="V124" s="15">
        <v>5</v>
      </c>
      <c r="W124" s="9" t="str">
        <f>IF(Table1[[#This Row],[Satisfaction Rating]]&lt;2, "Low", IF(Table1[[#This Row],[Satisfaction Rating]]&lt;4, "Medium", "High"))</f>
        <v>High</v>
      </c>
    </row>
    <row r="125" spans="1:23" ht="14" x14ac:dyDescent="0.2">
      <c r="A125" s="10" t="s">
        <v>281</v>
      </c>
      <c r="B125" s="11">
        <v>45471.895995370367</v>
      </c>
      <c r="C125" s="11">
        <v>45471.895995370367</v>
      </c>
      <c r="D125" s="11" t="str">
        <f>IF(Table1[[#This Row],[Duration of Campaign]]=0, "Ongoing","Completed")</f>
        <v>Ongoing</v>
      </c>
      <c r="E125" s="12">
        <f>Table1[[#This Row],[End Date]]-Table1[[#This Row],[Start Date]]</f>
        <v>0</v>
      </c>
      <c r="F125" s="13">
        <v>4609</v>
      </c>
      <c r="G125" s="14" t="s">
        <v>24</v>
      </c>
      <c r="H125" s="15">
        <v>17030</v>
      </c>
      <c r="I125" s="15">
        <v>131</v>
      </c>
      <c r="J125" s="15">
        <v>71</v>
      </c>
      <c r="K125" s="16">
        <v>11246</v>
      </c>
      <c r="L125" s="17">
        <f t="shared" si="5"/>
        <v>7.6923076923076927E-3</v>
      </c>
      <c r="M125" s="17">
        <f t="shared" si="5"/>
        <v>0.5419847328244275</v>
      </c>
      <c r="N125" s="18">
        <f t="shared" si="6"/>
        <v>80.297709923664115</v>
      </c>
      <c r="O125" s="18">
        <f t="shared" si="7"/>
        <v>148.1549295774648</v>
      </c>
      <c r="P125" s="17">
        <f t="shared" si="8"/>
        <v>2.2822738121067476</v>
      </c>
      <c r="Q125" s="17">
        <f t="shared" si="9"/>
        <v>1.069113033558323</v>
      </c>
      <c r="R125" s="10" t="s">
        <v>282</v>
      </c>
      <c r="S125" s="14" t="s">
        <v>34</v>
      </c>
      <c r="T125" s="14" t="s">
        <v>27</v>
      </c>
      <c r="U125" s="13">
        <v>10519</v>
      </c>
      <c r="V125" s="15">
        <v>4</v>
      </c>
      <c r="W125" s="9" t="str">
        <f>IF(Table1[[#This Row],[Satisfaction Rating]]&lt;2, "Low", IF(Table1[[#This Row],[Satisfaction Rating]]&lt;4, "Medium", "High"))</f>
        <v>High</v>
      </c>
    </row>
    <row r="126" spans="1:23" ht="14" x14ac:dyDescent="0.2">
      <c r="A126" s="10" t="s">
        <v>283</v>
      </c>
      <c r="B126" s="11">
        <v>45439.503333333334</v>
      </c>
      <c r="C126" s="11">
        <v>45484.010104166664</v>
      </c>
      <c r="D126" s="11" t="str">
        <f>IF(Table1[[#This Row],[Duration of Campaign]]=0, "Ongoing","Completed")</f>
        <v>Completed</v>
      </c>
      <c r="E126" s="12">
        <f>Table1[[#This Row],[End Date]]-Table1[[#This Row],[Start Date]]</f>
        <v>44.506770833329938</v>
      </c>
      <c r="F126" s="13">
        <v>3494</v>
      </c>
      <c r="G126" s="14" t="s">
        <v>63</v>
      </c>
      <c r="H126" s="15">
        <v>12349</v>
      </c>
      <c r="I126" s="15">
        <v>871</v>
      </c>
      <c r="J126" s="15">
        <v>23</v>
      </c>
      <c r="K126" s="16">
        <v>14951</v>
      </c>
      <c r="L126" s="17">
        <f t="shared" si="5"/>
        <v>7.0532026884767993E-2</v>
      </c>
      <c r="M126" s="17">
        <f t="shared" si="5"/>
        <v>2.6406429391504019E-2</v>
      </c>
      <c r="N126" s="18">
        <f t="shared" si="6"/>
        <v>6.5510907003444316</v>
      </c>
      <c r="O126" s="18">
        <f t="shared" si="7"/>
        <v>248.08695652173913</v>
      </c>
      <c r="P126" s="17">
        <f t="shared" si="8"/>
        <v>1.633085289066972</v>
      </c>
      <c r="Q126" s="17">
        <f t="shared" si="9"/>
        <v>2.6202243252716437</v>
      </c>
      <c r="R126" s="10" t="s">
        <v>284</v>
      </c>
      <c r="S126" s="14" t="s">
        <v>34</v>
      </c>
      <c r="T126" s="14" t="s">
        <v>27</v>
      </c>
      <c r="U126" s="13">
        <v>5706</v>
      </c>
      <c r="V126" s="15">
        <v>2</v>
      </c>
      <c r="W126" s="9" t="str">
        <f>IF(Table1[[#This Row],[Satisfaction Rating]]&lt;2, "Low", IF(Table1[[#This Row],[Satisfaction Rating]]&lt;4, "Medium", "High"))</f>
        <v>Medium</v>
      </c>
    </row>
    <row r="127" spans="1:23" ht="14" x14ac:dyDescent="0.2">
      <c r="A127" s="10" t="s">
        <v>285</v>
      </c>
      <c r="B127" s="11">
        <v>45388.104490740741</v>
      </c>
      <c r="C127" s="11">
        <v>45535.163252314815</v>
      </c>
      <c r="D127" s="11" t="str">
        <f>IF(Table1[[#This Row],[Duration of Campaign]]=0, "Ongoing","Completed")</f>
        <v>Completed</v>
      </c>
      <c r="E127" s="12">
        <f>Table1[[#This Row],[End Date]]-Table1[[#This Row],[Start Date]]</f>
        <v>147.05876157407329</v>
      </c>
      <c r="F127" s="13">
        <v>2139</v>
      </c>
      <c r="G127" s="14" t="s">
        <v>63</v>
      </c>
      <c r="H127" s="15">
        <v>7670</v>
      </c>
      <c r="I127" s="15">
        <v>633</v>
      </c>
      <c r="J127" s="15">
        <v>321</v>
      </c>
      <c r="K127" s="16">
        <v>9153</v>
      </c>
      <c r="L127" s="17">
        <f t="shared" si="5"/>
        <v>8.2529335071707954E-2</v>
      </c>
      <c r="M127" s="17">
        <f t="shared" si="5"/>
        <v>0.50710900473933651</v>
      </c>
      <c r="N127" s="18">
        <f t="shared" si="6"/>
        <v>23.003159557661927</v>
      </c>
      <c r="O127" s="18">
        <f t="shared" si="7"/>
        <v>45.361370716510905</v>
      </c>
      <c r="P127" s="17">
        <f t="shared" si="8"/>
        <v>6.8073866292660119</v>
      </c>
      <c r="Q127" s="17">
        <f t="shared" si="9"/>
        <v>0.62859693702355612</v>
      </c>
      <c r="R127" s="10" t="s">
        <v>286</v>
      </c>
      <c r="S127" s="14" t="s">
        <v>34</v>
      </c>
      <c r="T127" s="14" t="s">
        <v>55</v>
      </c>
      <c r="U127" s="13">
        <v>14561</v>
      </c>
      <c r="V127" s="15">
        <v>1</v>
      </c>
      <c r="W127" s="9" t="str">
        <f>IF(Table1[[#This Row],[Satisfaction Rating]]&lt;2, "Low", IF(Table1[[#This Row],[Satisfaction Rating]]&lt;4, "Medium", "High"))</f>
        <v>Low</v>
      </c>
    </row>
    <row r="128" spans="1:23" ht="14" x14ac:dyDescent="0.2">
      <c r="A128" s="10" t="s">
        <v>287</v>
      </c>
      <c r="B128" s="11">
        <v>45323.327685185184</v>
      </c>
      <c r="C128" s="11">
        <v>45384.461157407408</v>
      </c>
      <c r="D128" s="11" t="str">
        <f>IF(Table1[[#This Row],[Duration of Campaign]]=0, "Ongoing","Completed")</f>
        <v>Completed</v>
      </c>
      <c r="E128" s="12">
        <f>Table1[[#This Row],[End Date]]-Table1[[#This Row],[Start Date]]</f>
        <v>61.133472222223645</v>
      </c>
      <c r="F128" s="13">
        <v>2827</v>
      </c>
      <c r="G128" s="14" t="s">
        <v>29</v>
      </c>
      <c r="H128" s="15">
        <v>18484</v>
      </c>
      <c r="I128" s="15">
        <v>1946</v>
      </c>
      <c r="J128" s="15">
        <v>245</v>
      </c>
      <c r="K128" s="16">
        <v>14289</v>
      </c>
      <c r="L128" s="17">
        <f t="shared" si="5"/>
        <v>0.105280242371781</v>
      </c>
      <c r="M128" s="17">
        <f t="shared" si="5"/>
        <v>0.12589928057553956</v>
      </c>
      <c r="N128" s="18">
        <f t="shared" si="6"/>
        <v>1.5817060637204523</v>
      </c>
      <c r="O128" s="18">
        <f t="shared" si="7"/>
        <v>12.56326530612245</v>
      </c>
      <c r="P128" s="17">
        <f t="shared" si="8"/>
        <v>1.0887866996816413</v>
      </c>
      <c r="Q128" s="17">
        <f t="shared" si="9"/>
        <v>4.6423001949317735</v>
      </c>
      <c r="R128" s="10" t="s">
        <v>288</v>
      </c>
      <c r="S128" s="14" t="s">
        <v>40</v>
      </c>
      <c r="T128" s="14" t="s">
        <v>27</v>
      </c>
      <c r="U128" s="13">
        <v>3078</v>
      </c>
      <c r="V128" s="15">
        <v>4</v>
      </c>
      <c r="W128" s="9" t="str">
        <f>IF(Table1[[#This Row],[Satisfaction Rating]]&lt;2, "Low", IF(Table1[[#This Row],[Satisfaction Rating]]&lt;4, "Medium", "High"))</f>
        <v>High</v>
      </c>
    </row>
    <row r="129" spans="1:23" ht="14" x14ac:dyDescent="0.2">
      <c r="A129" s="10" t="s">
        <v>289</v>
      </c>
      <c r="B129" s="11">
        <v>44995.284143518518</v>
      </c>
      <c r="C129" s="11">
        <v>44995.284143518518</v>
      </c>
      <c r="D129" s="11" t="str">
        <f>IF(Table1[[#This Row],[Duration of Campaign]]=0, "Ongoing","Completed")</f>
        <v>Ongoing</v>
      </c>
      <c r="E129" s="12">
        <f>Table1[[#This Row],[End Date]]-Table1[[#This Row],[Start Date]]</f>
        <v>0</v>
      </c>
      <c r="F129" s="13">
        <v>5269</v>
      </c>
      <c r="G129" s="14" t="s">
        <v>47</v>
      </c>
      <c r="H129" s="15">
        <v>7459</v>
      </c>
      <c r="I129" s="15">
        <v>1115</v>
      </c>
      <c r="J129" s="15">
        <v>415</v>
      </c>
      <c r="K129" s="16">
        <v>5438</v>
      </c>
      <c r="L129" s="17">
        <f t="shared" si="5"/>
        <v>0.14948384501943959</v>
      </c>
      <c r="M129" s="17">
        <f t="shared" si="5"/>
        <v>0.37219730941704038</v>
      </c>
      <c r="N129" s="18">
        <f t="shared" si="6"/>
        <v>9.2600896860986541</v>
      </c>
      <c r="O129" s="18">
        <f t="shared" si="7"/>
        <v>24.879518072289155</v>
      </c>
      <c r="P129" s="17">
        <f t="shared" si="8"/>
        <v>1.9595748718921997</v>
      </c>
      <c r="Q129" s="17">
        <f t="shared" si="9"/>
        <v>0.52668280871670703</v>
      </c>
      <c r="R129" s="10" t="s">
        <v>290</v>
      </c>
      <c r="S129" s="14" t="s">
        <v>40</v>
      </c>
      <c r="T129" s="14" t="s">
        <v>27</v>
      </c>
      <c r="U129" s="13">
        <v>10325</v>
      </c>
      <c r="V129" s="15">
        <v>1</v>
      </c>
      <c r="W129" s="9" t="str">
        <f>IF(Table1[[#This Row],[Satisfaction Rating]]&lt;2, "Low", IF(Table1[[#This Row],[Satisfaction Rating]]&lt;4, "Medium", "High"))</f>
        <v>Low</v>
      </c>
    </row>
    <row r="130" spans="1:23" ht="14" x14ac:dyDescent="0.2">
      <c r="A130" s="10" t="s">
        <v>291</v>
      </c>
      <c r="B130" s="11">
        <v>45223.406053240738</v>
      </c>
      <c r="C130" s="11">
        <v>45233.352361111109</v>
      </c>
      <c r="D130" s="11" t="str">
        <f>IF(Table1[[#This Row],[Duration of Campaign]]=0, "Ongoing","Completed")</f>
        <v>Completed</v>
      </c>
      <c r="E130" s="12">
        <f>Table1[[#This Row],[End Date]]-Table1[[#This Row],[Start Date]]</f>
        <v>9.9463078703702195</v>
      </c>
      <c r="F130" s="13">
        <v>1412</v>
      </c>
      <c r="G130" s="14" t="s">
        <v>63</v>
      </c>
      <c r="H130" s="15">
        <v>13283</v>
      </c>
      <c r="I130" s="15">
        <v>1535</v>
      </c>
      <c r="J130" s="15">
        <v>70</v>
      </c>
      <c r="K130" s="16">
        <v>759</v>
      </c>
      <c r="L130" s="17">
        <f t="shared" si="5"/>
        <v>0.11556124369494843</v>
      </c>
      <c r="M130" s="17">
        <f t="shared" si="5"/>
        <v>4.5602605863192182E-2</v>
      </c>
      <c r="N130" s="18">
        <f t="shared" si="6"/>
        <v>5.2540716612377851</v>
      </c>
      <c r="O130" s="18">
        <f t="shared" si="7"/>
        <v>115.21428571428571</v>
      </c>
      <c r="P130" s="17">
        <f t="shared" si="8"/>
        <v>5.7117563739376767</v>
      </c>
      <c r="Q130" s="17">
        <f t="shared" si="9"/>
        <v>9.4110353378797279E-2</v>
      </c>
      <c r="R130" s="10" t="s">
        <v>292</v>
      </c>
      <c r="S130" s="14" t="s">
        <v>26</v>
      </c>
      <c r="T130" s="14" t="s">
        <v>27</v>
      </c>
      <c r="U130" s="13">
        <v>8065</v>
      </c>
      <c r="V130" s="15">
        <v>3</v>
      </c>
      <c r="W130" s="9" t="str">
        <f>IF(Table1[[#This Row],[Satisfaction Rating]]&lt;2, "Low", IF(Table1[[#This Row],[Satisfaction Rating]]&lt;4, "Medium", "High"))</f>
        <v>Medium</v>
      </c>
    </row>
    <row r="131" spans="1:23" ht="14" x14ac:dyDescent="0.2">
      <c r="A131" s="10" t="s">
        <v>293</v>
      </c>
      <c r="B131" s="11">
        <v>45141.386689814812</v>
      </c>
      <c r="C131" s="11">
        <v>45141.386689814812</v>
      </c>
      <c r="D131" s="11" t="str">
        <f>IF(Table1[[#This Row],[Duration of Campaign]]=0, "Ongoing","Completed")</f>
        <v>Ongoing</v>
      </c>
      <c r="E131" s="12">
        <f>Table1[[#This Row],[End Date]]-Table1[[#This Row],[Start Date]]</f>
        <v>0</v>
      </c>
      <c r="F131" s="13">
        <v>9370</v>
      </c>
      <c r="G131" s="14" t="s">
        <v>63</v>
      </c>
      <c r="H131" s="15">
        <v>17177</v>
      </c>
      <c r="I131" s="15">
        <v>1307</v>
      </c>
      <c r="J131" s="15">
        <v>277</v>
      </c>
      <c r="K131" s="16">
        <v>3228</v>
      </c>
      <c r="L131" s="17">
        <f t="shared" ref="L131:M194" si="10">I131/H131</f>
        <v>7.6090120509984288E-2</v>
      </c>
      <c r="M131" s="17">
        <f t="shared" si="10"/>
        <v>0.21193573068094873</v>
      </c>
      <c r="N131" s="18">
        <f t="shared" ref="N131:N194" si="11">U131/I131</f>
        <v>10.674062739097169</v>
      </c>
      <c r="O131" s="18">
        <f t="shared" ref="O131:O194" si="12">U131/J131</f>
        <v>50.364620938628157</v>
      </c>
      <c r="P131" s="17">
        <f t="shared" ref="P131:P194" si="13">U131/F131</f>
        <v>1.4889007470651014</v>
      </c>
      <c r="Q131" s="17">
        <f t="shared" ref="Q131:Q194" si="14">K131/U131</f>
        <v>0.23138126299190023</v>
      </c>
      <c r="R131" s="10" t="s">
        <v>294</v>
      </c>
      <c r="S131" s="14" t="s">
        <v>26</v>
      </c>
      <c r="T131" s="14" t="s">
        <v>55</v>
      </c>
      <c r="U131" s="13">
        <v>13951</v>
      </c>
      <c r="V131" s="15">
        <v>5</v>
      </c>
      <c r="W131" s="9" t="str">
        <f>IF(Table1[[#This Row],[Satisfaction Rating]]&lt;2, "Low", IF(Table1[[#This Row],[Satisfaction Rating]]&lt;4, "Medium", "High"))</f>
        <v>High</v>
      </c>
    </row>
    <row r="132" spans="1:23" ht="14" x14ac:dyDescent="0.2">
      <c r="A132" s="10" t="s">
        <v>295</v>
      </c>
      <c r="B132" s="11">
        <v>45623.185624999998</v>
      </c>
      <c r="C132" s="11">
        <v>45623.185624999998</v>
      </c>
      <c r="D132" s="11" t="str">
        <f>IF(Table1[[#This Row],[Duration of Campaign]]=0, "Ongoing","Completed")</f>
        <v>Ongoing</v>
      </c>
      <c r="E132" s="12">
        <f>Table1[[#This Row],[End Date]]-Table1[[#This Row],[Start Date]]</f>
        <v>0</v>
      </c>
      <c r="F132" s="13">
        <v>7101</v>
      </c>
      <c r="G132" s="14" t="s">
        <v>63</v>
      </c>
      <c r="H132" s="15">
        <v>14096</v>
      </c>
      <c r="I132" s="15">
        <v>1002</v>
      </c>
      <c r="J132" s="15">
        <v>346</v>
      </c>
      <c r="K132" s="16">
        <v>1517</v>
      </c>
      <c r="L132" s="17">
        <f t="shared" si="10"/>
        <v>7.1083995459704882E-2</v>
      </c>
      <c r="M132" s="17">
        <f t="shared" si="10"/>
        <v>0.34530938123752497</v>
      </c>
      <c r="N132" s="18">
        <f t="shared" si="11"/>
        <v>16.238522954091817</v>
      </c>
      <c r="O132" s="18">
        <f t="shared" si="12"/>
        <v>47.02601156069364</v>
      </c>
      <c r="P132" s="17">
        <f t="shared" si="13"/>
        <v>2.2913674130404167</v>
      </c>
      <c r="Q132" s="17">
        <f t="shared" si="14"/>
        <v>9.3233359965582935E-2</v>
      </c>
      <c r="R132" s="10" t="s">
        <v>296</v>
      </c>
      <c r="S132" s="14" t="s">
        <v>31</v>
      </c>
      <c r="T132" s="14" t="s">
        <v>55</v>
      </c>
      <c r="U132" s="13">
        <v>16271</v>
      </c>
      <c r="V132" s="15">
        <v>3</v>
      </c>
      <c r="W132" s="9" t="str">
        <f>IF(Table1[[#This Row],[Satisfaction Rating]]&lt;2, "Low", IF(Table1[[#This Row],[Satisfaction Rating]]&lt;4, "Medium", "High"))</f>
        <v>Medium</v>
      </c>
    </row>
    <row r="133" spans="1:23" ht="14" x14ac:dyDescent="0.2">
      <c r="A133" s="10" t="s">
        <v>297</v>
      </c>
      <c r="B133" s="11">
        <v>44940.36650462963</v>
      </c>
      <c r="C133" s="11">
        <v>45591.298611111109</v>
      </c>
      <c r="D133" s="11" t="str">
        <f>IF(Table1[[#This Row],[Duration of Campaign]]=0, "Ongoing","Completed")</f>
        <v>Completed</v>
      </c>
      <c r="E133" s="12">
        <f>Table1[[#This Row],[End Date]]-Table1[[#This Row],[Start Date]]</f>
        <v>650.93210648147942</v>
      </c>
      <c r="F133" s="13">
        <v>3317</v>
      </c>
      <c r="G133" s="14" t="s">
        <v>47</v>
      </c>
      <c r="H133" s="15">
        <v>2929</v>
      </c>
      <c r="I133" s="15">
        <v>1269</v>
      </c>
      <c r="J133" s="15">
        <v>121</v>
      </c>
      <c r="K133" s="16">
        <v>12466</v>
      </c>
      <c r="L133" s="17">
        <f t="shared" si="10"/>
        <v>0.43325367019460564</v>
      </c>
      <c r="M133" s="17">
        <f t="shared" si="10"/>
        <v>9.5350669818754924E-2</v>
      </c>
      <c r="N133" s="18">
        <f t="shared" si="11"/>
        <v>13.792750197005516</v>
      </c>
      <c r="O133" s="18">
        <f t="shared" si="12"/>
        <v>144.65289256198346</v>
      </c>
      <c r="P133" s="17">
        <f t="shared" si="13"/>
        <v>5.276756104914079</v>
      </c>
      <c r="Q133" s="17">
        <f t="shared" si="14"/>
        <v>0.71222076215505914</v>
      </c>
      <c r="R133" s="10" t="s">
        <v>298</v>
      </c>
      <c r="S133" s="14" t="s">
        <v>45</v>
      </c>
      <c r="T133" s="14" t="s">
        <v>55</v>
      </c>
      <c r="U133" s="13">
        <v>17503</v>
      </c>
      <c r="V133" s="15">
        <v>2</v>
      </c>
      <c r="W133" s="9" t="str">
        <f>IF(Table1[[#This Row],[Satisfaction Rating]]&lt;2, "Low", IF(Table1[[#This Row],[Satisfaction Rating]]&lt;4, "Medium", "High"))</f>
        <v>Medium</v>
      </c>
    </row>
    <row r="134" spans="1:23" ht="14" x14ac:dyDescent="0.2">
      <c r="A134" s="10" t="s">
        <v>299</v>
      </c>
      <c r="B134" s="11">
        <v>44999.571851851855</v>
      </c>
      <c r="C134" s="11">
        <v>45574.298715277779</v>
      </c>
      <c r="D134" s="11" t="str">
        <f>IF(Table1[[#This Row],[Duration of Campaign]]=0, "Ongoing","Completed")</f>
        <v>Completed</v>
      </c>
      <c r="E134" s="12">
        <f>Table1[[#This Row],[End Date]]-Table1[[#This Row],[Start Date]]</f>
        <v>574.72686342592351</v>
      </c>
      <c r="F134" s="13">
        <v>1649</v>
      </c>
      <c r="G134" s="14" t="s">
        <v>24</v>
      </c>
      <c r="H134" s="15">
        <v>7565</v>
      </c>
      <c r="I134" s="15">
        <v>1790</v>
      </c>
      <c r="J134" s="15">
        <v>230</v>
      </c>
      <c r="K134" s="16">
        <v>8687</v>
      </c>
      <c r="L134" s="17">
        <f t="shared" si="10"/>
        <v>0.23661599471249173</v>
      </c>
      <c r="M134" s="17">
        <f t="shared" si="10"/>
        <v>0.12849162011173185</v>
      </c>
      <c r="N134" s="18">
        <f t="shared" si="11"/>
        <v>3.3396648044692738</v>
      </c>
      <c r="O134" s="18">
        <f t="shared" si="12"/>
        <v>25.991304347826087</v>
      </c>
      <c r="P134" s="17">
        <f t="shared" si="13"/>
        <v>3.6252274105518496</v>
      </c>
      <c r="Q134" s="17">
        <f t="shared" si="14"/>
        <v>1.4531615925058547</v>
      </c>
      <c r="R134" s="10" t="s">
        <v>300</v>
      </c>
      <c r="S134" s="14" t="s">
        <v>26</v>
      </c>
      <c r="T134" s="14" t="s">
        <v>27</v>
      </c>
      <c r="U134" s="13">
        <v>5978</v>
      </c>
      <c r="V134" s="15">
        <v>5</v>
      </c>
      <c r="W134" s="9" t="str">
        <f>IF(Table1[[#This Row],[Satisfaction Rating]]&lt;2, "Low", IF(Table1[[#This Row],[Satisfaction Rating]]&lt;4, "Medium", "High"))</f>
        <v>High</v>
      </c>
    </row>
    <row r="135" spans="1:23" ht="14" x14ac:dyDescent="0.2">
      <c r="A135" s="10" t="s">
        <v>301</v>
      </c>
      <c r="B135" s="11">
        <v>45001.165775462963</v>
      </c>
      <c r="C135" s="11">
        <v>45036.656817129631</v>
      </c>
      <c r="D135" s="11" t="str">
        <f>IF(Table1[[#This Row],[Duration of Campaign]]=0, "Ongoing","Completed")</f>
        <v>Completed</v>
      </c>
      <c r="E135" s="12">
        <f>Table1[[#This Row],[End Date]]-Table1[[#This Row],[Start Date]]</f>
        <v>35.491041666668025</v>
      </c>
      <c r="F135" s="13">
        <v>1350</v>
      </c>
      <c r="G135" s="14" t="s">
        <v>63</v>
      </c>
      <c r="H135" s="15">
        <v>18976</v>
      </c>
      <c r="I135" s="15">
        <v>104</v>
      </c>
      <c r="J135" s="15">
        <v>11</v>
      </c>
      <c r="K135" s="16">
        <v>2792</v>
      </c>
      <c r="L135" s="17">
        <f t="shared" si="10"/>
        <v>5.4806070826306915E-3</v>
      </c>
      <c r="M135" s="17">
        <f t="shared" si="10"/>
        <v>0.10576923076923077</v>
      </c>
      <c r="N135" s="18">
        <f t="shared" si="11"/>
        <v>6.6057692307692308</v>
      </c>
      <c r="O135" s="18">
        <f t="shared" si="12"/>
        <v>62.454545454545453</v>
      </c>
      <c r="P135" s="17">
        <f t="shared" si="13"/>
        <v>0.50888888888888884</v>
      </c>
      <c r="Q135" s="17">
        <f t="shared" si="14"/>
        <v>4.0640465793304221</v>
      </c>
      <c r="R135" s="10" t="s">
        <v>302</v>
      </c>
      <c r="S135" s="14" t="s">
        <v>31</v>
      </c>
      <c r="T135" s="14" t="s">
        <v>37</v>
      </c>
      <c r="U135" s="13">
        <v>687</v>
      </c>
      <c r="V135" s="15">
        <v>2</v>
      </c>
      <c r="W135" s="9" t="str">
        <f>IF(Table1[[#This Row],[Satisfaction Rating]]&lt;2, "Low", IF(Table1[[#This Row],[Satisfaction Rating]]&lt;4, "Medium", "High"))</f>
        <v>Medium</v>
      </c>
    </row>
    <row r="136" spans="1:23" ht="14" x14ac:dyDescent="0.2">
      <c r="A136" s="10" t="s">
        <v>303</v>
      </c>
      <c r="B136" s="11">
        <v>45053.90116898148</v>
      </c>
      <c r="C136" s="11">
        <v>45121.967986111114</v>
      </c>
      <c r="D136" s="11" t="str">
        <f>IF(Table1[[#This Row],[Duration of Campaign]]=0, "Ongoing","Completed")</f>
        <v>Completed</v>
      </c>
      <c r="E136" s="12">
        <f>Table1[[#This Row],[End Date]]-Table1[[#This Row],[Start Date]]</f>
        <v>68.066817129634728</v>
      </c>
      <c r="F136" s="13">
        <v>3662</v>
      </c>
      <c r="G136" s="14" t="s">
        <v>24</v>
      </c>
      <c r="H136" s="15">
        <v>15683</v>
      </c>
      <c r="I136" s="15">
        <v>347</v>
      </c>
      <c r="J136" s="15">
        <v>466</v>
      </c>
      <c r="K136" s="16">
        <v>5318</v>
      </c>
      <c r="L136" s="17">
        <f t="shared" si="10"/>
        <v>2.2125868775106805E-2</v>
      </c>
      <c r="M136" s="17">
        <f t="shared" si="10"/>
        <v>1.3429394812680115</v>
      </c>
      <c r="N136" s="18">
        <f t="shared" si="11"/>
        <v>41.841498559077813</v>
      </c>
      <c r="O136" s="18">
        <f t="shared" si="12"/>
        <v>31.156652360515022</v>
      </c>
      <c r="P136" s="17">
        <f t="shared" si="13"/>
        <v>3.9647733478973239</v>
      </c>
      <c r="Q136" s="17">
        <f t="shared" si="14"/>
        <v>0.36627866932984365</v>
      </c>
      <c r="R136" s="10" t="s">
        <v>304</v>
      </c>
      <c r="S136" s="14" t="s">
        <v>45</v>
      </c>
      <c r="T136" s="14" t="s">
        <v>37</v>
      </c>
      <c r="U136" s="13">
        <v>14519</v>
      </c>
      <c r="V136" s="15">
        <v>4</v>
      </c>
      <c r="W136" s="9" t="str">
        <f>IF(Table1[[#This Row],[Satisfaction Rating]]&lt;2, "Low", IF(Table1[[#This Row],[Satisfaction Rating]]&lt;4, "Medium", "High"))</f>
        <v>High</v>
      </c>
    </row>
    <row r="137" spans="1:23" ht="14" x14ac:dyDescent="0.2">
      <c r="A137" s="10" t="s">
        <v>305</v>
      </c>
      <c r="B137" s="11">
        <v>45325.688148148147</v>
      </c>
      <c r="C137" s="11">
        <v>45325.688148148147</v>
      </c>
      <c r="D137" s="11" t="str">
        <f>IF(Table1[[#This Row],[Duration of Campaign]]=0, "Ongoing","Completed")</f>
        <v>Ongoing</v>
      </c>
      <c r="E137" s="12">
        <f>Table1[[#This Row],[End Date]]-Table1[[#This Row],[Start Date]]</f>
        <v>0</v>
      </c>
      <c r="F137" s="13">
        <v>2319</v>
      </c>
      <c r="G137" s="14" t="s">
        <v>24</v>
      </c>
      <c r="H137" s="15">
        <v>8052</v>
      </c>
      <c r="I137" s="15">
        <v>1684</v>
      </c>
      <c r="J137" s="15">
        <v>25</v>
      </c>
      <c r="K137" s="16">
        <v>9293</v>
      </c>
      <c r="L137" s="17">
        <f t="shared" si="10"/>
        <v>0.20914058618976653</v>
      </c>
      <c r="M137" s="17">
        <f t="shared" si="10"/>
        <v>1.4845605700712588E-2</v>
      </c>
      <c r="N137" s="18">
        <f t="shared" si="11"/>
        <v>11.065320665083135</v>
      </c>
      <c r="O137" s="18">
        <f t="shared" si="12"/>
        <v>745.36</v>
      </c>
      <c r="P137" s="17">
        <f t="shared" si="13"/>
        <v>8.0353600689952565</v>
      </c>
      <c r="Q137" s="17">
        <f t="shared" si="14"/>
        <v>0.49871203176988299</v>
      </c>
      <c r="R137" s="10" t="s">
        <v>306</v>
      </c>
      <c r="S137" s="14" t="s">
        <v>26</v>
      </c>
      <c r="T137" s="14" t="s">
        <v>55</v>
      </c>
      <c r="U137" s="13">
        <v>18634</v>
      </c>
      <c r="V137" s="15">
        <v>2</v>
      </c>
      <c r="W137" s="9" t="str">
        <f>IF(Table1[[#This Row],[Satisfaction Rating]]&lt;2, "Low", IF(Table1[[#This Row],[Satisfaction Rating]]&lt;4, "Medium", "High"))</f>
        <v>Medium</v>
      </c>
    </row>
    <row r="138" spans="1:23" ht="14" x14ac:dyDescent="0.2">
      <c r="A138" s="10" t="s">
        <v>307</v>
      </c>
      <c r="B138" s="11">
        <v>44972.911249999997</v>
      </c>
      <c r="C138" s="11">
        <v>45656.162627314814</v>
      </c>
      <c r="D138" s="11" t="str">
        <f>IF(Table1[[#This Row],[Duration of Campaign]]=0, "Ongoing","Completed")</f>
        <v>Completed</v>
      </c>
      <c r="E138" s="12">
        <f>Table1[[#This Row],[End Date]]-Table1[[#This Row],[Start Date]]</f>
        <v>683.25137731481664</v>
      </c>
      <c r="F138" s="13">
        <v>9921</v>
      </c>
      <c r="G138" s="14" t="s">
        <v>47</v>
      </c>
      <c r="H138" s="15">
        <v>14409</v>
      </c>
      <c r="I138" s="15">
        <v>457</v>
      </c>
      <c r="J138" s="15">
        <v>318</v>
      </c>
      <c r="K138" s="16">
        <v>11574</v>
      </c>
      <c r="L138" s="17">
        <f t="shared" si="10"/>
        <v>3.1716288430841837E-2</v>
      </c>
      <c r="M138" s="17">
        <f t="shared" si="10"/>
        <v>0.69584245076586437</v>
      </c>
      <c r="N138" s="18">
        <f t="shared" si="11"/>
        <v>29.584245076586434</v>
      </c>
      <c r="O138" s="18">
        <f t="shared" si="12"/>
        <v>42.515723270440255</v>
      </c>
      <c r="P138" s="17">
        <f t="shared" si="13"/>
        <v>1.3627658502167119</v>
      </c>
      <c r="Q138" s="17">
        <f t="shared" si="14"/>
        <v>0.8560650887573964</v>
      </c>
      <c r="R138" s="10" t="s">
        <v>308</v>
      </c>
      <c r="S138" s="14" t="s">
        <v>31</v>
      </c>
      <c r="T138" s="14" t="s">
        <v>55</v>
      </c>
      <c r="U138" s="13">
        <v>13520</v>
      </c>
      <c r="V138" s="15">
        <v>1</v>
      </c>
      <c r="W138" s="9" t="str">
        <f>IF(Table1[[#This Row],[Satisfaction Rating]]&lt;2, "Low", IF(Table1[[#This Row],[Satisfaction Rating]]&lt;4, "Medium", "High"))</f>
        <v>Low</v>
      </c>
    </row>
    <row r="139" spans="1:23" ht="14" x14ac:dyDescent="0.2">
      <c r="A139" s="10" t="s">
        <v>309</v>
      </c>
      <c r="B139" s="11">
        <v>45472.685312499998</v>
      </c>
      <c r="C139" s="11">
        <v>45472.685312499998</v>
      </c>
      <c r="D139" s="11" t="str">
        <f>IF(Table1[[#This Row],[Duration of Campaign]]=0, "Ongoing","Completed")</f>
        <v>Ongoing</v>
      </c>
      <c r="E139" s="12">
        <f>Table1[[#This Row],[End Date]]-Table1[[#This Row],[Start Date]]</f>
        <v>0</v>
      </c>
      <c r="F139" s="13">
        <v>9748</v>
      </c>
      <c r="G139" s="14" t="s">
        <v>29</v>
      </c>
      <c r="H139" s="15">
        <v>3368</v>
      </c>
      <c r="I139" s="15">
        <v>1154</v>
      </c>
      <c r="J139" s="15">
        <v>281</v>
      </c>
      <c r="K139" s="16">
        <v>8652</v>
      </c>
      <c r="L139" s="17">
        <f t="shared" si="10"/>
        <v>0.34263657957244653</v>
      </c>
      <c r="M139" s="17">
        <f t="shared" si="10"/>
        <v>0.24350086655112652</v>
      </c>
      <c r="N139" s="18">
        <f t="shared" si="11"/>
        <v>6.5961871750433279</v>
      </c>
      <c r="O139" s="18">
        <f t="shared" si="12"/>
        <v>27.088967971530248</v>
      </c>
      <c r="P139" s="17">
        <f t="shared" si="13"/>
        <v>0.78087812884694296</v>
      </c>
      <c r="Q139" s="17">
        <f t="shared" si="14"/>
        <v>1.1366263794009459</v>
      </c>
      <c r="R139" s="10" t="s">
        <v>310</v>
      </c>
      <c r="S139" s="14" t="s">
        <v>40</v>
      </c>
      <c r="T139" s="14" t="s">
        <v>37</v>
      </c>
      <c r="U139" s="13">
        <v>7612</v>
      </c>
      <c r="V139" s="15">
        <v>4</v>
      </c>
      <c r="W139" s="9" t="str">
        <f>IF(Table1[[#This Row],[Satisfaction Rating]]&lt;2, "Low", IF(Table1[[#This Row],[Satisfaction Rating]]&lt;4, "Medium", "High"))</f>
        <v>High</v>
      </c>
    </row>
    <row r="140" spans="1:23" ht="14" x14ac:dyDescent="0.2">
      <c r="A140" s="10" t="s">
        <v>311</v>
      </c>
      <c r="B140" s="11">
        <v>45291.417083333334</v>
      </c>
      <c r="C140" s="11">
        <v>45595.398923611108</v>
      </c>
      <c r="D140" s="11" t="str">
        <f>IF(Table1[[#This Row],[Duration of Campaign]]=0, "Ongoing","Completed")</f>
        <v>Completed</v>
      </c>
      <c r="E140" s="12">
        <f>Table1[[#This Row],[End Date]]-Table1[[#This Row],[Start Date]]</f>
        <v>303.98184027777461</v>
      </c>
      <c r="F140" s="13">
        <v>6629</v>
      </c>
      <c r="G140" s="14" t="s">
        <v>63</v>
      </c>
      <c r="H140" s="15">
        <v>6036</v>
      </c>
      <c r="I140" s="15">
        <v>1691</v>
      </c>
      <c r="J140" s="15">
        <v>495</v>
      </c>
      <c r="K140" s="16">
        <v>8610</v>
      </c>
      <c r="L140" s="17">
        <f t="shared" si="10"/>
        <v>0.28015241882041086</v>
      </c>
      <c r="M140" s="17">
        <f t="shared" si="10"/>
        <v>0.29272619751626255</v>
      </c>
      <c r="N140" s="18">
        <f t="shared" si="11"/>
        <v>4.6723832052040217</v>
      </c>
      <c r="O140" s="18">
        <f t="shared" si="12"/>
        <v>15.961616161616162</v>
      </c>
      <c r="P140" s="17">
        <f t="shared" si="13"/>
        <v>1.1918841454216322</v>
      </c>
      <c r="Q140" s="17">
        <f t="shared" si="14"/>
        <v>1.0897354765219593</v>
      </c>
      <c r="R140" s="10" t="s">
        <v>312</v>
      </c>
      <c r="S140" s="14" t="s">
        <v>31</v>
      </c>
      <c r="T140" s="14" t="s">
        <v>37</v>
      </c>
      <c r="U140" s="13">
        <v>7901</v>
      </c>
      <c r="V140" s="15">
        <v>3</v>
      </c>
      <c r="W140" s="9" t="str">
        <f>IF(Table1[[#This Row],[Satisfaction Rating]]&lt;2, "Low", IF(Table1[[#This Row],[Satisfaction Rating]]&lt;4, "Medium", "High"))</f>
        <v>Medium</v>
      </c>
    </row>
    <row r="141" spans="1:23" ht="14" x14ac:dyDescent="0.2">
      <c r="A141" s="10" t="s">
        <v>313</v>
      </c>
      <c r="B141" s="11">
        <v>45345.350960648146</v>
      </c>
      <c r="C141" s="11">
        <v>45345.350960648146</v>
      </c>
      <c r="D141" s="11" t="str">
        <f>IF(Table1[[#This Row],[Duration of Campaign]]=0, "Ongoing","Completed")</f>
        <v>Ongoing</v>
      </c>
      <c r="E141" s="12">
        <f>Table1[[#This Row],[End Date]]-Table1[[#This Row],[Start Date]]</f>
        <v>0</v>
      </c>
      <c r="F141" s="13">
        <v>2529</v>
      </c>
      <c r="G141" s="14" t="s">
        <v>29</v>
      </c>
      <c r="H141" s="15">
        <v>12957</v>
      </c>
      <c r="I141" s="15">
        <v>190</v>
      </c>
      <c r="J141" s="15">
        <v>444</v>
      </c>
      <c r="K141" s="16">
        <v>5434</v>
      </c>
      <c r="L141" s="17">
        <f t="shared" si="10"/>
        <v>1.4663888245735895E-2</v>
      </c>
      <c r="M141" s="17">
        <f t="shared" si="10"/>
        <v>2.3368421052631581</v>
      </c>
      <c r="N141" s="18">
        <f t="shared" si="11"/>
        <v>5.1105263157894738</v>
      </c>
      <c r="O141" s="18">
        <f t="shared" si="12"/>
        <v>2.1869369369369371</v>
      </c>
      <c r="P141" s="17">
        <f t="shared" si="13"/>
        <v>0.38394622380387505</v>
      </c>
      <c r="Q141" s="17">
        <f t="shared" si="14"/>
        <v>5.5962924819773425</v>
      </c>
      <c r="R141" s="10" t="s">
        <v>314</v>
      </c>
      <c r="S141" s="14" t="s">
        <v>31</v>
      </c>
      <c r="T141" s="14" t="s">
        <v>27</v>
      </c>
      <c r="U141" s="13">
        <v>971</v>
      </c>
      <c r="V141" s="15">
        <v>5</v>
      </c>
      <c r="W141" s="9" t="str">
        <f>IF(Table1[[#This Row],[Satisfaction Rating]]&lt;2, "Low", IF(Table1[[#This Row],[Satisfaction Rating]]&lt;4, "Medium", "High"))</f>
        <v>High</v>
      </c>
    </row>
    <row r="142" spans="1:23" ht="14" x14ac:dyDescent="0.2">
      <c r="A142" s="10" t="s">
        <v>315</v>
      </c>
      <c r="B142" s="11">
        <v>45502.645254629628</v>
      </c>
      <c r="C142" s="11">
        <v>45502.645254629628</v>
      </c>
      <c r="D142" s="11" t="str">
        <f>IF(Table1[[#This Row],[Duration of Campaign]]=0, "Ongoing","Completed")</f>
        <v>Ongoing</v>
      </c>
      <c r="E142" s="12">
        <f>Table1[[#This Row],[End Date]]-Table1[[#This Row],[Start Date]]</f>
        <v>0</v>
      </c>
      <c r="F142" s="13">
        <v>3679</v>
      </c>
      <c r="G142" s="14" t="s">
        <v>29</v>
      </c>
      <c r="H142" s="15">
        <v>6448</v>
      </c>
      <c r="I142" s="15">
        <v>1786</v>
      </c>
      <c r="J142" s="15">
        <v>186</v>
      </c>
      <c r="K142" s="16">
        <v>12966</v>
      </c>
      <c r="L142" s="17">
        <f t="shared" si="10"/>
        <v>0.27698511166253104</v>
      </c>
      <c r="M142" s="17">
        <f t="shared" si="10"/>
        <v>0.10414333706606943</v>
      </c>
      <c r="N142" s="18">
        <f t="shared" si="11"/>
        <v>3.0498320268756998</v>
      </c>
      <c r="O142" s="18">
        <f t="shared" si="12"/>
        <v>29.28494623655914</v>
      </c>
      <c r="P142" s="17">
        <f t="shared" si="13"/>
        <v>1.4805653710247351</v>
      </c>
      <c r="Q142" s="17">
        <f t="shared" si="14"/>
        <v>2.3803928768129246</v>
      </c>
      <c r="R142" s="10" t="s">
        <v>316</v>
      </c>
      <c r="S142" s="14" t="s">
        <v>26</v>
      </c>
      <c r="T142" s="14" t="s">
        <v>37</v>
      </c>
      <c r="U142" s="13">
        <v>5447</v>
      </c>
      <c r="V142" s="15">
        <v>1</v>
      </c>
      <c r="W142" s="9" t="str">
        <f>IF(Table1[[#This Row],[Satisfaction Rating]]&lt;2, "Low", IF(Table1[[#This Row],[Satisfaction Rating]]&lt;4, "Medium", "High"))</f>
        <v>Low</v>
      </c>
    </row>
    <row r="143" spans="1:23" ht="14" x14ac:dyDescent="0.2">
      <c r="A143" s="10" t="s">
        <v>317</v>
      </c>
      <c r="B143" s="11">
        <v>45325.901273148149</v>
      </c>
      <c r="C143" s="11">
        <v>45333.379641203705</v>
      </c>
      <c r="D143" s="11" t="str">
        <f>IF(Table1[[#This Row],[Duration of Campaign]]=0, "Ongoing","Completed")</f>
        <v>Completed</v>
      </c>
      <c r="E143" s="12">
        <f>Table1[[#This Row],[End Date]]-Table1[[#This Row],[Start Date]]</f>
        <v>7.4783680555556202</v>
      </c>
      <c r="F143" s="13">
        <v>5357</v>
      </c>
      <c r="G143" s="14" t="s">
        <v>29</v>
      </c>
      <c r="H143" s="15">
        <v>15017</v>
      </c>
      <c r="I143" s="15">
        <v>151</v>
      </c>
      <c r="J143" s="15">
        <v>145</v>
      </c>
      <c r="K143" s="16">
        <v>13313</v>
      </c>
      <c r="L143" s="17">
        <f t="shared" si="10"/>
        <v>1.0055270693214357E-2</v>
      </c>
      <c r="M143" s="17">
        <f t="shared" si="10"/>
        <v>0.96026490066225167</v>
      </c>
      <c r="N143" s="18">
        <f t="shared" si="11"/>
        <v>100.35761589403974</v>
      </c>
      <c r="O143" s="18">
        <f t="shared" si="12"/>
        <v>104.51034482758621</v>
      </c>
      <c r="P143" s="17">
        <f t="shared" si="13"/>
        <v>2.828822101922718</v>
      </c>
      <c r="Q143" s="17">
        <f t="shared" si="14"/>
        <v>0.87851392371651049</v>
      </c>
      <c r="R143" s="10" t="s">
        <v>318</v>
      </c>
      <c r="S143" s="14" t="s">
        <v>45</v>
      </c>
      <c r="T143" s="14" t="s">
        <v>37</v>
      </c>
      <c r="U143" s="13">
        <v>15154</v>
      </c>
      <c r="V143" s="15">
        <v>3</v>
      </c>
      <c r="W143" s="9" t="str">
        <f>IF(Table1[[#This Row],[Satisfaction Rating]]&lt;2, "Low", IF(Table1[[#This Row],[Satisfaction Rating]]&lt;4, "Medium", "High"))</f>
        <v>Medium</v>
      </c>
    </row>
    <row r="144" spans="1:23" ht="14" x14ac:dyDescent="0.2">
      <c r="A144" s="10" t="s">
        <v>319</v>
      </c>
      <c r="B144" s="11">
        <v>44970.935497685183</v>
      </c>
      <c r="C144" s="11">
        <v>45300.802233796298</v>
      </c>
      <c r="D144" s="11" t="str">
        <f>IF(Table1[[#This Row],[Duration of Campaign]]=0, "Ongoing","Completed")</f>
        <v>Completed</v>
      </c>
      <c r="E144" s="12">
        <f>Table1[[#This Row],[End Date]]-Table1[[#This Row],[Start Date]]</f>
        <v>329.86673611111473</v>
      </c>
      <c r="F144" s="13">
        <v>8206</v>
      </c>
      <c r="G144" s="14" t="s">
        <v>29</v>
      </c>
      <c r="H144" s="15">
        <v>1277</v>
      </c>
      <c r="I144" s="15">
        <v>440</v>
      </c>
      <c r="J144" s="15">
        <v>106</v>
      </c>
      <c r="K144" s="16">
        <v>13996</v>
      </c>
      <c r="L144" s="17">
        <f t="shared" si="10"/>
        <v>0.34455755677368832</v>
      </c>
      <c r="M144" s="17">
        <f t="shared" si="10"/>
        <v>0.24090909090909091</v>
      </c>
      <c r="N144" s="18">
        <f t="shared" si="11"/>
        <v>25.040909090909089</v>
      </c>
      <c r="O144" s="18">
        <f t="shared" si="12"/>
        <v>103.94339622641509</v>
      </c>
      <c r="P144" s="17">
        <f t="shared" si="13"/>
        <v>1.3426760906653668</v>
      </c>
      <c r="Q144" s="17">
        <f t="shared" si="14"/>
        <v>1.2702849882011253</v>
      </c>
      <c r="R144" s="10" t="s">
        <v>320</v>
      </c>
      <c r="S144" s="14" t="s">
        <v>31</v>
      </c>
      <c r="T144" s="14" t="s">
        <v>27</v>
      </c>
      <c r="U144" s="13">
        <v>11018</v>
      </c>
      <c r="V144" s="15">
        <v>3</v>
      </c>
      <c r="W144" s="9" t="str">
        <f>IF(Table1[[#This Row],[Satisfaction Rating]]&lt;2, "Low", IF(Table1[[#This Row],[Satisfaction Rating]]&lt;4, "Medium", "High"))</f>
        <v>Medium</v>
      </c>
    </row>
    <row r="145" spans="1:23" ht="14" x14ac:dyDescent="0.2">
      <c r="A145" s="10" t="s">
        <v>321</v>
      </c>
      <c r="B145" s="11">
        <v>45068.051377314812</v>
      </c>
      <c r="C145" s="11">
        <v>45644.354189814818</v>
      </c>
      <c r="D145" s="11" t="str">
        <f>IF(Table1[[#This Row],[Duration of Campaign]]=0, "Ongoing","Completed")</f>
        <v>Completed</v>
      </c>
      <c r="E145" s="12">
        <f>Table1[[#This Row],[End Date]]-Table1[[#This Row],[Start Date]]</f>
        <v>576.30281250000553</v>
      </c>
      <c r="F145" s="13">
        <v>9316</v>
      </c>
      <c r="G145" s="14" t="s">
        <v>47</v>
      </c>
      <c r="H145" s="15">
        <v>1848</v>
      </c>
      <c r="I145" s="15">
        <v>1557</v>
      </c>
      <c r="J145" s="15">
        <v>477</v>
      </c>
      <c r="K145" s="16">
        <v>5392</v>
      </c>
      <c r="L145" s="17">
        <f t="shared" si="10"/>
        <v>0.84253246753246758</v>
      </c>
      <c r="M145" s="17">
        <f t="shared" si="10"/>
        <v>0.30635838150289019</v>
      </c>
      <c r="N145" s="18">
        <f t="shared" si="11"/>
        <v>3.5016056518946694</v>
      </c>
      <c r="O145" s="18">
        <f t="shared" si="12"/>
        <v>11.429769392033544</v>
      </c>
      <c r="P145" s="17">
        <f t="shared" si="13"/>
        <v>0.58522971232288534</v>
      </c>
      <c r="Q145" s="17">
        <f t="shared" si="14"/>
        <v>0.98899486426999261</v>
      </c>
      <c r="R145" s="10" t="s">
        <v>322</v>
      </c>
      <c r="S145" s="14" t="s">
        <v>40</v>
      </c>
      <c r="T145" s="14" t="s">
        <v>55</v>
      </c>
      <c r="U145" s="13">
        <v>5452</v>
      </c>
      <c r="V145" s="15">
        <v>2</v>
      </c>
      <c r="W145" s="9" t="str">
        <f>IF(Table1[[#This Row],[Satisfaction Rating]]&lt;2, "Low", IF(Table1[[#This Row],[Satisfaction Rating]]&lt;4, "Medium", "High"))</f>
        <v>Medium</v>
      </c>
    </row>
    <row r="146" spans="1:23" ht="14" x14ac:dyDescent="0.2">
      <c r="A146" s="10" t="s">
        <v>323</v>
      </c>
      <c r="B146" s="11">
        <v>45515.098333333335</v>
      </c>
      <c r="C146" s="11">
        <v>45515.098333333335</v>
      </c>
      <c r="D146" s="11" t="str">
        <f>IF(Table1[[#This Row],[Duration of Campaign]]=0, "Ongoing","Completed")</f>
        <v>Ongoing</v>
      </c>
      <c r="E146" s="12">
        <f>Table1[[#This Row],[End Date]]-Table1[[#This Row],[Start Date]]</f>
        <v>0</v>
      </c>
      <c r="F146" s="13">
        <v>2566</v>
      </c>
      <c r="G146" s="14" t="s">
        <v>29</v>
      </c>
      <c r="H146" s="15">
        <v>4325</v>
      </c>
      <c r="I146" s="15">
        <v>109</v>
      </c>
      <c r="J146" s="15">
        <v>354</v>
      </c>
      <c r="K146" s="16">
        <v>13495</v>
      </c>
      <c r="L146" s="17">
        <f t="shared" si="10"/>
        <v>2.5202312138728325E-2</v>
      </c>
      <c r="M146" s="17">
        <f t="shared" si="10"/>
        <v>3.2477064220183487</v>
      </c>
      <c r="N146" s="18">
        <f t="shared" si="11"/>
        <v>33.990825688073393</v>
      </c>
      <c r="O146" s="18">
        <f t="shared" si="12"/>
        <v>10.466101694915254</v>
      </c>
      <c r="P146" s="17">
        <f t="shared" si="13"/>
        <v>1.4438815276695245</v>
      </c>
      <c r="Q146" s="17">
        <f t="shared" si="14"/>
        <v>3.642375168690958</v>
      </c>
      <c r="R146" s="10" t="s">
        <v>324</v>
      </c>
      <c r="S146" s="14" t="s">
        <v>45</v>
      </c>
      <c r="T146" s="14" t="s">
        <v>37</v>
      </c>
      <c r="U146" s="13">
        <v>3705</v>
      </c>
      <c r="V146" s="15">
        <v>4</v>
      </c>
      <c r="W146" s="9" t="str">
        <f>IF(Table1[[#This Row],[Satisfaction Rating]]&lt;2, "Low", IF(Table1[[#This Row],[Satisfaction Rating]]&lt;4, "Medium", "High"))</f>
        <v>High</v>
      </c>
    </row>
    <row r="147" spans="1:23" ht="14" x14ac:dyDescent="0.2">
      <c r="A147" s="10" t="s">
        <v>325</v>
      </c>
      <c r="B147" s="11">
        <v>45072.87228009259</v>
      </c>
      <c r="C147" s="11">
        <v>45535.398206018515</v>
      </c>
      <c r="D147" s="11" t="str">
        <f>IF(Table1[[#This Row],[Duration of Campaign]]=0, "Ongoing","Completed")</f>
        <v>Completed</v>
      </c>
      <c r="E147" s="12">
        <f>Table1[[#This Row],[End Date]]-Table1[[#This Row],[Start Date]]</f>
        <v>462.52592592592555</v>
      </c>
      <c r="F147" s="13">
        <v>3588</v>
      </c>
      <c r="G147" s="14" t="s">
        <v>29</v>
      </c>
      <c r="H147" s="15">
        <v>3274</v>
      </c>
      <c r="I147" s="15">
        <v>781</v>
      </c>
      <c r="J147" s="15">
        <v>23</v>
      </c>
      <c r="K147" s="16">
        <v>3300</v>
      </c>
      <c r="L147" s="17">
        <f t="shared" si="10"/>
        <v>0.23854612095296274</v>
      </c>
      <c r="M147" s="17">
        <f t="shared" si="10"/>
        <v>2.9449423815621E-2</v>
      </c>
      <c r="N147" s="18">
        <f t="shared" si="11"/>
        <v>4.3994878361075545</v>
      </c>
      <c r="O147" s="18">
        <f t="shared" si="12"/>
        <v>149.39130434782609</v>
      </c>
      <c r="P147" s="17">
        <f t="shared" si="13"/>
        <v>0.9576365663322185</v>
      </c>
      <c r="Q147" s="17">
        <f t="shared" si="14"/>
        <v>0.96041909196740394</v>
      </c>
      <c r="R147" s="10" t="s">
        <v>326</v>
      </c>
      <c r="S147" s="14" t="s">
        <v>31</v>
      </c>
      <c r="T147" s="14" t="s">
        <v>37</v>
      </c>
      <c r="U147" s="13">
        <v>3436</v>
      </c>
      <c r="V147" s="15">
        <v>3</v>
      </c>
      <c r="W147" s="9" t="str">
        <f>IF(Table1[[#This Row],[Satisfaction Rating]]&lt;2, "Low", IF(Table1[[#This Row],[Satisfaction Rating]]&lt;4, "Medium", "High"))</f>
        <v>Medium</v>
      </c>
    </row>
    <row r="148" spans="1:23" ht="14" x14ac:dyDescent="0.2">
      <c r="A148" s="10" t="s">
        <v>327</v>
      </c>
      <c r="B148" s="11">
        <v>45402.764166666668</v>
      </c>
      <c r="C148" s="11">
        <v>45546.199837962966</v>
      </c>
      <c r="D148" s="11" t="str">
        <f>IF(Table1[[#This Row],[Duration of Campaign]]=0, "Ongoing","Completed")</f>
        <v>Completed</v>
      </c>
      <c r="E148" s="12">
        <f>Table1[[#This Row],[End Date]]-Table1[[#This Row],[Start Date]]</f>
        <v>143.4356712962981</v>
      </c>
      <c r="F148" s="13">
        <v>7304</v>
      </c>
      <c r="G148" s="14" t="s">
        <v>63</v>
      </c>
      <c r="H148" s="15">
        <v>14863</v>
      </c>
      <c r="I148" s="15">
        <v>178</v>
      </c>
      <c r="J148" s="15">
        <v>236</v>
      </c>
      <c r="K148" s="16">
        <v>9720</v>
      </c>
      <c r="L148" s="17">
        <f t="shared" si="10"/>
        <v>1.1976047904191617E-2</v>
      </c>
      <c r="M148" s="17">
        <f t="shared" si="10"/>
        <v>1.3258426966292134</v>
      </c>
      <c r="N148" s="18">
        <f t="shared" si="11"/>
        <v>45.247191011235955</v>
      </c>
      <c r="O148" s="18">
        <f t="shared" si="12"/>
        <v>34.127118644067799</v>
      </c>
      <c r="P148" s="17">
        <f t="shared" si="13"/>
        <v>1.1026834611171961</v>
      </c>
      <c r="Q148" s="17">
        <f t="shared" si="14"/>
        <v>1.2068537372734045</v>
      </c>
      <c r="R148" s="10" t="s">
        <v>328</v>
      </c>
      <c r="S148" s="14" t="s">
        <v>40</v>
      </c>
      <c r="T148" s="14" t="s">
        <v>55</v>
      </c>
      <c r="U148" s="13">
        <v>8054</v>
      </c>
      <c r="V148" s="15">
        <v>2</v>
      </c>
      <c r="W148" s="9" t="str">
        <f>IF(Table1[[#This Row],[Satisfaction Rating]]&lt;2, "Low", IF(Table1[[#This Row],[Satisfaction Rating]]&lt;4, "Medium", "High"))</f>
        <v>Medium</v>
      </c>
    </row>
    <row r="149" spans="1:23" ht="14" x14ac:dyDescent="0.2">
      <c r="A149" s="10" t="s">
        <v>329</v>
      </c>
      <c r="B149" s="11">
        <v>44929.202164351853</v>
      </c>
      <c r="C149" s="11">
        <v>45549.620509259257</v>
      </c>
      <c r="D149" s="11" t="str">
        <f>IF(Table1[[#This Row],[Duration of Campaign]]=0, "Ongoing","Completed")</f>
        <v>Completed</v>
      </c>
      <c r="E149" s="12">
        <f>Table1[[#This Row],[End Date]]-Table1[[#This Row],[Start Date]]</f>
        <v>620.41834490740439</v>
      </c>
      <c r="F149" s="13">
        <v>8299</v>
      </c>
      <c r="G149" s="14" t="s">
        <v>29</v>
      </c>
      <c r="H149" s="15">
        <v>18516</v>
      </c>
      <c r="I149" s="15">
        <v>1507</v>
      </c>
      <c r="J149" s="15">
        <v>353</v>
      </c>
      <c r="K149" s="16">
        <v>11616</v>
      </c>
      <c r="L149" s="17">
        <f t="shared" si="10"/>
        <v>8.138906891337222E-2</v>
      </c>
      <c r="M149" s="17">
        <f t="shared" si="10"/>
        <v>0.23424021234240211</v>
      </c>
      <c r="N149" s="18">
        <f t="shared" si="11"/>
        <v>2.7438619774386197</v>
      </c>
      <c r="O149" s="18">
        <f t="shared" si="12"/>
        <v>11.713881019830028</v>
      </c>
      <c r="P149" s="17">
        <f t="shared" si="13"/>
        <v>0.49825280154235452</v>
      </c>
      <c r="Q149" s="17">
        <f t="shared" si="14"/>
        <v>2.8091898428053206</v>
      </c>
      <c r="R149" s="10" t="s">
        <v>330</v>
      </c>
      <c r="S149" s="14" t="s">
        <v>45</v>
      </c>
      <c r="T149" s="14" t="s">
        <v>37</v>
      </c>
      <c r="U149" s="13">
        <v>4135</v>
      </c>
      <c r="V149" s="15">
        <v>5</v>
      </c>
      <c r="W149" s="9" t="str">
        <f>IF(Table1[[#This Row],[Satisfaction Rating]]&lt;2, "Low", IF(Table1[[#This Row],[Satisfaction Rating]]&lt;4, "Medium", "High"))</f>
        <v>High</v>
      </c>
    </row>
    <row r="150" spans="1:23" ht="14" x14ac:dyDescent="0.2">
      <c r="A150" s="10" t="s">
        <v>331</v>
      </c>
      <c r="B150" s="11">
        <v>45145.661249999997</v>
      </c>
      <c r="C150" s="11">
        <v>45145.661249999997</v>
      </c>
      <c r="D150" s="11" t="str">
        <f>IF(Table1[[#This Row],[Duration of Campaign]]=0, "Ongoing","Completed")</f>
        <v>Ongoing</v>
      </c>
      <c r="E150" s="12">
        <f>Table1[[#This Row],[End Date]]-Table1[[#This Row],[Start Date]]</f>
        <v>0</v>
      </c>
      <c r="F150" s="13">
        <v>1485</v>
      </c>
      <c r="G150" s="14" t="s">
        <v>29</v>
      </c>
      <c r="H150" s="15">
        <v>18146</v>
      </c>
      <c r="I150" s="15">
        <v>1959</v>
      </c>
      <c r="J150" s="15">
        <v>157</v>
      </c>
      <c r="K150" s="16">
        <v>5590</v>
      </c>
      <c r="L150" s="17">
        <f t="shared" si="10"/>
        <v>0.10795767662294721</v>
      </c>
      <c r="M150" s="17">
        <f t="shared" si="10"/>
        <v>8.0142930066360391E-2</v>
      </c>
      <c r="N150" s="18">
        <f t="shared" si="11"/>
        <v>1.1250638080653395</v>
      </c>
      <c r="O150" s="18">
        <f t="shared" si="12"/>
        <v>14.038216560509554</v>
      </c>
      <c r="P150" s="17">
        <f t="shared" si="13"/>
        <v>1.4841750841750843</v>
      </c>
      <c r="Q150" s="17">
        <f t="shared" si="14"/>
        <v>2.5362976406533577</v>
      </c>
      <c r="R150" s="10" t="s">
        <v>332</v>
      </c>
      <c r="S150" s="14" t="s">
        <v>40</v>
      </c>
      <c r="T150" s="14" t="s">
        <v>55</v>
      </c>
      <c r="U150" s="13">
        <v>2204</v>
      </c>
      <c r="V150" s="15">
        <v>2</v>
      </c>
      <c r="W150" s="9" t="str">
        <f>IF(Table1[[#This Row],[Satisfaction Rating]]&lt;2, "Low", IF(Table1[[#This Row],[Satisfaction Rating]]&lt;4, "Medium", "High"))</f>
        <v>Medium</v>
      </c>
    </row>
    <row r="151" spans="1:23" ht="14" x14ac:dyDescent="0.2">
      <c r="A151" s="10" t="s">
        <v>333</v>
      </c>
      <c r="B151" s="11">
        <v>45629.81925925926</v>
      </c>
      <c r="C151" s="11">
        <v>45629.81925925926</v>
      </c>
      <c r="D151" s="11" t="str">
        <f>IF(Table1[[#This Row],[Duration of Campaign]]=0, "Ongoing","Completed")</f>
        <v>Ongoing</v>
      </c>
      <c r="E151" s="12">
        <f>Table1[[#This Row],[End Date]]-Table1[[#This Row],[Start Date]]</f>
        <v>0</v>
      </c>
      <c r="F151" s="13">
        <v>5767</v>
      </c>
      <c r="G151" s="14" t="s">
        <v>29</v>
      </c>
      <c r="H151" s="15">
        <v>16952</v>
      </c>
      <c r="I151" s="15">
        <v>920</v>
      </c>
      <c r="J151" s="15">
        <v>484</v>
      </c>
      <c r="K151" s="16">
        <v>12812</v>
      </c>
      <c r="L151" s="17">
        <f t="shared" si="10"/>
        <v>5.427088249174139E-2</v>
      </c>
      <c r="M151" s="17">
        <f t="shared" si="10"/>
        <v>0.52608695652173909</v>
      </c>
      <c r="N151" s="18">
        <f t="shared" si="11"/>
        <v>8.6695652173913036</v>
      </c>
      <c r="O151" s="18">
        <f t="shared" si="12"/>
        <v>16.479338842975206</v>
      </c>
      <c r="P151" s="17">
        <f t="shared" si="13"/>
        <v>1.3830414426911739</v>
      </c>
      <c r="Q151" s="17">
        <f t="shared" si="14"/>
        <v>1.6063189568706118</v>
      </c>
      <c r="R151" s="10" t="s">
        <v>334</v>
      </c>
      <c r="S151" s="14" t="s">
        <v>45</v>
      </c>
      <c r="T151" s="14" t="s">
        <v>37</v>
      </c>
      <c r="U151" s="13">
        <v>7976</v>
      </c>
      <c r="V151" s="15">
        <v>4</v>
      </c>
      <c r="W151" s="9" t="str">
        <f>IF(Table1[[#This Row],[Satisfaction Rating]]&lt;2, "Low", IF(Table1[[#This Row],[Satisfaction Rating]]&lt;4, "Medium", "High"))</f>
        <v>High</v>
      </c>
    </row>
    <row r="152" spans="1:23" ht="14" x14ac:dyDescent="0.2">
      <c r="A152" s="10" t="s">
        <v>335</v>
      </c>
      <c r="B152" s="11">
        <v>45487.404537037037</v>
      </c>
      <c r="C152" s="11">
        <v>45487.404537037037</v>
      </c>
      <c r="D152" s="11" t="str">
        <f>IF(Table1[[#This Row],[Duration of Campaign]]=0, "Ongoing","Completed")</f>
        <v>Ongoing</v>
      </c>
      <c r="E152" s="12">
        <f>Table1[[#This Row],[End Date]]-Table1[[#This Row],[Start Date]]</f>
        <v>0</v>
      </c>
      <c r="F152" s="13">
        <v>4967</v>
      </c>
      <c r="G152" s="14" t="s">
        <v>24</v>
      </c>
      <c r="H152" s="15">
        <v>6462</v>
      </c>
      <c r="I152" s="15">
        <v>724</v>
      </c>
      <c r="J152" s="15">
        <v>52</v>
      </c>
      <c r="K152" s="16">
        <v>7988</v>
      </c>
      <c r="L152" s="17">
        <f t="shared" si="10"/>
        <v>0.1120396162178892</v>
      </c>
      <c r="M152" s="17">
        <f t="shared" si="10"/>
        <v>7.18232044198895E-2</v>
      </c>
      <c r="N152" s="18">
        <f t="shared" si="11"/>
        <v>5.1436464088397793</v>
      </c>
      <c r="O152" s="18">
        <f t="shared" si="12"/>
        <v>71.615384615384613</v>
      </c>
      <c r="P152" s="17">
        <f t="shared" si="13"/>
        <v>0.74974833903764848</v>
      </c>
      <c r="Q152" s="17">
        <f t="shared" si="14"/>
        <v>2.1450053705692804</v>
      </c>
      <c r="R152" s="10" t="s">
        <v>336</v>
      </c>
      <c r="S152" s="14" t="s">
        <v>31</v>
      </c>
      <c r="T152" s="14" t="s">
        <v>55</v>
      </c>
      <c r="U152" s="13">
        <v>3724</v>
      </c>
      <c r="V152" s="15">
        <v>3</v>
      </c>
      <c r="W152" s="9" t="str">
        <f>IF(Table1[[#This Row],[Satisfaction Rating]]&lt;2, "Low", IF(Table1[[#This Row],[Satisfaction Rating]]&lt;4, "Medium", "High"))</f>
        <v>Medium</v>
      </c>
    </row>
    <row r="153" spans="1:23" ht="14" x14ac:dyDescent="0.2">
      <c r="A153" s="10" t="s">
        <v>337</v>
      </c>
      <c r="B153" s="11">
        <v>45055.56658564815</v>
      </c>
      <c r="C153" s="11">
        <v>45336.664375</v>
      </c>
      <c r="D153" s="11" t="str">
        <f>IF(Table1[[#This Row],[Duration of Campaign]]=0, "Ongoing","Completed")</f>
        <v>Completed</v>
      </c>
      <c r="E153" s="12">
        <f>Table1[[#This Row],[End Date]]-Table1[[#This Row],[Start Date]]</f>
        <v>281.09778935185022</v>
      </c>
      <c r="F153" s="13">
        <v>1796</v>
      </c>
      <c r="G153" s="14" t="s">
        <v>29</v>
      </c>
      <c r="H153" s="15">
        <v>9512</v>
      </c>
      <c r="I153" s="15">
        <v>1851</v>
      </c>
      <c r="J153" s="15">
        <v>21</v>
      </c>
      <c r="K153" s="16">
        <v>6988</v>
      </c>
      <c r="L153" s="17">
        <f t="shared" si="10"/>
        <v>0.19459629941126996</v>
      </c>
      <c r="M153" s="17">
        <f t="shared" si="10"/>
        <v>1.1345218800648298E-2</v>
      </c>
      <c r="N153" s="18">
        <f t="shared" si="11"/>
        <v>7.1318206374932469</v>
      </c>
      <c r="O153" s="18">
        <f t="shared" si="12"/>
        <v>628.61904761904759</v>
      </c>
      <c r="P153" s="17">
        <f t="shared" si="13"/>
        <v>7.3502227171492205</v>
      </c>
      <c r="Q153" s="17">
        <f t="shared" si="14"/>
        <v>0.52935383683054316</v>
      </c>
      <c r="R153" s="10" t="s">
        <v>338</v>
      </c>
      <c r="S153" s="14" t="s">
        <v>31</v>
      </c>
      <c r="T153" s="14" t="s">
        <v>37</v>
      </c>
      <c r="U153" s="13">
        <v>13201</v>
      </c>
      <c r="V153" s="15">
        <v>2</v>
      </c>
      <c r="W153" s="9" t="str">
        <f>IF(Table1[[#This Row],[Satisfaction Rating]]&lt;2, "Low", IF(Table1[[#This Row],[Satisfaction Rating]]&lt;4, "Medium", "High"))</f>
        <v>Medium</v>
      </c>
    </row>
    <row r="154" spans="1:23" ht="14" x14ac:dyDescent="0.2">
      <c r="A154" s="10" t="s">
        <v>339</v>
      </c>
      <c r="B154" s="11">
        <v>45374.736747685187</v>
      </c>
      <c r="C154" s="11">
        <v>45374.736747685187</v>
      </c>
      <c r="D154" s="11" t="str">
        <f>IF(Table1[[#This Row],[Duration of Campaign]]=0, "Ongoing","Completed")</f>
        <v>Ongoing</v>
      </c>
      <c r="E154" s="12">
        <f>Table1[[#This Row],[End Date]]-Table1[[#This Row],[Start Date]]</f>
        <v>0</v>
      </c>
      <c r="F154" s="13">
        <v>7241</v>
      </c>
      <c r="G154" s="14" t="s">
        <v>47</v>
      </c>
      <c r="H154" s="15">
        <v>13424</v>
      </c>
      <c r="I154" s="15">
        <v>1313</v>
      </c>
      <c r="J154" s="15">
        <v>86</v>
      </c>
      <c r="K154" s="16">
        <v>8293</v>
      </c>
      <c r="L154" s="17">
        <f t="shared" si="10"/>
        <v>9.780989272943981E-2</v>
      </c>
      <c r="M154" s="17">
        <f t="shared" si="10"/>
        <v>6.5498857578065506E-2</v>
      </c>
      <c r="N154" s="18">
        <f t="shared" si="11"/>
        <v>5.1287128712871288</v>
      </c>
      <c r="O154" s="18">
        <f t="shared" si="12"/>
        <v>78.302325581395351</v>
      </c>
      <c r="P154" s="17">
        <f t="shared" si="13"/>
        <v>0.9299820466786356</v>
      </c>
      <c r="Q154" s="17">
        <f t="shared" si="14"/>
        <v>1.2315117315117314</v>
      </c>
      <c r="R154" s="10" t="s">
        <v>340</v>
      </c>
      <c r="S154" s="14" t="s">
        <v>34</v>
      </c>
      <c r="T154" s="14" t="s">
        <v>27</v>
      </c>
      <c r="U154" s="13">
        <v>6734</v>
      </c>
      <c r="V154" s="15">
        <v>2</v>
      </c>
      <c r="W154" s="9" t="str">
        <f>IF(Table1[[#This Row],[Satisfaction Rating]]&lt;2, "Low", IF(Table1[[#This Row],[Satisfaction Rating]]&lt;4, "Medium", "High"))</f>
        <v>Medium</v>
      </c>
    </row>
    <row r="155" spans="1:23" ht="14" x14ac:dyDescent="0.2">
      <c r="A155" s="10" t="s">
        <v>341</v>
      </c>
      <c r="B155" s="11">
        <v>44967.804537037038</v>
      </c>
      <c r="C155" s="11">
        <v>45082.816550925927</v>
      </c>
      <c r="D155" s="11" t="str">
        <f>IF(Table1[[#This Row],[Duration of Campaign]]=0, "Ongoing","Completed")</f>
        <v>Completed</v>
      </c>
      <c r="E155" s="12">
        <f>Table1[[#This Row],[End Date]]-Table1[[#This Row],[Start Date]]</f>
        <v>115.01201388888876</v>
      </c>
      <c r="F155" s="13">
        <v>9853</v>
      </c>
      <c r="G155" s="14" t="s">
        <v>47</v>
      </c>
      <c r="H155" s="15">
        <v>3377</v>
      </c>
      <c r="I155" s="15">
        <v>341</v>
      </c>
      <c r="J155" s="15">
        <v>391</v>
      </c>
      <c r="K155" s="16">
        <v>6118</v>
      </c>
      <c r="L155" s="17">
        <f t="shared" si="10"/>
        <v>0.10097719869706841</v>
      </c>
      <c r="M155" s="17">
        <f t="shared" si="10"/>
        <v>1.1466275659824048</v>
      </c>
      <c r="N155" s="18">
        <f t="shared" si="11"/>
        <v>50.363636363636367</v>
      </c>
      <c r="O155" s="18">
        <f t="shared" si="12"/>
        <v>43.923273657289002</v>
      </c>
      <c r="P155" s="17">
        <f t="shared" si="13"/>
        <v>1.7430224297168375</v>
      </c>
      <c r="Q155" s="17">
        <f t="shared" si="14"/>
        <v>0.35623617095609644</v>
      </c>
      <c r="R155" s="10" t="s">
        <v>342</v>
      </c>
      <c r="S155" s="14" t="s">
        <v>34</v>
      </c>
      <c r="T155" s="14" t="s">
        <v>55</v>
      </c>
      <c r="U155" s="13">
        <v>17174</v>
      </c>
      <c r="V155" s="15">
        <v>3</v>
      </c>
      <c r="W155" s="9" t="str">
        <f>IF(Table1[[#This Row],[Satisfaction Rating]]&lt;2, "Low", IF(Table1[[#This Row],[Satisfaction Rating]]&lt;4, "Medium", "High"))</f>
        <v>Medium</v>
      </c>
    </row>
    <row r="156" spans="1:23" ht="14" x14ac:dyDescent="0.2">
      <c r="A156" s="10" t="s">
        <v>343</v>
      </c>
      <c r="B156" s="11">
        <v>44958.514351851853</v>
      </c>
      <c r="C156" s="11">
        <v>45574.743379629632</v>
      </c>
      <c r="D156" s="11" t="str">
        <f>IF(Table1[[#This Row],[Duration of Campaign]]=0, "Ongoing","Completed")</f>
        <v>Completed</v>
      </c>
      <c r="E156" s="12">
        <f>Table1[[#This Row],[End Date]]-Table1[[#This Row],[Start Date]]</f>
        <v>616.22902777777927</v>
      </c>
      <c r="F156" s="13">
        <v>9630</v>
      </c>
      <c r="G156" s="14" t="s">
        <v>29</v>
      </c>
      <c r="H156" s="15">
        <v>10943</v>
      </c>
      <c r="I156" s="15">
        <v>1060</v>
      </c>
      <c r="J156" s="15">
        <v>279</v>
      </c>
      <c r="K156" s="16">
        <v>13967</v>
      </c>
      <c r="L156" s="17">
        <f t="shared" si="10"/>
        <v>9.6865576167412953E-2</v>
      </c>
      <c r="M156" s="17">
        <f t="shared" si="10"/>
        <v>0.26320754716981132</v>
      </c>
      <c r="N156" s="18">
        <f t="shared" si="11"/>
        <v>7.2424528301886788</v>
      </c>
      <c r="O156" s="18">
        <f t="shared" si="12"/>
        <v>27.516129032258064</v>
      </c>
      <c r="P156" s="17">
        <f t="shared" si="13"/>
        <v>0.797196261682243</v>
      </c>
      <c r="Q156" s="17">
        <f t="shared" si="14"/>
        <v>1.8193304676305848</v>
      </c>
      <c r="R156" s="10" t="s">
        <v>344</v>
      </c>
      <c r="S156" s="14" t="s">
        <v>26</v>
      </c>
      <c r="T156" s="14" t="s">
        <v>55</v>
      </c>
      <c r="U156" s="13">
        <v>7677</v>
      </c>
      <c r="V156" s="15">
        <v>2</v>
      </c>
      <c r="W156" s="9" t="str">
        <f>IF(Table1[[#This Row],[Satisfaction Rating]]&lt;2, "Low", IF(Table1[[#This Row],[Satisfaction Rating]]&lt;4, "Medium", "High"))</f>
        <v>Medium</v>
      </c>
    </row>
    <row r="157" spans="1:23" ht="14" x14ac:dyDescent="0.2">
      <c r="A157" s="10" t="s">
        <v>345</v>
      </c>
      <c r="B157" s="11">
        <v>45099.202499999999</v>
      </c>
      <c r="C157" s="11">
        <v>45256.80064814815</v>
      </c>
      <c r="D157" s="11" t="str">
        <f>IF(Table1[[#This Row],[Duration of Campaign]]=0, "Ongoing","Completed")</f>
        <v>Completed</v>
      </c>
      <c r="E157" s="12">
        <f>Table1[[#This Row],[End Date]]-Table1[[#This Row],[Start Date]]</f>
        <v>157.59814814815036</v>
      </c>
      <c r="F157" s="13">
        <v>2928</v>
      </c>
      <c r="G157" s="14" t="s">
        <v>29</v>
      </c>
      <c r="H157" s="15">
        <v>4860</v>
      </c>
      <c r="I157" s="15">
        <v>1533</v>
      </c>
      <c r="J157" s="15">
        <v>109</v>
      </c>
      <c r="K157" s="16">
        <v>9269</v>
      </c>
      <c r="L157" s="17">
        <f t="shared" si="10"/>
        <v>0.3154320987654321</v>
      </c>
      <c r="M157" s="17">
        <f t="shared" si="10"/>
        <v>7.1102413568166989E-2</v>
      </c>
      <c r="N157" s="18">
        <f t="shared" si="11"/>
        <v>8.7971298108284408</v>
      </c>
      <c r="O157" s="18">
        <f t="shared" si="12"/>
        <v>123.72477064220183</v>
      </c>
      <c r="P157" s="17">
        <f t="shared" si="13"/>
        <v>4.6058743169398904</v>
      </c>
      <c r="Q157" s="17">
        <f t="shared" si="14"/>
        <v>0.68730535370013346</v>
      </c>
      <c r="R157" s="10" t="s">
        <v>346</v>
      </c>
      <c r="S157" s="14" t="s">
        <v>31</v>
      </c>
      <c r="T157" s="14" t="s">
        <v>27</v>
      </c>
      <c r="U157" s="13">
        <v>13486</v>
      </c>
      <c r="V157" s="15">
        <v>2</v>
      </c>
      <c r="W157" s="9" t="str">
        <f>IF(Table1[[#This Row],[Satisfaction Rating]]&lt;2, "Low", IF(Table1[[#This Row],[Satisfaction Rating]]&lt;4, "Medium", "High"))</f>
        <v>Medium</v>
      </c>
    </row>
    <row r="158" spans="1:23" ht="14" x14ac:dyDescent="0.2">
      <c r="A158" s="10" t="s">
        <v>347</v>
      </c>
      <c r="B158" s="11">
        <v>45456.19121527778</v>
      </c>
      <c r="C158" s="11">
        <v>45456.19121527778</v>
      </c>
      <c r="D158" s="11" t="str">
        <f>IF(Table1[[#This Row],[Duration of Campaign]]=0, "Ongoing","Completed")</f>
        <v>Ongoing</v>
      </c>
      <c r="E158" s="12">
        <f>Table1[[#This Row],[End Date]]-Table1[[#This Row],[Start Date]]</f>
        <v>0</v>
      </c>
      <c r="F158" s="13">
        <v>7021</v>
      </c>
      <c r="G158" s="14" t="s">
        <v>29</v>
      </c>
      <c r="H158" s="15">
        <v>10419</v>
      </c>
      <c r="I158" s="15">
        <v>1628</v>
      </c>
      <c r="J158" s="15">
        <v>312</v>
      </c>
      <c r="K158" s="16">
        <v>7525</v>
      </c>
      <c r="L158" s="17">
        <f t="shared" si="10"/>
        <v>0.15625299932815048</v>
      </c>
      <c r="M158" s="17">
        <f t="shared" si="10"/>
        <v>0.19164619164619165</v>
      </c>
      <c r="N158" s="18">
        <f t="shared" si="11"/>
        <v>8.0945945945945947</v>
      </c>
      <c r="O158" s="18">
        <f t="shared" si="12"/>
        <v>42.237179487179489</v>
      </c>
      <c r="P158" s="17">
        <f t="shared" si="13"/>
        <v>1.8769406067511751</v>
      </c>
      <c r="Q158" s="17">
        <f t="shared" si="14"/>
        <v>0.57102747002580057</v>
      </c>
      <c r="R158" s="10" t="s">
        <v>348</v>
      </c>
      <c r="S158" s="14" t="s">
        <v>26</v>
      </c>
      <c r="T158" s="14" t="s">
        <v>55</v>
      </c>
      <c r="U158" s="13">
        <v>13178</v>
      </c>
      <c r="V158" s="15">
        <v>2</v>
      </c>
      <c r="W158" s="9" t="str">
        <f>IF(Table1[[#This Row],[Satisfaction Rating]]&lt;2, "Low", IF(Table1[[#This Row],[Satisfaction Rating]]&lt;4, "Medium", "High"))</f>
        <v>Medium</v>
      </c>
    </row>
    <row r="159" spans="1:23" ht="14" x14ac:dyDescent="0.2">
      <c r="A159" s="10" t="s">
        <v>349</v>
      </c>
      <c r="B159" s="11">
        <v>44932.440520833334</v>
      </c>
      <c r="C159" s="11">
        <v>45057.618472222224</v>
      </c>
      <c r="D159" s="11" t="str">
        <f>IF(Table1[[#This Row],[Duration of Campaign]]=0, "Ongoing","Completed")</f>
        <v>Completed</v>
      </c>
      <c r="E159" s="12">
        <f>Table1[[#This Row],[End Date]]-Table1[[#This Row],[Start Date]]</f>
        <v>125.17795138889051</v>
      </c>
      <c r="F159" s="13">
        <v>1905</v>
      </c>
      <c r="G159" s="14" t="s">
        <v>24</v>
      </c>
      <c r="H159" s="15">
        <v>6310</v>
      </c>
      <c r="I159" s="15">
        <v>1394</v>
      </c>
      <c r="J159" s="15">
        <v>317</v>
      </c>
      <c r="K159" s="16">
        <v>10128</v>
      </c>
      <c r="L159" s="17">
        <f t="shared" si="10"/>
        <v>0.22091917591125199</v>
      </c>
      <c r="M159" s="17">
        <f t="shared" si="10"/>
        <v>0.22740315638450503</v>
      </c>
      <c r="N159" s="18">
        <f t="shared" si="11"/>
        <v>13.961262553802008</v>
      </c>
      <c r="O159" s="18">
        <f t="shared" si="12"/>
        <v>61.394321766561511</v>
      </c>
      <c r="P159" s="17">
        <f t="shared" si="13"/>
        <v>10.216272965879265</v>
      </c>
      <c r="Q159" s="17">
        <f t="shared" si="14"/>
        <v>0.52039872572191959</v>
      </c>
      <c r="R159" s="10" t="s">
        <v>350</v>
      </c>
      <c r="S159" s="14" t="s">
        <v>40</v>
      </c>
      <c r="T159" s="14" t="s">
        <v>55</v>
      </c>
      <c r="U159" s="13">
        <v>19462</v>
      </c>
      <c r="V159" s="15">
        <v>2</v>
      </c>
      <c r="W159" s="9" t="str">
        <f>IF(Table1[[#This Row],[Satisfaction Rating]]&lt;2, "Low", IF(Table1[[#This Row],[Satisfaction Rating]]&lt;4, "Medium", "High"))</f>
        <v>Medium</v>
      </c>
    </row>
    <row r="160" spans="1:23" ht="14" x14ac:dyDescent="0.2">
      <c r="A160" s="10" t="s">
        <v>351</v>
      </c>
      <c r="B160" s="11">
        <v>45245.173356481479</v>
      </c>
      <c r="C160" s="11">
        <v>45336.189814814818</v>
      </c>
      <c r="D160" s="11" t="str">
        <f>IF(Table1[[#This Row],[Duration of Campaign]]=0, "Ongoing","Completed")</f>
        <v>Completed</v>
      </c>
      <c r="E160" s="12">
        <f>Table1[[#This Row],[End Date]]-Table1[[#This Row],[Start Date]]</f>
        <v>91.01645833333896</v>
      </c>
      <c r="F160" s="13">
        <v>4907</v>
      </c>
      <c r="G160" s="14" t="s">
        <v>47</v>
      </c>
      <c r="H160" s="15">
        <v>14252</v>
      </c>
      <c r="I160" s="15">
        <v>1378</v>
      </c>
      <c r="J160" s="15">
        <v>109</v>
      </c>
      <c r="K160" s="16">
        <v>6784</v>
      </c>
      <c r="L160" s="17">
        <f t="shared" si="10"/>
        <v>9.6688184114510245E-2</v>
      </c>
      <c r="M160" s="17">
        <f t="shared" si="10"/>
        <v>7.9100145137880981E-2</v>
      </c>
      <c r="N160" s="18">
        <f t="shared" si="11"/>
        <v>8.6545718432510892</v>
      </c>
      <c r="O160" s="18">
        <f t="shared" si="12"/>
        <v>109.41284403669725</v>
      </c>
      <c r="P160" s="17">
        <f t="shared" si="13"/>
        <v>2.4304055431016915</v>
      </c>
      <c r="Q160" s="17">
        <f t="shared" si="14"/>
        <v>0.56884118732181788</v>
      </c>
      <c r="R160" s="10" t="s">
        <v>352</v>
      </c>
      <c r="S160" s="14" t="s">
        <v>31</v>
      </c>
      <c r="T160" s="14" t="s">
        <v>27</v>
      </c>
      <c r="U160" s="13">
        <v>11926</v>
      </c>
      <c r="V160" s="15">
        <v>5</v>
      </c>
      <c r="W160" s="9" t="str">
        <f>IF(Table1[[#This Row],[Satisfaction Rating]]&lt;2, "Low", IF(Table1[[#This Row],[Satisfaction Rating]]&lt;4, "Medium", "High"))</f>
        <v>High</v>
      </c>
    </row>
    <row r="161" spans="1:23" ht="14" x14ac:dyDescent="0.2">
      <c r="A161" s="10" t="s">
        <v>353</v>
      </c>
      <c r="B161" s="11">
        <v>45231.25953703704</v>
      </c>
      <c r="C161" s="11">
        <v>45231.25953703704</v>
      </c>
      <c r="D161" s="11" t="str">
        <f>IF(Table1[[#This Row],[Duration of Campaign]]=0, "Ongoing","Completed")</f>
        <v>Ongoing</v>
      </c>
      <c r="E161" s="12">
        <f>Table1[[#This Row],[End Date]]-Table1[[#This Row],[Start Date]]</f>
        <v>0</v>
      </c>
      <c r="F161" s="13">
        <v>4526</v>
      </c>
      <c r="G161" s="14" t="s">
        <v>24</v>
      </c>
      <c r="H161" s="15">
        <v>1631</v>
      </c>
      <c r="I161" s="15">
        <v>853</v>
      </c>
      <c r="J161" s="15">
        <v>28</v>
      </c>
      <c r="K161" s="16">
        <v>3598</v>
      </c>
      <c r="L161" s="17">
        <f t="shared" si="10"/>
        <v>0.52299202942979772</v>
      </c>
      <c r="M161" s="17">
        <f t="shared" si="10"/>
        <v>3.2825322391559206E-2</v>
      </c>
      <c r="N161" s="18">
        <f t="shared" si="11"/>
        <v>12.488862837045721</v>
      </c>
      <c r="O161" s="18">
        <f t="shared" si="12"/>
        <v>380.46428571428572</v>
      </c>
      <c r="P161" s="17">
        <f t="shared" si="13"/>
        <v>2.3537339814405658</v>
      </c>
      <c r="Q161" s="17">
        <f t="shared" si="14"/>
        <v>0.3377452360837323</v>
      </c>
      <c r="R161" s="10" t="s">
        <v>354</v>
      </c>
      <c r="S161" s="14" t="s">
        <v>26</v>
      </c>
      <c r="T161" s="14" t="s">
        <v>37</v>
      </c>
      <c r="U161" s="13">
        <v>10653</v>
      </c>
      <c r="V161" s="15">
        <v>1</v>
      </c>
      <c r="W161" s="9" t="str">
        <f>IF(Table1[[#This Row],[Satisfaction Rating]]&lt;2, "Low", IF(Table1[[#This Row],[Satisfaction Rating]]&lt;4, "Medium", "High"))</f>
        <v>Low</v>
      </c>
    </row>
    <row r="162" spans="1:23" ht="14" x14ac:dyDescent="0.2">
      <c r="A162" s="10" t="s">
        <v>355</v>
      </c>
      <c r="B162" s="11">
        <v>44976.786134259259</v>
      </c>
      <c r="C162" s="11">
        <v>45131.963020833333</v>
      </c>
      <c r="D162" s="11" t="str">
        <f>IF(Table1[[#This Row],[Duration of Campaign]]=0, "Ongoing","Completed")</f>
        <v>Completed</v>
      </c>
      <c r="E162" s="12">
        <f>Table1[[#This Row],[End Date]]-Table1[[#This Row],[Start Date]]</f>
        <v>155.17688657407416</v>
      </c>
      <c r="F162" s="13">
        <v>3930</v>
      </c>
      <c r="G162" s="14" t="s">
        <v>47</v>
      </c>
      <c r="H162" s="15">
        <v>2487</v>
      </c>
      <c r="I162" s="15">
        <v>1790</v>
      </c>
      <c r="J162" s="15">
        <v>214</v>
      </c>
      <c r="K162" s="16">
        <v>11632</v>
      </c>
      <c r="L162" s="17">
        <f t="shared" si="10"/>
        <v>0.7197426618415762</v>
      </c>
      <c r="M162" s="17">
        <f t="shared" si="10"/>
        <v>0.11955307262569832</v>
      </c>
      <c r="N162" s="18">
        <f t="shared" si="11"/>
        <v>2.0754189944134076</v>
      </c>
      <c r="O162" s="18">
        <f t="shared" si="12"/>
        <v>17.359813084112151</v>
      </c>
      <c r="P162" s="17">
        <f t="shared" si="13"/>
        <v>0.94529262086513999</v>
      </c>
      <c r="Q162" s="17">
        <f t="shared" si="14"/>
        <v>3.1310901749663524</v>
      </c>
      <c r="R162" s="10" t="s">
        <v>356</v>
      </c>
      <c r="S162" s="14" t="s">
        <v>45</v>
      </c>
      <c r="T162" s="14" t="s">
        <v>27</v>
      </c>
      <c r="U162" s="13">
        <v>3715</v>
      </c>
      <c r="V162" s="15">
        <v>1</v>
      </c>
      <c r="W162" s="9" t="str">
        <f>IF(Table1[[#This Row],[Satisfaction Rating]]&lt;2, "Low", IF(Table1[[#This Row],[Satisfaction Rating]]&lt;4, "Medium", "High"))</f>
        <v>Low</v>
      </c>
    </row>
    <row r="163" spans="1:23" ht="14" x14ac:dyDescent="0.2">
      <c r="A163" s="10" t="s">
        <v>357</v>
      </c>
      <c r="B163" s="11">
        <v>45354.535532407404</v>
      </c>
      <c r="C163" s="11">
        <v>45354.535532407404</v>
      </c>
      <c r="D163" s="11" t="str">
        <f>IF(Table1[[#This Row],[Duration of Campaign]]=0, "Ongoing","Completed")</f>
        <v>Ongoing</v>
      </c>
      <c r="E163" s="12">
        <f>Table1[[#This Row],[End Date]]-Table1[[#This Row],[Start Date]]</f>
        <v>0</v>
      </c>
      <c r="F163" s="13">
        <v>1557</v>
      </c>
      <c r="G163" s="14" t="s">
        <v>24</v>
      </c>
      <c r="H163" s="15">
        <v>19370</v>
      </c>
      <c r="I163" s="15">
        <v>605</v>
      </c>
      <c r="J163" s="15">
        <v>466</v>
      </c>
      <c r="K163" s="16">
        <v>9190</v>
      </c>
      <c r="L163" s="17">
        <f t="shared" si="10"/>
        <v>3.1233866804336603E-2</v>
      </c>
      <c r="M163" s="17">
        <f t="shared" si="10"/>
        <v>0.77024793388429758</v>
      </c>
      <c r="N163" s="18">
        <f t="shared" si="11"/>
        <v>11.8</v>
      </c>
      <c r="O163" s="18">
        <f t="shared" si="12"/>
        <v>15.319742489270386</v>
      </c>
      <c r="P163" s="17">
        <f t="shared" si="13"/>
        <v>4.5850995504174694</v>
      </c>
      <c r="Q163" s="17">
        <f t="shared" si="14"/>
        <v>1.2872951393752627</v>
      </c>
      <c r="R163" s="10" t="s">
        <v>358</v>
      </c>
      <c r="S163" s="14" t="s">
        <v>45</v>
      </c>
      <c r="T163" s="14" t="s">
        <v>37</v>
      </c>
      <c r="U163" s="13">
        <v>7139</v>
      </c>
      <c r="V163" s="15">
        <v>2</v>
      </c>
      <c r="W163" s="9" t="str">
        <f>IF(Table1[[#This Row],[Satisfaction Rating]]&lt;2, "Low", IF(Table1[[#This Row],[Satisfaction Rating]]&lt;4, "Medium", "High"))</f>
        <v>Medium</v>
      </c>
    </row>
    <row r="164" spans="1:23" ht="14" x14ac:dyDescent="0.2">
      <c r="A164" s="10" t="s">
        <v>359</v>
      </c>
      <c r="B164" s="11">
        <v>45005.588703703703</v>
      </c>
      <c r="C164" s="11">
        <v>45227.951817129629</v>
      </c>
      <c r="D164" s="11" t="str">
        <f>IF(Table1[[#This Row],[Duration of Campaign]]=0, "Ongoing","Completed")</f>
        <v>Completed</v>
      </c>
      <c r="E164" s="12">
        <f>Table1[[#This Row],[End Date]]-Table1[[#This Row],[Start Date]]</f>
        <v>222.36311342592671</v>
      </c>
      <c r="F164" s="13">
        <v>1489</v>
      </c>
      <c r="G164" s="14" t="s">
        <v>63</v>
      </c>
      <c r="H164" s="15">
        <v>17425</v>
      </c>
      <c r="I164" s="15">
        <v>499</v>
      </c>
      <c r="J164" s="15">
        <v>488</v>
      </c>
      <c r="K164" s="16">
        <v>13112</v>
      </c>
      <c r="L164" s="17">
        <f t="shared" si="10"/>
        <v>2.8637015781922525E-2</v>
      </c>
      <c r="M164" s="17">
        <f t="shared" si="10"/>
        <v>0.97795591182364727</v>
      </c>
      <c r="N164" s="18">
        <f t="shared" si="11"/>
        <v>7.4108216432865728</v>
      </c>
      <c r="O164" s="18">
        <f t="shared" si="12"/>
        <v>7.5778688524590168</v>
      </c>
      <c r="P164" s="17">
        <f t="shared" si="13"/>
        <v>2.4835460040295501</v>
      </c>
      <c r="Q164" s="17">
        <f t="shared" si="14"/>
        <v>3.5457003785830179</v>
      </c>
      <c r="R164" s="10" t="s">
        <v>360</v>
      </c>
      <c r="S164" s="14" t="s">
        <v>40</v>
      </c>
      <c r="T164" s="14" t="s">
        <v>55</v>
      </c>
      <c r="U164" s="13">
        <v>3698</v>
      </c>
      <c r="V164" s="15">
        <v>5</v>
      </c>
      <c r="W164" s="9" t="str">
        <f>IF(Table1[[#This Row],[Satisfaction Rating]]&lt;2, "Low", IF(Table1[[#This Row],[Satisfaction Rating]]&lt;4, "Medium", "High"))</f>
        <v>High</v>
      </c>
    </row>
    <row r="165" spans="1:23" ht="14" x14ac:dyDescent="0.2">
      <c r="A165" s="10" t="s">
        <v>361</v>
      </c>
      <c r="B165" s="11">
        <v>45052.515497685185</v>
      </c>
      <c r="C165" s="11">
        <v>45355.776886574073</v>
      </c>
      <c r="D165" s="11" t="str">
        <f>IF(Table1[[#This Row],[Duration of Campaign]]=0, "Ongoing","Completed")</f>
        <v>Completed</v>
      </c>
      <c r="E165" s="12">
        <f>Table1[[#This Row],[End Date]]-Table1[[#This Row],[Start Date]]</f>
        <v>303.26138888888818</v>
      </c>
      <c r="F165" s="13">
        <v>4579</v>
      </c>
      <c r="G165" s="14" t="s">
        <v>63</v>
      </c>
      <c r="H165" s="15">
        <v>7731</v>
      </c>
      <c r="I165" s="15">
        <v>1422</v>
      </c>
      <c r="J165" s="15">
        <v>235</v>
      </c>
      <c r="K165" s="16">
        <v>11466</v>
      </c>
      <c r="L165" s="17">
        <f t="shared" si="10"/>
        <v>0.18393480791618161</v>
      </c>
      <c r="M165" s="17">
        <f t="shared" si="10"/>
        <v>0.16526019690576652</v>
      </c>
      <c r="N165" s="18">
        <f t="shared" si="11"/>
        <v>8.4303797468354436</v>
      </c>
      <c r="O165" s="18">
        <f t="shared" si="12"/>
        <v>51.01276595744681</v>
      </c>
      <c r="P165" s="17">
        <f t="shared" si="13"/>
        <v>2.6180388731164008</v>
      </c>
      <c r="Q165" s="17">
        <f t="shared" si="14"/>
        <v>0.95645645645645649</v>
      </c>
      <c r="R165" s="10" t="s">
        <v>362</v>
      </c>
      <c r="S165" s="14" t="s">
        <v>45</v>
      </c>
      <c r="T165" s="14" t="s">
        <v>37</v>
      </c>
      <c r="U165" s="13">
        <v>11988</v>
      </c>
      <c r="V165" s="15">
        <v>4</v>
      </c>
      <c r="W165" s="9" t="str">
        <f>IF(Table1[[#This Row],[Satisfaction Rating]]&lt;2, "Low", IF(Table1[[#This Row],[Satisfaction Rating]]&lt;4, "Medium", "High"))</f>
        <v>High</v>
      </c>
    </row>
    <row r="166" spans="1:23" ht="14" x14ac:dyDescent="0.2">
      <c r="A166" s="10" t="s">
        <v>363</v>
      </c>
      <c r="B166" s="11">
        <v>45169.367361111108</v>
      </c>
      <c r="C166" s="11">
        <v>45640.778935185182</v>
      </c>
      <c r="D166" s="11" t="str">
        <f>IF(Table1[[#This Row],[Duration of Campaign]]=0, "Ongoing","Completed")</f>
        <v>Completed</v>
      </c>
      <c r="E166" s="12">
        <f>Table1[[#This Row],[End Date]]-Table1[[#This Row],[Start Date]]</f>
        <v>471.41157407407445</v>
      </c>
      <c r="F166" s="13">
        <v>2160</v>
      </c>
      <c r="G166" s="14" t="s">
        <v>24</v>
      </c>
      <c r="H166" s="15">
        <v>6391</v>
      </c>
      <c r="I166" s="15">
        <v>741</v>
      </c>
      <c r="J166" s="15">
        <v>327</v>
      </c>
      <c r="K166" s="16">
        <v>870</v>
      </c>
      <c r="L166" s="17">
        <f t="shared" si="10"/>
        <v>0.11594429666718824</v>
      </c>
      <c r="M166" s="17">
        <f t="shared" si="10"/>
        <v>0.44129554655870445</v>
      </c>
      <c r="N166" s="18">
        <f t="shared" si="11"/>
        <v>18.278002699055332</v>
      </c>
      <c r="O166" s="18">
        <f t="shared" si="12"/>
        <v>41.418960244648318</v>
      </c>
      <c r="P166" s="17">
        <f t="shared" si="13"/>
        <v>6.2703703703703706</v>
      </c>
      <c r="Q166" s="17">
        <f t="shared" si="14"/>
        <v>6.4235085646780862E-2</v>
      </c>
      <c r="R166" s="10" t="s">
        <v>364</v>
      </c>
      <c r="S166" s="14" t="s">
        <v>40</v>
      </c>
      <c r="T166" s="14" t="s">
        <v>27</v>
      </c>
      <c r="U166" s="13">
        <v>13544</v>
      </c>
      <c r="V166" s="15">
        <v>1</v>
      </c>
      <c r="W166" s="9" t="str">
        <f>IF(Table1[[#This Row],[Satisfaction Rating]]&lt;2, "Low", IF(Table1[[#This Row],[Satisfaction Rating]]&lt;4, "Medium", "High"))</f>
        <v>Low</v>
      </c>
    </row>
    <row r="167" spans="1:23" ht="14" x14ac:dyDescent="0.2">
      <c r="A167" s="10" t="s">
        <v>365</v>
      </c>
      <c r="B167" s="11">
        <v>45591.006655092591</v>
      </c>
      <c r="C167" s="11">
        <v>45591.006655092591</v>
      </c>
      <c r="D167" s="11" t="str">
        <f>IF(Table1[[#This Row],[Duration of Campaign]]=0, "Ongoing","Completed")</f>
        <v>Ongoing</v>
      </c>
      <c r="E167" s="12">
        <f>Table1[[#This Row],[End Date]]-Table1[[#This Row],[Start Date]]</f>
        <v>0</v>
      </c>
      <c r="F167" s="13">
        <v>9585</v>
      </c>
      <c r="G167" s="14" t="s">
        <v>47</v>
      </c>
      <c r="H167" s="15">
        <v>9394</v>
      </c>
      <c r="I167" s="15">
        <v>1368</v>
      </c>
      <c r="J167" s="15">
        <v>281</v>
      </c>
      <c r="K167" s="16">
        <v>7409</v>
      </c>
      <c r="L167" s="17">
        <f t="shared" si="10"/>
        <v>0.14562486693634236</v>
      </c>
      <c r="M167" s="17">
        <f t="shared" si="10"/>
        <v>0.20540935672514621</v>
      </c>
      <c r="N167" s="18">
        <f t="shared" si="11"/>
        <v>12.470760233918128</v>
      </c>
      <c r="O167" s="18">
        <f t="shared" si="12"/>
        <v>60.711743772241995</v>
      </c>
      <c r="P167" s="17">
        <f t="shared" si="13"/>
        <v>1.7798643714136673</v>
      </c>
      <c r="Q167" s="17">
        <f t="shared" si="14"/>
        <v>0.43429073856975381</v>
      </c>
      <c r="R167" s="10" t="s">
        <v>366</v>
      </c>
      <c r="S167" s="14" t="s">
        <v>34</v>
      </c>
      <c r="T167" s="14" t="s">
        <v>55</v>
      </c>
      <c r="U167" s="13">
        <v>17060</v>
      </c>
      <c r="V167" s="15">
        <v>4</v>
      </c>
      <c r="W167" s="9" t="str">
        <f>IF(Table1[[#This Row],[Satisfaction Rating]]&lt;2, "Low", IF(Table1[[#This Row],[Satisfaction Rating]]&lt;4, "Medium", "High"))</f>
        <v>High</v>
      </c>
    </row>
    <row r="168" spans="1:23" ht="14" x14ac:dyDescent="0.2">
      <c r="A168" s="10" t="s">
        <v>367</v>
      </c>
      <c r="B168" s="11">
        <v>45397.486597222225</v>
      </c>
      <c r="C168" s="11">
        <v>45467.966412037036</v>
      </c>
      <c r="D168" s="11" t="str">
        <f>IF(Table1[[#This Row],[Duration of Campaign]]=0, "Ongoing","Completed")</f>
        <v>Completed</v>
      </c>
      <c r="E168" s="12">
        <f>Table1[[#This Row],[End Date]]-Table1[[#This Row],[Start Date]]</f>
        <v>70.479814814811107</v>
      </c>
      <c r="F168" s="13">
        <v>4884</v>
      </c>
      <c r="G168" s="14" t="s">
        <v>24</v>
      </c>
      <c r="H168" s="15">
        <v>10481</v>
      </c>
      <c r="I168" s="15">
        <v>1276</v>
      </c>
      <c r="J168" s="15">
        <v>283</v>
      </c>
      <c r="K168" s="16">
        <v>7412</v>
      </c>
      <c r="L168" s="17">
        <f t="shared" si="10"/>
        <v>0.12174410838660434</v>
      </c>
      <c r="M168" s="17">
        <f t="shared" si="10"/>
        <v>0.22178683385579936</v>
      </c>
      <c r="N168" s="18">
        <f t="shared" si="11"/>
        <v>8.0540752351097176</v>
      </c>
      <c r="O168" s="18">
        <f t="shared" si="12"/>
        <v>36.314487632508836</v>
      </c>
      <c r="P168" s="17">
        <f t="shared" si="13"/>
        <v>2.104217854217854</v>
      </c>
      <c r="Q168" s="17">
        <f t="shared" si="14"/>
        <v>0.72122214654081929</v>
      </c>
      <c r="R168" s="10" t="s">
        <v>368</v>
      </c>
      <c r="S168" s="14" t="s">
        <v>45</v>
      </c>
      <c r="T168" s="14" t="s">
        <v>27</v>
      </c>
      <c r="U168" s="13">
        <v>10277</v>
      </c>
      <c r="V168" s="15">
        <v>5</v>
      </c>
      <c r="W168" s="9" t="str">
        <f>IF(Table1[[#This Row],[Satisfaction Rating]]&lt;2, "Low", IF(Table1[[#This Row],[Satisfaction Rating]]&lt;4, "Medium", "High"))</f>
        <v>High</v>
      </c>
    </row>
    <row r="169" spans="1:23" ht="14" x14ac:dyDescent="0.2">
      <c r="A169" s="10" t="s">
        <v>369</v>
      </c>
      <c r="B169" s="11">
        <v>45119.304826388892</v>
      </c>
      <c r="C169" s="11">
        <v>45119.304826388892</v>
      </c>
      <c r="D169" s="11" t="str">
        <f>IF(Table1[[#This Row],[Duration of Campaign]]=0, "Ongoing","Completed")</f>
        <v>Ongoing</v>
      </c>
      <c r="E169" s="12">
        <f>Table1[[#This Row],[End Date]]-Table1[[#This Row],[Start Date]]</f>
        <v>0</v>
      </c>
      <c r="F169" s="13">
        <v>4018</v>
      </c>
      <c r="G169" s="14" t="s">
        <v>24</v>
      </c>
      <c r="H169" s="15">
        <v>16257</v>
      </c>
      <c r="I169" s="15">
        <v>1924</v>
      </c>
      <c r="J169" s="15">
        <v>486</v>
      </c>
      <c r="K169" s="16">
        <v>7340</v>
      </c>
      <c r="L169" s="17">
        <f t="shared" si="10"/>
        <v>0.11834901888417297</v>
      </c>
      <c r="M169" s="17">
        <f t="shared" si="10"/>
        <v>0.25259875259875259</v>
      </c>
      <c r="N169" s="18">
        <f t="shared" si="11"/>
        <v>3.9121621621621623</v>
      </c>
      <c r="O169" s="18">
        <f t="shared" si="12"/>
        <v>15.487654320987655</v>
      </c>
      <c r="P169" s="17">
        <f t="shared" si="13"/>
        <v>1.8733200597312096</v>
      </c>
      <c r="Q169" s="17">
        <f t="shared" si="14"/>
        <v>0.97515610468978342</v>
      </c>
      <c r="R169" s="10" t="s">
        <v>370</v>
      </c>
      <c r="S169" s="14" t="s">
        <v>34</v>
      </c>
      <c r="T169" s="14" t="s">
        <v>37</v>
      </c>
      <c r="U169" s="13">
        <v>7527</v>
      </c>
      <c r="V169" s="15">
        <v>1</v>
      </c>
      <c r="W169" s="9" t="str">
        <f>IF(Table1[[#This Row],[Satisfaction Rating]]&lt;2, "Low", IF(Table1[[#This Row],[Satisfaction Rating]]&lt;4, "Medium", "High"))</f>
        <v>Low</v>
      </c>
    </row>
    <row r="170" spans="1:23" ht="14" x14ac:dyDescent="0.2">
      <c r="A170" s="10" t="s">
        <v>371</v>
      </c>
      <c r="B170" s="11">
        <v>45461.340127314812</v>
      </c>
      <c r="C170" s="11">
        <v>45461.340127314812</v>
      </c>
      <c r="D170" s="11" t="str">
        <f>IF(Table1[[#This Row],[Duration of Campaign]]=0, "Ongoing","Completed")</f>
        <v>Ongoing</v>
      </c>
      <c r="E170" s="12">
        <f>Table1[[#This Row],[End Date]]-Table1[[#This Row],[Start Date]]</f>
        <v>0</v>
      </c>
      <c r="F170" s="13">
        <v>6676</v>
      </c>
      <c r="G170" s="14" t="s">
        <v>47</v>
      </c>
      <c r="H170" s="15">
        <v>17274</v>
      </c>
      <c r="I170" s="15">
        <v>1803</v>
      </c>
      <c r="J170" s="15">
        <v>207</v>
      </c>
      <c r="K170" s="16">
        <v>9247</v>
      </c>
      <c r="L170" s="17">
        <f t="shared" si="10"/>
        <v>0.10437651962486974</v>
      </c>
      <c r="M170" s="17">
        <f t="shared" si="10"/>
        <v>0.11480865224625623</v>
      </c>
      <c r="N170" s="18">
        <f t="shared" si="11"/>
        <v>8.1536328341652808</v>
      </c>
      <c r="O170" s="18">
        <f t="shared" si="12"/>
        <v>71.019323671497588</v>
      </c>
      <c r="P170" s="17">
        <f t="shared" si="13"/>
        <v>2.202067106051528</v>
      </c>
      <c r="Q170" s="17">
        <f t="shared" si="14"/>
        <v>0.62900482960342829</v>
      </c>
      <c r="R170" s="10" t="s">
        <v>372</v>
      </c>
      <c r="S170" s="14" t="s">
        <v>45</v>
      </c>
      <c r="T170" s="14" t="s">
        <v>37</v>
      </c>
      <c r="U170" s="13">
        <v>14701</v>
      </c>
      <c r="V170" s="15">
        <v>5</v>
      </c>
      <c r="W170" s="9" t="str">
        <f>IF(Table1[[#This Row],[Satisfaction Rating]]&lt;2, "Low", IF(Table1[[#This Row],[Satisfaction Rating]]&lt;4, "Medium", "High"))</f>
        <v>High</v>
      </c>
    </row>
    <row r="171" spans="1:23" ht="14" x14ac:dyDescent="0.2">
      <c r="A171" s="10" t="s">
        <v>373</v>
      </c>
      <c r="B171" s="11">
        <v>45611.709027777775</v>
      </c>
      <c r="C171" s="11">
        <v>45611.709027777775</v>
      </c>
      <c r="D171" s="11" t="str">
        <f>IF(Table1[[#This Row],[Duration of Campaign]]=0, "Ongoing","Completed")</f>
        <v>Ongoing</v>
      </c>
      <c r="E171" s="12">
        <f>Table1[[#This Row],[End Date]]-Table1[[#This Row],[Start Date]]</f>
        <v>0</v>
      </c>
      <c r="F171" s="13">
        <v>4607</v>
      </c>
      <c r="G171" s="14" t="s">
        <v>63</v>
      </c>
      <c r="H171" s="15">
        <v>9395</v>
      </c>
      <c r="I171" s="15">
        <v>1351</v>
      </c>
      <c r="J171" s="15">
        <v>241</v>
      </c>
      <c r="K171" s="16">
        <v>1557</v>
      </c>
      <c r="L171" s="17">
        <f t="shared" si="10"/>
        <v>0.14379989356040446</v>
      </c>
      <c r="M171" s="17">
        <f t="shared" si="10"/>
        <v>0.17838638045891933</v>
      </c>
      <c r="N171" s="18">
        <f t="shared" si="11"/>
        <v>13.278312361213915</v>
      </c>
      <c r="O171" s="18">
        <f t="shared" si="12"/>
        <v>74.435684647302907</v>
      </c>
      <c r="P171" s="17">
        <f t="shared" si="13"/>
        <v>3.8938571738658565</v>
      </c>
      <c r="Q171" s="17">
        <f t="shared" si="14"/>
        <v>8.6794135682033563E-2</v>
      </c>
      <c r="R171" s="10" t="s">
        <v>374</v>
      </c>
      <c r="S171" s="14" t="s">
        <v>40</v>
      </c>
      <c r="T171" s="14" t="s">
        <v>27</v>
      </c>
      <c r="U171" s="13">
        <v>17939</v>
      </c>
      <c r="V171" s="15">
        <v>2</v>
      </c>
      <c r="W171" s="9" t="str">
        <f>IF(Table1[[#This Row],[Satisfaction Rating]]&lt;2, "Low", IF(Table1[[#This Row],[Satisfaction Rating]]&lt;4, "Medium", "High"))</f>
        <v>Medium</v>
      </c>
    </row>
    <row r="172" spans="1:23" ht="14" x14ac:dyDescent="0.2">
      <c r="A172" s="10" t="s">
        <v>375</v>
      </c>
      <c r="B172" s="11">
        <v>45027.337037037039</v>
      </c>
      <c r="C172" s="11">
        <v>45499.228530092594</v>
      </c>
      <c r="D172" s="11" t="str">
        <f>IF(Table1[[#This Row],[Duration of Campaign]]=0, "Ongoing","Completed")</f>
        <v>Completed</v>
      </c>
      <c r="E172" s="12">
        <f>Table1[[#This Row],[End Date]]-Table1[[#This Row],[Start Date]]</f>
        <v>471.89149305555475</v>
      </c>
      <c r="F172" s="13">
        <v>4571</v>
      </c>
      <c r="G172" s="14" t="s">
        <v>29</v>
      </c>
      <c r="H172" s="15">
        <v>6751</v>
      </c>
      <c r="I172" s="15">
        <v>1302</v>
      </c>
      <c r="J172" s="15">
        <v>214</v>
      </c>
      <c r="K172" s="16">
        <v>13351</v>
      </c>
      <c r="L172" s="17">
        <f t="shared" si="10"/>
        <v>0.19286031699007555</v>
      </c>
      <c r="M172" s="17">
        <f t="shared" si="10"/>
        <v>0.16436251920122888</v>
      </c>
      <c r="N172" s="18">
        <f t="shared" si="11"/>
        <v>7.0783410138248852</v>
      </c>
      <c r="O172" s="18">
        <f t="shared" si="12"/>
        <v>43.065420560747661</v>
      </c>
      <c r="P172" s="17">
        <f t="shared" si="13"/>
        <v>2.0161890177204111</v>
      </c>
      <c r="Q172" s="17">
        <f t="shared" si="14"/>
        <v>1.4486762152777777</v>
      </c>
      <c r="R172" s="10" t="s">
        <v>376</v>
      </c>
      <c r="S172" s="14" t="s">
        <v>31</v>
      </c>
      <c r="T172" s="14" t="s">
        <v>27</v>
      </c>
      <c r="U172" s="13">
        <v>9216</v>
      </c>
      <c r="V172" s="15">
        <v>4</v>
      </c>
      <c r="W172" s="9" t="str">
        <f>IF(Table1[[#This Row],[Satisfaction Rating]]&lt;2, "Low", IF(Table1[[#This Row],[Satisfaction Rating]]&lt;4, "Medium", "High"))</f>
        <v>High</v>
      </c>
    </row>
    <row r="173" spans="1:23" ht="14" x14ac:dyDescent="0.2">
      <c r="A173" s="10" t="s">
        <v>377</v>
      </c>
      <c r="B173" s="11">
        <v>45291.539502314816</v>
      </c>
      <c r="C173" s="11">
        <v>45291.539502314816</v>
      </c>
      <c r="D173" s="11" t="str">
        <f>IF(Table1[[#This Row],[Duration of Campaign]]=0, "Ongoing","Completed")</f>
        <v>Ongoing</v>
      </c>
      <c r="E173" s="12">
        <f>Table1[[#This Row],[End Date]]-Table1[[#This Row],[Start Date]]</f>
        <v>0</v>
      </c>
      <c r="F173" s="13">
        <v>3466</v>
      </c>
      <c r="G173" s="14" t="s">
        <v>47</v>
      </c>
      <c r="H173" s="15">
        <v>5424</v>
      </c>
      <c r="I173" s="15">
        <v>447</v>
      </c>
      <c r="J173" s="15">
        <v>25</v>
      </c>
      <c r="K173" s="16">
        <v>4030</v>
      </c>
      <c r="L173" s="17">
        <f t="shared" si="10"/>
        <v>8.2411504424778764E-2</v>
      </c>
      <c r="M173" s="17">
        <f t="shared" si="10"/>
        <v>5.5928411633109618E-2</v>
      </c>
      <c r="N173" s="18">
        <f t="shared" si="11"/>
        <v>39.259507829977629</v>
      </c>
      <c r="O173" s="18">
        <f t="shared" si="12"/>
        <v>701.96</v>
      </c>
      <c r="P173" s="17">
        <f t="shared" si="13"/>
        <v>5.0631852279284475</v>
      </c>
      <c r="Q173" s="17">
        <f t="shared" si="14"/>
        <v>0.2296427146845974</v>
      </c>
      <c r="R173" s="10" t="s">
        <v>378</v>
      </c>
      <c r="S173" s="14" t="s">
        <v>31</v>
      </c>
      <c r="T173" s="14" t="s">
        <v>55</v>
      </c>
      <c r="U173" s="13">
        <v>17549</v>
      </c>
      <c r="V173" s="15">
        <v>2</v>
      </c>
      <c r="W173" s="9" t="str">
        <f>IF(Table1[[#This Row],[Satisfaction Rating]]&lt;2, "Low", IF(Table1[[#This Row],[Satisfaction Rating]]&lt;4, "Medium", "High"))</f>
        <v>Medium</v>
      </c>
    </row>
    <row r="174" spans="1:23" ht="14" x14ac:dyDescent="0.2">
      <c r="A174" s="10" t="s">
        <v>379</v>
      </c>
      <c r="B174" s="11">
        <v>45387.314351851855</v>
      </c>
      <c r="C174" s="11">
        <v>45535.923136574071</v>
      </c>
      <c r="D174" s="11" t="str">
        <f>IF(Table1[[#This Row],[Duration of Campaign]]=0, "Ongoing","Completed")</f>
        <v>Completed</v>
      </c>
      <c r="E174" s="12">
        <f>Table1[[#This Row],[End Date]]-Table1[[#This Row],[Start Date]]</f>
        <v>148.6087847222152</v>
      </c>
      <c r="F174" s="13">
        <v>1834</v>
      </c>
      <c r="G174" s="14" t="s">
        <v>29</v>
      </c>
      <c r="H174" s="15">
        <v>19015</v>
      </c>
      <c r="I174" s="15">
        <v>625</v>
      </c>
      <c r="J174" s="15">
        <v>423</v>
      </c>
      <c r="K174" s="16">
        <v>14160</v>
      </c>
      <c r="L174" s="17">
        <f t="shared" si="10"/>
        <v>3.2868787799105972E-2</v>
      </c>
      <c r="M174" s="17">
        <f t="shared" si="10"/>
        <v>0.67679999999999996</v>
      </c>
      <c r="N174" s="18">
        <f t="shared" si="11"/>
        <v>8.1359999999999992</v>
      </c>
      <c r="O174" s="18">
        <f t="shared" si="12"/>
        <v>12.021276595744681</v>
      </c>
      <c r="P174" s="17">
        <f t="shared" si="13"/>
        <v>2.7726281352235551</v>
      </c>
      <c r="Q174" s="17">
        <f t="shared" si="14"/>
        <v>2.7846607669616521</v>
      </c>
      <c r="R174" s="10" t="s">
        <v>380</v>
      </c>
      <c r="S174" s="14" t="s">
        <v>34</v>
      </c>
      <c r="T174" s="14" t="s">
        <v>55</v>
      </c>
      <c r="U174" s="13">
        <v>5085</v>
      </c>
      <c r="V174" s="15">
        <v>5</v>
      </c>
      <c r="W174" s="9" t="str">
        <f>IF(Table1[[#This Row],[Satisfaction Rating]]&lt;2, "Low", IF(Table1[[#This Row],[Satisfaction Rating]]&lt;4, "Medium", "High"))</f>
        <v>High</v>
      </c>
    </row>
    <row r="175" spans="1:23" ht="14" x14ac:dyDescent="0.2">
      <c r="A175" s="10" t="s">
        <v>381</v>
      </c>
      <c r="B175" s="11">
        <v>45427.840949074074</v>
      </c>
      <c r="C175" s="11">
        <v>45427.840949074074</v>
      </c>
      <c r="D175" s="11" t="str">
        <f>IF(Table1[[#This Row],[Duration of Campaign]]=0, "Ongoing","Completed")</f>
        <v>Ongoing</v>
      </c>
      <c r="E175" s="12">
        <f>Table1[[#This Row],[End Date]]-Table1[[#This Row],[Start Date]]</f>
        <v>0</v>
      </c>
      <c r="F175" s="13">
        <v>2333</v>
      </c>
      <c r="G175" s="14" t="s">
        <v>63</v>
      </c>
      <c r="H175" s="15">
        <v>12482</v>
      </c>
      <c r="I175" s="15">
        <v>1015</v>
      </c>
      <c r="J175" s="15">
        <v>235</v>
      </c>
      <c r="K175" s="16">
        <v>2968</v>
      </c>
      <c r="L175" s="17">
        <f t="shared" si="10"/>
        <v>8.1317096619131543E-2</v>
      </c>
      <c r="M175" s="17">
        <f t="shared" si="10"/>
        <v>0.23152709359605911</v>
      </c>
      <c r="N175" s="18">
        <f t="shared" si="11"/>
        <v>4.6719211822660096</v>
      </c>
      <c r="O175" s="18">
        <f t="shared" si="12"/>
        <v>20.178723404255319</v>
      </c>
      <c r="P175" s="17">
        <f t="shared" si="13"/>
        <v>2.0325760822974712</v>
      </c>
      <c r="Q175" s="17">
        <f t="shared" si="14"/>
        <v>0.62589624630957397</v>
      </c>
      <c r="R175" s="10" t="s">
        <v>382</v>
      </c>
      <c r="S175" s="14" t="s">
        <v>45</v>
      </c>
      <c r="T175" s="14" t="s">
        <v>55</v>
      </c>
      <c r="U175" s="13">
        <v>4742</v>
      </c>
      <c r="V175" s="15">
        <v>5</v>
      </c>
      <c r="W175" s="9" t="str">
        <f>IF(Table1[[#This Row],[Satisfaction Rating]]&lt;2, "Low", IF(Table1[[#This Row],[Satisfaction Rating]]&lt;4, "Medium", "High"))</f>
        <v>High</v>
      </c>
    </row>
    <row r="176" spans="1:23" ht="14" x14ac:dyDescent="0.2">
      <c r="A176" s="10" t="s">
        <v>383</v>
      </c>
      <c r="B176" s="11">
        <v>44946.957083333335</v>
      </c>
      <c r="C176" s="11">
        <v>45372.431979166664</v>
      </c>
      <c r="D176" s="11" t="str">
        <f>IF(Table1[[#This Row],[Duration of Campaign]]=0, "Ongoing","Completed")</f>
        <v>Completed</v>
      </c>
      <c r="E176" s="12">
        <f>Table1[[#This Row],[End Date]]-Table1[[#This Row],[Start Date]]</f>
        <v>425.47489583332936</v>
      </c>
      <c r="F176" s="13">
        <v>2793</v>
      </c>
      <c r="G176" s="14" t="s">
        <v>47</v>
      </c>
      <c r="H176" s="15">
        <v>15891</v>
      </c>
      <c r="I176" s="15">
        <v>182</v>
      </c>
      <c r="J176" s="15">
        <v>210</v>
      </c>
      <c r="K176" s="16">
        <v>3939</v>
      </c>
      <c r="L176" s="17">
        <f t="shared" si="10"/>
        <v>1.1453023724120572E-2</v>
      </c>
      <c r="M176" s="17">
        <f t="shared" si="10"/>
        <v>1.1538461538461537</v>
      </c>
      <c r="N176" s="18">
        <f t="shared" si="11"/>
        <v>30</v>
      </c>
      <c r="O176" s="18">
        <f t="shared" si="12"/>
        <v>26</v>
      </c>
      <c r="P176" s="17">
        <f t="shared" si="13"/>
        <v>1.9548872180451127</v>
      </c>
      <c r="Q176" s="17">
        <f t="shared" si="14"/>
        <v>0.72142857142857142</v>
      </c>
      <c r="R176" s="10" t="s">
        <v>384</v>
      </c>
      <c r="S176" s="14" t="s">
        <v>26</v>
      </c>
      <c r="T176" s="14" t="s">
        <v>55</v>
      </c>
      <c r="U176" s="13">
        <v>5460</v>
      </c>
      <c r="V176" s="15">
        <v>5</v>
      </c>
      <c r="W176" s="9" t="str">
        <f>IF(Table1[[#This Row],[Satisfaction Rating]]&lt;2, "Low", IF(Table1[[#This Row],[Satisfaction Rating]]&lt;4, "Medium", "High"))</f>
        <v>High</v>
      </c>
    </row>
    <row r="177" spans="1:23" ht="14" x14ac:dyDescent="0.2">
      <c r="A177" s="10" t="s">
        <v>385</v>
      </c>
      <c r="B177" s="11">
        <v>45408.927824074075</v>
      </c>
      <c r="C177" s="11">
        <v>45408.927824074075</v>
      </c>
      <c r="D177" s="11" t="str">
        <f>IF(Table1[[#This Row],[Duration of Campaign]]=0, "Ongoing","Completed")</f>
        <v>Ongoing</v>
      </c>
      <c r="E177" s="12">
        <f>Table1[[#This Row],[End Date]]-Table1[[#This Row],[Start Date]]</f>
        <v>0</v>
      </c>
      <c r="F177" s="13">
        <v>2749</v>
      </c>
      <c r="G177" s="14" t="s">
        <v>24</v>
      </c>
      <c r="H177" s="15">
        <v>11888</v>
      </c>
      <c r="I177" s="15">
        <v>472</v>
      </c>
      <c r="J177" s="15">
        <v>336</v>
      </c>
      <c r="K177" s="16">
        <v>14485</v>
      </c>
      <c r="L177" s="17">
        <f t="shared" si="10"/>
        <v>3.9703903095558546E-2</v>
      </c>
      <c r="M177" s="17">
        <f t="shared" si="10"/>
        <v>0.71186440677966101</v>
      </c>
      <c r="N177" s="18">
        <f t="shared" si="11"/>
        <v>2.7288135593220337</v>
      </c>
      <c r="O177" s="18">
        <f t="shared" si="12"/>
        <v>3.8333333333333335</v>
      </c>
      <c r="P177" s="17">
        <f t="shared" si="13"/>
        <v>0.46853401236813386</v>
      </c>
      <c r="Q177" s="17">
        <f t="shared" si="14"/>
        <v>11.246118012422361</v>
      </c>
      <c r="R177" s="10" t="s">
        <v>386</v>
      </c>
      <c r="S177" s="14" t="s">
        <v>40</v>
      </c>
      <c r="T177" s="14" t="s">
        <v>37</v>
      </c>
      <c r="U177" s="13">
        <v>1288</v>
      </c>
      <c r="V177" s="15">
        <v>2</v>
      </c>
      <c r="W177" s="9" t="str">
        <f>IF(Table1[[#This Row],[Satisfaction Rating]]&lt;2, "Low", IF(Table1[[#This Row],[Satisfaction Rating]]&lt;4, "Medium", "High"))</f>
        <v>Medium</v>
      </c>
    </row>
    <row r="178" spans="1:23" ht="14" x14ac:dyDescent="0.2">
      <c r="A178" s="10" t="s">
        <v>387</v>
      </c>
      <c r="B178" s="11">
        <v>45258.100868055553</v>
      </c>
      <c r="C178" s="11">
        <v>45258.100868055553</v>
      </c>
      <c r="D178" s="11" t="str">
        <f>IF(Table1[[#This Row],[Duration of Campaign]]=0, "Ongoing","Completed")</f>
        <v>Ongoing</v>
      </c>
      <c r="E178" s="12">
        <f>Table1[[#This Row],[End Date]]-Table1[[#This Row],[Start Date]]</f>
        <v>0</v>
      </c>
      <c r="F178" s="13">
        <v>5874</v>
      </c>
      <c r="G178" s="14" t="s">
        <v>63</v>
      </c>
      <c r="H178" s="15">
        <v>2816</v>
      </c>
      <c r="I178" s="15">
        <v>427</v>
      </c>
      <c r="J178" s="15">
        <v>490</v>
      </c>
      <c r="K178" s="16">
        <v>6008</v>
      </c>
      <c r="L178" s="17">
        <f t="shared" si="10"/>
        <v>0.15163352272727273</v>
      </c>
      <c r="M178" s="17">
        <f t="shared" si="10"/>
        <v>1.1475409836065573</v>
      </c>
      <c r="N178" s="18">
        <f t="shared" si="11"/>
        <v>13.997658079625293</v>
      </c>
      <c r="O178" s="18">
        <f t="shared" si="12"/>
        <v>12.19795918367347</v>
      </c>
      <c r="P178" s="17">
        <f t="shared" si="13"/>
        <v>1.0175348995573714</v>
      </c>
      <c r="Q178" s="17">
        <f t="shared" si="14"/>
        <v>1.0051865484356701</v>
      </c>
      <c r="R178" s="10" t="s">
        <v>388</v>
      </c>
      <c r="S178" s="14" t="s">
        <v>45</v>
      </c>
      <c r="T178" s="14" t="s">
        <v>27</v>
      </c>
      <c r="U178" s="13">
        <v>5977</v>
      </c>
      <c r="V178" s="15">
        <v>4</v>
      </c>
      <c r="W178" s="9" t="str">
        <f>IF(Table1[[#This Row],[Satisfaction Rating]]&lt;2, "Low", IF(Table1[[#This Row],[Satisfaction Rating]]&lt;4, "Medium", "High"))</f>
        <v>High</v>
      </c>
    </row>
    <row r="179" spans="1:23" ht="14" x14ac:dyDescent="0.2">
      <c r="A179" s="10" t="s">
        <v>389</v>
      </c>
      <c r="B179" s="11">
        <v>45078.498263888891</v>
      </c>
      <c r="C179" s="11">
        <v>45461.762743055559</v>
      </c>
      <c r="D179" s="11" t="str">
        <f>IF(Table1[[#This Row],[Duration of Campaign]]=0, "Ongoing","Completed")</f>
        <v>Completed</v>
      </c>
      <c r="E179" s="12">
        <f>Table1[[#This Row],[End Date]]-Table1[[#This Row],[Start Date]]</f>
        <v>383.26447916666802</v>
      </c>
      <c r="F179" s="13">
        <v>2687</v>
      </c>
      <c r="G179" s="14" t="s">
        <v>24</v>
      </c>
      <c r="H179" s="15">
        <v>18956</v>
      </c>
      <c r="I179" s="15">
        <v>774</v>
      </c>
      <c r="J179" s="15">
        <v>78</v>
      </c>
      <c r="K179" s="16">
        <v>11173</v>
      </c>
      <c r="L179" s="17">
        <f t="shared" si="10"/>
        <v>4.0831399029331084E-2</v>
      </c>
      <c r="M179" s="17">
        <f t="shared" si="10"/>
        <v>0.10077519379844961</v>
      </c>
      <c r="N179" s="18">
        <f t="shared" si="11"/>
        <v>6.2428940568475451</v>
      </c>
      <c r="O179" s="18">
        <f t="shared" si="12"/>
        <v>61.948717948717949</v>
      </c>
      <c r="P179" s="17">
        <f t="shared" si="13"/>
        <v>1.7982880535913659</v>
      </c>
      <c r="Q179" s="17">
        <f t="shared" si="14"/>
        <v>2.3122930463576159</v>
      </c>
      <c r="R179" s="10" t="s">
        <v>390</v>
      </c>
      <c r="S179" s="14" t="s">
        <v>45</v>
      </c>
      <c r="T179" s="14" t="s">
        <v>37</v>
      </c>
      <c r="U179" s="13">
        <v>4832</v>
      </c>
      <c r="V179" s="15">
        <v>3</v>
      </c>
      <c r="W179" s="9" t="str">
        <f>IF(Table1[[#This Row],[Satisfaction Rating]]&lt;2, "Low", IF(Table1[[#This Row],[Satisfaction Rating]]&lt;4, "Medium", "High"))</f>
        <v>Medium</v>
      </c>
    </row>
    <row r="180" spans="1:23" ht="14" x14ac:dyDescent="0.2">
      <c r="A180" s="10" t="s">
        <v>391</v>
      </c>
      <c r="B180" s="11">
        <v>44950.914212962962</v>
      </c>
      <c r="C180" s="11">
        <v>45644.195763888885</v>
      </c>
      <c r="D180" s="11" t="str">
        <f>IF(Table1[[#This Row],[Duration of Campaign]]=0, "Ongoing","Completed")</f>
        <v>Completed</v>
      </c>
      <c r="E180" s="12">
        <f>Table1[[#This Row],[End Date]]-Table1[[#This Row],[Start Date]]</f>
        <v>693.28155092592351</v>
      </c>
      <c r="F180" s="13">
        <v>6522</v>
      </c>
      <c r="G180" s="14" t="s">
        <v>24</v>
      </c>
      <c r="H180" s="15">
        <v>18550</v>
      </c>
      <c r="I180" s="15">
        <v>763</v>
      </c>
      <c r="J180" s="15">
        <v>324</v>
      </c>
      <c r="K180" s="16">
        <v>12942</v>
      </c>
      <c r="L180" s="17">
        <f t="shared" si="10"/>
        <v>4.1132075471698115E-2</v>
      </c>
      <c r="M180" s="17">
        <f t="shared" si="10"/>
        <v>0.42463958060288337</v>
      </c>
      <c r="N180" s="18">
        <f t="shared" si="11"/>
        <v>18.972477064220183</v>
      </c>
      <c r="O180" s="18">
        <f t="shared" si="12"/>
        <v>44.679012345679013</v>
      </c>
      <c r="P180" s="17">
        <f t="shared" si="13"/>
        <v>2.2195645507513033</v>
      </c>
      <c r="Q180" s="17">
        <f t="shared" si="14"/>
        <v>0.8940315004144791</v>
      </c>
      <c r="R180" s="10" t="s">
        <v>392</v>
      </c>
      <c r="S180" s="14" t="s">
        <v>31</v>
      </c>
      <c r="T180" s="14" t="s">
        <v>55</v>
      </c>
      <c r="U180" s="13">
        <v>14476</v>
      </c>
      <c r="V180" s="15">
        <v>3</v>
      </c>
      <c r="W180" s="9" t="str">
        <f>IF(Table1[[#This Row],[Satisfaction Rating]]&lt;2, "Low", IF(Table1[[#This Row],[Satisfaction Rating]]&lt;4, "Medium", "High"))</f>
        <v>Medium</v>
      </c>
    </row>
    <row r="181" spans="1:23" ht="14" x14ac:dyDescent="0.2">
      <c r="A181" s="10" t="s">
        <v>393</v>
      </c>
      <c r="B181" s="11">
        <v>45374.544768518521</v>
      </c>
      <c r="C181" s="11">
        <v>45477.559212962966</v>
      </c>
      <c r="D181" s="11" t="str">
        <f>IF(Table1[[#This Row],[Duration of Campaign]]=0, "Ongoing","Completed")</f>
        <v>Completed</v>
      </c>
      <c r="E181" s="12">
        <f>Table1[[#This Row],[End Date]]-Table1[[#This Row],[Start Date]]</f>
        <v>103.01444444444496</v>
      </c>
      <c r="F181" s="13">
        <v>1130</v>
      </c>
      <c r="G181" s="14" t="s">
        <v>63</v>
      </c>
      <c r="H181" s="15">
        <v>11572</v>
      </c>
      <c r="I181" s="15">
        <v>1364</v>
      </c>
      <c r="J181" s="15">
        <v>324</v>
      </c>
      <c r="K181" s="16">
        <v>4225</v>
      </c>
      <c r="L181" s="17">
        <f t="shared" si="10"/>
        <v>0.11787072243346007</v>
      </c>
      <c r="M181" s="17">
        <f t="shared" si="10"/>
        <v>0.23753665689149561</v>
      </c>
      <c r="N181" s="18">
        <f t="shared" si="11"/>
        <v>6.8702346041055717</v>
      </c>
      <c r="O181" s="18">
        <f t="shared" si="12"/>
        <v>28.922839506172838</v>
      </c>
      <c r="P181" s="17">
        <f t="shared" si="13"/>
        <v>8.2929203539823018</v>
      </c>
      <c r="Q181" s="17">
        <f t="shared" si="14"/>
        <v>0.45085903318749332</v>
      </c>
      <c r="R181" s="10" t="s">
        <v>394</v>
      </c>
      <c r="S181" s="14" t="s">
        <v>34</v>
      </c>
      <c r="T181" s="14" t="s">
        <v>55</v>
      </c>
      <c r="U181" s="13">
        <v>9371</v>
      </c>
      <c r="V181" s="15">
        <v>1</v>
      </c>
      <c r="W181" s="9" t="str">
        <f>IF(Table1[[#This Row],[Satisfaction Rating]]&lt;2, "Low", IF(Table1[[#This Row],[Satisfaction Rating]]&lt;4, "Medium", "High"))</f>
        <v>Low</v>
      </c>
    </row>
    <row r="182" spans="1:23" ht="14" x14ac:dyDescent="0.2">
      <c r="A182" s="10" t="s">
        <v>395</v>
      </c>
      <c r="B182" s="11">
        <v>45113.466828703706</v>
      </c>
      <c r="C182" s="11">
        <v>45113.466828703706</v>
      </c>
      <c r="D182" s="11" t="str">
        <f>IF(Table1[[#This Row],[Duration of Campaign]]=0, "Ongoing","Completed")</f>
        <v>Ongoing</v>
      </c>
      <c r="E182" s="12">
        <f>Table1[[#This Row],[End Date]]-Table1[[#This Row],[Start Date]]</f>
        <v>0</v>
      </c>
      <c r="F182" s="13">
        <v>7525</v>
      </c>
      <c r="G182" s="14" t="s">
        <v>47</v>
      </c>
      <c r="H182" s="15">
        <v>19635</v>
      </c>
      <c r="I182" s="15">
        <v>825</v>
      </c>
      <c r="J182" s="15">
        <v>86</v>
      </c>
      <c r="K182" s="16">
        <v>14369</v>
      </c>
      <c r="L182" s="17">
        <f t="shared" si="10"/>
        <v>4.2016806722689079E-2</v>
      </c>
      <c r="M182" s="17">
        <f t="shared" si="10"/>
        <v>0.10424242424242425</v>
      </c>
      <c r="N182" s="18">
        <f t="shared" si="11"/>
        <v>13.775757575757575</v>
      </c>
      <c r="O182" s="18">
        <f t="shared" si="12"/>
        <v>132.15116279069767</v>
      </c>
      <c r="P182" s="17">
        <f t="shared" si="13"/>
        <v>1.5102990033222592</v>
      </c>
      <c r="Q182" s="17">
        <f t="shared" si="14"/>
        <v>1.264320281566212</v>
      </c>
      <c r="R182" s="10" t="s">
        <v>396</v>
      </c>
      <c r="S182" s="14" t="s">
        <v>40</v>
      </c>
      <c r="T182" s="14" t="s">
        <v>55</v>
      </c>
      <c r="U182" s="13">
        <v>11365</v>
      </c>
      <c r="V182" s="15">
        <v>3</v>
      </c>
      <c r="W182" s="9" t="str">
        <f>IF(Table1[[#This Row],[Satisfaction Rating]]&lt;2, "Low", IF(Table1[[#This Row],[Satisfaction Rating]]&lt;4, "Medium", "High"))</f>
        <v>Medium</v>
      </c>
    </row>
    <row r="183" spans="1:23" ht="14" x14ac:dyDescent="0.2">
      <c r="A183" s="10" t="s">
        <v>397</v>
      </c>
      <c r="B183" s="11">
        <v>45091.870138888888</v>
      </c>
      <c r="C183" s="11">
        <v>45648.089224537034</v>
      </c>
      <c r="D183" s="11" t="str">
        <f>IF(Table1[[#This Row],[Duration of Campaign]]=0, "Ongoing","Completed")</f>
        <v>Completed</v>
      </c>
      <c r="E183" s="12">
        <f>Table1[[#This Row],[End Date]]-Table1[[#This Row],[Start Date]]</f>
        <v>556.21908564814657</v>
      </c>
      <c r="F183" s="13">
        <v>4455</v>
      </c>
      <c r="G183" s="14" t="s">
        <v>63</v>
      </c>
      <c r="H183" s="15">
        <v>9473</v>
      </c>
      <c r="I183" s="15">
        <v>1011</v>
      </c>
      <c r="J183" s="15">
        <v>427</v>
      </c>
      <c r="K183" s="16">
        <v>4859</v>
      </c>
      <c r="L183" s="17">
        <f t="shared" si="10"/>
        <v>0.1067243745381611</v>
      </c>
      <c r="M183" s="17">
        <f t="shared" si="10"/>
        <v>0.42235410484668645</v>
      </c>
      <c r="N183" s="18">
        <f t="shared" si="11"/>
        <v>10.93570722057369</v>
      </c>
      <c r="O183" s="18">
        <f t="shared" si="12"/>
        <v>25.892271662763466</v>
      </c>
      <c r="P183" s="17">
        <f t="shared" si="13"/>
        <v>2.4817059483726149</v>
      </c>
      <c r="Q183" s="17">
        <f t="shared" si="14"/>
        <v>0.43948986975397974</v>
      </c>
      <c r="R183" s="10" t="s">
        <v>398</v>
      </c>
      <c r="S183" s="14" t="s">
        <v>31</v>
      </c>
      <c r="T183" s="14" t="s">
        <v>27</v>
      </c>
      <c r="U183" s="13">
        <v>11056</v>
      </c>
      <c r="V183" s="15">
        <v>3</v>
      </c>
      <c r="W183" s="9" t="str">
        <f>IF(Table1[[#This Row],[Satisfaction Rating]]&lt;2, "Low", IF(Table1[[#This Row],[Satisfaction Rating]]&lt;4, "Medium", "High"))</f>
        <v>Medium</v>
      </c>
    </row>
    <row r="184" spans="1:23" ht="14" x14ac:dyDescent="0.2">
      <c r="A184" s="10" t="s">
        <v>399</v>
      </c>
      <c r="B184" s="11">
        <v>45024.826053240744</v>
      </c>
      <c r="C184" s="11">
        <v>45051.327928240738</v>
      </c>
      <c r="D184" s="11" t="str">
        <f>IF(Table1[[#This Row],[Duration of Campaign]]=0, "Ongoing","Completed")</f>
        <v>Completed</v>
      </c>
      <c r="E184" s="12">
        <f>Table1[[#This Row],[End Date]]-Table1[[#This Row],[Start Date]]</f>
        <v>26.50187499999447</v>
      </c>
      <c r="F184" s="13">
        <v>4159</v>
      </c>
      <c r="G184" s="14" t="s">
        <v>47</v>
      </c>
      <c r="H184" s="15">
        <v>8489</v>
      </c>
      <c r="I184" s="15">
        <v>1351</v>
      </c>
      <c r="J184" s="15">
        <v>334</v>
      </c>
      <c r="K184" s="16">
        <v>6628</v>
      </c>
      <c r="L184" s="17">
        <f t="shared" si="10"/>
        <v>0.15914713158204735</v>
      </c>
      <c r="M184" s="17">
        <f t="shared" si="10"/>
        <v>0.24722427831236121</v>
      </c>
      <c r="N184" s="18">
        <f t="shared" si="11"/>
        <v>0.90821613619541086</v>
      </c>
      <c r="O184" s="18">
        <f t="shared" si="12"/>
        <v>3.6736526946107784</v>
      </c>
      <c r="P184" s="17">
        <f t="shared" si="13"/>
        <v>0.29502284202933399</v>
      </c>
      <c r="Q184" s="17">
        <f t="shared" si="14"/>
        <v>5.4017929910350446</v>
      </c>
      <c r="R184" s="10" t="s">
        <v>400</v>
      </c>
      <c r="S184" s="14" t="s">
        <v>45</v>
      </c>
      <c r="T184" s="14" t="s">
        <v>37</v>
      </c>
      <c r="U184" s="13">
        <v>1227</v>
      </c>
      <c r="V184" s="15">
        <v>4</v>
      </c>
      <c r="W184" s="9" t="str">
        <f>IF(Table1[[#This Row],[Satisfaction Rating]]&lt;2, "Low", IF(Table1[[#This Row],[Satisfaction Rating]]&lt;4, "Medium", "High"))</f>
        <v>High</v>
      </c>
    </row>
    <row r="185" spans="1:23" ht="14" x14ac:dyDescent="0.2">
      <c r="A185" s="10" t="s">
        <v>401</v>
      </c>
      <c r="B185" s="11">
        <v>44972.345208333332</v>
      </c>
      <c r="C185" s="11">
        <v>45176.872187499997</v>
      </c>
      <c r="D185" s="11" t="str">
        <f>IF(Table1[[#This Row],[Duration of Campaign]]=0, "Ongoing","Completed")</f>
        <v>Completed</v>
      </c>
      <c r="E185" s="12">
        <f>Table1[[#This Row],[End Date]]-Table1[[#This Row],[Start Date]]</f>
        <v>204.52697916666511</v>
      </c>
      <c r="F185" s="13">
        <v>5172</v>
      </c>
      <c r="G185" s="14" t="s">
        <v>47</v>
      </c>
      <c r="H185" s="15">
        <v>4818</v>
      </c>
      <c r="I185" s="15">
        <v>968</v>
      </c>
      <c r="J185" s="15">
        <v>369</v>
      </c>
      <c r="K185" s="16">
        <v>6752</v>
      </c>
      <c r="L185" s="17">
        <f t="shared" si="10"/>
        <v>0.20091324200913241</v>
      </c>
      <c r="M185" s="17">
        <f t="shared" si="10"/>
        <v>0.381198347107438</v>
      </c>
      <c r="N185" s="18">
        <f t="shared" si="11"/>
        <v>7.5144628099173554</v>
      </c>
      <c r="O185" s="18">
        <f t="shared" si="12"/>
        <v>19.712737127371273</v>
      </c>
      <c r="P185" s="17">
        <f t="shared" si="13"/>
        <v>1.4064191802010828</v>
      </c>
      <c r="Q185" s="17">
        <f t="shared" si="14"/>
        <v>0.92823755842727518</v>
      </c>
      <c r="R185" s="10" t="s">
        <v>402</v>
      </c>
      <c r="S185" s="14" t="s">
        <v>34</v>
      </c>
      <c r="T185" s="14" t="s">
        <v>37</v>
      </c>
      <c r="U185" s="13">
        <v>7274</v>
      </c>
      <c r="V185" s="15">
        <v>3</v>
      </c>
      <c r="W185" s="9" t="str">
        <f>IF(Table1[[#This Row],[Satisfaction Rating]]&lt;2, "Low", IF(Table1[[#This Row],[Satisfaction Rating]]&lt;4, "Medium", "High"))</f>
        <v>Medium</v>
      </c>
    </row>
    <row r="186" spans="1:23" ht="14" x14ac:dyDescent="0.2">
      <c r="A186" s="10" t="s">
        <v>403</v>
      </c>
      <c r="B186" s="11">
        <v>45511.206006944441</v>
      </c>
      <c r="C186" s="11">
        <v>45511.206006944441</v>
      </c>
      <c r="D186" s="11" t="str">
        <f>IF(Table1[[#This Row],[Duration of Campaign]]=0, "Ongoing","Completed")</f>
        <v>Ongoing</v>
      </c>
      <c r="E186" s="12">
        <f>Table1[[#This Row],[End Date]]-Table1[[#This Row],[Start Date]]</f>
        <v>0</v>
      </c>
      <c r="F186" s="13">
        <v>5200</v>
      </c>
      <c r="G186" s="14" t="s">
        <v>47</v>
      </c>
      <c r="H186" s="15">
        <v>14461</v>
      </c>
      <c r="I186" s="15">
        <v>1710</v>
      </c>
      <c r="J186" s="15">
        <v>284</v>
      </c>
      <c r="K186" s="16">
        <v>12231</v>
      </c>
      <c r="L186" s="17">
        <f t="shared" si="10"/>
        <v>0.11824908374247978</v>
      </c>
      <c r="M186" s="17">
        <f t="shared" si="10"/>
        <v>0.16608187134502925</v>
      </c>
      <c r="N186" s="18">
        <f t="shared" si="11"/>
        <v>1.1309941520467837</v>
      </c>
      <c r="O186" s="18">
        <f t="shared" si="12"/>
        <v>6.8098591549295771</v>
      </c>
      <c r="P186" s="17">
        <f t="shared" si="13"/>
        <v>0.37192307692307691</v>
      </c>
      <c r="Q186" s="17">
        <f t="shared" si="14"/>
        <v>6.324198552223371</v>
      </c>
      <c r="R186" s="10" t="s">
        <v>404</v>
      </c>
      <c r="S186" s="14" t="s">
        <v>34</v>
      </c>
      <c r="T186" s="14" t="s">
        <v>55</v>
      </c>
      <c r="U186" s="13">
        <v>1934</v>
      </c>
      <c r="V186" s="15">
        <v>3</v>
      </c>
      <c r="W186" s="9" t="str">
        <f>IF(Table1[[#This Row],[Satisfaction Rating]]&lt;2, "Low", IF(Table1[[#This Row],[Satisfaction Rating]]&lt;4, "Medium", "High"))</f>
        <v>Medium</v>
      </c>
    </row>
    <row r="187" spans="1:23" ht="14" x14ac:dyDescent="0.2">
      <c r="A187" s="10" t="s">
        <v>405</v>
      </c>
      <c r="B187" s="11">
        <v>45570.097268518519</v>
      </c>
      <c r="C187" s="11">
        <v>45570.097268518519</v>
      </c>
      <c r="D187" s="11" t="str">
        <f>IF(Table1[[#This Row],[Duration of Campaign]]=0, "Ongoing","Completed")</f>
        <v>Ongoing</v>
      </c>
      <c r="E187" s="12">
        <f>Table1[[#This Row],[End Date]]-Table1[[#This Row],[Start Date]]</f>
        <v>0</v>
      </c>
      <c r="F187" s="13">
        <v>3095</v>
      </c>
      <c r="G187" s="14" t="s">
        <v>24</v>
      </c>
      <c r="H187" s="15">
        <v>13209</v>
      </c>
      <c r="I187" s="15">
        <v>1552</v>
      </c>
      <c r="J187" s="15">
        <v>160</v>
      </c>
      <c r="K187" s="16">
        <v>12129</v>
      </c>
      <c r="L187" s="17">
        <f t="shared" si="10"/>
        <v>0.11749564690741161</v>
      </c>
      <c r="M187" s="17">
        <f t="shared" si="10"/>
        <v>0.10309278350515463</v>
      </c>
      <c r="N187" s="18">
        <f t="shared" si="11"/>
        <v>5.4432989690721651</v>
      </c>
      <c r="O187" s="18">
        <f t="shared" si="12"/>
        <v>52.8</v>
      </c>
      <c r="P187" s="17">
        <f t="shared" si="13"/>
        <v>2.7295638126009694</v>
      </c>
      <c r="Q187" s="17">
        <f t="shared" si="14"/>
        <v>1.4357244318181819</v>
      </c>
      <c r="R187" s="10" t="s">
        <v>406</v>
      </c>
      <c r="S187" s="14" t="s">
        <v>34</v>
      </c>
      <c r="T187" s="14" t="s">
        <v>55</v>
      </c>
      <c r="U187" s="13">
        <v>8448</v>
      </c>
      <c r="V187" s="15">
        <v>2</v>
      </c>
      <c r="W187" s="9" t="str">
        <f>IF(Table1[[#This Row],[Satisfaction Rating]]&lt;2, "Low", IF(Table1[[#This Row],[Satisfaction Rating]]&lt;4, "Medium", "High"))</f>
        <v>Medium</v>
      </c>
    </row>
    <row r="188" spans="1:23" ht="14" x14ac:dyDescent="0.2">
      <c r="A188" s="10" t="s">
        <v>407</v>
      </c>
      <c r="B188" s="11">
        <v>45283.094664351855</v>
      </c>
      <c r="C188" s="11">
        <v>45283.094664351855</v>
      </c>
      <c r="D188" s="11" t="str">
        <f>IF(Table1[[#This Row],[Duration of Campaign]]=0, "Ongoing","Completed")</f>
        <v>Ongoing</v>
      </c>
      <c r="E188" s="12">
        <f>Table1[[#This Row],[End Date]]-Table1[[#This Row],[Start Date]]</f>
        <v>0</v>
      </c>
      <c r="F188" s="13">
        <v>9299</v>
      </c>
      <c r="G188" s="14" t="s">
        <v>63</v>
      </c>
      <c r="H188" s="15">
        <v>9531</v>
      </c>
      <c r="I188" s="15">
        <v>1449</v>
      </c>
      <c r="J188" s="15">
        <v>334</v>
      </c>
      <c r="K188" s="16">
        <v>2087</v>
      </c>
      <c r="L188" s="17">
        <f t="shared" si="10"/>
        <v>0.15203021718602455</v>
      </c>
      <c r="M188" s="17">
        <f t="shared" si="10"/>
        <v>0.23050379572118704</v>
      </c>
      <c r="N188" s="18">
        <f t="shared" si="11"/>
        <v>6.8461007591442371</v>
      </c>
      <c r="O188" s="18">
        <f t="shared" si="12"/>
        <v>29.700598802395209</v>
      </c>
      <c r="P188" s="17">
        <f t="shared" si="13"/>
        <v>1.066781374341327</v>
      </c>
      <c r="Q188" s="17">
        <f t="shared" si="14"/>
        <v>0.21038306451612904</v>
      </c>
      <c r="R188" s="10" t="s">
        <v>408</v>
      </c>
      <c r="S188" s="14" t="s">
        <v>40</v>
      </c>
      <c r="T188" s="14" t="s">
        <v>55</v>
      </c>
      <c r="U188" s="13">
        <v>9920</v>
      </c>
      <c r="V188" s="15">
        <v>4</v>
      </c>
      <c r="W188" s="9" t="str">
        <f>IF(Table1[[#This Row],[Satisfaction Rating]]&lt;2, "Low", IF(Table1[[#This Row],[Satisfaction Rating]]&lt;4, "Medium", "High"))</f>
        <v>High</v>
      </c>
    </row>
    <row r="189" spans="1:23" ht="14" x14ac:dyDescent="0.2">
      <c r="A189" s="10" t="s">
        <v>409</v>
      </c>
      <c r="B189" s="11">
        <v>45450.032175925924</v>
      </c>
      <c r="C189" s="11">
        <v>45450.032175925924</v>
      </c>
      <c r="D189" s="11" t="str">
        <f>IF(Table1[[#This Row],[Duration of Campaign]]=0, "Ongoing","Completed")</f>
        <v>Ongoing</v>
      </c>
      <c r="E189" s="12">
        <f>Table1[[#This Row],[End Date]]-Table1[[#This Row],[Start Date]]</f>
        <v>0</v>
      </c>
      <c r="F189" s="13">
        <v>1931</v>
      </c>
      <c r="G189" s="14" t="s">
        <v>24</v>
      </c>
      <c r="H189" s="15">
        <v>17374</v>
      </c>
      <c r="I189" s="15">
        <v>472</v>
      </c>
      <c r="J189" s="15">
        <v>213</v>
      </c>
      <c r="K189" s="16">
        <v>4551</v>
      </c>
      <c r="L189" s="17">
        <f t="shared" si="10"/>
        <v>2.716703119604006E-2</v>
      </c>
      <c r="M189" s="17">
        <f t="shared" si="10"/>
        <v>0.45127118644067798</v>
      </c>
      <c r="N189" s="18">
        <f t="shared" si="11"/>
        <v>30.489406779661017</v>
      </c>
      <c r="O189" s="18">
        <f t="shared" si="12"/>
        <v>67.563380281690144</v>
      </c>
      <c r="P189" s="17">
        <f t="shared" si="13"/>
        <v>7.45261522527188</v>
      </c>
      <c r="Q189" s="17">
        <f t="shared" si="14"/>
        <v>0.31623931623931623</v>
      </c>
      <c r="R189" s="10" t="s">
        <v>410</v>
      </c>
      <c r="S189" s="14" t="s">
        <v>34</v>
      </c>
      <c r="T189" s="14" t="s">
        <v>55</v>
      </c>
      <c r="U189" s="13">
        <v>14391</v>
      </c>
      <c r="V189" s="15">
        <v>3</v>
      </c>
      <c r="W189" s="9" t="str">
        <f>IF(Table1[[#This Row],[Satisfaction Rating]]&lt;2, "Low", IF(Table1[[#This Row],[Satisfaction Rating]]&lt;4, "Medium", "High"))</f>
        <v>Medium</v>
      </c>
    </row>
    <row r="190" spans="1:23" ht="14" x14ac:dyDescent="0.2">
      <c r="A190" s="10" t="s">
        <v>411</v>
      </c>
      <c r="B190" s="11">
        <v>44939.560601851852</v>
      </c>
      <c r="C190" s="11">
        <v>45205.664895833332</v>
      </c>
      <c r="D190" s="11" t="str">
        <f>IF(Table1[[#This Row],[Duration of Campaign]]=0, "Ongoing","Completed")</f>
        <v>Completed</v>
      </c>
      <c r="E190" s="12">
        <f>Table1[[#This Row],[End Date]]-Table1[[#This Row],[Start Date]]</f>
        <v>266.10429398147971</v>
      </c>
      <c r="F190" s="13">
        <v>3870</v>
      </c>
      <c r="G190" s="14" t="s">
        <v>63</v>
      </c>
      <c r="H190" s="15">
        <v>15744</v>
      </c>
      <c r="I190" s="15">
        <v>1529</v>
      </c>
      <c r="J190" s="15">
        <v>266</v>
      </c>
      <c r="K190" s="16">
        <v>7759</v>
      </c>
      <c r="L190" s="17">
        <f t="shared" si="10"/>
        <v>9.7116361788617891E-2</v>
      </c>
      <c r="M190" s="17">
        <f t="shared" si="10"/>
        <v>0.17396991497710923</v>
      </c>
      <c r="N190" s="18">
        <f t="shared" si="11"/>
        <v>3.2629169391759318</v>
      </c>
      <c r="O190" s="18">
        <f t="shared" si="12"/>
        <v>18.755639097744361</v>
      </c>
      <c r="P190" s="17">
        <f t="shared" si="13"/>
        <v>1.2891472868217053</v>
      </c>
      <c r="Q190" s="17">
        <f t="shared" si="14"/>
        <v>1.5552214872719985</v>
      </c>
      <c r="R190" s="10" t="s">
        <v>412</v>
      </c>
      <c r="S190" s="14" t="s">
        <v>45</v>
      </c>
      <c r="T190" s="14" t="s">
        <v>37</v>
      </c>
      <c r="U190" s="13">
        <v>4989</v>
      </c>
      <c r="V190" s="15">
        <v>5</v>
      </c>
      <c r="W190" s="9" t="str">
        <f>IF(Table1[[#This Row],[Satisfaction Rating]]&lt;2, "Low", IF(Table1[[#This Row],[Satisfaction Rating]]&lt;4, "Medium", "High"))</f>
        <v>High</v>
      </c>
    </row>
    <row r="191" spans="1:23" ht="14" x14ac:dyDescent="0.2">
      <c r="A191" s="10" t="s">
        <v>413</v>
      </c>
      <c r="B191" s="11">
        <v>45207.94940972222</v>
      </c>
      <c r="C191" s="11">
        <v>45207.94940972222</v>
      </c>
      <c r="D191" s="11" t="str">
        <f>IF(Table1[[#This Row],[Duration of Campaign]]=0, "Ongoing","Completed")</f>
        <v>Ongoing</v>
      </c>
      <c r="E191" s="12">
        <f>Table1[[#This Row],[End Date]]-Table1[[#This Row],[Start Date]]</f>
        <v>0</v>
      </c>
      <c r="F191" s="13">
        <v>4219</v>
      </c>
      <c r="G191" s="14" t="s">
        <v>63</v>
      </c>
      <c r="H191" s="15">
        <v>13852</v>
      </c>
      <c r="I191" s="15">
        <v>1597</v>
      </c>
      <c r="J191" s="15">
        <v>18</v>
      </c>
      <c r="K191" s="16">
        <v>14680</v>
      </c>
      <c r="L191" s="17">
        <f t="shared" si="10"/>
        <v>0.1152902107998845</v>
      </c>
      <c r="M191" s="17">
        <f t="shared" si="10"/>
        <v>1.1271133375078271E-2</v>
      </c>
      <c r="N191" s="18">
        <f t="shared" si="11"/>
        <v>7.6368190356919223</v>
      </c>
      <c r="O191" s="18">
        <f t="shared" si="12"/>
        <v>677.55555555555554</v>
      </c>
      <c r="P191" s="17">
        <f t="shared" si="13"/>
        <v>2.890732401042901</v>
      </c>
      <c r="Q191" s="17">
        <f t="shared" si="14"/>
        <v>1.2036733355198426</v>
      </c>
      <c r="R191" s="10" t="s">
        <v>414</v>
      </c>
      <c r="S191" s="14" t="s">
        <v>45</v>
      </c>
      <c r="T191" s="14" t="s">
        <v>55</v>
      </c>
      <c r="U191" s="13">
        <v>12196</v>
      </c>
      <c r="V191" s="15">
        <v>3</v>
      </c>
      <c r="W191" s="9" t="str">
        <f>IF(Table1[[#This Row],[Satisfaction Rating]]&lt;2, "Low", IF(Table1[[#This Row],[Satisfaction Rating]]&lt;4, "Medium", "High"))</f>
        <v>Medium</v>
      </c>
    </row>
    <row r="192" spans="1:23" ht="14" x14ac:dyDescent="0.2">
      <c r="A192" s="10" t="s">
        <v>415</v>
      </c>
      <c r="B192" s="11">
        <v>45208.412893518522</v>
      </c>
      <c r="C192" s="11">
        <v>45397.432500000003</v>
      </c>
      <c r="D192" s="11" t="str">
        <f>IF(Table1[[#This Row],[Duration of Campaign]]=0, "Ongoing","Completed")</f>
        <v>Completed</v>
      </c>
      <c r="E192" s="12">
        <f>Table1[[#This Row],[End Date]]-Table1[[#This Row],[Start Date]]</f>
        <v>189.01960648148088</v>
      </c>
      <c r="F192" s="13">
        <v>7557</v>
      </c>
      <c r="G192" s="14" t="s">
        <v>47</v>
      </c>
      <c r="H192" s="15">
        <v>11266</v>
      </c>
      <c r="I192" s="15">
        <v>932</v>
      </c>
      <c r="J192" s="15">
        <v>357</v>
      </c>
      <c r="K192" s="16">
        <v>14734</v>
      </c>
      <c r="L192" s="17">
        <f t="shared" si="10"/>
        <v>8.2726788567370854E-2</v>
      </c>
      <c r="M192" s="17">
        <f t="shared" si="10"/>
        <v>0.38304721030042921</v>
      </c>
      <c r="N192" s="18">
        <f t="shared" si="11"/>
        <v>20.363733905579398</v>
      </c>
      <c r="O192" s="18">
        <f t="shared" si="12"/>
        <v>53.162464985994397</v>
      </c>
      <c r="P192" s="17">
        <f t="shared" si="13"/>
        <v>2.5114463411406645</v>
      </c>
      <c r="Q192" s="17">
        <f t="shared" si="14"/>
        <v>0.77633173507560993</v>
      </c>
      <c r="R192" s="10" t="s">
        <v>416</v>
      </c>
      <c r="S192" s="14" t="s">
        <v>40</v>
      </c>
      <c r="T192" s="14" t="s">
        <v>37</v>
      </c>
      <c r="U192" s="13">
        <v>18979</v>
      </c>
      <c r="V192" s="15">
        <v>4</v>
      </c>
      <c r="W192" s="9" t="str">
        <f>IF(Table1[[#This Row],[Satisfaction Rating]]&lt;2, "Low", IF(Table1[[#This Row],[Satisfaction Rating]]&lt;4, "Medium", "High"))</f>
        <v>High</v>
      </c>
    </row>
    <row r="193" spans="1:23" ht="14" x14ac:dyDescent="0.2">
      <c r="A193" s="10" t="s">
        <v>417</v>
      </c>
      <c r="B193" s="11">
        <v>45218.712245370371</v>
      </c>
      <c r="C193" s="11">
        <v>45408.283622685187</v>
      </c>
      <c r="D193" s="11" t="str">
        <f>IF(Table1[[#This Row],[Duration of Campaign]]=0, "Ongoing","Completed")</f>
        <v>Completed</v>
      </c>
      <c r="E193" s="12">
        <f>Table1[[#This Row],[End Date]]-Table1[[#This Row],[Start Date]]</f>
        <v>189.57137731481635</v>
      </c>
      <c r="F193" s="13">
        <v>1407</v>
      </c>
      <c r="G193" s="14" t="s">
        <v>63</v>
      </c>
      <c r="H193" s="15">
        <v>7819</v>
      </c>
      <c r="I193" s="15">
        <v>414</v>
      </c>
      <c r="J193" s="15">
        <v>380</v>
      </c>
      <c r="K193" s="16">
        <v>2635</v>
      </c>
      <c r="L193" s="17">
        <f t="shared" si="10"/>
        <v>5.2947947307839874E-2</v>
      </c>
      <c r="M193" s="17">
        <f t="shared" si="10"/>
        <v>0.91787439613526567</v>
      </c>
      <c r="N193" s="18">
        <f t="shared" si="11"/>
        <v>23.838164251207729</v>
      </c>
      <c r="O193" s="18">
        <f t="shared" si="12"/>
        <v>25.971052631578946</v>
      </c>
      <c r="P193" s="17">
        <f t="shared" si="13"/>
        <v>7.0142146410803123</v>
      </c>
      <c r="Q193" s="17">
        <f t="shared" si="14"/>
        <v>0.26699766947005776</v>
      </c>
      <c r="R193" s="10" t="s">
        <v>418</v>
      </c>
      <c r="S193" s="14" t="s">
        <v>31</v>
      </c>
      <c r="T193" s="14" t="s">
        <v>55</v>
      </c>
      <c r="U193" s="13">
        <v>9869</v>
      </c>
      <c r="V193" s="15">
        <v>4</v>
      </c>
      <c r="W193" s="9" t="str">
        <f>IF(Table1[[#This Row],[Satisfaction Rating]]&lt;2, "Low", IF(Table1[[#This Row],[Satisfaction Rating]]&lt;4, "Medium", "High"))</f>
        <v>High</v>
      </c>
    </row>
    <row r="194" spans="1:23" ht="14" x14ac:dyDescent="0.2">
      <c r="A194" s="10" t="s">
        <v>419</v>
      </c>
      <c r="B194" s="11">
        <v>45399.370196759257</v>
      </c>
      <c r="C194" s="11">
        <v>45437.028761574074</v>
      </c>
      <c r="D194" s="11" t="str">
        <f>IF(Table1[[#This Row],[Duration of Campaign]]=0, "Ongoing","Completed")</f>
        <v>Completed</v>
      </c>
      <c r="E194" s="12">
        <f>Table1[[#This Row],[End Date]]-Table1[[#This Row],[Start Date]]</f>
        <v>37.65856481481751</v>
      </c>
      <c r="F194" s="13">
        <v>5381</v>
      </c>
      <c r="G194" s="14" t="s">
        <v>24</v>
      </c>
      <c r="H194" s="15">
        <v>10532</v>
      </c>
      <c r="I194" s="15">
        <v>585</v>
      </c>
      <c r="J194" s="15">
        <v>148</v>
      </c>
      <c r="K194" s="16">
        <v>13252</v>
      </c>
      <c r="L194" s="17">
        <f t="shared" si="10"/>
        <v>5.5545005696923659E-2</v>
      </c>
      <c r="M194" s="17">
        <f t="shared" si="10"/>
        <v>0.25299145299145298</v>
      </c>
      <c r="N194" s="18">
        <f t="shared" si="11"/>
        <v>26.784615384615385</v>
      </c>
      <c r="O194" s="18">
        <f t="shared" si="12"/>
        <v>105.87162162162163</v>
      </c>
      <c r="P194" s="17">
        <f t="shared" si="13"/>
        <v>2.911912283962089</v>
      </c>
      <c r="Q194" s="17">
        <f t="shared" si="14"/>
        <v>0.84574637819899168</v>
      </c>
      <c r="R194" s="10" t="s">
        <v>420</v>
      </c>
      <c r="S194" s="14" t="s">
        <v>40</v>
      </c>
      <c r="T194" s="14" t="s">
        <v>27</v>
      </c>
      <c r="U194" s="13">
        <v>15669</v>
      </c>
      <c r="V194" s="15">
        <v>5</v>
      </c>
      <c r="W194" s="9" t="str">
        <f>IF(Table1[[#This Row],[Satisfaction Rating]]&lt;2, "Low", IF(Table1[[#This Row],[Satisfaction Rating]]&lt;4, "Medium", "High"))</f>
        <v>High</v>
      </c>
    </row>
    <row r="195" spans="1:23" ht="14" x14ac:dyDescent="0.2">
      <c r="A195" s="10" t="s">
        <v>421</v>
      </c>
      <c r="B195" s="11">
        <v>45408.28328703704</v>
      </c>
      <c r="C195" s="11">
        <v>45408.28328703704</v>
      </c>
      <c r="D195" s="11" t="str">
        <f>IF(Table1[[#This Row],[Duration of Campaign]]=0, "Ongoing","Completed")</f>
        <v>Ongoing</v>
      </c>
      <c r="E195" s="12">
        <f>Table1[[#This Row],[End Date]]-Table1[[#This Row],[Start Date]]</f>
        <v>0</v>
      </c>
      <c r="F195" s="13">
        <v>7931</v>
      </c>
      <c r="G195" s="14" t="s">
        <v>63</v>
      </c>
      <c r="H195" s="15">
        <v>16873</v>
      </c>
      <c r="I195" s="15">
        <v>576</v>
      </c>
      <c r="J195" s="15">
        <v>179</v>
      </c>
      <c r="K195" s="16">
        <v>4804</v>
      </c>
      <c r="L195" s="17">
        <f t="shared" ref="L195:M258" si="15">I195/H195</f>
        <v>3.4137379244947551E-2</v>
      </c>
      <c r="M195" s="17">
        <f t="shared" si="15"/>
        <v>0.3107638888888889</v>
      </c>
      <c r="N195" s="18">
        <f t="shared" ref="N195:N258" si="16">U195/I195</f>
        <v>32.213541666666664</v>
      </c>
      <c r="O195" s="18">
        <f t="shared" ref="O195:O258" si="17">U195/J195</f>
        <v>103.65921787709497</v>
      </c>
      <c r="P195" s="17">
        <f t="shared" ref="P195:P258" si="18">U195/F195</f>
        <v>2.3395536502332619</v>
      </c>
      <c r="Q195" s="17">
        <f t="shared" ref="Q195:Q258" si="19">K195/U195</f>
        <v>0.25890595526812182</v>
      </c>
      <c r="R195" s="10" t="s">
        <v>422</v>
      </c>
      <c r="S195" s="14" t="s">
        <v>31</v>
      </c>
      <c r="T195" s="14" t="s">
        <v>55</v>
      </c>
      <c r="U195" s="13">
        <v>18555</v>
      </c>
      <c r="V195" s="15">
        <v>1</v>
      </c>
      <c r="W195" s="9" t="str">
        <f>IF(Table1[[#This Row],[Satisfaction Rating]]&lt;2, "Low", IF(Table1[[#This Row],[Satisfaction Rating]]&lt;4, "Medium", "High"))</f>
        <v>Low</v>
      </c>
    </row>
    <row r="196" spans="1:23" ht="14" x14ac:dyDescent="0.2">
      <c r="A196" s="10" t="s">
        <v>423</v>
      </c>
      <c r="B196" s="11">
        <v>45226.709328703706</v>
      </c>
      <c r="C196" s="11">
        <v>45596.51703703704</v>
      </c>
      <c r="D196" s="11" t="str">
        <f>IF(Table1[[#This Row],[Duration of Campaign]]=0, "Ongoing","Completed")</f>
        <v>Completed</v>
      </c>
      <c r="E196" s="12">
        <f>Table1[[#This Row],[End Date]]-Table1[[#This Row],[Start Date]]</f>
        <v>369.80770833333372</v>
      </c>
      <c r="F196" s="13">
        <v>4119</v>
      </c>
      <c r="G196" s="14" t="s">
        <v>47</v>
      </c>
      <c r="H196" s="15">
        <v>4875</v>
      </c>
      <c r="I196" s="15">
        <v>1755</v>
      </c>
      <c r="J196" s="15">
        <v>15</v>
      </c>
      <c r="K196" s="16">
        <v>3926</v>
      </c>
      <c r="L196" s="17">
        <f t="shared" si="15"/>
        <v>0.36</v>
      </c>
      <c r="M196" s="17">
        <f t="shared" si="15"/>
        <v>8.5470085470085479E-3</v>
      </c>
      <c r="N196" s="18">
        <f t="shared" si="16"/>
        <v>8.904843304843304</v>
      </c>
      <c r="O196" s="18">
        <f t="shared" si="17"/>
        <v>1041.8666666666666</v>
      </c>
      <c r="P196" s="17">
        <f t="shared" si="18"/>
        <v>3.7941247875697983</v>
      </c>
      <c r="Q196" s="17">
        <f t="shared" si="19"/>
        <v>0.25121576657281802</v>
      </c>
      <c r="R196" s="10" t="s">
        <v>424</v>
      </c>
      <c r="S196" s="14" t="s">
        <v>31</v>
      </c>
      <c r="T196" s="14" t="s">
        <v>37</v>
      </c>
      <c r="U196" s="13">
        <v>15628</v>
      </c>
      <c r="V196" s="15">
        <v>4</v>
      </c>
      <c r="W196" s="9" t="str">
        <f>IF(Table1[[#This Row],[Satisfaction Rating]]&lt;2, "Low", IF(Table1[[#This Row],[Satisfaction Rating]]&lt;4, "Medium", "High"))</f>
        <v>High</v>
      </c>
    </row>
    <row r="197" spans="1:23" ht="14" x14ac:dyDescent="0.2">
      <c r="A197" s="10" t="s">
        <v>425</v>
      </c>
      <c r="B197" s="11">
        <v>45264.710601851853</v>
      </c>
      <c r="C197" s="11">
        <v>45264.710601851853</v>
      </c>
      <c r="D197" s="11" t="str">
        <f>IF(Table1[[#This Row],[Duration of Campaign]]=0, "Ongoing","Completed")</f>
        <v>Ongoing</v>
      </c>
      <c r="E197" s="12">
        <f>Table1[[#This Row],[End Date]]-Table1[[#This Row],[Start Date]]</f>
        <v>0</v>
      </c>
      <c r="F197" s="13">
        <v>3174</v>
      </c>
      <c r="G197" s="14" t="s">
        <v>47</v>
      </c>
      <c r="H197" s="15">
        <v>9106</v>
      </c>
      <c r="I197" s="15">
        <v>1689</v>
      </c>
      <c r="J197" s="15">
        <v>149</v>
      </c>
      <c r="K197" s="16">
        <v>6691</v>
      </c>
      <c r="L197" s="17">
        <f t="shared" si="15"/>
        <v>0.18548209971447396</v>
      </c>
      <c r="M197" s="17">
        <f t="shared" si="15"/>
        <v>8.8217880402605087E-2</v>
      </c>
      <c r="N197" s="18">
        <f t="shared" si="16"/>
        <v>10.301953818827709</v>
      </c>
      <c r="O197" s="18">
        <f t="shared" si="17"/>
        <v>116.77852348993288</v>
      </c>
      <c r="P197" s="17">
        <f t="shared" si="18"/>
        <v>5.4820415879017013</v>
      </c>
      <c r="Q197" s="17">
        <f t="shared" si="19"/>
        <v>0.38454022988505748</v>
      </c>
      <c r="R197" s="10" t="s">
        <v>426</v>
      </c>
      <c r="S197" s="14" t="s">
        <v>26</v>
      </c>
      <c r="T197" s="14" t="s">
        <v>55</v>
      </c>
      <c r="U197" s="13">
        <v>17400</v>
      </c>
      <c r="V197" s="15">
        <v>1</v>
      </c>
      <c r="W197" s="9" t="str">
        <f>IF(Table1[[#This Row],[Satisfaction Rating]]&lt;2, "Low", IF(Table1[[#This Row],[Satisfaction Rating]]&lt;4, "Medium", "High"))</f>
        <v>Low</v>
      </c>
    </row>
    <row r="198" spans="1:23" ht="14" x14ac:dyDescent="0.2">
      <c r="A198" s="10" t="s">
        <v>427</v>
      </c>
      <c r="B198" s="11">
        <v>45504.052673611113</v>
      </c>
      <c r="C198" s="11">
        <v>45504.052673611113</v>
      </c>
      <c r="D198" s="11" t="str">
        <f>IF(Table1[[#This Row],[Duration of Campaign]]=0, "Ongoing","Completed")</f>
        <v>Ongoing</v>
      </c>
      <c r="E198" s="12">
        <f>Table1[[#This Row],[End Date]]-Table1[[#This Row],[Start Date]]</f>
        <v>0</v>
      </c>
      <c r="F198" s="13">
        <v>6635</v>
      </c>
      <c r="G198" s="14" t="s">
        <v>63</v>
      </c>
      <c r="H198" s="15">
        <v>18767</v>
      </c>
      <c r="I198" s="15">
        <v>932</v>
      </c>
      <c r="J198" s="15">
        <v>306</v>
      </c>
      <c r="K198" s="16">
        <v>1106</v>
      </c>
      <c r="L198" s="17">
        <f t="shared" si="15"/>
        <v>4.9661640112964249E-2</v>
      </c>
      <c r="M198" s="17">
        <f t="shared" si="15"/>
        <v>0.3283261802575107</v>
      </c>
      <c r="N198" s="18">
        <f t="shared" si="16"/>
        <v>6.0879828326180254</v>
      </c>
      <c r="O198" s="18">
        <f t="shared" si="17"/>
        <v>18.542483660130721</v>
      </c>
      <c r="P198" s="17">
        <f t="shared" si="18"/>
        <v>0.85516201959306704</v>
      </c>
      <c r="Q198" s="17">
        <f t="shared" si="19"/>
        <v>0.19492421572083188</v>
      </c>
      <c r="R198" s="10" t="s">
        <v>428</v>
      </c>
      <c r="S198" s="14" t="s">
        <v>40</v>
      </c>
      <c r="T198" s="14" t="s">
        <v>55</v>
      </c>
      <c r="U198" s="13">
        <v>5674</v>
      </c>
      <c r="V198" s="15">
        <v>2</v>
      </c>
      <c r="W198" s="9" t="str">
        <f>IF(Table1[[#This Row],[Satisfaction Rating]]&lt;2, "Low", IF(Table1[[#This Row],[Satisfaction Rating]]&lt;4, "Medium", "High"))</f>
        <v>Medium</v>
      </c>
    </row>
    <row r="199" spans="1:23" ht="14" x14ac:dyDescent="0.2">
      <c r="A199" s="10" t="s">
        <v>429</v>
      </c>
      <c r="B199" s="11">
        <v>44964.277465277781</v>
      </c>
      <c r="C199" s="11">
        <v>45505.892893518518</v>
      </c>
      <c r="D199" s="11" t="str">
        <f>IF(Table1[[#This Row],[Duration of Campaign]]=0, "Ongoing","Completed")</f>
        <v>Completed</v>
      </c>
      <c r="E199" s="12">
        <f>Table1[[#This Row],[End Date]]-Table1[[#This Row],[Start Date]]</f>
        <v>541.61542824073695</v>
      </c>
      <c r="F199" s="13">
        <v>6887</v>
      </c>
      <c r="G199" s="14" t="s">
        <v>29</v>
      </c>
      <c r="H199" s="15">
        <v>11397</v>
      </c>
      <c r="I199" s="15">
        <v>174</v>
      </c>
      <c r="J199" s="15">
        <v>481</v>
      </c>
      <c r="K199" s="16">
        <v>13199</v>
      </c>
      <c r="L199" s="17">
        <f t="shared" si="15"/>
        <v>1.5267175572519083E-2</v>
      </c>
      <c r="M199" s="17">
        <f t="shared" si="15"/>
        <v>2.764367816091954</v>
      </c>
      <c r="N199" s="18">
        <f t="shared" si="16"/>
        <v>35.080459770114942</v>
      </c>
      <c r="O199" s="18">
        <f t="shared" si="17"/>
        <v>12.69022869022869</v>
      </c>
      <c r="P199" s="17">
        <f t="shared" si="18"/>
        <v>0.88630753593727307</v>
      </c>
      <c r="Q199" s="17">
        <f t="shared" si="19"/>
        <v>2.1623525557011796</v>
      </c>
      <c r="R199" s="10" t="s">
        <v>430</v>
      </c>
      <c r="S199" s="14" t="s">
        <v>40</v>
      </c>
      <c r="T199" s="14" t="s">
        <v>55</v>
      </c>
      <c r="U199" s="13">
        <v>6104</v>
      </c>
      <c r="V199" s="15">
        <v>2</v>
      </c>
      <c r="W199" s="9" t="str">
        <f>IF(Table1[[#This Row],[Satisfaction Rating]]&lt;2, "Low", IF(Table1[[#This Row],[Satisfaction Rating]]&lt;4, "Medium", "High"))</f>
        <v>Medium</v>
      </c>
    </row>
    <row r="200" spans="1:23" ht="14" x14ac:dyDescent="0.2">
      <c r="A200" s="10" t="s">
        <v>431</v>
      </c>
      <c r="B200" s="11">
        <v>45183.06827546296</v>
      </c>
      <c r="C200" s="11">
        <v>45183.06827546296</v>
      </c>
      <c r="D200" s="11" t="str">
        <f>IF(Table1[[#This Row],[Duration of Campaign]]=0, "Ongoing","Completed")</f>
        <v>Ongoing</v>
      </c>
      <c r="E200" s="12">
        <f>Table1[[#This Row],[End Date]]-Table1[[#This Row],[Start Date]]</f>
        <v>0</v>
      </c>
      <c r="F200" s="13">
        <v>7534</v>
      </c>
      <c r="G200" s="14" t="s">
        <v>29</v>
      </c>
      <c r="H200" s="15">
        <v>4045</v>
      </c>
      <c r="I200" s="15">
        <v>1843</v>
      </c>
      <c r="J200" s="15">
        <v>472</v>
      </c>
      <c r="K200" s="16">
        <v>9417</v>
      </c>
      <c r="L200" s="17">
        <f t="shared" si="15"/>
        <v>0.45562422744128556</v>
      </c>
      <c r="M200" s="17">
        <f t="shared" si="15"/>
        <v>0.25610417797069995</v>
      </c>
      <c r="N200" s="18">
        <f t="shared" si="16"/>
        <v>3.0168204015192619</v>
      </c>
      <c r="O200" s="18">
        <f t="shared" si="17"/>
        <v>11.779661016949152</v>
      </c>
      <c r="P200" s="17">
        <f t="shared" si="18"/>
        <v>0.73798778869126624</v>
      </c>
      <c r="Q200" s="17">
        <f t="shared" si="19"/>
        <v>1.6937050359712231</v>
      </c>
      <c r="R200" s="10" t="s">
        <v>432</v>
      </c>
      <c r="S200" s="14" t="s">
        <v>40</v>
      </c>
      <c r="T200" s="14" t="s">
        <v>37</v>
      </c>
      <c r="U200" s="13">
        <v>5560</v>
      </c>
      <c r="V200" s="15">
        <v>2</v>
      </c>
      <c r="W200" s="9" t="str">
        <f>IF(Table1[[#This Row],[Satisfaction Rating]]&lt;2, "Low", IF(Table1[[#This Row],[Satisfaction Rating]]&lt;4, "Medium", "High"))</f>
        <v>Medium</v>
      </c>
    </row>
    <row r="201" spans="1:23" ht="14" x14ac:dyDescent="0.2">
      <c r="A201" s="10" t="s">
        <v>433</v>
      </c>
      <c r="B201" s="11">
        <v>45107.921157407407</v>
      </c>
      <c r="C201" s="11">
        <v>45265.866006944445</v>
      </c>
      <c r="D201" s="11" t="str">
        <f>IF(Table1[[#This Row],[Duration of Campaign]]=0, "Ongoing","Completed")</f>
        <v>Completed</v>
      </c>
      <c r="E201" s="12">
        <f>Table1[[#This Row],[End Date]]-Table1[[#This Row],[Start Date]]</f>
        <v>157.94484953703795</v>
      </c>
      <c r="F201" s="13">
        <v>2739</v>
      </c>
      <c r="G201" s="14" t="s">
        <v>29</v>
      </c>
      <c r="H201" s="15">
        <v>18798</v>
      </c>
      <c r="I201" s="15">
        <v>1024</v>
      </c>
      <c r="J201" s="15">
        <v>292</v>
      </c>
      <c r="K201" s="16">
        <v>13261</v>
      </c>
      <c r="L201" s="17">
        <f t="shared" si="15"/>
        <v>5.447388020002128E-2</v>
      </c>
      <c r="M201" s="17">
        <f t="shared" si="15"/>
        <v>0.28515625</v>
      </c>
      <c r="N201" s="18">
        <f t="shared" si="16"/>
        <v>19.40234375</v>
      </c>
      <c r="O201" s="18">
        <f t="shared" si="17"/>
        <v>68.041095890410958</v>
      </c>
      <c r="P201" s="17">
        <f t="shared" si="18"/>
        <v>7.2537422416940487</v>
      </c>
      <c r="Q201" s="17">
        <f t="shared" si="19"/>
        <v>0.66745520434870143</v>
      </c>
      <c r="R201" s="10" t="s">
        <v>434</v>
      </c>
      <c r="S201" s="14" t="s">
        <v>34</v>
      </c>
      <c r="T201" s="14" t="s">
        <v>55</v>
      </c>
      <c r="U201" s="13">
        <v>19868</v>
      </c>
      <c r="V201" s="15">
        <v>2</v>
      </c>
      <c r="W201" s="9" t="str">
        <f>IF(Table1[[#This Row],[Satisfaction Rating]]&lt;2, "Low", IF(Table1[[#This Row],[Satisfaction Rating]]&lt;4, "Medium", "High"))</f>
        <v>Medium</v>
      </c>
    </row>
    <row r="202" spans="1:23" ht="14" x14ac:dyDescent="0.2">
      <c r="A202" s="10" t="s">
        <v>435</v>
      </c>
      <c r="B202" s="11">
        <v>45305.531354166669</v>
      </c>
      <c r="C202" s="11">
        <v>45305.531354166669</v>
      </c>
      <c r="D202" s="11" t="str">
        <f>IF(Table1[[#This Row],[Duration of Campaign]]=0, "Ongoing","Completed")</f>
        <v>Ongoing</v>
      </c>
      <c r="E202" s="12">
        <f>Table1[[#This Row],[End Date]]-Table1[[#This Row],[Start Date]]</f>
        <v>0</v>
      </c>
      <c r="F202" s="13">
        <v>8781</v>
      </c>
      <c r="G202" s="14" t="s">
        <v>47</v>
      </c>
      <c r="H202" s="15">
        <v>1728</v>
      </c>
      <c r="I202" s="15">
        <v>1226</v>
      </c>
      <c r="J202" s="15">
        <v>278</v>
      </c>
      <c r="K202" s="16">
        <v>1076</v>
      </c>
      <c r="L202" s="17">
        <f t="shared" si="15"/>
        <v>0.7094907407407407</v>
      </c>
      <c r="M202" s="17">
        <f t="shared" si="15"/>
        <v>0.2267536704730832</v>
      </c>
      <c r="N202" s="18">
        <f t="shared" si="16"/>
        <v>2.2724306688417619</v>
      </c>
      <c r="O202" s="18">
        <f t="shared" si="17"/>
        <v>10.02158273381295</v>
      </c>
      <c r="P202" s="17">
        <f t="shared" si="18"/>
        <v>0.31727593668147136</v>
      </c>
      <c r="Q202" s="17">
        <f t="shared" si="19"/>
        <v>0.38621679827709976</v>
      </c>
      <c r="R202" s="10" t="s">
        <v>436</v>
      </c>
      <c r="S202" s="14" t="s">
        <v>31</v>
      </c>
      <c r="T202" s="14" t="s">
        <v>37</v>
      </c>
      <c r="U202" s="13">
        <v>2786</v>
      </c>
      <c r="V202" s="15">
        <v>3</v>
      </c>
      <c r="W202" s="9" t="str">
        <f>IF(Table1[[#This Row],[Satisfaction Rating]]&lt;2, "Low", IF(Table1[[#This Row],[Satisfaction Rating]]&lt;4, "Medium", "High"))</f>
        <v>Medium</v>
      </c>
    </row>
    <row r="203" spans="1:23" ht="14" x14ac:dyDescent="0.2">
      <c r="A203" s="10" t="s">
        <v>437</v>
      </c>
      <c r="B203" s="11">
        <v>45030.199004629627</v>
      </c>
      <c r="C203" s="11">
        <v>45056.885289351849</v>
      </c>
      <c r="D203" s="11" t="str">
        <f>IF(Table1[[#This Row],[Duration of Campaign]]=0, "Ongoing","Completed")</f>
        <v>Completed</v>
      </c>
      <c r="E203" s="12">
        <f>Table1[[#This Row],[End Date]]-Table1[[#This Row],[Start Date]]</f>
        <v>26.686284722221899</v>
      </c>
      <c r="F203" s="13">
        <v>6464</v>
      </c>
      <c r="G203" s="14" t="s">
        <v>29</v>
      </c>
      <c r="H203" s="15">
        <v>19236</v>
      </c>
      <c r="I203" s="15">
        <v>1031</v>
      </c>
      <c r="J203" s="15">
        <v>315</v>
      </c>
      <c r="K203" s="16">
        <v>5840</v>
      </c>
      <c r="L203" s="17">
        <f t="shared" si="15"/>
        <v>5.3597421501351633E-2</v>
      </c>
      <c r="M203" s="17">
        <f t="shared" si="15"/>
        <v>0.30552861299709022</v>
      </c>
      <c r="N203" s="18">
        <f t="shared" si="16"/>
        <v>17.274490785645003</v>
      </c>
      <c r="O203" s="18">
        <f t="shared" si="17"/>
        <v>56.539682539682538</v>
      </c>
      <c r="P203" s="17">
        <f t="shared" si="18"/>
        <v>2.7552599009900991</v>
      </c>
      <c r="Q203" s="17">
        <f t="shared" si="19"/>
        <v>0.32790567097136442</v>
      </c>
      <c r="R203" s="10" t="s">
        <v>438</v>
      </c>
      <c r="S203" s="14" t="s">
        <v>26</v>
      </c>
      <c r="T203" s="14" t="s">
        <v>27</v>
      </c>
      <c r="U203" s="13">
        <v>17810</v>
      </c>
      <c r="V203" s="15">
        <v>3</v>
      </c>
      <c r="W203" s="9" t="str">
        <f>IF(Table1[[#This Row],[Satisfaction Rating]]&lt;2, "Low", IF(Table1[[#This Row],[Satisfaction Rating]]&lt;4, "Medium", "High"))</f>
        <v>Medium</v>
      </c>
    </row>
    <row r="204" spans="1:23" ht="14" x14ac:dyDescent="0.2">
      <c r="A204" s="10" t="s">
        <v>439</v>
      </c>
      <c r="B204" s="11">
        <v>45101.07304398148</v>
      </c>
      <c r="C204" s="11">
        <v>45460.34375</v>
      </c>
      <c r="D204" s="11" t="str">
        <f>IF(Table1[[#This Row],[Duration of Campaign]]=0, "Ongoing","Completed")</f>
        <v>Completed</v>
      </c>
      <c r="E204" s="12">
        <f>Table1[[#This Row],[End Date]]-Table1[[#This Row],[Start Date]]</f>
        <v>359.27070601852029</v>
      </c>
      <c r="F204" s="13">
        <v>4215</v>
      </c>
      <c r="G204" s="14" t="s">
        <v>47</v>
      </c>
      <c r="H204" s="15">
        <v>14285</v>
      </c>
      <c r="I204" s="15">
        <v>1595</v>
      </c>
      <c r="J204" s="15">
        <v>491</v>
      </c>
      <c r="K204" s="16">
        <v>9150</v>
      </c>
      <c r="L204" s="17">
        <f t="shared" si="15"/>
        <v>0.11165558277913895</v>
      </c>
      <c r="M204" s="17">
        <f t="shared" si="15"/>
        <v>0.30783699059561126</v>
      </c>
      <c r="N204" s="18">
        <f t="shared" si="16"/>
        <v>11.66269592476489</v>
      </c>
      <c r="O204" s="18">
        <f t="shared" si="17"/>
        <v>37.885947046843178</v>
      </c>
      <c r="P204" s="17">
        <f t="shared" si="18"/>
        <v>4.4132858837485172</v>
      </c>
      <c r="Q204" s="17">
        <f t="shared" si="19"/>
        <v>0.49188259326954092</v>
      </c>
      <c r="R204" s="10" t="s">
        <v>440</v>
      </c>
      <c r="S204" s="14" t="s">
        <v>31</v>
      </c>
      <c r="T204" s="14" t="s">
        <v>37</v>
      </c>
      <c r="U204" s="13">
        <v>18602</v>
      </c>
      <c r="V204" s="15">
        <v>2</v>
      </c>
      <c r="W204" s="9" t="str">
        <f>IF(Table1[[#This Row],[Satisfaction Rating]]&lt;2, "Low", IF(Table1[[#This Row],[Satisfaction Rating]]&lt;4, "Medium", "High"))</f>
        <v>Medium</v>
      </c>
    </row>
    <row r="205" spans="1:23" ht="14" x14ac:dyDescent="0.2">
      <c r="A205" s="10" t="s">
        <v>441</v>
      </c>
      <c r="B205" s="11">
        <v>45240.915833333333</v>
      </c>
      <c r="C205" s="11">
        <v>45240.915833333333</v>
      </c>
      <c r="D205" s="11" t="str">
        <f>IF(Table1[[#This Row],[Duration of Campaign]]=0, "Ongoing","Completed")</f>
        <v>Ongoing</v>
      </c>
      <c r="E205" s="12">
        <f>Table1[[#This Row],[End Date]]-Table1[[#This Row],[Start Date]]</f>
        <v>0</v>
      </c>
      <c r="F205" s="13">
        <v>8979</v>
      </c>
      <c r="G205" s="14" t="s">
        <v>29</v>
      </c>
      <c r="H205" s="15">
        <v>19712</v>
      </c>
      <c r="I205" s="15">
        <v>544</v>
      </c>
      <c r="J205" s="15">
        <v>118</v>
      </c>
      <c r="K205" s="16">
        <v>11480</v>
      </c>
      <c r="L205" s="17">
        <f t="shared" si="15"/>
        <v>2.7597402597402596E-2</v>
      </c>
      <c r="M205" s="17">
        <f t="shared" si="15"/>
        <v>0.21691176470588236</v>
      </c>
      <c r="N205" s="18">
        <f t="shared" si="16"/>
        <v>20.211397058823529</v>
      </c>
      <c r="O205" s="18">
        <f t="shared" si="17"/>
        <v>93.177966101694921</v>
      </c>
      <c r="P205" s="17">
        <f t="shared" si="18"/>
        <v>1.2245238890745072</v>
      </c>
      <c r="Q205" s="17">
        <f t="shared" si="19"/>
        <v>1.0441109595270577</v>
      </c>
      <c r="R205" s="10" t="s">
        <v>442</v>
      </c>
      <c r="S205" s="14" t="s">
        <v>34</v>
      </c>
      <c r="T205" s="14" t="s">
        <v>27</v>
      </c>
      <c r="U205" s="13">
        <v>10995</v>
      </c>
      <c r="V205" s="15">
        <v>2</v>
      </c>
      <c r="W205" s="9" t="str">
        <f>IF(Table1[[#This Row],[Satisfaction Rating]]&lt;2, "Low", IF(Table1[[#This Row],[Satisfaction Rating]]&lt;4, "Medium", "High"))</f>
        <v>Medium</v>
      </c>
    </row>
    <row r="206" spans="1:23" ht="14" x14ac:dyDescent="0.2">
      <c r="A206" s="10" t="s">
        <v>443</v>
      </c>
      <c r="B206" s="11">
        <v>45142.366863425923</v>
      </c>
      <c r="C206" s="11">
        <v>45221.098171296297</v>
      </c>
      <c r="D206" s="11" t="str">
        <f>IF(Table1[[#This Row],[Duration of Campaign]]=0, "Ongoing","Completed")</f>
        <v>Completed</v>
      </c>
      <c r="E206" s="12">
        <f>Table1[[#This Row],[End Date]]-Table1[[#This Row],[Start Date]]</f>
        <v>78.731307870373712</v>
      </c>
      <c r="F206" s="13">
        <v>4943</v>
      </c>
      <c r="G206" s="14" t="s">
        <v>29</v>
      </c>
      <c r="H206" s="15">
        <v>12633</v>
      </c>
      <c r="I206" s="15">
        <v>463</v>
      </c>
      <c r="J206" s="15">
        <v>231</v>
      </c>
      <c r="K206" s="16">
        <v>4811</v>
      </c>
      <c r="L206" s="17">
        <f t="shared" si="15"/>
        <v>3.6650043536768782E-2</v>
      </c>
      <c r="M206" s="17">
        <f t="shared" si="15"/>
        <v>0.49892008639308855</v>
      </c>
      <c r="N206" s="18">
        <f t="shared" si="16"/>
        <v>11.29805615550756</v>
      </c>
      <c r="O206" s="18">
        <f t="shared" si="17"/>
        <v>22.645021645021647</v>
      </c>
      <c r="P206" s="17">
        <f t="shared" si="18"/>
        <v>1.0582642120169938</v>
      </c>
      <c r="Q206" s="17">
        <f t="shared" si="19"/>
        <v>0.91970942458420957</v>
      </c>
      <c r="R206" s="10" t="s">
        <v>444</v>
      </c>
      <c r="S206" s="14" t="s">
        <v>31</v>
      </c>
      <c r="T206" s="14" t="s">
        <v>27</v>
      </c>
      <c r="U206" s="13">
        <v>5231</v>
      </c>
      <c r="V206" s="15">
        <v>2</v>
      </c>
      <c r="W206" s="9" t="str">
        <f>IF(Table1[[#This Row],[Satisfaction Rating]]&lt;2, "Low", IF(Table1[[#This Row],[Satisfaction Rating]]&lt;4, "Medium", "High"))</f>
        <v>Medium</v>
      </c>
    </row>
    <row r="207" spans="1:23" ht="14" x14ac:dyDescent="0.2">
      <c r="A207" s="10" t="s">
        <v>445</v>
      </c>
      <c r="B207" s="11">
        <v>44979.516643518517</v>
      </c>
      <c r="C207" s="11">
        <v>45043.59097222222</v>
      </c>
      <c r="D207" s="11" t="str">
        <f>IF(Table1[[#This Row],[Duration of Campaign]]=0, "Ongoing","Completed")</f>
        <v>Completed</v>
      </c>
      <c r="E207" s="12">
        <f>Table1[[#This Row],[End Date]]-Table1[[#This Row],[Start Date]]</f>
        <v>64.074328703703941</v>
      </c>
      <c r="F207" s="13">
        <v>1411</v>
      </c>
      <c r="G207" s="14" t="s">
        <v>29</v>
      </c>
      <c r="H207" s="15">
        <v>10015</v>
      </c>
      <c r="I207" s="15">
        <v>865</v>
      </c>
      <c r="J207" s="15">
        <v>75</v>
      </c>
      <c r="K207" s="16">
        <v>2318</v>
      </c>
      <c r="L207" s="17">
        <f t="shared" si="15"/>
        <v>8.6370444333499746E-2</v>
      </c>
      <c r="M207" s="17">
        <f t="shared" si="15"/>
        <v>8.6705202312138727E-2</v>
      </c>
      <c r="N207" s="18">
        <f t="shared" si="16"/>
        <v>18.23005780346821</v>
      </c>
      <c r="O207" s="18">
        <f t="shared" si="17"/>
        <v>210.25333333333333</v>
      </c>
      <c r="P207" s="17">
        <f t="shared" si="18"/>
        <v>11.175761871013465</v>
      </c>
      <c r="Q207" s="17">
        <f t="shared" si="19"/>
        <v>0.14699727313082631</v>
      </c>
      <c r="R207" s="10" t="s">
        <v>446</v>
      </c>
      <c r="S207" s="14" t="s">
        <v>26</v>
      </c>
      <c r="T207" s="14" t="s">
        <v>37</v>
      </c>
      <c r="U207" s="13">
        <v>15769</v>
      </c>
      <c r="V207" s="15">
        <v>4</v>
      </c>
      <c r="W207" s="9" t="str">
        <f>IF(Table1[[#This Row],[Satisfaction Rating]]&lt;2, "Low", IF(Table1[[#This Row],[Satisfaction Rating]]&lt;4, "Medium", "High"))</f>
        <v>High</v>
      </c>
    </row>
    <row r="208" spans="1:23" ht="14" x14ac:dyDescent="0.2">
      <c r="A208" s="10" t="s">
        <v>447</v>
      </c>
      <c r="B208" s="11">
        <v>45572.123449074075</v>
      </c>
      <c r="C208" s="11">
        <v>45572.123449074075</v>
      </c>
      <c r="D208" s="11" t="str">
        <f>IF(Table1[[#This Row],[Duration of Campaign]]=0, "Ongoing","Completed")</f>
        <v>Ongoing</v>
      </c>
      <c r="E208" s="12">
        <f>Table1[[#This Row],[End Date]]-Table1[[#This Row],[Start Date]]</f>
        <v>0</v>
      </c>
      <c r="F208" s="13">
        <v>7966</v>
      </c>
      <c r="G208" s="14" t="s">
        <v>29</v>
      </c>
      <c r="H208" s="15">
        <v>9928</v>
      </c>
      <c r="I208" s="15">
        <v>1730</v>
      </c>
      <c r="J208" s="15">
        <v>388</v>
      </c>
      <c r="K208" s="16">
        <v>9148</v>
      </c>
      <c r="L208" s="17">
        <f t="shared" si="15"/>
        <v>0.17425463336019339</v>
      </c>
      <c r="M208" s="17">
        <f t="shared" si="15"/>
        <v>0.22427745664739884</v>
      </c>
      <c r="N208" s="18">
        <f t="shared" si="16"/>
        <v>9.1635838150289022</v>
      </c>
      <c r="O208" s="18">
        <f t="shared" si="17"/>
        <v>40.858247422680414</v>
      </c>
      <c r="P208" s="17">
        <f t="shared" si="18"/>
        <v>1.9900828521215164</v>
      </c>
      <c r="Q208" s="17">
        <f t="shared" si="19"/>
        <v>0.57705166214596604</v>
      </c>
      <c r="R208" s="10" t="s">
        <v>448</v>
      </c>
      <c r="S208" s="14" t="s">
        <v>26</v>
      </c>
      <c r="T208" s="14" t="s">
        <v>55</v>
      </c>
      <c r="U208" s="13">
        <v>15853</v>
      </c>
      <c r="V208" s="15">
        <v>4</v>
      </c>
      <c r="W208" s="9" t="str">
        <f>IF(Table1[[#This Row],[Satisfaction Rating]]&lt;2, "Low", IF(Table1[[#This Row],[Satisfaction Rating]]&lt;4, "Medium", "High"))</f>
        <v>High</v>
      </c>
    </row>
    <row r="209" spans="1:23" ht="14" x14ac:dyDescent="0.2">
      <c r="A209" s="10" t="s">
        <v>449</v>
      </c>
      <c r="B209" s="11">
        <v>45195.331192129626</v>
      </c>
      <c r="C209" s="11">
        <v>45594.740127314813</v>
      </c>
      <c r="D209" s="11" t="str">
        <f>IF(Table1[[#This Row],[Duration of Campaign]]=0, "Ongoing","Completed")</f>
        <v>Completed</v>
      </c>
      <c r="E209" s="12">
        <f>Table1[[#This Row],[End Date]]-Table1[[#This Row],[Start Date]]</f>
        <v>399.40893518518715</v>
      </c>
      <c r="F209" s="13">
        <v>6773</v>
      </c>
      <c r="G209" s="14" t="s">
        <v>63</v>
      </c>
      <c r="H209" s="15">
        <v>11856</v>
      </c>
      <c r="I209" s="15">
        <v>1653</v>
      </c>
      <c r="J209" s="15">
        <v>248</v>
      </c>
      <c r="K209" s="16">
        <v>11536</v>
      </c>
      <c r="L209" s="17">
        <f t="shared" si="15"/>
        <v>0.13942307692307693</v>
      </c>
      <c r="M209" s="17">
        <f t="shared" si="15"/>
        <v>0.15003024803387779</v>
      </c>
      <c r="N209" s="18">
        <f t="shared" si="16"/>
        <v>10.605565638233514</v>
      </c>
      <c r="O209" s="18">
        <f t="shared" si="17"/>
        <v>70.689516129032256</v>
      </c>
      <c r="P209" s="17">
        <f t="shared" si="18"/>
        <v>2.5883655691717111</v>
      </c>
      <c r="Q209" s="17">
        <f t="shared" si="19"/>
        <v>0.65803433917061205</v>
      </c>
      <c r="R209" s="10" t="s">
        <v>450</v>
      </c>
      <c r="S209" s="14" t="s">
        <v>34</v>
      </c>
      <c r="T209" s="14" t="s">
        <v>27</v>
      </c>
      <c r="U209" s="13">
        <v>17531</v>
      </c>
      <c r="V209" s="15">
        <v>2</v>
      </c>
      <c r="W209" s="9" t="str">
        <f>IF(Table1[[#This Row],[Satisfaction Rating]]&lt;2, "Low", IF(Table1[[#This Row],[Satisfaction Rating]]&lt;4, "Medium", "High"))</f>
        <v>Medium</v>
      </c>
    </row>
    <row r="210" spans="1:23" ht="14" x14ac:dyDescent="0.2">
      <c r="A210" s="10" t="s">
        <v>451</v>
      </c>
      <c r="B210" s="11">
        <v>45593.418113425927</v>
      </c>
      <c r="C210" s="11">
        <v>45593.418113425927</v>
      </c>
      <c r="D210" s="11" t="str">
        <f>IF(Table1[[#This Row],[Duration of Campaign]]=0, "Ongoing","Completed")</f>
        <v>Ongoing</v>
      </c>
      <c r="E210" s="12">
        <f>Table1[[#This Row],[End Date]]-Table1[[#This Row],[Start Date]]</f>
        <v>0</v>
      </c>
      <c r="F210" s="13">
        <v>5921</v>
      </c>
      <c r="G210" s="14" t="s">
        <v>63</v>
      </c>
      <c r="H210" s="15">
        <v>16835</v>
      </c>
      <c r="I210" s="15">
        <v>353</v>
      </c>
      <c r="J210" s="15">
        <v>232</v>
      </c>
      <c r="K210" s="16">
        <v>11123</v>
      </c>
      <c r="L210" s="17">
        <f t="shared" si="15"/>
        <v>2.0968220968220968E-2</v>
      </c>
      <c r="M210" s="17">
        <f t="shared" si="15"/>
        <v>0.65722379603399439</v>
      </c>
      <c r="N210" s="18">
        <f t="shared" si="16"/>
        <v>5.3484419263456093</v>
      </c>
      <c r="O210" s="18">
        <f t="shared" si="17"/>
        <v>8.137931034482758</v>
      </c>
      <c r="P210" s="17">
        <f t="shared" si="18"/>
        <v>0.31886505657828068</v>
      </c>
      <c r="Q210" s="17">
        <f t="shared" si="19"/>
        <v>5.8914194915254239</v>
      </c>
      <c r="R210" s="10" t="s">
        <v>452</v>
      </c>
      <c r="S210" s="14" t="s">
        <v>34</v>
      </c>
      <c r="T210" s="14" t="s">
        <v>55</v>
      </c>
      <c r="U210" s="13">
        <v>1888</v>
      </c>
      <c r="V210" s="15">
        <v>1</v>
      </c>
      <c r="W210" s="9" t="str">
        <f>IF(Table1[[#This Row],[Satisfaction Rating]]&lt;2, "Low", IF(Table1[[#This Row],[Satisfaction Rating]]&lt;4, "Medium", "High"))</f>
        <v>Low</v>
      </c>
    </row>
    <row r="211" spans="1:23" ht="14" x14ac:dyDescent="0.2">
      <c r="A211" s="10" t="s">
        <v>453</v>
      </c>
      <c r="B211" s="11">
        <v>45643.194976851853</v>
      </c>
      <c r="C211" s="11">
        <v>45643.194976851853</v>
      </c>
      <c r="D211" s="11" t="str">
        <f>IF(Table1[[#This Row],[Duration of Campaign]]=0, "Ongoing","Completed")</f>
        <v>Ongoing</v>
      </c>
      <c r="E211" s="12">
        <f>Table1[[#This Row],[End Date]]-Table1[[#This Row],[Start Date]]</f>
        <v>0</v>
      </c>
      <c r="F211" s="13">
        <v>3725</v>
      </c>
      <c r="G211" s="14" t="s">
        <v>63</v>
      </c>
      <c r="H211" s="15">
        <v>4767</v>
      </c>
      <c r="I211" s="15">
        <v>693</v>
      </c>
      <c r="J211" s="15">
        <v>229</v>
      </c>
      <c r="K211" s="16">
        <v>14785</v>
      </c>
      <c r="L211" s="17">
        <f t="shared" si="15"/>
        <v>0.14537444933920704</v>
      </c>
      <c r="M211" s="17">
        <f t="shared" si="15"/>
        <v>0.33044733044733043</v>
      </c>
      <c r="N211" s="18">
        <f t="shared" si="16"/>
        <v>5.6594516594516593</v>
      </c>
      <c r="O211" s="18">
        <f t="shared" si="17"/>
        <v>17.126637554585152</v>
      </c>
      <c r="P211" s="17">
        <f t="shared" si="18"/>
        <v>1.0528859060402684</v>
      </c>
      <c r="Q211" s="17">
        <f t="shared" si="19"/>
        <v>3.7697603263641</v>
      </c>
      <c r="R211" s="10" t="s">
        <v>454</v>
      </c>
      <c r="S211" s="14" t="s">
        <v>34</v>
      </c>
      <c r="T211" s="14" t="s">
        <v>55</v>
      </c>
      <c r="U211" s="13">
        <v>3922</v>
      </c>
      <c r="V211" s="15">
        <v>1</v>
      </c>
      <c r="W211" s="9" t="str">
        <f>IF(Table1[[#This Row],[Satisfaction Rating]]&lt;2, "Low", IF(Table1[[#This Row],[Satisfaction Rating]]&lt;4, "Medium", "High"))</f>
        <v>Low</v>
      </c>
    </row>
    <row r="212" spans="1:23" ht="14" x14ac:dyDescent="0.2">
      <c r="A212" s="10" t="s">
        <v>455</v>
      </c>
      <c r="B212" s="11">
        <v>45202.383217592593</v>
      </c>
      <c r="C212" s="11">
        <v>45417.579212962963</v>
      </c>
      <c r="D212" s="11" t="str">
        <f>IF(Table1[[#This Row],[Duration of Campaign]]=0, "Ongoing","Completed")</f>
        <v>Completed</v>
      </c>
      <c r="E212" s="12">
        <f>Table1[[#This Row],[End Date]]-Table1[[#This Row],[Start Date]]</f>
        <v>215.19599537036993</v>
      </c>
      <c r="F212" s="13">
        <v>1524</v>
      </c>
      <c r="G212" s="14" t="s">
        <v>47</v>
      </c>
      <c r="H212" s="15">
        <v>12015</v>
      </c>
      <c r="I212" s="15">
        <v>761</v>
      </c>
      <c r="J212" s="15">
        <v>246</v>
      </c>
      <c r="K212" s="16">
        <v>5548</v>
      </c>
      <c r="L212" s="17">
        <f t="shared" si="15"/>
        <v>6.3337494798168956E-2</v>
      </c>
      <c r="M212" s="17">
        <f t="shared" si="15"/>
        <v>0.32325886990801578</v>
      </c>
      <c r="N212" s="18">
        <f t="shared" si="16"/>
        <v>15.021024967148488</v>
      </c>
      <c r="O212" s="18">
        <f t="shared" si="17"/>
        <v>46.467479674796749</v>
      </c>
      <c r="P212" s="17">
        <f t="shared" si="18"/>
        <v>7.5006561679790025</v>
      </c>
      <c r="Q212" s="17">
        <f t="shared" si="19"/>
        <v>0.48534686379144432</v>
      </c>
      <c r="R212" s="10" t="s">
        <v>456</v>
      </c>
      <c r="S212" s="14" t="s">
        <v>40</v>
      </c>
      <c r="T212" s="14" t="s">
        <v>27</v>
      </c>
      <c r="U212" s="13">
        <v>11431</v>
      </c>
      <c r="V212" s="15">
        <v>4</v>
      </c>
      <c r="W212" s="9" t="str">
        <f>IF(Table1[[#This Row],[Satisfaction Rating]]&lt;2, "Low", IF(Table1[[#This Row],[Satisfaction Rating]]&lt;4, "Medium", "High"))</f>
        <v>High</v>
      </c>
    </row>
    <row r="213" spans="1:23" ht="14" x14ac:dyDescent="0.2">
      <c r="A213" s="10" t="s">
        <v>457</v>
      </c>
      <c r="B213" s="11">
        <v>45349.436331018522</v>
      </c>
      <c r="C213" s="11">
        <v>45349.436331018522</v>
      </c>
      <c r="D213" s="11" t="str">
        <f>IF(Table1[[#This Row],[Duration of Campaign]]=0, "Ongoing","Completed")</f>
        <v>Ongoing</v>
      </c>
      <c r="E213" s="12">
        <f>Table1[[#This Row],[End Date]]-Table1[[#This Row],[Start Date]]</f>
        <v>0</v>
      </c>
      <c r="F213" s="13">
        <v>3021</v>
      </c>
      <c r="G213" s="14" t="s">
        <v>29</v>
      </c>
      <c r="H213" s="15">
        <v>15541</v>
      </c>
      <c r="I213" s="15">
        <v>366</v>
      </c>
      <c r="J213" s="15">
        <v>345</v>
      </c>
      <c r="K213" s="16">
        <v>11387</v>
      </c>
      <c r="L213" s="17">
        <f t="shared" si="15"/>
        <v>2.355060806897883E-2</v>
      </c>
      <c r="M213" s="17">
        <f t="shared" si="15"/>
        <v>0.94262295081967218</v>
      </c>
      <c r="N213" s="18">
        <f t="shared" si="16"/>
        <v>45.751366120218577</v>
      </c>
      <c r="O213" s="18">
        <f t="shared" si="17"/>
        <v>48.536231884057969</v>
      </c>
      <c r="P213" s="17">
        <f t="shared" si="18"/>
        <v>5.5428666004634231</v>
      </c>
      <c r="Q213" s="17">
        <f t="shared" si="19"/>
        <v>0.68002388772767985</v>
      </c>
      <c r="R213" s="10" t="s">
        <v>458</v>
      </c>
      <c r="S213" s="14" t="s">
        <v>31</v>
      </c>
      <c r="T213" s="14" t="s">
        <v>27</v>
      </c>
      <c r="U213" s="13">
        <v>16745</v>
      </c>
      <c r="V213" s="15">
        <v>3</v>
      </c>
      <c r="W213" s="9" t="str">
        <f>IF(Table1[[#This Row],[Satisfaction Rating]]&lt;2, "Low", IF(Table1[[#This Row],[Satisfaction Rating]]&lt;4, "Medium", "High"))</f>
        <v>Medium</v>
      </c>
    </row>
    <row r="214" spans="1:23" ht="14" x14ac:dyDescent="0.2">
      <c r="A214" s="10" t="s">
        <v>459</v>
      </c>
      <c r="B214" s="11">
        <v>45003.62295138889</v>
      </c>
      <c r="C214" s="11">
        <v>45218.348680555559</v>
      </c>
      <c r="D214" s="11" t="str">
        <f>IF(Table1[[#This Row],[Duration of Campaign]]=0, "Ongoing","Completed")</f>
        <v>Completed</v>
      </c>
      <c r="E214" s="12">
        <f>Table1[[#This Row],[End Date]]-Table1[[#This Row],[Start Date]]</f>
        <v>214.72572916666832</v>
      </c>
      <c r="F214" s="13">
        <v>6263</v>
      </c>
      <c r="G214" s="14" t="s">
        <v>47</v>
      </c>
      <c r="H214" s="15">
        <v>8099</v>
      </c>
      <c r="I214" s="15">
        <v>258</v>
      </c>
      <c r="J214" s="15">
        <v>381</v>
      </c>
      <c r="K214" s="16">
        <v>1705</v>
      </c>
      <c r="L214" s="17">
        <f t="shared" si="15"/>
        <v>3.1855784664773429E-2</v>
      </c>
      <c r="M214" s="17">
        <f t="shared" si="15"/>
        <v>1.4767441860465116</v>
      </c>
      <c r="N214" s="18">
        <f t="shared" si="16"/>
        <v>40.511627906976742</v>
      </c>
      <c r="O214" s="18">
        <f t="shared" si="17"/>
        <v>27.433070866141733</v>
      </c>
      <c r="P214" s="17">
        <f t="shared" si="18"/>
        <v>1.6688487945074246</v>
      </c>
      <c r="Q214" s="17">
        <f t="shared" si="19"/>
        <v>0.16312667432070418</v>
      </c>
      <c r="R214" s="10" t="s">
        <v>460</v>
      </c>
      <c r="S214" s="14" t="s">
        <v>34</v>
      </c>
      <c r="T214" s="14" t="s">
        <v>55</v>
      </c>
      <c r="U214" s="13">
        <v>10452</v>
      </c>
      <c r="V214" s="15">
        <v>3</v>
      </c>
      <c r="W214" s="9" t="str">
        <f>IF(Table1[[#This Row],[Satisfaction Rating]]&lt;2, "Low", IF(Table1[[#This Row],[Satisfaction Rating]]&lt;4, "Medium", "High"))</f>
        <v>Medium</v>
      </c>
    </row>
    <row r="215" spans="1:23" ht="14" x14ac:dyDescent="0.2">
      <c r="A215" s="10" t="s">
        <v>461</v>
      </c>
      <c r="B215" s="11">
        <v>45418.437025462961</v>
      </c>
      <c r="C215" s="11">
        <v>45418.437025462961</v>
      </c>
      <c r="D215" s="11" t="str">
        <f>IF(Table1[[#This Row],[Duration of Campaign]]=0, "Ongoing","Completed")</f>
        <v>Ongoing</v>
      </c>
      <c r="E215" s="12">
        <f>Table1[[#This Row],[End Date]]-Table1[[#This Row],[Start Date]]</f>
        <v>0</v>
      </c>
      <c r="F215" s="13">
        <v>5953</v>
      </c>
      <c r="G215" s="14" t="s">
        <v>63</v>
      </c>
      <c r="H215" s="15">
        <v>6829</v>
      </c>
      <c r="I215" s="15">
        <v>1559</v>
      </c>
      <c r="J215" s="15">
        <v>254</v>
      </c>
      <c r="K215" s="16">
        <v>1246</v>
      </c>
      <c r="L215" s="17">
        <f t="shared" si="15"/>
        <v>0.22829111143652073</v>
      </c>
      <c r="M215" s="17">
        <f t="shared" si="15"/>
        <v>0.1629249518922386</v>
      </c>
      <c r="N215" s="18">
        <f t="shared" si="16"/>
        <v>12.089159717767799</v>
      </c>
      <c r="O215" s="18">
        <f t="shared" si="17"/>
        <v>74.2007874015748</v>
      </c>
      <c r="P215" s="17">
        <f t="shared" si="18"/>
        <v>3.1659667394590962</v>
      </c>
      <c r="Q215" s="17">
        <f t="shared" si="19"/>
        <v>6.6111317451053211E-2</v>
      </c>
      <c r="R215" s="10" t="s">
        <v>462</v>
      </c>
      <c r="S215" s="14" t="s">
        <v>31</v>
      </c>
      <c r="T215" s="14" t="s">
        <v>27</v>
      </c>
      <c r="U215" s="13">
        <v>18847</v>
      </c>
      <c r="V215" s="15">
        <v>2</v>
      </c>
      <c r="W215" s="9" t="str">
        <f>IF(Table1[[#This Row],[Satisfaction Rating]]&lt;2, "Low", IF(Table1[[#This Row],[Satisfaction Rating]]&lt;4, "Medium", "High"))</f>
        <v>Medium</v>
      </c>
    </row>
    <row r="216" spans="1:23" ht="14" x14ac:dyDescent="0.2">
      <c r="A216" s="10" t="s">
        <v>463</v>
      </c>
      <c r="B216" s="11">
        <v>45346.789259259262</v>
      </c>
      <c r="C216" s="11">
        <v>45437.782500000001</v>
      </c>
      <c r="D216" s="11" t="str">
        <f>IF(Table1[[#This Row],[Duration of Campaign]]=0, "Ongoing","Completed")</f>
        <v>Completed</v>
      </c>
      <c r="E216" s="12">
        <f>Table1[[#This Row],[End Date]]-Table1[[#This Row],[Start Date]]</f>
        <v>90.993240740739566</v>
      </c>
      <c r="F216" s="13">
        <v>4804</v>
      </c>
      <c r="G216" s="14" t="s">
        <v>29</v>
      </c>
      <c r="H216" s="15">
        <v>6777</v>
      </c>
      <c r="I216" s="15">
        <v>1836</v>
      </c>
      <c r="J216" s="15">
        <v>225</v>
      </c>
      <c r="K216" s="16">
        <v>8899</v>
      </c>
      <c r="L216" s="17">
        <f t="shared" si="15"/>
        <v>0.27091633466135456</v>
      </c>
      <c r="M216" s="17">
        <f t="shared" si="15"/>
        <v>0.12254901960784313</v>
      </c>
      <c r="N216" s="18">
        <f t="shared" si="16"/>
        <v>8.0702614379084974</v>
      </c>
      <c r="O216" s="18">
        <f t="shared" si="17"/>
        <v>65.853333333333339</v>
      </c>
      <c r="P216" s="17">
        <f t="shared" si="18"/>
        <v>3.0843047460449626</v>
      </c>
      <c r="Q216" s="17">
        <f t="shared" si="19"/>
        <v>0.60059391239792126</v>
      </c>
      <c r="R216" s="10" t="s">
        <v>464</v>
      </c>
      <c r="S216" s="14" t="s">
        <v>45</v>
      </c>
      <c r="T216" s="14" t="s">
        <v>27</v>
      </c>
      <c r="U216" s="13">
        <v>14817</v>
      </c>
      <c r="V216" s="15">
        <v>3</v>
      </c>
      <c r="W216" s="9" t="str">
        <f>IF(Table1[[#This Row],[Satisfaction Rating]]&lt;2, "Low", IF(Table1[[#This Row],[Satisfaction Rating]]&lt;4, "Medium", "High"))</f>
        <v>Medium</v>
      </c>
    </row>
    <row r="217" spans="1:23" ht="14" x14ac:dyDescent="0.2">
      <c r="A217" s="10" t="s">
        <v>465</v>
      </c>
      <c r="B217" s="11">
        <v>45201.231539351851</v>
      </c>
      <c r="C217" s="11">
        <v>45259.375567129631</v>
      </c>
      <c r="D217" s="11" t="str">
        <f>IF(Table1[[#This Row],[Duration of Campaign]]=0, "Ongoing","Completed")</f>
        <v>Completed</v>
      </c>
      <c r="E217" s="12">
        <f>Table1[[#This Row],[End Date]]-Table1[[#This Row],[Start Date]]</f>
        <v>58.144027777780138</v>
      </c>
      <c r="F217" s="13">
        <v>1796</v>
      </c>
      <c r="G217" s="14" t="s">
        <v>63</v>
      </c>
      <c r="H217" s="15">
        <v>15212</v>
      </c>
      <c r="I217" s="15">
        <v>1458</v>
      </c>
      <c r="J217" s="15">
        <v>393</v>
      </c>
      <c r="K217" s="16">
        <v>11716</v>
      </c>
      <c r="L217" s="17">
        <f t="shared" si="15"/>
        <v>9.5845385222193005E-2</v>
      </c>
      <c r="M217" s="17">
        <f t="shared" si="15"/>
        <v>0.26954732510288065</v>
      </c>
      <c r="N217" s="18">
        <f t="shared" si="16"/>
        <v>4.711934156378601</v>
      </c>
      <c r="O217" s="18">
        <f t="shared" si="17"/>
        <v>17.480916030534353</v>
      </c>
      <c r="P217" s="17">
        <f t="shared" si="18"/>
        <v>3.8251670378619154</v>
      </c>
      <c r="Q217" s="17">
        <f t="shared" si="19"/>
        <v>1.7053857350800583</v>
      </c>
      <c r="R217" s="10" t="s">
        <v>466</v>
      </c>
      <c r="S217" s="14" t="s">
        <v>26</v>
      </c>
      <c r="T217" s="14" t="s">
        <v>27</v>
      </c>
      <c r="U217" s="13">
        <v>6870</v>
      </c>
      <c r="V217" s="15">
        <v>4</v>
      </c>
      <c r="W217" s="9" t="str">
        <f>IF(Table1[[#This Row],[Satisfaction Rating]]&lt;2, "Low", IF(Table1[[#This Row],[Satisfaction Rating]]&lt;4, "Medium", "High"))</f>
        <v>High</v>
      </c>
    </row>
    <row r="218" spans="1:23" ht="14" x14ac:dyDescent="0.2">
      <c r="A218" s="10" t="s">
        <v>467</v>
      </c>
      <c r="B218" s="11">
        <v>44977.661446759259</v>
      </c>
      <c r="C218" s="11">
        <v>45421.126689814817</v>
      </c>
      <c r="D218" s="11" t="str">
        <f>IF(Table1[[#This Row],[Duration of Campaign]]=0, "Ongoing","Completed")</f>
        <v>Completed</v>
      </c>
      <c r="E218" s="12">
        <f>Table1[[#This Row],[End Date]]-Table1[[#This Row],[Start Date]]</f>
        <v>443.46524305555795</v>
      </c>
      <c r="F218" s="13">
        <v>9367</v>
      </c>
      <c r="G218" s="14" t="s">
        <v>24</v>
      </c>
      <c r="H218" s="15">
        <v>16333</v>
      </c>
      <c r="I218" s="15">
        <v>1857</v>
      </c>
      <c r="J218" s="15">
        <v>68</v>
      </c>
      <c r="K218" s="16">
        <v>5682</v>
      </c>
      <c r="L218" s="17">
        <f t="shared" si="15"/>
        <v>0.11369619788158943</v>
      </c>
      <c r="M218" s="17">
        <f t="shared" si="15"/>
        <v>3.66182014001077E-2</v>
      </c>
      <c r="N218" s="18">
        <f t="shared" si="16"/>
        <v>3.6731287022078623</v>
      </c>
      <c r="O218" s="18">
        <f t="shared" si="17"/>
        <v>100.30882352941177</v>
      </c>
      <c r="P218" s="17">
        <f t="shared" si="18"/>
        <v>0.72819472616632863</v>
      </c>
      <c r="Q218" s="17">
        <f t="shared" si="19"/>
        <v>0.83301568684943561</v>
      </c>
      <c r="R218" s="10" t="s">
        <v>468</v>
      </c>
      <c r="S218" s="14" t="s">
        <v>45</v>
      </c>
      <c r="T218" s="14" t="s">
        <v>27</v>
      </c>
      <c r="U218" s="13">
        <v>6821</v>
      </c>
      <c r="V218" s="15">
        <v>1</v>
      </c>
      <c r="W218" s="9" t="str">
        <f>IF(Table1[[#This Row],[Satisfaction Rating]]&lt;2, "Low", IF(Table1[[#This Row],[Satisfaction Rating]]&lt;4, "Medium", "High"))</f>
        <v>Low</v>
      </c>
    </row>
    <row r="219" spans="1:23" ht="14" x14ac:dyDescent="0.2">
      <c r="A219" s="10" t="s">
        <v>469</v>
      </c>
      <c r="B219" s="11">
        <v>45295.096585648149</v>
      </c>
      <c r="C219" s="11">
        <v>45295.096585648149</v>
      </c>
      <c r="D219" s="11" t="str">
        <f>IF(Table1[[#This Row],[Duration of Campaign]]=0, "Ongoing","Completed")</f>
        <v>Ongoing</v>
      </c>
      <c r="E219" s="12">
        <f>Table1[[#This Row],[End Date]]-Table1[[#This Row],[Start Date]]</f>
        <v>0</v>
      </c>
      <c r="F219" s="13">
        <v>1251</v>
      </c>
      <c r="G219" s="14" t="s">
        <v>29</v>
      </c>
      <c r="H219" s="15">
        <v>10856</v>
      </c>
      <c r="I219" s="15">
        <v>1649</v>
      </c>
      <c r="J219" s="15">
        <v>190</v>
      </c>
      <c r="K219" s="16">
        <v>6059</v>
      </c>
      <c r="L219" s="17">
        <f t="shared" si="15"/>
        <v>0.15189756816507</v>
      </c>
      <c r="M219" s="17">
        <f t="shared" si="15"/>
        <v>0.11522134627046694</v>
      </c>
      <c r="N219" s="18">
        <f t="shared" si="16"/>
        <v>8.8295936931473626</v>
      </c>
      <c r="O219" s="18">
        <f t="shared" si="17"/>
        <v>76.631578947368425</v>
      </c>
      <c r="P219" s="17">
        <f t="shared" si="18"/>
        <v>11.638689048760991</v>
      </c>
      <c r="Q219" s="17">
        <f t="shared" si="19"/>
        <v>0.41614010989010991</v>
      </c>
      <c r="R219" s="10" t="s">
        <v>470</v>
      </c>
      <c r="S219" s="14" t="s">
        <v>31</v>
      </c>
      <c r="T219" s="14" t="s">
        <v>55</v>
      </c>
      <c r="U219" s="13">
        <v>14560</v>
      </c>
      <c r="V219" s="15">
        <v>1</v>
      </c>
      <c r="W219" s="9" t="str">
        <f>IF(Table1[[#This Row],[Satisfaction Rating]]&lt;2, "Low", IF(Table1[[#This Row],[Satisfaction Rating]]&lt;4, "Medium", "High"))</f>
        <v>Low</v>
      </c>
    </row>
    <row r="220" spans="1:23" ht="14" x14ac:dyDescent="0.2">
      <c r="A220" s="10" t="s">
        <v>471</v>
      </c>
      <c r="B220" s="11">
        <v>44945.517187500001</v>
      </c>
      <c r="C220" s="11">
        <v>45607.251620370371</v>
      </c>
      <c r="D220" s="11" t="str">
        <f>IF(Table1[[#This Row],[Duration of Campaign]]=0, "Ongoing","Completed")</f>
        <v>Completed</v>
      </c>
      <c r="E220" s="12">
        <f>Table1[[#This Row],[End Date]]-Table1[[#This Row],[Start Date]]</f>
        <v>661.73443287036935</v>
      </c>
      <c r="F220" s="13">
        <v>1818</v>
      </c>
      <c r="G220" s="14" t="s">
        <v>24</v>
      </c>
      <c r="H220" s="15">
        <v>9959</v>
      </c>
      <c r="I220" s="15">
        <v>1134</v>
      </c>
      <c r="J220" s="15">
        <v>186</v>
      </c>
      <c r="K220" s="16">
        <v>5334</v>
      </c>
      <c r="L220" s="17">
        <f t="shared" si="15"/>
        <v>0.11386685410181745</v>
      </c>
      <c r="M220" s="17">
        <f t="shared" si="15"/>
        <v>0.16402116402116401</v>
      </c>
      <c r="N220" s="18">
        <f t="shared" si="16"/>
        <v>7.6657848324514992</v>
      </c>
      <c r="O220" s="18">
        <f t="shared" si="17"/>
        <v>46.736559139784944</v>
      </c>
      <c r="P220" s="17">
        <f t="shared" si="18"/>
        <v>4.7816281628162818</v>
      </c>
      <c r="Q220" s="17">
        <f t="shared" si="19"/>
        <v>0.61359714712987456</v>
      </c>
      <c r="R220" s="10" t="s">
        <v>472</v>
      </c>
      <c r="S220" s="14" t="s">
        <v>26</v>
      </c>
      <c r="T220" s="14" t="s">
        <v>55</v>
      </c>
      <c r="U220" s="13">
        <v>8693</v>
      </c>
      <c r="V220" s="15">
        <v>1</v>
      </c>
      <c r="W220" s="9" t="str">
        <f>IF(Table1[[#This Row],[Satisfaction Rating]]&lt;2, "Low", IF(Table1[[#This Row],[Satisfaction Rating]]&lt;4, "Medium", "High"))</f>
        <v>Low</v>
      </c>
    </row>
    <row r="221" spans="1:23" ht="14" x14ac:dyDescent="0.2">
      <c r="A221" s="10" t="s">
        <v>473</v>
      </c>
      <c r="B221" s="11">
        <v>45623.444085648145</v>
      </c>
      <c r="C221" s="11">
        <v>45623.444085648145</v>
      </c>
      <c r="D221" s="11" t="str">
        <f>IF(Table1[[#This Row],[Duration of Campaign]]=0, "Ongoing","Completed")</f>
        <v>Ongoing</v>
      </c>
      <c r="E221" s="12">
        <f>Table1[[#This Row],[End Date]]-Table1[[#This Row],[Start Date]]</f>
        <v>0</v>
      </c>
      <c r="F221" s="13">
        <v>3688</v>
      </c>
      <c r="G221" s="14" t="s">
        <v>47</v>
      </c>
      <c r="H221" s="15">
        <v>8901</v>
      </c>
      <c r="I221" s="15">
        <v>791</v>
      </c>
      <c r="J221" s="15">
        <v>472</v>
      </c>
      <c r="K221" s="16">
        <v>7182</v>
      </c>
      <c r="L221" s="17">
        <f t="shared" si="15"/>
        <v>8.886641950342658E-2</v>
      </c>
      <c r="M221" s="17">
        <f t="shared" si="15"/>
        <v>0.59671302149178251</v>
      </c>
      <c r="N221" s="18">
        <f t="shared" si="16"/>
        <v>18.515802781289509</v>
      </c>
      <c r="O221" s="18">
        <f t="shared" si="17"/>
        <v>31.029661016949152</v>
      </c>
      <c r="P221" s="17">
        <f t="shared" si="18"/>
        <v>3.9712581344902387</v>
      </c>
      <c r="Q221" s="17">
        <f t="shared" si="19"/>
        <v>0.49037279803359279</v>
      </c>
      <c r="R221" s="10" t="s">
        <v>474</v>
      </c>
      <c r="S221" s="14" t="s">
        <v>34</v>
      </c>
      <c r="T221" s="14" t="s">
        <v>27</v>
      </c>
      <c r="U221" s="13">
        <v>14646</v>
      </c>
      <c r="V221" s="15">
        <v>2</v>
      </c>
      <c r="W221" s="9" t="str">
        <f>IF(Table1[[#This Row],[Satisfaction Rating]]&lt;2, "Low", IF(Table1[[#This Row],[Satisfaction Rating]]&lt;4, "Medium", "High"))</f>
        <v>Medium</v>
      </c>
    </row>
    <row r="222" spans="1:23" ht="14" x14ac:dyDescent="0.2">
      <c r="A222" s="10" t="s">
        <v>475</v>
      </c>
      <c r="B222" s="11">
        <v>45192.985821759263</v>
      </c>
      <c r="C222" s="11">
        <v>45529.256921296299</v>
      </c>
      <c r="D222" s="11" t="str">
        <f>IF(Table1[[#This Row],[Duration of Campaign]]=0, "Ongoing","Completed")</f>
        <v>Completed</v>
      </c>
      <c r="E222" s="12">
        <f>Table1[[#This Row],[End Date]]-Table1[[#This Row],[Start Date]]</f>
        <v>336.27109953703621</v>
      </c>
      <c r="F222" s="13">
        <v>6313</v>
      </c>
      <c r="G222" s="14" t="s">
        <v>24</v>
      </c>
      <c r="H222" s="15">
        <v>18478</v>
      </c>
      <c r="I222" s="15">
        <v>226</v>
      </c>
      <c r="J222" s="15">
        <v>210</v>
      </c>
      <c r="K222" s="16">
        <v>7028</v>
      </c>
      <c r="L222" s="17">
        <f t="shared" si="15"/>
        <v>1.2230760904859833E-2</v>
      </c>
      <c r="M222" s="17">
        <f t="shared" si="15"/>
        <v>0.92920353982300885</v>
      </c>
      <c r="N222" s="18">
        <f t="shared" si="16"/>
        <v>80.862831858407077</v>
      </c>
      <c r="O222" s="18">
        <f t="shared" si="17"/>
        <v>87.023809523809518</v>
      </c>
      <c r="P222" s="17">
        <f t="shared" si="18"/>
        <v>2.8948202122604152</v>
      </c>
      <c r="Q222" s="17">
        <f t="shared" si="19"/>
        <v>0.38456908344733243</v>
      </c>
      <c r="R222" s="10" t="s">
        <v>476</v>
      </c>
      <c r="S222" s="14" t="s">
        <v>26</v>
      </c>
      <c r="T222" s="14" t="s">
        <v>27</v>
      </c>
      <c r="U222" s="13">
        <v>18275</v>
      </c>
      <c r="V222" s="15">
        <v>5</v>
      </c>
      <c r="W222" s="9" t="str">
        <f>IF(Table1[[#This Row],[Satisfaction Rating]]&lt;2, "Low", IF(Table1[[#This Row],[Satisfaction Rating]]&lt;4, "Medium", "High"))</f>
        <v>High</v>
      </c>
    </row>
    <row r="223" spans="1:23" ht="14" x14ac:dyDescent="0.2">
      <c r="A223" s="10" t="s">
        <v>477</v>
      </c>
      <c r="B223" s="11">
        <v>45396.687361111108</v>
      </c>
      <c r="C223" s="11">
        <v>45429.106828703705</v>
      </c>
      <c r="D223" s="11" t="str">
        <f>IF(Table1[[#This Row],[Duration of Campaign]]=0, "Ongoing","Completed")</f>
        <v>Completed</v>
      </c>
      <c r="E223" s="12">
        <f>Table1[[#This Row],[End Date]]-Table1[[#This Row],[Start Date]]</f>
        <v>32.419467592597357</v>
      </c>
      <c r="F223" s="13">
        <v>5252</v>
      </c>
      <c r="G223" s="14" t="s">
        <v>29</v>
      </c>
      <c r="H223" s="15">
        <v>1355</v>
      </c>
      <c r="I223" s="15">
        <v>1644</v>
      </c>
      <c r="J223" s="15">
        <v>191</v>
      </c>
      <c r="K223" s="16">
        <v>885</v>
      </c>
      <c r="L223" s="17">
        <f t="shared" si="15"/>
        <v>1.2132841328413284</v>
      </c>
      <c r="M223" s="17">
        <f t="shared" si="15"/>
        <v>0.11618004866180048</v>
      </c>
      <c r="N223" s="18">
        <f t="shared" si="16"/>
        <v>6.7256690997566908</v>
      </c>
      <c r="O223" s="18">
        <f t="shared" si="17"/>
        <v>57.890052356020945</v>
      </c>
      <c r="P223" s="17">
        <f t="shared" si="18"/>
        <v>2.1052932216298554</v>
      </c>
      <c r="Q223" s="17">
        <f t="shared" si="19"/>
        <v>8.0039793795785477E-2</v>
      </c>
      <c r="R223" s="10" t="s">
        <v>478</v>
      </c>
      <c r="S223" s="14" t="s">
        <v>31</v>
      </c>
      <c r="T223" s="14" t="s">
        <v>55</v>
      </c>
      <c r="U223" s="13">
        <v>11057</v>
      </c>
      <c r="V223" s="15">
        <v>1</v>
      </c>
      <c r="W223" s="9" t="str">
        <f>IF(Table1[[#This Row],[Satisfaction Rating]]&lt;2, "Low", IF(Table1[[#This Row],[Satisfaction Rating]]&lt;4, "Medium", "High"))</f>
        <v>Low</v>
      </c>
    </row>
    <row r="224" spans="1:23" ht="14" x14ac:dyDescent="0.2">
      <c r="A224" s="10" t="s">
        <v>479</v>
      </c>
      <c r="B224" s="11">
        <v>45076.909201388888</v>
      </c>
      <c r="C224" s="11">
        <v>45425.921365740738</v>
      </c>
      <c r="D224" s="11" t="str">
        <f>IF(Table1[[#This Row],[Duration of Campaign]]=0, "Ongoing","Completed")</f>
        <v>Completed</v>
      </c>
      <c r="E224" s="12">
        <f>Table1[[#This Row],[End Date]]-Table1[[#This Row],[Start Date]]</f>
        <v>349.01216435185052</v>
      </c>
      <c r="F224" s="13">
        <v>2416</v>
      </c>
      <c r="G224" s="14" t="s">
        <v>29</v>
      </c>
      <c r="H224" s="15">
        <v>11992</v>
      </c>
      <c r="I224" s="15">
        <v>1309</v>
      </c>
      <c r="J224" s="15">
        <v>264</v>
      </c>
      <c r="K224" s="16">
        <v>5005</v>
      </c>
      <c r="L224" s="17">
        <f t="shared" si="15"/>
        <v>0.10915610406937959</v>
      </c>
      <c r="M224" s="17">
        <f t="shared" si="15"/>
        <v>0.20168067226890757</v>
      </c>
      <c r="N224" s="18">
        <f t="shared" si="16"/>
        <v>6.60733384262796</v>
      </c>
      <c r="O224" s="18">
        <f t="shared" si="17"/>
        <v>32.761363636363633</v>
      </c>
      <c r="P224" s="17">
        <f t="shared" si="18"/>
        <v>3.5798841059602649</v>
      </c>
      <c r="Q224" s="17">
        <f t="shared" si="19"/>
        <v>0.57867961614059427</v>
      </c>
      <c r="R224" s="10" t="s">
        <v>480</v>
      </c>
      <c r="S224" s="14" t="s">
        <v>34</v>
      </c>
      <c r="T224" s="14" t="s">
        <v>37</v>
      </c>
      <c r="U224" s="13">
        <v>8649</v>
      </c>
      <c r="V224" s="15">
        <v>3</v>
      </c>
      <c r="W224" s="9" t="str">
        <f>IF(Table1[[#This Row],[Satisfaction Rating]]&lt;2, "Low", IF(Table1[[#This Row],[Satisfaction Rating]]&lt;4, "Medium", "High"))</f>
        <v>Medium</v>
      </c>
    </row>
    <row r="225" spans="1:23" ht="14" x14ac:dyDescent="0.2">
      <c r="A225" s="10" t="s">
        <v>481</v>
      </c>
      <c r="B225" s="11">
        <v>45303.384166666663</v>
      </c>
      <c r="C225" s="11">
        <v>45376.127511574072</v>
      </c>
      <c r="D225" s="11" t="str">
        <f>IF(Table1[[#This Row],[Duration of Campaign]]=0, "Ongoing","Completed")</f>
        <v>Completed</v>
      </c>
      <c r="E225" s="12">
        <f>Table1[[#This Row],[End Date]]-Table1[[#This Row],[Start Date]]</f>
        <v>72.743344907408755</v>
      </c>
      <c r="F225" s="13">
        <v>2564</v>
      </c>
      <c r="G225" s="14" t="s">
        <v>24</v>
      </c>
      <c r="H225" s="15">
        <v>10191</v>
      </c>
      <c r="I225" s="15">
        <v>1994</v>
      </c>
      <c r="J225" s="15">
        <v>261</v>
      </c>
      <c r="K225" s="16">
        <v>14858</v>
      </c>
      <c r="L225" s="17">
        <f t="shared" si="15"/>
        <v>0.19566283976057305</v>
      </c>
      <c r="M225" s="17">
        <f t="shared" si="15"/>
        <v>0.13089267803410232</v>
      </c>
      <c r="N225" s="18">
        <f t="shared" si="16"/>
        <v>4.8380140421263791</v>
      </c>
      <c r="O225" s="18">
        <f t="shared" si="17"/>
        <v>36.961685823754792</v>
      </c>
      <c r="P225" s="17">
        <f t="shared" si="18"/>
        <v>3.762480499219969</v>
      </c>
      <c r="Q225" s="17">
        <f t="shared" si="19"/>
        <v>1.5401679278532185</v>
      </c>
      <c r="R225" s="10" t="s">
        <v>482</v>
      </c>
      <c r="S225" s="14" t="s">
        <v>45</v>
      </c>
      <c r="T225" s="14" t="s">
        <v>37</v>
      </c>
      <c r="U225" s="13">
        <v>9647</v>
      </c>
      <c r="V225" s="15">
        <v>4</v>
      </c>
      <c r="W225" s="9" t="str">
        <f>IF(Table1[[#This Row],[Satisfaction Rating]]&lt;2, "Low", IF(Table1[[#This Row],[Satisfaction Rating]]&lt;4, "Medium", "High"))</f>
        <v>High</v>
      </c>
    </row>
    <row r="226" spans="1:23" ht="14" x14ac:dyDescent="0.2">
      <c r="A226" s="10" t="s">
        <v>483</v>
      </c>
      <c r="B226" s="11">
        <v>45526.481145833335</v>
      </c>
      <c r="C226" s="11">
        <v>45530.558530092596</v>
      </c>
      <c r="D226" s="11" t="str">
        <f>IF(Table1[[#This Row],[Duration of Campaign]]=0, "Ongoing","Completed")</f>
        <v>Completed</v>
      </c>
      <c r="E226" s="12">
        <f>Table1[[#This Row],[End Date]]-Table1[[#This Row],[Start Date]]</f>
        <v>4.0773842592607252</v>
      </c>
      <c r="F226" s="13">
        <v>5001</v>
      </c>
      <c r="G226" s="14" t="s">
        <v>24</v>
      </c>
      <c r="H226" s="15">
        <v>7253</v>
      </c>
      <c r="I226" s="15">
        <v>1946</v>
      </c>
      <c r="J226" s="15">
        <v>259</v>
      </c>
      <c r="K226" s="16">
        <v>11152</v>
      </c>
      <c r="L226" s="17">
        <f t="shared" si="15"/>
        <v>0.26830277126706192</v>
      </c>
      <c r="M226" s="17">
        <f t="shared" si="15"/>
        <v>0.13309352517985612</v>
      </c>
      <c r="N226" s="18">
        <f t="shared" si="16"/>
        <v>8.4069886947584784</v>
      </c>
      <c r="O226" s="18">
        <f t="shared" si="17"/>
        <v>63.166023166023166</v>
      </c>
      <c r="P226" s="17">
        <f t="shared" si="18"/>
        <v>3.2713457308538292</v>
      </c>
      <c r="Q226" s="17">
        <f t="shared" si="19"/>
        <v>0.68166259168704157</v>
      </c>
      <c r="R226" s="10" t="s">
        <v>484</v>
      </c>
      <c r="S226" s="14" t="s">
        <v>31</v>
      </c>
      <c r="T226" s="14" t="s">
        <v>27</v>
      </c>
      <c r="U226" s="13">
        <v>16360</v>
      </c>
      <c r="V226" s="15">
        <v>3</v>
      </c>
      <c r="W226" s="9" t="str">
        <f>IF(Table1[[#This Row],[Satisfaction Rating]]&lt;2, "Low", IF(Table1[[#This Row],[Satisfaction Rating]]&lt;4, "Medium", "High"))</f>
        <v>Medium</v>
      </c>
    </row>
    <row r="227" spans="1:23" ht="14" x14ac:dyDescent="0.2">
      <c r="A227" s="10" t="s">
        <v>485</v>
      </c>
      <c r="B227" s="11">
        <v>45460.012789351851</v>
      </c>
      <c r="C227" s="11">
        <v>45460.012789351851</v>
      </c>
      <c r="D227" s="11" t="str">
        <f>IF(Table1[[#This Row],[Duration of Campaign]]=0, "Ongoing","Completed")</f>
        <v>Ongoing</v>
      </c>
      <c r="E227" s="12">
        <f>Table1[[#This Row],[End Date]]-Table1[[#This Row],[Start Date]]</f>
        <v>0</v>
      </c>
      <c r="F227" s="13">
        <v>7016</v>
      </c>
      <c r="G227" s="14" t="s">
        <v>63</v>
      </c>
      <c r="H227" s="15">
        <v>7889</v>
      </c>
      <c r="I227" s="15">
        <v>606</v>
      </c>
      <c r="J227" s="15">
        <v>392</v>
      </c>
      <c r="K227" s="16">
        <v>1422</v>
      </c>
      <c r="L227" s="17">
        <f t="shared" si="15"/>
        <v>7.6815819495500065E-2</v>
      </c>
      <c r="M227" s="17">
        <f t="shared" si="15"/>
        <v>0.64686468646864681</v>
      </c>
      <c r="N227" s="18">
        <f t="shared" si="16"/>
        <v>21.866336633663366</v>
      </c>
      <c r="O227" s="18">
        <f t="shared" si="17"/>
        <v>33.803571428571431</v>
      </c>
      <c r="P227" s="17">
        <f t="shared" si="18"/>
        <v>1.8886830102622576</v>
      </c>
      <c r="Q227" s="17">
        <f t="shared" si="19"/>
        <v>0.1073126556486303</v>
      </c>
      <c r="R227" s="10" t="s">
        <v>486</v>
      </c>
      <c r="S227" s="14" t="s">
        <v>31</v>
      </c>
      <c r="T227" s="14" t="s">
        <v>37</v>
      </c>
      <c r="U227" s="13">
        <v>13251</v>
      </c>
      <c r="V227" s="15">
        <v>4</v>
      </c>
      <c r="W227" s="9" t="str">
        <f>IF(Table1[[#This Row],[Satisfaction Rating]]&lt;2, "Low", IF(Table1[[#This Row],[Satisfaction Rating]]&lt;4, "Medium", "High"))</f>
        <v>High</v>
      </c>
    </row>
    <row r="228" spans="1:23" ht="14" x14ac:dyDescent="0.2">
      <c r="A228" s="10" t="s">
        <v>487</v>
      </c>
      <c r="B228" s="11">
        <v>45036.737175925926</v>
      </c>
      <c r="C228" s="11">
        <v>45036.737175925926</v>
      </c>
      <c r="D228" s="11" t="str">
        <f>IF(Table1[[#This Row],[Duration of Campaign]]=0, "Ongoing","Completed")</f>
        <v>Ongoing</v>
      </c>
      <c r="E228" s="12">
        <f>Table1[[#This Row],[End Date]]-Table1[[#This Row],[Start Date]]</f>
        <v>0</v>
      </c>
      <c r="F228" s="13">
        <v>8890</v>
      </c>
      <c r="G228" s="14" t="s">
        <v>29</v>
      </c>
      <c r="H228" s="15">
        <v>6722</v>
      </c>
      <c r="I228" s="15">
        <v>1073</v>
      </c>
      <c r="J228" s="15">
        <v>11</v>
      </c>
      <c r="K228" s="16">
        <v>1401</v>
      </c>
      <c r="L228" s="17">
        <f t="shared" si="15"/>
        <v>0.15962511157393633</v>
      </c>
      <c r="M228" s="17">
        <f t="shared" si="15"/>
        <v>1.0251630941286114E-2</v>
      </c>
      <c r="N228" s="18">
        <f t="shared" si="16"/>
        <v>9.4193849021435234</v>
      </c>
      <c r="O228" s="18">
        <f t="shared" si="17"/>
        <v>918.81818181818187</v>
      </c>
      <c r="P228" s="17">
        <f t="shared" si="18"/>
        <v>1.1368953880764905</v>
      </c>
      <c r="Q228" s="17">
        <f t="shared" si="19"/>
        <v>0.13861680023745918</v>
      </c>
      <c r="R228" s="10" t="s">
        <v>488</v>
      </c>
      <c r="S228" s="14" t="s">
        <v>26</v>
      </c>
      <c r="T228" s="14" t="s">
        <v>37</v>
      </c>
      <c r="U228" s="13">
        <v>10107</v>
      </c>
      <c r="V228" s="15">
        <v>4</v>
      </c>
      <c r="W228" s="9" t="str">
        <f>IF(Table1[[#This Row],[Satisfaction Rating]]&lt;2, "Low", IF(Table1[[#This Row],[Satisfaction Rating]]&lt;4, "Medium", "High"))</f>
        <v>High</v>
      </c>
    </row>
    <row r="229" spans="1:23" ht="14" x14ac:dyDescent="0.2">
      <c r="A229" s="10" t="s">
        <v>489</v>
      </c>
      <c r="B229" s="11">
        <v>45528.890405092592</v>
      </c>
      <c r="C229" s="11">
        <v>45528.890405092592</v>
      </c>
      <c r="D229" s="11" t="str">
        <f>IF(Table1[[#This Row],[Duration of Campaign]]=0, "Ongoing","Completed")</f>
        <v>Ongoing</v>
      </c>
      <c r="E229" s="12">
        <f>Table1[[#This Row],[End Date]]-Table1[[#This Row],[Start Date]]</f>
        <v>0</v>
      </c>
      <c r="F229" s="13">
        <v>8064</v>
      </c>
      <c r="G229" s="14" t="s">
        <v>24</v>
      </c>
      <c r="H229" s="15">
        <v>15155</v>
      </c>
      <c r="I229" s="15">
        <v>1181</v>
      </c>
      <c r="J229" s="15">
        <v>398</v>
      </c>
      <c r="K229" s="16">
        <v>3318</v>
      </c>
      <c r="L229" s="17">
        <f t="shared" si="15"/>
        <v>7.7928076542395253E-2</v>
      </c>
      <c r="M229" s="17">
        <f t="shared" si="15"/>
        <v>0.33700254022015241</v>
      </c>
      <c r="N229" s="18">
        <f t="shared" si="16"/>
        <v>4.8128704487722267</v>
      </c>
      <c r="O229" s="18">
        <f t="shared" si="17"/>
        <v>14.28140703517588</v>
      </c>
      <c r="P229" s="17">
        <f t="shared" si="18"/>
        <v>0.70486111111111116</v>
      </c>
      <c r="Q229" s="17">
        <f t="shared" si="19"/>
        <v>0.58374384236453203</v>
      </c>
      <c r="R229" s="10" t="s">
        <v>490</v>
      </c>
      <c r="S229" s="14" t="s">
        <v>31</v>
      </c>
      <c r="T229" s="14" t="s">
        <v>37</v>
      </c>
      <c r="U229" s="13">
        <v>5684</v>
      </c>
      <c r="V229" s="15">
        <v>5</v>
      </c>
      <c r="W229" s="9" t="str">
        <f>IF(Table1[[#This Row],[Satisfaction Rating]]&lt;2, "Low", IF(Table1[[#This Row],[Satisfaction Rating]]&lt;4, "Medium", "High"))</f>
        <v>High</v>
      </c>
    </row>
    <row r="230" spans="1:23" ht="14" x14ac:dyDescent="0.2">
      <c r="A230" s="10" t="s">
        <v>491</v>
      </c>
      <c r="B230" s="11">
        <v>45370.792627314811</v>
      </c>
      <c r="C230" s="11">
        <v>45616.620381944442</v>
      </c>
      <c r="D230" s="11" t="str">
        <f>IF(Table1[[#This Row],[Duration of Campaign]]=0, "Ongoing","Completed")</f>
        <v>Completed</v>
      </c>
      <c r="E230" s="12">
        <f>Table1[[#This Row],[End Date]]-Table1[[#This Row],[Start Date]]</f>
        <v>245.82775462963036</v>
      </c>
      <c r="F230" s="13">
        <v>3016</v>
      </c>
      <c r="G230" s="14" t="s">
        <v>47</v>
      </c>
      <c r="H230" s="15">
        <v>10506</v>
      </c>
      <c r="I230" s="15">
        <v>761</v>
      </c>
      <c r="J230" s="15">
        <v>305</v>
      </c>
      <c r="K230" s="16">
        <v>4384</v>
      </c>
      <c r="L230" s="17">
        <f t="shared" si="15"/>
        <v>7.2434799162383406E-2</v>
      </c>
      <c r="M230" s="17">
        <f t="shared" si="15"/>
        <v>0.40078843626806832</v>
      </c>
      <c r="N230" s="18">
        <f t="shared" si="16"/>
        <v>15.386333771353483</v>
      </c>
      <c r="O230" s="18">
        <f t="shared" si="17"/>
        <v>38.390163934426226</v>
      </c>
      <c r="P230" s="17">
        <f t="shared" si="18"/>
        <v>3.8822944297082227</v>
      </c>
      <c r="Q230" s="17">
        <f t="shared" si="19"/>
        <v>0.37441284482022374</v>
      </c>
      <c r="R230" s="10" t="s">
        <v>492</v>
      </c>
      <c r="S230" s="14" t="s">
        <v>40</v>
      </c>
      <c r="T230" s="14" t="s">
        <v>27</v>
      </c>
      <c r="U230" s="13">
        <v>11709</v>
      </c>
      <c r="V230" s="15">
        <v>3</v>
      </c>
      <c r="W230" s="9" t="str">
        <f>IF(Table1[[#This Row],[Satisfaction Rating]]&lt;2, "Low", IF(Table1[[#This Row],[Satisfaction Rating]]&lt;4, "Medium", "High"))</f>
        <v>Medium</v>
      </c>
    </row>
    <row r="231" spans="1:23" ht="14" x14ac:dyDescent="0.2">
      <c r="A231" s="10" t="s">
        <v>493</v>
      </c>
      <c r="B231" s="11">
        <v>45317.876354166663</v>
      </c>
      <c r="C231" s="11">
        <v>45361.0153587963</v>
      </c>
      <c r="D231" s="11" t="str">
        <f>IF(Table1[[#This Row],[Duration of Campaign]]=0, "Ongoing","Completed")</f>
        <v>Completed</v>
      </c>
      <c r="E231" s="12">
        <f>Table1[[#This Row],[End Date]]-Table1[[#This Row],[Start Date]]</f>
        <v>43.139004629636474</v>
      </c>
      <c r="F231" s="13">
        <v>8967</v>
      </c>
      <c r="G231" s="14" t="s">
        <v>29</v>
      </c>
      <c r="H231" s="15">
        <v>19300</v>
      </c>
      <c r="I231" s="15">
        <v>1083</v>
      </c>
      <c r="J231" s="15">
        <v>18</v>
      </c>
      <c r="K231" s="16">
        <v>5176</v>
      </c>
      <c r="L231" s="17">
        <f t="shared" si="15"/>
        <v>5.6113989637305697E-2</v>
      </c>
      <c r="M231" s="17">
        <f t="shared" si="15"/>
        <v>1.662049861495845E-2</v>
      </c>
      <c r="N231" s="18">
        <f t="shared" si="16"/>
        <v>10.848568790397046</v>
      </c>
      <c r="O231" s="18">
        <f t="shared" si="17"/>
        <v>652.72222222222217</v>
      </c>
      <c r="P231" s="17">
        <f t="shared" si="18"/>
        <v>1.3102486896397902</v>
      </c>
      <c r="Q231" s="17">
        <f t="shared" si="19"/>
        <v>0.44054813175589413</v>
      </c>
      <c r="R231" s="10" t="s">
        <v>494</v>
      </c>
      <c r="S231" s="14" t="s">
        <v>26</v>
      </c>
      <c r="T231" s="14" t="s">
        <v>37</v>
      </c>
      <c r="U231" s="13">
        <v>11749</v>
      </c>
      <c r="V231" s="15">
        <v>1</v>
      </c>
      <c r="W231" s="9" t="str">
        <f>IF(Table1[[#This Row],[Satisfaction Rating]]&lt;2, "Low", IF(Table1[[#This Row],[Satisfaction Rating]]&lt;4, "Medium", "High"))</f>
        <v>Low</v>
      </c>
    </row>
    <row r="232" spans="1:23" ht="14" x14ac:dyDescent="0.2">
      <c r="A232" s="10" t="s">
        <v>495</v>
      </c>
      <c r="B232" s="11">
        <v>45628.625162037039</v>
      </c>
      <c r="C232" s="11">
        <v>45628.625162037039</v>
      </c>
      <c r="D232" s="11" t="str">
        <f>IF(Table1[[#This Row],[Duration of Campaign]]=0, "Ongoing","Completed")</f>
        <v>Ongoing</v>
      </c>
      <c r="E232" s="12">
        <f>Table1[[#This Row],[End Date]]-Table1[[#This Row],[Start Date]]</f>
        <v>0</v>
      </c>
      <c r="F232" s="13">
        <v>9211</v>
      </c>
      <c r="G232" s="14" t="s">
        <v>29</v>
      </c>
      <c r="H232" s="15">
        <v>17807</v>
      </c>
      <c r="I232" s="15">
        <v>342</v>
      </c>
      <c r="J232" s="15">
        <v>62</v>
      </c>
      <c r="K232" s="16">
        <v>8736</v>
      </c>
      <c r="L232" s="17">
        <f t="shared" si="15"/>
        <v>1.9205930252148031E-2</v>
      </c>
      <c r="M232" s="17">
        <f t="shared" si="15"/>
        <v>0.18128654970760233</v>
      </c>
      <c r="N232" s="18">
        <f t="shared" si="16"/>
        <v>33.10526315789474</v>
      </c>
      <c r="O232" s="18">
        <f t="shared" si="17"/>
        <v>182.61290322580646</v>
      </c>
      <c r="P232" s="17">
        <f t="shared" si="18"/>
        <v>1.2291824991857561</v>
      </c>
      <c r="Q232" s="17">
        <f t="shared" si="19"/>
        <v>0.77159512453630097</v>
      </c>
      <c r="R232" s="10" t="s">
        <v>496</v>
      </c>
      <c r="S232" s="14" t="s">
        <v>40</v>
      </c>
      <c r="T232" s="14" t="s">
        <v>37</v>
      </c>
      <c r="U232" s="13">
        <v>11322</v>
      </c>
      <c r="V232" s="15">
        <v>3</v>
      </c>
      <c r="W232" s="9" t="str">
        <f>IF(Table1[[#This Row],[Satisfaction Rating]]&lt;2, "Low", IF(Table1[[#This Row],[Satisfaction Rating]]&lt;4, "Medium", "High"))</f>
        <v>Medium</v>
      </c>
    </row>
    <row r="233" spans="1:23" ht="14" x14ac:dyDescent="0.2">
      <c r="A233" s="10" t="s">
        <v>497</v>
      </c>
      <c r="B233" s="11">
        <v>45600.864918981482</v>
      </c>
      <c r="C233" s="11">
        <v>45600.864918981482</v>
      </c>
      <c r="D233" s="11" t="str">
        <f>IF(Table1[[#This Row],[Duration of Campaign]]=0, "Ongoing","Completed")</f>
        <v>Ongoing</v>
      </c>
      <c r="E233" s="12">
        <f>Table1[[#This Row],[End Date]]-Table1[[#This Row],[Start Date]]</f>
        <v>0</v>
      </c>
      <c r="F233" s="13">
        <v>3883</v>
      </c>
      <c r="G233" s="14" t="s">
        <v>47</v>
      </c>
      <c r="H233" s="15">
        <v>9052</v>
      </c>
      <c r="I233" s="15">
        <v>819</v>
      </c>
      <c r="J233" s="15">
        <v>376</v>
      </c>
      <c r="K233" s="16">
        <v>953</v>
      </c>
      <c r="L233" s="17">
        <f t="shared" si="15"/>
        <v>9.0477242598320809E-2</v>
      </c>
      <c r="M233" s="17">
        <f t="shared" si="15"/>
        <v>0.45909645909645908</v>
      </c>
      <c r="N233" s="18">
        <f t="shared" si="16"/>
        <v>19.702075702075703</v>
      </c>
      <c r="O233" s="18">
        <f t="shared" si="17"/>
        <v>42.914893617021278</v>
      </c>
      <c r="P233" s="17">
        <f t="shared" si="18"/>
        <v>4.1555498326036568</v>
      </c>
      <c r="Q233" s="17">
        <f t="shared" si="19"/>
        <v>5.9060485870104117E-2</v>
      </c>
      <c r="R233" s="10" t="s">
        <v>498</v>
      </c>
      <c r="S233" s="14" t="s">
        <v>26</v>
      </c>
      <c r="T233" s="14" t="s">
        <v>27</v>
      </c>
      <c r="U233" s="13">
        <v>16136</v>
      </c>
      <c r="V233" s="15">
        <v>4</v>
      </c>
      <c r="W233" s="9" t="str">
        <f>IF(Table1[[#This Row],[Satisfaction Rating]]&lt;2, "Low", IF(Table1[[#This Row],[Satisfaction Rating]]&lt;4, "Medium", "High"))</f>
        <v>High</v>
      </c>
    </row>
    <row r="234" spans="1:23" ht="14" x14ac:dyDescent="0.2">
      <c r="A234" s="10" t="s">
        <v>499</v>
      </c>
      <c r="B234" s="11">
        <v>45309.759918981479</v>
      </c>
      <c r="C234" s="11">
        <v>45309.759918981479</v>
      </c>
      <c r="D234" s="11" t="str">
        <f>IF(Table1[[#This Row],[Duration of Campaign]]=0, "Ongoing","Completed")</f>
        <v>Ongoing</v>
      </c>
      <c r="E234" s="12">
        <f>Table1[[#This Row],[End Date]]-Table1[[#This Row],[Start Date]]</f>
        <v>0</v>
      </c>
      <c r="F234" s="13">
        <v>6795</v>
      </c>
      <c r="G234" s="14" t="s">
        <v>24</v>
      </c>
      <c r="H234" s="15">
        <v>12203</v>
      </c>
      <c r="I234" s="15">
        <v>512</v>
      </c>
      <c r="J234" s="15">
        <v>313</v>
      </c>
      <c r="K234" s="16">
        <v>10183</v>
      </c>
      <c r="L234" s="17">
        <f t="shared" si="15"/>
        <v>4.1956895845283948E-2</v>
      </c>
      <c r="M234" s="17">
        <f t="shared" si="15"/>
        <v>0.611328125</v>
      </c>
      <c r="N234" s="18">
        <f t="shared" si="16"/>
        <v>16.2578125</v>
      </c>
      <c r="O234" s="18">
        <f t="shared" si="17"/>
        <v>26.594249201277954</v>
      </c>
      <c r="P234" s="17">
        <f t="shared" si="18"/>
        <v>1.225018395879323</v>
      </c>
      <c r="Q234" s="17">
        <f t="shared" si="19"/>
        <v>1.2233301297453147</v>
      </c>
      <c r="R234" s="10" t="s">
        <v>500</v>
      </c>
      <c r="S234" s="14" t="s">
        <v>40</v>
      </c>
      <c r="T234" s="14" t="s">
        <v>27</v>
      </c>
      <c r="U234" s="13">
        <v>8324</v>
      </c>
      <c r="V234" s="15">
        <v>1</v>
      </c>
      <c r="W234" s="9" t="str">
        <f>IF(Table1[[#This Row],[Satisfaction Rating]]&lt;2, "Low", IF(Table1[[#This Row],[Satisfaction Rating]]&lt;4, "Medium", "High"))</f>
        <v>Low</v>
      </c>
    </row>
    <row r="235" spans="1:23" ht="14" x14ac:dyDescent="0.2">
      <c r="A235" s="10" t="s">
        <v>501</v>
      </c>
      <c r="B235" s="11">
        <v>45035.89770833333</v>
      </c>
      <c r="C235" s="11">
        <v>45035.89770833333</v>
      </c>
      <c r="D235" s="11" t="str">
        <f>IF(Table1[[#This Row],[Duration of Campaign]]=0, "Ongoing","Completed")</f>
        <v>Ongoing</v>
      </c>
      <c r="E235" s="12">
        <f>Table1[[#This Row],[End Date]]-Table1[[#This Row],[Start Date]]</f>
        <v>0</v>
      </c>
      <c r="F235" s="13">
        <v>9245</v>
      </c>
      <c r="G235" s="14" t="s">
        <v>29</v>
      </c>
      <c r="H235" s="15">
        <v>10606</v>
      </c>
      <c r="I235" s="15">
        <v>941</v>
      </c>
      <c r="J235" s="15">
        <v>120</v>
      </c>
      <c r="K235" s="16">
        <v>13270</v>
      </c>
      <c r="L235" s="17">
        <f t="shared" si="15"/>
        <v>8.8723364133509328E-2</v>
      </c>
      <c r="M235" s="17">
        <f t="shared" si="15"/>
        <v>0.1275239107332625</v>
      </c>
      <c r="N235" s="18">
        <f t="shared" si="16"/>
        <v>20.99893730074389</v>
      </c>
      <c r="O235" s="18">
        <f t="shared" si="17"/>
        <v>164.66666666666666</v>
      </c>
      <c r="P235" s="17">
        <f t="shared" si="18"/>
        <v>2.1373715521903733</v>
      </c>
      <c r="Q235" s="17">
        <f t="shared" si="19"/>
        <v>0.67155870445344135</v>
      </c>
      <c r="R235" s="10" t="s">
        <v>502</v>
      </c>
      <c r="S235" s="14" t="s">
        <v>34</v>
      </c>
      <c r="T235" s="14" t="s">
        <v>27</v>
      </c>
      <c r="U235" s="13">
        <v>19760</v>
      </c>
      <c r="V235" s="15">
        <v>1</v>
      </c>
      <c r="W235" s="9" t="str">
        <f>IF(Table1[[#This Row],[Satisfaction Rating]]&lt;2, "Low", IF(Table1[[#This Row],[Satisfaction Rating]]&lt;4, "Medium", "High"))</f>
        <v>Low</v>
      </c>
    </row>
    <row r="236" spans="1:23" ht="14" x14ac:dyDescent="0.2">
      <c r="A236" s="10" t="s">
        <v>503</v>
      </c>
      <c r="B236" s="11">
        <v>45515.97960648148</v>
      </c>
      <c r="C236" s="11">
        <v>45515.97960648148</v>
      </c>
      <c r="D236" s="11" t="str">
        <f>IF(Table1[[#This Row],[Duration of Campaign]]=0, "Ongoing","Completed")</f>
        <v>Ongoing</v>
      </c>
      <c r="E236" s="12">
        <f>Table1[[#This Row],[End Date]]-Table1[[#This Row],[Start Date]]</f>
        <v>0</v>
      </c>
      <c r="F236" s="13">
        <v>7310</v>
      </c>
      <c r="G236" s="14" t="s">
        <v>47</v>
      </c>
      <c r="H236" s="15">
        <v>10568</v>
      </c>
      <c r="I236" s="15">
        <v>1635</v>
      </c>
      <c r="J236" s="15">
        <v>408</v>
      </c>
      <c r="K236" s="16">
        <v>2208</v>
      </c>
      <c r="L236" s="17">
        <f t="shared" si="15"/>
        <v>0.1547123391370174</v>
      </c>
      <c r="M236" s="17">
        <f t="shared" si="15"/>
        <v>0.24954128440366974</v>
      </c>
      <c r="N236" s="18">
        <f t="shared" si="16"/>
        <v>7.5798165137614681</v>
      </c>
      <c r="O236" s="18">
        <f t="shared" si="17"/>
        <v>30.375</v>
      </c>
      <c r="P236" s="17">
        <f t="shared" si="18"/>
        <v>1.6953488372093024</v>
      </c>
      <c r="Q236" s="17">
        <f t="shared" si="19"/>
        <v>0.17816509319777293</v>
      </c>
      <c r="R236" s="10" t="s">
        <v>504</v>
      </c>
      <c r="S236" s="14" t="s">
        <v>45</v>
      </c>
      <c r="T236" s="14" t="s">
        <v>55</v>
      </c>
      <c r="U236" s="13">
        <v>12393</v>
      </c>
      <c r="V236" s="15">
        <v>5</v>
      </c>
      <c r="W236" s="9" t="str">
        <f>IF(Table1[[#This Row],[Satisfaction Rating]]&lt;2, "Low", IF(Table1[[#This Row],[Satisfaction Rating]]&lt;4, "Medium", "High"))</f>
        <v>High</v>
      </c>
    </row>
    <row r="237" spans="1:23" ht="14" x14ac:dyDescent="0.2">
      <c r="A237" s="10" t="s">
        <v>505</v>
      </c>
      <c r="B237" s="11">
        <v>45522.63422453704</v>
      </c>
      <c r="C237" s="11">
        <v>45522.63422453704</v>
      </c>
      <c r="D237" s="11" t="str">
        <f>IF(Table1[[#This Row],[Duration of Campaign]]=0, "Ongoing","Completed")</f>
        <v>Ongoing</v>
      </c>
      <c r="E237" s="12">
        <f>Table1[[#This Row],[End Date]]-Table1[[#This Row],[Start Date]]</f>
        <v>0</v>
      </c>
      <c r="F237" s="13">
        <v>4390</v>
      </c>
      <c r="G237" s="14" t="s">
        <v>47</v>
      </c>
      <c r="H237" s="15">
        <v>6898</v>
      </c>
      <c r="I237" s="15">
        <v>466</v>
      </c>
      <c r="J237" s="15">
        <v>193</v>
      </c>
      <c r="K237" s="16">
        <v>4748</v>
      </c>
      <c r="L237" s="17">
        <f t="shared" si="15"/>
        <v>6.7555813279211369E-2</v>
      </c>
      <c r="M237" s="17">
        <f t="shared" si="15"/>
        <v>0.41416309012875535</v>
      </c>
      <c r="N237" s="18">
        <f t="shared" si="16"/>
        <v>21.873390557939913</v>
      </c>
      <c r="O237" s="18">
        <f t="shared" si="17"/>
        <v>52.813471502590673</v>
      </c>
      <c r="P237" s="17">
        <f t="shared" si="18"/>
        <v>2.3218678815489748</v>
      </c>
      <c r="Q237" s="17">
        <f t="shared" si="19"/>
        <v>0.46580986951829689</v>
      </c>
      <c r="R237" s="10" t="s">
        <v>506</v>
      </c>
      <c r="S237" s="14" t="s">
        <v>26</v>
      </c>
      <c r="T237" s="14" t="s">
        <v>55</v>
      </c>
      <c r="U237" s="13">
        <v>10193</v>
      </c>
      <c r="V237" s="15">
        <v>3</v>
      </c>
      <c r="W237" s="9" t="str">
        <f>IF(Table1[[#This Row],[Satisfaction Rating]]&lt;2, "Low", IF(Table1[[#This Row],[Satisfaction Rating]]&lt;4, "Medium", "High"))</f>
        <v>Medium</v>
      </c>
    </row>
    <row r="238" spans="1:23" ht="14" x14ac:dyDescent="0.2">
      <c r="A238" s="10" t="s">
        <v>507</v>
      </c>
      <c r="B238" s="11">
        <v>45035.360254629632</v>
      </c>
      <c r="C238" s="11">
        <v>45528.475023148145</v>
      </c>
      <c r="D238" s="11" t="str">
        <f>IF(Table1[[#This Row],[Duration of Campaign]]=0, "Ongoing","Completed")</f>
        <v>Completed</v>
      </c>
      <c r="E238" s="12">
        <f>Table1[[#This Row],[End Date]]-Table1[[#This Row],[Start Date]]</f>
        <v>493.1147685185133</v>
      </c>
      <c r="F238" s="13">
        <v>5196</v>
      </c>
      <c r="G238" s="14" t="s">
        <v>24</v>
      </c>
      <c r="H238" s="15">
        <v>4266</v>
      </c>
      <c r="I238" s="15">
        <v>337</v>
      </c>
      <c r="J238" s="15">
        <v>138</v>
      </c>
      <c r="K238" s="16">
        <v>1010</v>
      </c>
      <c r="L238" s="17">
        <f t="shared" si="15"/>
        <v>7.8996718237224567E-2</v>
      </c>
      <c r="M238" s="17">
        <f t="shared" si="15"/>
        <v>0.40949554896142432</v>
      </c>
      <c r="N238" s="18">
        <f t="shared" si="16"/>
        <v>22.213649851632049</v>
      </c>
      <c r="O238" s="18">
        <f t="shared" si="17"/>
        <v>54.246376811594203</v>
      </c>
      <c r="P238" s="17">
        <f t="shared" si="18"/>
        <v>1.4407236335642801</v>
      </c>
      <c r="Q238" s="17">
        <f t="shared" si="19"/>
        <v>0.13491851456051296</v>
      </c>
      <c r="R238" s="10" t="s">
        <v>508</v>
      </c>
      <c r="S238" s="14" t="s">
        <v>26</v>
      </c>
      <c r="T238" s="14" t="s">
        <v>27</v>
      </c>
      <c r="U238" s="13">
        <v>7486</v>
      </c>
      <c r="V238" s="15">
        <v>4</v>
      </c>
      <c r="W238" s="9" t="str">
        <f>IF(Table1[[#This Row],[Satisfaction Rating]]&lt;2, "Low", IF(Table1[[#This Row],[Satisfaction Rating]]&lt;4, "Medium", "High"))</f>
        <v>High</v>
      </c>
    </row>
    <row r="239" spans="1:23" ht="14" x14ac:dyDescent="0.2">
      <c r="A239" s="10" t="s">
        <v>509</v>
      </c>
      <c r="B239" s="11">
        <v>45244.677442129629</v>
      </c>
      <c r="C239" s="11">
        <v>45355.367534722223</v>
      </c>
      <c r="D239" s="11" t="str">
        <f>IF(Table1[[#This Row],[Duration of Campaign]]=0, "Ongoing","Completed")</f>
        <v>Completed</v>
      </c>
      <c r="E239" s="12">
        <f>Table1[[#This Row],[End Date]]-Table1[[#This Row],[Start Date]]</f>
        <v>110.69009259259474</v>
      </c>
      <c r="F239" s="13">
        <v>9816</v>
      </c>
      <c r="G239" s="14" t="s">
        <v>29</v>
      </c>
      <c r="H239" s="15">
        <v>1246</v>
      </c>
      <c r="I239" s="15">
        <v>668</v>
      </c>
      <c r="J239" s="15">
        <v>384</v>
      </c>
      <c r="K239" s="16">
        <v>13924</v>
      </c>
      <c r="L239" s="17">
        <f t="shared" si="15"/>
        <v>0.536115569823435</v>
      </c>
      <c r="M239" s="17">
        <f t="shared" si="15"/>
        <v>0.57485029940119758</v>
      </c>
      <c r="N239" s="18">
        <f t="shared" si="16"/>
        <v>27.70808383233533</v>
      </c>
      <c r="O239" s="18">
        <f t="shared" si="17"/>
        <v>48.200520833333336</v>
      </c>
      <c r="P239" s="17">
        <f t="shared" si="18"/>
        <v>1.8855949470252649</v>
      </c>
      <c r="Q239" s="17">
        <f t="shared" si="19"/>
        <v>0.75228267329407317</v>
      </c>
      <c r="R239" s="10" t="s">
        <v>510</v>
      </c>
      <c r="S239" s="14" t="s">
        <v>40</v>
      </c>
      <c r="T239" s="14" t="s">
        <v>55</v>
      </c>
      <c r="U239" s="13">
        <v>18509</v>
      </c>
      <c r="V239" s="15">
        <v>1</v>
      </c>
      <c r="W239" s="9" t="str">
        <f>IF(Table1[[#This Row],[Satisfaction Rating]]&lt;2, "Low", IF(Table1[[#This Row],[Satisfaction Rating]]&lt;4, "Medium", "High"))</f>
        <v>Low</v>
      </c>
    </row>
    <row r="240" spans="1:23" ht="14" x14ac:dyDescent="0.2">
      <c r="A240" s="10" t="s">
        <v>511</v>
      </c>
      <c r="B240" s="11">
        <v>45529.141238425924</v>
      </c>
      <c r="C240" s="11">
        <v>45529.141238425924</v>
      </c>
      <c r="D240" s="11" t="str">
        <f>IF(Table1[[#This Row],[Duration of Campaign]]=0, "Ongoing","Completed")</f>
        <v>Ongoing</v>
      </c>
      <c r="E240" s="12">
        <f>Table1[[#This Row],[End Date]]-Table1[[#This Row],[Start Date]]</f>
        <v>0</v>
      </c>
      <c r="F240" s="13">
        <v>8784</v>
      </c>
      <c r="G240" s="14" t="s">
        <v>29</v>
      </c>
      <c r="H240" s="15">
        <v>11557</v>
      </c>
      <c r="I240" s="15">
        <v>803</v>
      </c>
      <c r="J240" s="15">
        <v>449</v>
      </c>
      <c r="K240" s="16">
        <v>5840</v>
      </c>
      <c r="L240" s="17">
        <f t="shared" si="15"/>
        <v>6.9481699402959243E-2</v>
      </c>
      <c r="M240" s="17">
        <f t="shared" si="15"/>
        <v>0.55915317559153177</v>
      </c>
      <c r="N240" s="18">
        <f t="shared" si="16"/>
        <v>18.745952677459528</v>
      </c>
      <c r="O240" s="18">
        <f t="shared" si="17"/>
        <v>33.525612472160354</v>
      </c>
      <c r="P240" s="17">
        <f t="shared" si="18"/>
        <v>1.713683970856102</v>
      </c>
      <c r="Q240" s="17">
        <f t="shared" si="19"/>
        <v>0.38796253238557099</v>
      </c>
      <c r="R240" s="10" t="s">
        <v>512</v>
      </c>
      <c r="S240" s="14" t="s">
        <v>45</v>
      </c>
      <c r="T240" s="14" t="s">
        <v>37</v>
      </c>
      <c r="U240" s="13">
        <v>15053</v>
      </c>
      <c r="V240" s="15">
        <v>3</v>
      </c>
      <c r="W240" s="9" t="str">
        <f>IF(Table1[[#This Row],[Satisfaction Rating]]&lt;2, "Low", IF(Table1[[#This Row],[Satisfaction Rating]]&lt;4, "Medium", "High"))</f>
        <v>Medium</v>
      </c>
    </row>
    <row r="241" spans="1:23" ht="14" x14ac:dyDescent="0.2">
      <c r="A241" s="10" t="s">
        <v>513</v>
      </c>
      <c r="B241" s="11">
        <v>45146.623807870368</v>
      </c>
      <c r="C241" s="11">
        <v>45270.146932870368</v>
      </c>
      <c r="D241" s="11" t="str">
        <f>IF(Table1[[#This Row],[Duration of Campaign]]=0, "Ongoing","Completed")</f>
        <v>Completed</v>
      </c>
      <c r="E241" s="12">
        <f>Table1[[#This Row],[End Date]]-Table1[[#This Row],[Start Date]]</f>
        <v>123.52312499999971</v>
      </c>
      <c r="F241" s="13">
        <v>4667</v>
      </c>
      <c r="G241" s="14" t="s">
        <v>24</v>
      </c>
      <c r="H241" s="15">
        <v>3759</v>
      </c>
      <c r="I241" s="15">
        <v>814</v>
      </c>
      <c r="J241" s="15">
        <v>247</v>
      </c>
      <c r="K241" s="16">
        <v>8711</v>
      </c>
      <c r="L241" s="17">
        <f t="shared" si="15"/>
        <v>0.21654695397712156</v>
      </c>
      <c r="M241" s="17">
        <f t="shared" si="15"/>
        <v>0.30343980343980342</v>
      </c>
      <c r="N241" s="18">
        <f t="shared" si="16"/>
        <v>18.300982800982801</v>
      </c>
      <c r="O241" s="18">
        <f t="shared" si="17"/>
        <v>60.311740890688256</v>
      </c>
      <c r="P241" s="17">
        <f t="shared" si="18"/>
        <v>3.1919862866938078</v>
      </c>
      <c r="Q241" s="17">
        <f t="shared" si="19"/>
        <v>0.58474860710210108</v>
      </c>
      <c r="R241" s="10" t="s">
        <v>514</v>
      </c>
      <c r="S241" s="14" t="s">
        <v>45</v>
      </c>
      <c r="T241" s="14" t="s">
        <v>37</v>
      </c>
      <c r="U241" s="13">
        <v>14897</v>
      </c>
      <c r="V241" s="15">
        <v>4</v>
      </c>
      <c r="W241" s="9" t="str">
        <f>IF(Table1[[#This Row],[Satisfaction Rating]]&lt;2, "Low", IF(Table1[[#This Row],[Satisfaction Rating]]&lt;4, "Medium", "High"))</f>
        <v>High</v>
      </c>
    </row>
    <row r="242" spans="1:23" ht="14" x14ac:dyDescent="0.2">
      <c r="A242" s="10" t="s">
        <v>515</v>
      </c>
      <c r="B242" s="11">
        <v>45452.771655092591</v>
      </c>
      <c r="C242" s="11">
        <v>45453.743310185186</v>
      </c>
      <c r="D242" s="11" t="str">
        <f>IF(Table1[[#This Row],[Duration of Campaign]]=0, "Ongoing","Completed")</f>
        <v>Completed</v>
      </c>
      <c r="E242" s="12">
        <f>Table1[[#This Row],[End Date]]-Table1[[#This Row],[Start Date]]</f>
        <v>0.97165509259502869</v>
      </c>
      <c r="F242" s="13">
        <v>1642</v>
      </c>
      <c r="G242" s="14" t="s">
        <v>29</v>
      </c>
      <c r="H242" s="15">
        <v>1471</v>
      </c>
      <c r="I242" s="15">
        <v>325</v>
      </c>
      <c r="J242" s="15">
        <v>371</v>
      </c>
      <c r="K242" s="16">
        <v>2924</v>
      </c>
      <c r="L242" s="17">
        <f t="shared" si="15"/>
        <v>0.22093813732154996</v>
      </c>
      <c r="M242" s="17">
        <f t="shared" si="15"/>
        <v>1.1415384615384616</v>
      </c>
      <c r="N242" s="18">
        <f t="shared" si="16"/>
        <v>20.21846153846154</v>
      </c>
      <c r="O242" s="18">
        <f t="shared" si="17"/>
        <v>17.711590296495956</v>
      </c>
      <c r="P242" s="17">
        <f t="shared" si="18"/>
        <v>4.0018270401948843</v>
      </c>
      <c r="Q242" s="17">
        <f t="shared" si="19"/>
        <v>0.44498554253538275</v>
      </c>
      <c r="R242" s="10" t="s">
        <v>516</v>
      </c>
      <c r="S242" s="14" t="s">
        <v>45</v>
      </c>
      <c r="T242" s="14" t="s">
        <v>27</v>
      </c>
      <c r="U242" s="13">
        <v>6571</v>
      </c>
      <c r="V242" s="15">
        <v>3</v>
      </c>
      <c r="W242" s="9" t="str">
        <f>IF(Table1[[#This Row],[Satisfaction Rating]]&lt;2, "Low", IF(Table1[[#This Row],[Satisfaction Rating]]&lt;4, "Medium", "High"))</f>
        <v>Medium</v>
      </c>
    </row>
    <row r="243" spans="1:23" ht="14" x14ac:dyDescent="0.2">
      <c r="A243" s="10" t="s">
        <v>517</v>
      </c>
      <c r="B243" s="11">
        <v>45583.977627314816</v>
      </c>
      <c r="C243" s="11">
        <v>45583.977627314816</v>
      </c>
      <c r="D243" s="11" t="str">
        <f>IF(Table1[[#This Row],[Duration of Campaign]]=0, "Ongoing","Completed")</f>
        <v>Ongoing</v>
      </c>
      <c r="E243" s="12">
        <f>Table1[[#This Row],[End Date]]-Table1[[#This Row],[Start Date]]</f>
        <v>0</v>
      </c>
      <c r="F243" s="13">
        <v>5566</v>
      </c>
      <c r="G243" s="14" t="s">
        <v>47</v>
      </c>
      <c r="H243" s="15">
        <v>6099</v>
      </c>
      <c r="I243" s="15">
        <v>1987</v>
      </c>
      <c r="J243" s="15">
        <v>51</v>
      </c>
      <c r="K243" s="16">
        <v>2558</v>
      </c>
      <c r="L243" s="17">
        <f t="shared" si="15"/>
        <v>0.32579111329726185</v>
      </c>
      <c r="M243" s="17">
        <f t="shared" si="15"/>
        <v>2.5666834423754403E-2</v>
      </c>
      <c r="N243" s="18">
        <f t="shared" si="16"/>
        <v>8.1071967790639157</v>
      </c>
      <c r="O243" s="18">
        <f t="shared" si="17"/>
        <v>315.86274509803923</v>
      </c>
      <c r="P243" s="17">
        <f t="shared" si="18"/>
        <v>2.8941789435860583</v>
      </c>
      <c r="Q243" s="17">
        <f t="shared" si="19"/>
        <v>0.15879322118070643</v>
      </c>
      <c r="R243" s="10" t="s">
        <v>518</v>
      </c>
      <c r="S243" s="14" t="s">
        <v>45</v>
      </c>
      <c r="T243" s="14" t="s">
        <v>27</v>
      </c>
      <c r="U243" s="13">
        <v>16109</v>
      </c>
      <c r="V243" s="15">
        <v>2</v>
      </c>
      <c r="W243" s="9" t="str">
        <f>IF(Table1[[#This Row],[Satisfaction Rating]]&lt;2, "Low", IF(Table1[[#This Row],[Satisfaction Rating]]&lt;4, "Medium", "High"))</f>
        <v>Medium</v>
      </c>
    </row>
    <row r="244" spans="1:23" ht="14" x14ac:dyDescent="0.2">
      <c r="A244" s="10" t="s">
        <v>519</v>
      </c>
      <c r="B244" s="11">
        <v>44938.331990740742</v>
      </c>
      <c r="C244" s="11">
        <v>45534.409988425927</v>
      </c>
      <c r="D244" s="11" t="str">
        <f>IF(Table1[[#This Row],[Duration of Campaign]]=0, "Ongoing","Completed")</f>
        <v>Completed</v>
      </c>
      <c r="E244" s="12">
        <f>Table1[[#This Row],[End Date]]-Table1[[#This Row],[Start Date]]</f>
        <v>596.07799768518453</v>
      </c>
      <c r="F244" s="13">
        <v>5058</v>
      </c>
      <c r="G244" s="14" t="s">
        <v>63</v>
      </c>
      <c r="H244" s="15">
        <v>19620</v>
      </c>
      <c r="I244" s="15">
        <v>1275</v>
      </c>
      <c r="J244" s="15">
        <v>360</v>
      </c>
      <c r="K244" s="16">
        <v>6628</v>
      </c>
      <c r="L244" s="17">
        <f t="shared" si="15"/>
        <v>6.4984709480122319E-2</v>
      </c>
      <c r="M244" s="17">
        <f t="shared" si="15"/>
        <v>0.28235294117647058</v>
      </c>
      <c r="N244" s="18">
        <f t="shared" si="16"/>
        <v>7.7654901960784315</v>
      </c>
      <c r="O244" s="18">
        <f t="shared" si="17"/>
        <v>27.502777777777776</v>
      </c>
      <c r="P244" s="17">
        <f t="shared" si="18"/>
        <v>1.957493080268881</v>
      </c>
      <c r="Q244" s="17">
        <f t="shared" si="19"/>
        <v>0.66942733057266945</v>
      </c>
      <c r="R244" s="10" t="s">
        <v>520</v>
      </c>
      <c r="S244" s="14" t="s">
        <v>40</v>
      </c>
      <c r="T244" s="14" t="s">
        <v>27</v>
      </c>
      <c r="U244" s="13">
        <v>9901</v>
      </c>
      <c r="V244" s="15">
        <v>2</v>
      </c>
      <c r="W244" s="9" t="str">
        <f>IF(Table1[[#This Row],[Satisfaction Rating]]&lt;2, "Low", IF(Table1[[#This Row],[Satisfaction Rating]]&lt;4, "Medium", "High"))</f>
        <v>Medium</v>
      </c>
    </row>
    <row r="245" spans="1:23" ht="14" x14ac:dyDescent="0.2">
      <c r="A245" s="10" t="s">
        <v>521</v>
      </c>
      <c r="B245" s="11">
        <v>45277.232766203706</v>
      </c>
      <c r="C245" s="11">
        <v>45583.500844907408</v>
      </c>
      <c r="D245" s="11" t="str">
        <f>IF(Table1[[#This Row],[Duration of Campaign]]=0, "Ongoing","Completed")</f>
        <v>Completed</v>
      </c>
      <c r="E245" s="12">
        <f>Table1[[#This Row],[End Date]]-Table1[[#This Row],[Start Date]]</f>
        <v>306.26807870370249</v>
      </c>
      <c r="F245" s="13">
        <v>5680</v>
      </c>
      <c r="G245" s="14" t="s">
        <v>29</v>
      </c>
      <c r="H245" s="15">
        <v>18961</v>
      </c>
      <c r="I245" s="15">
        <v>415</v>
      </c>
      <c r="J245" s="15">
        <v>21</v>
      </c>
      <c r="K245" s="16">
        <v>11086</v>
      </c>
      <c r="L245" s="17">
        <f t="shared" si="15"/>
        <v>2.1887031274721799E-2</v>
      </c>
      <c r="M245" s="17">
        <f t="shared" si="15"/>
        <v>5.0602409638554217E-2</v>
      </c>
      <c r="N245" s="18">
        <f t="shared" si="16"/>
        <v>2.8963855421686748</v>
      </c>
      <c r="O245" s="18">
        <f t="shared" si="17"/>
        <v>57.238095238095241</v>
      </c>
      <c r="P245" s="17">
        <f t="shared" si="18"/>
        <v>0.21161971830985915</v>
      </c>
      <c r="Q245" s="17">
        <f t="shared" si="19"/>
        <v>9.222961730449251</v>
      </c>
      <c r="R245" s="10" t="s">
        <v>522</v>
      </c>
      <c r="S245" s="14" t="s">
        <v>26</v>
      </c>
      <c r="T245" s="14" t="s">
        <v>27</v>
      </c>
      <c r="U245" s="13">
        <v>1202</v>
      </c>
      <c r="V245" s="15">
        <v>4</v>
      </c>
      <c r="W245" s="9" t="str">
        <f>IF(Table1[[#This Row],[Satisfaction Rating]]&lt;2, "Low", IF(Table1[[#This Row],[Satisfaction Rating]]&lt;4, "Medium", "High"))</f>
        <v>High</v>
      </c>
    </row>
    <row r="246" spans="1:23" ht="14" x14ac:dyDescent="0.2">
      <c r="A246" s="10" t="s">
        <v>523</v>
      </c>
      <c r="B246" s="11">
        <v>45373.385393518518</v>
      </c>
      <c r="C246" s="11">
        <v>45381.820208333331</v>
      </c>
      <c r="D246" s="11" t="str">
        <f>IF(Table1[[#This Row],[Duration of Campaign]]=0, "Ongoing","Completed")</f>
        <v>Completed</v>
      </c>
      <c r="E246" s="12">
        <f>Table1[[#This Row],[End Date]]-Table1[[#This Row],[Start Date]]</f>
        <v>8.434814814812853</v>
      </c>
      <c r="F246" s="13">
        <v>8099</v>
      </c>
      <c r="G246" s="14" t="s">
        <v>47</v>
      </c>
      <c r="H246" s="15">
        <v>15867</v>
      </c>
      <c r="I246" s="15">
        <v>1248</v>
      </c>
      <c r="J246" s="15">
        <v>40</v>
      </c>
      <c r="K246" s="16">
        <v>2154</v>
      </c>
      <c r="L246" s="17">
        <f t="shared" si="15"/>
        <v>7.8653809793911886E-2</v>
      </c>
      <c r="M246" s="17">
        <f t="shared" si="15"/>
        <v>3.2051282051282048E-2</v>
      </c>
      <c r="N246" s="18">
        <f t="shared" si="16"/>
        <v>6.9415064102564106</v>
      </c>
      <c r="O246" s="18">
        <f t="shared" si="17"/>
        <v>216.57499999999999</v>
      </c>
      <c r="P246" s="17">
        <f t="shared" si="18"/>
        <v>1.0696382269415978</v>
      </c>
      <c r="Q246" s="17">
        <f t="shared" si="19"/>
        <v>0.24864365693177884</v>
      </c>
      <c r="R246" s="10" t="s">
        <v>524</v>
      </c>
      <c r="S246" s="14" t="s">
        <v>45</v>
      </c>
      <c r="T246" s="14" t="s">
        <v>55</v>
      </c>
      <c r="U246" s="13">
        <v>8663</v>
      </c>
      <c r="V246" s="15">
        <v>4</v>
      </c>
      <c r="W246" s="9" t="str">
        <f>IF(Table1[[#This Row],[Satisfaction Rating]]&lt;2, "Low", IF(Table1[[#This Row],[Satisfaction Rating]]&lt;4, "Medium", "High"))</f>
        <v>High</v>
      </c>
    </row>
    <row r="247" spans="1:23" ht="14" x14ac:dyDescent="0.2">
      <c r="A247" s="10" t="s">
        <v>525</v>
      </c>
      <c r="B247" s="11">
        <v>45182.802453703705</v>
      </c>
      <c r="C247" s="11">
        <v>45488.426215277781</v>
      </c>
      <c r="D247" s="11" t="str">
        <f>IF(Table1[[#This Row],[Duration of Campaign]]=0, "Ongoing","Completed")</f>
        <v>Completed</v>
      </c>
      <c r="E247" s="12">
        <f>Table1[[#This Row],[End Date]]-Table1[[#This Row],[Start Date]]</f>
        <v>305.62376157407562</v>
      </c>
      <c r="F247" s="13">
        <v>3931</v>
      </c>
      <c r="G247" s="14" t="s">
        <v>24</v>
      </c>
      <c r="H247" s="15">
        <v>11530</v>
      </c>
      <c r="I247" s="15">
        <v>515</v>
      </c>
      <c r="J247" s="15">
        <v>193</v>
      </c>
      <c r="K247" s="16">
        <v>11678</v>
      </c>
      <c r="L247" s="17">
        <f t="shared" si="15"/>
        <v>4.4666088464874243E-2</v>
      </c>
      <c r="M247" s="17">
        <f t="shared" si="15"/>
        <v>0.37475728155339805</v>
      </c>
      <c r="N247" s="18">
        <f t="shared" si="16"/>
        <v>10.749514563106796</v>
      </c>
      <c r="O247" s="18">
        <f t="shared" si="17"/>
        <v>28.683937823834196</v>
      </c>
      <c r="P247" s="17">
        <f t="shared" si="18"/>
        <v>1.4082930552022386</v>
      </c>
      <c r="Q247" s="17">
        <f t="shared" si="19"/>
        <v>2.1094653179190752</v>
      </c>
      <c r="R247" s="10" t="s">
        <v>526</v>
      </c>
      <c r="S247" s="14" t="s">
        <v>26</v>
      </c>
      <c r="T247" s="14" t="s">
        <v>27</v>
      </c>
      <c r="U247" s="13">
        <v>5536</v>
      </c>
      <c r="V247" s="15">
        <v>5</v>
      </c>
      <c r="W247" s="9" t="str">
        <f>IF(Table1[[#This Row],[Satisfaction Rating]]&lt;2, "Low", IF(Table1[[#This Row],[Satisfaction Rating]]&lt;4, "Medium", "High"))</f>
        <v>High</v>
      </c>
    </row>
    <row r="248" spans="1:23" ht="14" x14ac:dyDescent="0.2">
      <c r="A248" s="10" t="s">
        <v>527</v>
      </c>
      <c r="B248" s="11">
        <v>45264.688888888886</v>
      </c>
      <c r="C248" s="11">
        <v>45264.688888888886</v>
      </c>
      <c r="D248" s="11" t="str">
        <f>IF(Table1[[#This Row],[Duration of Campaign]]=0, "Ongoing","Completed")</f>
        <v>Ongoing</v>
      </c>
      <c r="E248" s="12">
        <f>Table1[[#This Row],[End Date]]-Table1[[#This Row],[Start Date]]</f>
        <v>0</v>
      </c>
      <c r="F248" s="13">
        <v>5615</v>
      </c>
      <c r="G248" s="14" t="s">
        <v>47</v>
      </c>
      <c r="H248" s="15">
        <v>15162</v>
      </c>
      <c r="I248" s="15">
        <v>139</v>
      </c>
      <c r="J248" s="15">
        <v>329</v>
      </c>
      <c r="K248" s="16">
        <v>1107</v>
      </c>
      <c r="L248" s="17">
        <f t="shared" si="15"/>
        <v>9.1676559820604141E-3</v>
      </c>
      <c r="M248" s="17">
        <f t="shared" si="15"/>
        <v>2.3669064748201438</v>
      </c>
      <c r="N248" s="18">
        <f t="shared" si="16"/>
        <v>21.25179856115108</v>
      </c>
      <c r="O248" s="18">
        <f t="shared" si="17"/>
        <v>8.9787234042553195</v>
      </c>
      <c r="P248" s="17">
        <f t="shared" si="18"/>
        <v>0.52609082813891361</v>
      </c>
      <c r="Q248" s="17">
        <f t="shared" si="19"/>
        <v>0.37474610697359512</v>
      </c>
      <c r="R248" s="10" t="s">
        <v>528</v>
      </c>
      <c r="S248" s="14" t="s">
        <v>45</v>
      </c>
      <c r="T248" s="14" t="s">
        <v>37</v>
      </c>
      <c r="U248" s="13">
        <v>2954</v>
      </c>
      <c r="V248" s="15">
        <v>4</v>
      </c>
      <c r="W248" s="9" t="str">
        <f>IF(Table1[[#This Row],[Satisfaction Rating]]&lt;2, "Low", IF(Table1[[#This Row],[Satisfaction Rating]]&lt;4, "Medium", "High"))</f>
        <v>High</v>
      </c>
    </row>
    <row r="249" spans="1:23" ht="14" x14ac:dyDescent="0.2">
      <c r="A249" s="10" t="s">
        <v>529</v>
      </c>
      <c r="B249" s="11">
        <v>45250.953564814816</v>
      </c>
      <c r="C249" s="11">
        <v>45250.953564814816</v>
      </c>
      <c r="D249" s="11" t="str">
        <f>IF(Table1[[#This Row],[Duration of Campaign]]=0, "Ongoing","Completed")</f>
        <v>Ongoing</v>
      </c>
      <c r="E249" s="12">
        <f>Table1[[#This Row],[End Date]]-Table1[[#This Row],[Start Date]]</f>
        <v>0</v>
      </c>
      <c r="F249" s="13">
        <v>4270</v>
      </c>
      <c r="G249" s="14" t="s">
        <v>63</v>
      </c>
      <c r="H249" s="15">
        <v>3507</v>
      </c>
      <c r="I249" s="15">
        <v>252</v>
      </c>
      <c r="J249" s="15">
        <v>323</v>
      </c>
      <c r="K249" s="16">
        <v>2895</v>
      </c>
      <c r="L249" s="17">
        <f t="shared" si="15"/>
        <v>7.1856287425149698E-2</v>
      </c>
      <c r="M249" s="17">
        <f t="shared" si="15"/>
        <v>1.2817460317460319</v>
      </c>
      <c r="N249" s="18">
        <f t="shared" si="16"/>
        <v>15.162698412698413</v>
      </c>
      <c r="O249" s="18">
        <f t="shared" si="17"/>
        <v>11.829721362229103</v>
      </c>
      <c r="P249" s="17">
        <f t="shared" si="18"/>
        <v>0.89484777517564407</v>
      </c>
      <c r="Q249" s="17">
        <f t="shared" si="19"/>
        <v>0.75765506411934047</v>
      </c>
      <c r="R249" s="10" t="s">
        <v>530</v>
      </c>
      <c r="S249" s="14" t="s">
        <v>31</v>
      </c>
      <c r="T249" s="14" t="s">
        <v>55</v>
      </c>
      <c r="U249" s="13">
        <v>3821</v>
      </c>
      <c r="V249" s="15">
        <v>1</v>
      </c>
      <c r="W249" s="9" t="str">
        <f>IF(Table1[[#This Row],[Satisfaction Rating]]&lt;2, "Low", IF(Table1[[#This Row],[Satisfaction Rating]]&lt;4, "Medium", "High"))</f>
        <v>Low</v>
      </c>
    </row>
    <row r="250" spans="1:23" ht="14" x14ac:dyDescent="0.2">
      <c r="A250" s="10" t="s">
        <v>531</v>
      </c>
      <c r="B250" s="11">
        <v>45630.023831018516</v>
      </c>
      <c r="C250" s="11">
        <v>45630.023831018516</v>
      </c>
      <c r="D250" s="11" t="str">
        <f>IF(Table1[[#This Row],[Duration of Campaign]]=0, "Ongoing","Completed")</f>
        <v>Ongoing</v>
      </c>
      <c r="E250" s="12">
        <f>Table1[[#This Row],[End Date]]-Table1[[#This Row],[Start Date]]</f>
        <v>0</v>
      </c>
      <c r="F250" s="13">
        <v>4891</v>
      </c>
      <c r="G250" s="14" t="s">
        <v>29</v>
      </c>
      <c r="H250" s="15">
        <v>5138</v>
      </c>
      <c r="I250" s="15">
        <v>1746</v>
      </c>
      <c r="J250" s="15">
        <v>289</v>
      </c>
      <c r="K250" s="16">
        <v>11951</v>
      </c>
      <c r="L250" s="17">
        <f t="shared" si="15"/>
        <v>0.3398209420007785</v>
      </c>
      <c r="M250" s="17">
        <f t="shared" si="15"/>
        <v>0.16552119129438717</v>
      </c>
      <c r="N250" s="18">
        <f t="shared" si="16"/>
        <v>11.357388316151203</v>
      </c>
      <c r="O250" s="18">
        <f t="shared" si="17"/>
        <v>68.615916955017298</v>
      </c>
      <c r="P250" s="17">
        <f t="shared" si="18"/>
        <v>4.0543856062154982</v>
      </c>
      <c r="Q250" s="17">
        <f t="shared" si="19"/>
        <v>0.60267271810388301</v>
      </c>
      <c r="R250" s="10" t="s">
        <v>532</v>
      </c>
      <c r="S250" s="14" t="s">
        <v>40</v>
      </c>
      <c r="T250" s="14" t="s">
        <v>37</v>
      </c>
      <c r="U250" s="13">
        <v>19830</v>
      </c>
      <c r="V250" s="15">
        <v>4</v>
      </c>
      <c r="W250" s="9" t="str">
        <f>IF(Table1[[#This Row],[Satisfaction Rating]]&lt;2, "Low", IF(Table1[[#This Row],[Satisfaction Rating]]&lt;4, "Medium", "High"))</f>
        <v>High</v>
      </c>
    </row>
    <row r="251" spans="1:23" ht="14" x14ac:dyDescent="0.2">
      <c r="A251" s="10" t="s">
        <v>533</v>
      </c>
      <c r="B251" s="11">
        <v>45578.11173611111</v>
      </c>
      <c r="C251" s="11">
        <v>45578.11173611111</v>
      </c>
      <c r="D251" s="11" t="str">
        <f>IF(Table1[[#This Row],[Duration of Campaign]]=0, "Ongoing","Completed")</f>
        <v>Ongoing</v>
      </c>
      <c r="E251" s="12">
        <f>Table1[[#This Row],[End Date]]-Table1[[#This Row],[Start Date]]</f>
        <v>0</v>
      </c>
      <c r="F251" s="13">
        <v>8338</v>
      </c>
      <c r="G251" s="14" t="s">
        <v>47</v>
      </c>
      <c r="H251" s="15">
        <v>16444</v>
      </c>
      <c r="I251" s="15">
        <v>588</v>
      </c>
      <c r="J251" s="15">
        <v>20</v>
      </c>
      <c r="K251" s="16">
        <v>3686</v>
      </c>
      <c r="L251" s="17">
        <f t="shared" si="15"/>
        <v>3.5757723181707612E-2</v>
      </c>
      <c r="M251" s="17">
        <f t="shared" si="15"/>
        <v>3.4013605442176874E-2</v>
      </c>
      <c r="N251" s="18">
        <f t="shared" si="16"/>
        <v>10.510204081632653</v>
      </c>
      <c r="O251" s="18">
        <f t="shared" si="17"/>
        <v>309</v>
      </c>
      <c r="P251" s="17">
        <f t="shared" si="18"/>
        <v>0.74118493643559602</v>
      </c>
      <c r="Q251" s="17">
        <f t="shared" si="19"/>
        <v>0.59644012944983815</v>
      </c>
      <c r="R251" s="10" t="s">
        <v>534</v>
      </c>
      <c r="S251" s="14" t="s">
        <v>31</v>
      </c>
      <c r="T251" s="14" t="s">
        <v>55</v>
      </c>
      <c r="U251" s="13">
        <v>6180</v>
      </c>
      <c r="V251" s="15">
        <v>2</v>
      </c>
      <c r="W251" s="9" t="str">
        <f>IF(Table1[[#This Row],[Satisfaction Rating]]&lt;2, "Low", IF(Table1[[#This Row],[Satisfaction Rating]]&lt;4, "Medium", "High"))</f>
        <v>Medium</v>
      </c>
    </row>
    <row r="252" spans="1:23" ht="14" x14ac:dyDescent="0.2">
      <c r="A252" s="10" t="s">
        <v>535</v>
      </c>
      <c r="B252" s="11">
        <v>45587.784398148149</v>
      </c>
      <c r="C252" s="11">
        <v>45587.784398148149</v>
      </c>
      <c r="D252" s="11" t="str">
        <f>IF(Table1[[#This Row],[Duration of Campaign]]=0, "Ongoing","Completed")</f>
        <v>Ongoing</v>
      </c>
      <c r="E252" s="12">
        <f>Table1[[#This Row],[End Date]]-Table1[[#This Row],[Start Date]]</f>
        <v>0</v>
      </c>
      <c r="F252" s="13">
        <v>1093</v>
      </c>
      <c r="G252" s="14" t="s">
        <v>47</v>
      </c>
      <c r="H252" s="15">
        <v>14933</v>
      </c>
      <c r="I252" s="15">
        <v>1122</v>
      </c>
      <c r="J252" s="15">
        <v>361</v>
      </c>
      <c r="K252" s="16">
        <v>8510</v>
      </c>
      <c r="L252" s="17">
        <f t="shared" si="15"/>
        <v>7.5135605705484498E-2</v>
      </c>
      <c r="M252" s="17">
        <f t="shared" si="15"/>
        <v>0.32174688057041001</v>
      </c>
      <c r="N252" s="18">
        <f t="shared" si="16"/>
        <v>10.541889483065953</v>
      </c>
      <c r="O252" s="18">
        <f t="shared" si="17"/>
        <v>32.764542936288088</v>
      </c>
      <c r="P252" s="17">
        <f t="shared" si="18"/>
        <v>10.821591948764867</v>
      </c>
      <c r="Q252" s="17">
        <f t="shared" si="19"/>
        <v>0.71947920189381132</v>
      </c>
      <c r="R252" s="10" t="s">
        <v>536</v>
      </c>
      <c r="S252" s="14" t="s">
        <v>45</v>
      </c>
      <c r="T252" s="14" t="s">
        <v>55</v>
      </c>
      <c r="U252" s="13">
        <v>11828</v>
      </c>
      <c r="V252" s="15">
        <v>3</v>
      </c>
      <c r="W252" s="9" t="str">
        <f>IF(Table1[[#This Row],[Satisfaction Rating]]&lt;2, "Low", IF(Table1[[#This Row],[Satisfaction Rating]]&lt;4, "Medium", "High"))</f>
        <v>Medium</v>
      </c>
    </row>
    <row r="253" spans="1:23" ht="14" x14ac:dyDescent="0.2">
      <c r="A253" s="10" t="s">
        <v>537</v>
      </c>
      <c r="B253" s="11">
        <v>45087.787835648145</v>
      </c>
      <c r="C253" s="11">
        <v>45563.40283564815</v>
      </c>
      <c r="D253" s="11" t="str">
        <f>IF(Table1[[#This Row],[Duration of Campaign]]=0, "Ongoing","Completed")</f>
        <v>Completed</v>
      </c>
      <c r="E253" s="12">
        <f>Table1[[#This Row],[End Date]]-Table1[[#This Row],[Start Date]]</f>
        <v>475.61500000000524</v>
      </c>
      <c r="F253" s="13">
        <v>1081</v>
      </c>
      <c r="G253" s="14" t="s">
        <v>29</v>
      </c>
      <c r="H253" s="15">
        <v>18186</v>
      </c>
      <c r="I253" s="15">
        <v>1355</v>
      </c>
      <c r="J253" s="15">
        <v>366</v>
      </c>
      <c r="K253" s="16">
        <v>12445</v>
      </c>
      <c r="L253" s="17">
        <f t="shared" si="15"/>
        <v>7.4507863191465962E-2</v>
      </c>
      <c r="M253" s="17">
        <f t="shared" si="15"/>
        <v>0.27011070110701108</v>
      </c>
      <c r="N253" s="18">
        <f t="shared" si="16"/>
        <v>11.057564575645756</v>
      </c>
      <c r="O253" s="18">
        <f t="shared" si="17"/>
        <v>40.937158469945352</v>
      </c>
      <c r="P253" s="17">
        <f t="shared" si="18"/>
        <v>13.860314523589269</v>
      </c>
      <c r="Q253" s="17">
        <f t="shared" si="19"/>
        <v>0.83060802242541543</v>
      </c>
      <c r="R253" s="10" t="s">
        <v>538</v>
      </c>
      <c r="S253" s="14" t="s">
        <v>26</v>
      </c>
      <c r="T253" s="14" t="s">
        <v>27</v>
      </c>
      <c r="U253" s="13">
        <v>14983</v>
      </c>
      <c r="V253" s="15">
        <v>1</v>
      </c>
      <c r="W253" s="9" t="str">
        <f>IF(Table1[[#This Row],[Satisfaction Rating]]&lt;2, "Low", IF(Table1[[#This Row],[Satisfaction Rating]]&lt;4, "Medium", "High"))</f>
        <v>Low</v>
      </c>
    </row>
    <row r="254" spans="1:23" ht="14" x14ac:dyDescent="0.2">
      <c r="A254" s="10" t="s">
        <v>539</v>
      </c>
      <c r="B254" s="11">
        <v>45238.457314814812</v>
      </c>
      <c r="C254" s="11">
        <v>45285.546412037038</v>
      </c>
      <c r="D254" s="11" t="str">
        <f>IF(Table1[[#This Row],[Duration of Campaign]]=0, "Ongoing","Completed")</f>
        <v>Completed</v>
      </c>
      <c r="E254" s="12">
        <f>Table1[[#This Row],[End Date]]-Table1[[#This Row],[Start Date]]</f>
        <v>47.089097222225973</v>
      </c>
      <c r="F254" s="13">
        <v>6825</v>
      </c>
      <c r="G254" s="14" t="s">
        <v>29</v>
      </c>
      <c r="H254" s="15">
        <v>7785</v>
      </c>
      <c r="I254" s="15">
        <v>1309</v>
      </c>
      <c r="J254" s="15">
        <v>270</v>
      </c>
      <c r="K254" s="16">
        <v>2333</v>
      </c>
      <c r="L254" s="17">
        <f t="shared" si="15"/>
        <v>0.16814386640976237</v>
      </c>
      <c r="M254" s="17">
        <f t="shared" si="15"/>
        <v>0.20626432391138275</v>
      </c>
      <c r="N254" s="18">
        <f t="shared" si="16"/>
        <v>5.909854851031322</v>
      </c>
      <c r="O254" s="18">
        <f t="shared" si="17"/>
        <v>28.651851851851852</v>
      </c>
      <c r="P254" s="17">
        <f t="shared" si="18"/>
        <v>1.1334798534798536</v>
      </c>
      <c r="Q254" s="17">
        <f t="shared" si="19"/>
        <v>0.30157704239917271</v>
      </c>
      <c r="R254" s="10" t="s">
        <v>540</v>
      </c>
      <c r="S254" s="14" t="s">
        <v>31</v>
      </c>
      <c r="T254" s="14" t="s">
        <v>27</v>
      </c>
      <c r="U254" s="13">
        <v>7736</v>
      </c>
      <c r="V254" s="15">
        <v>1</v>
      </c>
      <c r="W254" s="9" t="str">
        <f>IF(Table1[[#This Row],[Satisfaction Rating]]&lt;2, "Low", IF(Table1[[#This Row],[Satisfaction Rating]]&lt;4, "Medium", "High"))</f>
        <v>Low</v>
      </c>
    </row>
    <row r="255" spans="1:23" ht="14" x14ac:dyDescent="0.2">
      <c r="A255" s="10" t="s">
        <v>541</v>
      </c>
      <c r="B255" s="11">
        <v>45530.503622685188</v>
      </c>
      <c r="C255" s="11">
        <v>45530.503622685188</v>
      </c>
      <c r="D255" s="11" t="str">
        <f>IF(Table1[[#This Row],[Duration of Campaign]]=0, "Ongoing","Completed")</f>
        <v>Ongoing</v>
      </c>
      <c r="E255" s="12">
        <f>Table1[[#This Row],[End Date]]-Table1[[#This Row],[Start Date]]</f>
        <v>0</v>
      </c>
      <c r="F255" s="13">
        <v>8354</v>
      </c>
      <c r="G255" s="14" t="s">
        <v>63</v>
      </c>
      <c r="H255" s="15">
        <v>5940</v>
      </c>
      <c r="I255" s="15">
        <v>1225</v>
      </c>
      <c r="J255" s="15">
        <v>442</v>
      </c>
      <c r="K255" s="16">
        <v>8918</v>
      </c>
      <c r="L255" s="17">
        <f t="shared" si="15"/>
        <v>0.20622895622895623</v>
      </c>
      <c r="M255" s="17">
        <f t="shared" si="15"/>
        <v>0.36081632653061224</v>
      </c>
      <c r="N255" s="18">
        <f t="shared" si="16"/>
        <v>2.9681632653061225</v>
      </c>
      <c r="O255" s="18">
        <f t="shared" si="17"/>
        <v>8.2262443438914019</v>
      </c>
      <c r="P255" s="17">
        <f t="shared" si="18"/>
        <v>0.43524060330380654</v>
      </c>
      <c r="Q255" s="17">
        <f t="shared" si="19"/>
        <v>2.4526952695269526</v>
      </c>
      <c r="R255" s="10" t="s">
        <v>542</v>
      </c>
      <c r="S255" s="14" t="s">
        <v>40</v>
      </c>
      <c r="T255" s="14" t="s">
        <v>27</v>
      </c>
      <c r="U255" s="13">
        <v>3636</v>
      </c>
      <c r="V255" s="15">
        <v>1</v>
      </c>
      <c r="W255" s="9" t="str">
        <f>IF(Table1[[#This Row],[Satisfaction Rating]]&lt;2, "Low", IF(Table1[[#This Row],[Satisfaction Rating]]&lt;4, "Medium", "High"))</f>
        <v>Low</v>
      </c>
    </row>
    <row r="256" spans="1:23" ht="14" x14ac:dyDescent="0.2">
      <c r="A256" s="10" t="s">
        <v>543</v>
      </c>
      <c r="B256" s="11">
        <v>45191.670011574075</v>
      </c>
      <c r="C256" s="11">
        <v>45191.670011574075</v>
      </c>
      <c r="D256" s="11" t="str">
        <f>IF(Table1[[#This Row],[Duration of Campaign]]=0, "Ongoing","Completed")</f>
        <v>Ongoing</v>
      </c>
      <c r="E256" s="12">
        <f>Table1[[#This Row],[End Date]]-Table1[[#This Row],[Start Date]]</f>
        <v>0</v>
      </c>
      <c r="F256" s="13">
        <v>1257</v>
      </c>
      <c r="G256" s="14" t="s">
        <v>29</v>
      </c>
      <c r="H256" s="15">
        <v>6562</v>
      </c>
      <c r="I256" s="15">
        <v>940</v>
      </c>
      <c r="J256" s="15">
        <v>119</v>
      </c>
      <c r="K256" s="16">
        <v>8529</v>
      </c>
      <c r="L256" s="17">
        <f t="shared" si="15"/>
        <v>0.14324900944833893</v>
      </c>
      <c r="M256" s="17">
        <f t="shared" si="15"/>
        <v>0.12659574468085105</v>
      </c>
      <c r="N256" s="18">
        <f t="shared" si="16"/>
        <v>10.514893617021277</v>
      </c>
      <c r="O256" s="18">
        <f t="shared" si="17"/>
        <v>83.058823529411768</v>
      </c>
      <c r="P256" s="17">
        <f t="shared" si="18"/>
        <v>7.8631662688941928</v>
      </c>
      <c r="Q256" s="17">
        <f t="shared" si="19"/>
        <v>0.86290975313638207</v>
      </c>
      <c r="R256" s="10" t="s">
        <v>544</v>
      </c>
      <c r="S256" s="14" t="s">
        <v>40</v>
      </c>
      <c r="T256" s="14" t="s">
        <v>27</v>
      </c>
      <c r="U256" s="13">
        <v>9884</v>
      </c>
      <c r="V256" s="15">
        <v>2</v>
      </c>
      <c r="W256" s="9" t="str">
        <f>IF(Table1[[#This Row],[Satisfaction Rating]]&lt;2, "Low", IF(Table1[[#This Row],[Satisfaction Rating]]&lt;4, "Medium", "High"))</f>
        <v>Medium</v>
      </c>
    </row>
    <row r="257" spans="1:23" ht="14" x14ac:dyDescent="0.2">
      <c r="A257" s="10" t="s">
        <v>545</v>
      </c>
      <c r="B257" s="11">
        <v>45401.437731481485</v>
      </c>
      <c r="C257" s="11">
        <v>45401.437731481485</v>
      </c>
      <c r="D257" s="11" t="str">
        <f>IF(Table1[[#This Row],[Duration of Campaign]]=0, "Ongoing","Completed")</f>
        <v>Ongoing</v>
      </c>
      <c r="E257" s="12">
        <f>Table1[[#This Row],[End Date]]-Table1[[#This Row],[Start Date]]</f>
        <v>0</v>
      </c>
      <c r="F257" s="13">
        <v>6173</v>
      </c>
      <c r="G257" s="14" t="s">
        <v>24</v>
      </c>
      <c r="H257" s="15">
        <v>2170</v>
      </c>
      <c r="I257" s="15">
        <v>384</v>
      </c>
      <c r="J257" s="15">
        <v>342</v>
      </c>
      <c r="K257" s="16">
        <v>4580</v>
      </c>
      <c r="L257" s="17">
        <f t="shared" si="15"/>
        <v>0.17695852534562212</v>
      </c>
      <c r="M257" s="17">
        <f t="shared" si="15"/>
        <v>0.890625</v>
      </c>
      <c r="N257" s="18">
        <f t="shared" si="16"/>
        <v>10.372395833333334</v>
      </c>
      <c r="O257" s="18">
        <f t="shared" si="17"/>
        <v>11.646198830409357</v>
      </c>
      <c r="P257" s="17">
        <f t="shared" si="18"/>
        <v>0.64522922404017491</v>
      </c>
      <c r="Q257" s="17">
        <f t="shared" si="19"/>
        <v>1.1498870198342959</v>
      </c>
      <c r="R257" s="10" t="s">
        <v>546</v>
      </c>
      <c r="S257" s="14" t="s">
        <v>26</v>
      </c>
      <c r="T257" s="14" t="s">
        <v>27</v>
      </c>
      <c r="U257" s="13">
        <v>3983</v>
      </c>
      <c r="V257" s="15">
        <v>2</v>
      </c>
      <c r="W257" s="9" t="str">
        <f>IF(Table1[[#This Row],[Satisfaction Rating]]&lt;2, "Low", IF(Table1[[#This Row],[Satisfaction Rating]]&lt;4, "Medium", "High"))</f>
        <v>Medium</v>
      </c>
    </row>
    <row r="258" spans="1:23" ht="14" x14ac:dyDescent="0.2">
      <c r="A258" s="10" t="s">
        <v>547</v>
      </c>
      <c r="B258" s="11">
        <v>45390.490011574075</v>
      </c>
      <c r="C258" s="11">
        <v>45390.490011574075</v>
      </c>
      <c r="D258" s="11" t="str">
        <f>IF(Table1[[#This Row],[Duration of Campaign]]=0, "Ongoing","Completed")</f>
        <v>Ongoing</v>
      </c>
      <c r="E258" s="12">
        <f>Table1[[#This Row],[End Date]]-Table1[[#This Row],[Start Date]]</f>
        <v>0</v>
      </c>
      <c r="F258" s="13">
        <v>6972</v>
      </c>
      <c r="G258" s="14" t="s">
        <v>24</v>
      </c>
      <c r="H258" s="15">
        <v>8386</v>
      </c>
      <c r="I258" s="15">
        <v>328</v>
      </c>
      <c r="J258" s="15">
        <v>228</v>
      </c>
      <c r="K258" s="16">
        <v>3123</v>
      </c>
      <c r="L258" s="17">
        <f t="shared" si="15"/>
        <v>3.9112807059384691E-2</v>
      </c>
      <c r="M258" s="17">
        <f t="shared" si="15"/>
        <v>0.69512195121951215</v>
      </c>
      <c r="N258" s="18">
        <f t="shared" si="16"/>
        <v>6.9024390243902438</v>
      </c>
      <c r="O258" s="18">
        <f t="shared" si="17"/>
        <v>9.9298245614035086</v>
      </c>
      <c r="P258" s="17">
        <f t="shared" si="18"/>
        <v>0.32472748135398738</v>
      </c>
      <c r="Q258" s="17">
        <f t="shared" si="19"/>
        <v>1.3794169611307421</v>
      </c>
      <c r="R258" s="10" t="s">
        <v>548</v>
      </c>
      <c r="S258" s="14" t="s">
        <v>45</v>
      </c>
      <c r="T258" s="14" t="s">
        <v>27</v>
      </c>
      <c r="U258" s="13">
        <v>2264</v>
      </c>
      <c r="V258" s="15">
        <v>4</v>
      </c>
      <c r="W258" s="9" t="str">
        <f>IF(Table1[[#This Row],[Satisfaction Rating]]&lt;2, "Low", IF(Table1[[#This Row],[Satisfaction Rating]]&lt;4, "Medium", "High"))</f>
        <v>High</v>
      </c>
    </row>
    <row r="259" spans="1:23" ht="14" x14ac:dyDescent="0.2">
      <c r="A259" s="10" t="s">
        <v>549</v>
      </c>
      <c r="B259" s="11">
        <v>45432.1640162037</v>
      </c>
      <c r="C259" s="11">
        <v>45532.588912037034</v>
      </c>
      <c r="D259" s="11" t="str">
        <f>IF(Table1[[#This Row],[Duration of Campaign]]=0, "Ongoing","Completed")</f>
        <v>Completed</v>
      </c>
      <c r="E259" s="12">
        <f>Table1[[#This Row],[End Date]]-Table1[[#This Row],[Start Date]]</f>
        <v>100.42489583333372</v>
      </c>
      <c r="F259" s="13">
        <v>1496</v>
      </c>
      <c r="G259" s="14" t="s">
        <v>63</v>
      </c>
      <c r="H259" s="15">
        <v>17252</v>
      </c>
      <c r="I259" s="15">
        <v>1058</v>
      </c>
      <c r="J259" s="15">
        <v>138</v>
      </c>
      <c r="K259" s="16">
        <v>10848</v>
      </c>
      <c r="L259" s="17">
        <f t="shared" ref="L259:M322" si="20">I259/H259</f>
        <v>6.132622304660329E-2</v>
      </c>
      <c r="M259" s="17">
        <f t="shared" si="20"/>
        <v>0.13043478260869565</v>
      </c>
      <c r="N259" s="18">
        <f t="shared" ref="N259:N322" si="21">U259/I259</f>
        <v>1.6115311909262759</v>
      </c>
      <c r="O259" s="18">
        <f t="shared" ref="O259:O322" si="22">U259/J259</f>
        <v>12.355072463768115</v>
      </c>
      <c r="P259" s="17">
        <f t="shared" ref="P259:P322" si="23">U259/F259</f>
        <v>1.1397058823529411</v>
      </c>
      <c r="Q259" s="17">
        <f t="shared" ref="Q259:Q322" si="24">K259/U259</f>
        <v>6.3624633431085043</v>
      </c>
      <c r="R259" s="10" t="s">
        <v>550</v>
      </c>
      <c r="S259" s="14" t="s">
        <v>34</v>
      </c>
      <c r="T259" s="14" t="s">
        <v>37</v>
      </c>
      <c r="U259" s="13">
        <v>1705</v>
      </c>
      <c r="V259" s="15">
        <v>2</v>
      </c>
      <c r="W259" s="9" t="str">
        <f>IF(Table1[[#This Row],[Satisfaction Rating]]&lt;2, "Low", IF(Table1[[#This Row],[Satisfaction Rating]]&lt;4, "Medium", "High"))</f>
        <v>Medium</v>
      </c>
    </row>
    <row r="260" spans="1:23" ht="14" x14ac:dyDescent="0.2">
      <c r="A260" s="10" t="s">
        <v>551</v>
      </c>
      <c r="B260" s="11">
        <v>45463.211875000001</v>
      </c>
      <c r="C260" s="11">
        <v>45463.211875000001</v>
      </c>
      <c r="D260" s="11" t="str">
        <f>IF(Table1[[#This Row],[Duration of Campaign]]=0, "Ongoing","Completed")</f>
        <v>Ongoing</v>
      </c>
      <c r="E260" s="12">
        <f>Table1[[#This Row],[End Date]]-Table1[[#This Row],[Start Date]]</f>
        <v>0</v>
      </c>
      <c r="F260" s="13">
        <v>7221</v>
      </c>
      <c r="G260" s="14" t="s">
        <v>29</v>
      </c>
      <c r="H260" s="15">
        <v>9324</v>
      </c>
      <c r="I260" s="15">
        <v>1349</v>
      </c>
      <c r="J260" s="15">
        <v>395</v>
      </c>
      <c r="K260" s="16">
        <v>1878</v>
      </c>
      <c r="L260" s="17">
        <f t="shared" si="20"/>
        <v>0.14468039468039467</v>
      </c>
      <c r="M260" s="17">
        <f t="shared" si="20"/>
        <v>0.29280948851000743</v>
      </c>
      <c r="N260" s="18">
        <f t="shared" si="21"/>
        <v>9.6189770200148264</v>
      </c>
      <c r="O260" s="18">
        <f t="shared" si="22"/>
        <v>32.850632911392402</v>
      </c>
      <c r="P260" s="17">
        <f t="shared" si="23"/>
        <v>1.7969810275585099</v>
      </c>
      <c r="Q260" s="17">
        <f t="shared" si="24"/>
        <v>0.14472872996300862</v>
      </c>
      <c r="R260" s="10" t="s">
        <v>552</v>
      </c>
      <c r="S260" s="14" t="s">
        <v>26</v>
      </c>
      <c r="T260" s="14" t="s">
        <v>37</v>
      </c>
      <c r="U260" s="13">
        <v>12976</v>
      </c>
      <c r="V260" s="15">
        <v>5</v>
      </c>
      <c r="W260" s="9" t="str">
        <f>IF(Table1[[#This Row],[Satisfaction Rating]]&lt;2, "Low", IF(Table1[[#This Row],[Satisfaction Rating]]&lt;4, "Medium", "High"))</f>
        <v>High</v>
      </c>
    </row>
    <row r="261" spans="1:23" ht="14" x14ac:dyDescent="0.2">
      <c r="A261" s="10" t="s">
        <v>553</v>
      </c>
      <c r="B261" s="11">
        <v>45601.042488425926</v>
      </c>
      <c r="C261" s="11">
        <v>45601.042488425926</v>
      </c>
      <c r="D261" s="11" t="str">
        <f>IF(Table1[[#This Row],[Duration of Campaign]]=0, "Ongoing","Completed")</f>
        <v>Ongoing</v>
      </c>
      <c r="E261" s="12">
        <f>Table1[[#This Row],[End Date]]-Table1[[#This Row],[Start Date]]</f>
        <v>0</v>
      </c>
      <c r="F261" s="13">
        <v>1722</v>
      </c>
      <c r="G261" s="14" t="s">
        <v>24</v>
      </c>
      <c r="H261" s="15">
        <v>2105</v>
      </c>
      <c r="I261" s="15">
        <v>1879</v>
      </c>
      <c r="J261" s="15">
        <v>229</v>
      </c>
      <c r="K261" s="16">
        <v>4271</v>
      </c>
      <c r="L261" s="17">
        <f t="shared" si="20"/>
        <v>0.89263657957244658</v>
      </c>
      <c r="M261" s="17">
        <f t="shared" si="20"/>
        <v>0.12187333688131985</v>
      </c>
      <c r="N261" s="18">
        <f t="shared" si="21"/>
        <v>9.0782331027142096</v>
      </c>
      <c r="O261" s="18">
        <f t="shared" si="22"/>
        <v>74.489082969432317</v>
      </c>
      <c r="P261" s="17">
        <f t="shared" si="23"/>
        <v>9.9059233449477357</v>
      </c>
      <c r="Q261" s="17">
        <f t="shared" si="24"/>
        <v>0.25038105287841483</v>
      </c>
      <c r="R261" s="10" t="s">
        <v>554</v>
      </c>
      <c r="S261" s="14" t="s">
        <v>45</v>
      </c>
      <c r="T261" s="14" t="s">
        <v>37</v>
      </c>
      <c r="U261" s="13">
        <v>17058</v>
      </c>
      <c r="V261" s="15">
        <v>5</v>
      </c>
      <c r="W261" s="9" t="str">
        <f>IF(Table1[[#This Row],[Satisfaction Rating]]&lt;2, "Low", IF(Table1[[#This Row],[Satisfaction Rating]]&lt;4, "Medium", "High"))</f>
        <v>High</v>
      </c>
    </row>
    <row r="262" spans="1:23" ht="14" x14ac:dyDescent="0.2">
      <c r="A262" s="10" t="s">
        <v>555</v>
      </c>
      <c r="B262" s="11">
        <v>44995.664988425924</v>
      </c>
      <c r="C262" s="11">
        <v>45102.919618055559</v>
      </c>
      <c r="D262" s="11" t="str">
        <f>IF(Table1[[#This Row],[Duration of Campaign]]=0, "Ongoing","Completed")</f>
        <v>Completed</v>
      </c>
      <c r="E262" s="12">
        <f>Table1[[#This Row],[End Date]]-Table1[[#This Row],[Start Date]]</f>
        <v>107.25462962963502</v>
      </c>
      <c r="F262" s="13">
        <v>8499</v>
      </c>
      <c r="G262" s="14" t="s">
        <v>47</v>
      </c>
      <c r="H262" s="15">
        <v>18576</v>
      </c>
      <c r="I262" s="15">
        <v>191</v>
      </c>
      <c r="J262" s="15">
        <v>42</v>
      </c>
      <c r="K262" s="16">
        <v>5256</v>
      </c>
      <c r="L262" s="17">
        <f t="shared" si="20"/>
        <v>1.0282084409991387E-2</v>
      </c>
      <c r="M262" s="17">
        <f t="shared" si="20"/>
        <v>0.21989528795811519</v>
      </c>
      <c r="N262" s="18">
        <f t="shared" si="21"/>
        <v>66.821989528795811</v>
      </c>
      <c r="O262" s="18">
        <f t="shared" si="22"/>
        <v>303.88095238095241</v>
      </c>
      <c r="P262" s="17">
        <f t="shared" si="23"/>
        <v>1.5017060830685962</v>
      </c>
      <c r="Q262" s="17">
        <f t="shared" si="24"/>
        <v>0.41181540390190396</v>
      </c>
      <c r="R262" s="10" t="s">
        <v>556</v>
      </c>
      <c r="S262" s="14" t="s">
        <v>26</v>
      </c>
      <c r="T262" s="14" t="s">
        <v>37</v>
      </c>
      <c r="U262" s="13">
        <v>12763</v>
      </c>
      <c r="V262" s="15">
        <v>2</v>
      </c>
      <c r="W262" s="9" t="str">
        <f>IF(Table1[[#This Row],[Satisfaction Rating]]&lt;2, "Low", IF(Table1[[#This Row],[Satisfaction Rating]]&lt;4, "Medium", "High"))</f>
        <v>Medium</v>
      </c>
    </row>
    <row r="263" spans="1:23" ht="14" x14ac:dyDescent="0.2">
      <c r="A263" s="10" t="s">
        <v>557</v>
      </c>
      <c r="B263" s="11">
        <v>45423.648888888885</v>
      </c>
      <c r="C263" s="11">
        <v>45516.817962962959</v>
      </c>
      <c r="D263" s="11" t="str">
        <f>IF(Table1[[#This Row],[Duration of Campaign]]=0, "Ongoing","Completed")</f>
        <v>Completed</v>
      </c>
      <c r="E263" s="12">
        <f>Table1[[#This Row],[End Date]]-Table1[[#This Row],[Start Date]]</f>
        <v>93.16907407407416</v>
      </c>
      <c r="F263" s="13">
        <v>9122</v>
      </c>
      <c r="G263" s="14" t="s">
        <v>29</v>
      </c>
      <c r="H263" s="15">
        <v>9062</v>
      </c>
      <c r="I263" s="15">
        <v>1307</v>
      </c>
      <c r="J263" s="15">
        <v>215</v>
      </c>
      <c r="K263" s="16">
        <v>7368</v>
      </c>
      <c r="L263" s="17">
        <f t="shared" si="20"/>
        <v>0.14422864709777092</v>
      </c>
      <c r="M263" s="17">
        <f t="shared" si="20"/>
        <v>0.16449885233358838</v>
      </c>
      <c r="N263" s="18">
        <f t="shared" si="21"/>
        <v>1.9418515684774291</v>
      </c>
      <c r="O263" s="18">
        <f t="shared" si="22"/>
        <v>11.804651162790698</v>
      </c>
      <c r="P263" s="17">
        <f t="shared" si="23"/>
        <v>0.27822845867134399</v>
      </c>
      <c r="Q263" s="17">
        <f t="shared" si="24"/>
        <v>2.9030732860520096</v>
      </c>
      <c r="R263" s="10" t="s">
        <v>558</v>
      </c>
      <c r="S263" s="14" t="s">
        <v>26</v>
      </c>
      <c r="T263" s="14" t="s">
        <v>55</v>
      </c>
      <c r="U263" s="13">
        <v>2538</v>
      </c>
      <c r="V263" s="15">
        <v>4</v>
      </c>
      <c r="W263" s="9" t="str">
        <f>IF(Table1[[#This Row],[Satisfaction Rating]]&lt;2, "Low", IF(Table1[[#This Row],[Satisfaction Rating]]&lt;4, "Medium", "High"))</f>
        <v>High</v>
      </c>
    </row>
    <row r="264" spans="1:23" ht="14" x14ac:dyDescent="0.2">
      <c r="A264" s="10" t="s">
        <v>559</v>
      </c>
      <c r="B264" s="11">
        <v>45431.881585648145</v>
      </c>
      <c r="C264" s="11">
        <v>45614.42050925926</v>
      </c>
      <c r="D264" s="11" t="str">
        <f>IF(Table1[[#This Row],[Duration of Campaign]]=0, "Ongoing","Completed")</f>
        <v>Completed</v>
      </c>
      <c r="E264" s="12">
        <f>Table1[[#This Row],[End Date]]-Table1[[#This Row],[Start Date]]</f>
        <v>182.53892361111502</v>
      </c>
      <c r="F264" s="13">
        <v>7554</v>
      </c>
      <c r="G264" s="14" t="s">
        <v>47</v>
      </c>
      <c r="H264" s="15">
        <v>16919</v>
      </c>
      <c r="I264" s="15">
        <v>187</v>
      </c>
      <c r="J264" s="15">
        <v>334</v>
      </c>
      <c r="K264" s="16">
        <v>2484</v>
      </c>
      <c r="L264" s="17">
        <f t="shared" si="20"/>
        <v>1.1052662686920031E-2</v>
      </c>
      <c r="M264" s="17">
        <f t="shared" si="20"/>
        <v>1.786096256684492</v>
      </c>
      <c r="N264" s="18">
        <f t="shared" si="21"/>
        <v>87.759358288770059</v>
      </c>
      <c r="O264" s="18">
        <f t="shared" si="22"/>
        <v>49.134730538922156</v>
      </c>
      <c r="P264" s="17">
        <f t="shared" si="23"/>
        <v>2.1724913952872651</v>
      </c>
      <c r="Q264" s="17">
        <f t="shared" si="24"/>
        <v>0.15136189141429529</v>
      </c>
      <c r="R264" s="10" t="s">
        <v>560</v>
      </c>
      <c r="S264" s="14" t="s">
        <v>45</v>
      </c>
      <c r="T264" s="14" t="s">
        <v>37</v>
      </c>
      <c r="U264" s="13">
        <v>16411</v>
      </c>
      <c r="V264" s="15">
        <v>2</v>
      </c>
      <c r="W264" s="9" t="str">
        <f>IF(Table1[[#This Row],[Satisfaction Rating]]&lt;2, "Low", IF(Table1[[#This Row],[Satisfaction Rating]]&lt;4, "Medium", "High"))</f>
        <v>Medium</v>
      </c>
    </row>
    <row r="265" spans="1:23" ht="14" x14ac:dyDescent="0.2">
      <c r="A265" s="10" t="s">
        <v>561</v>
      </c>
      <c r="B265" s="11">
        <v>45001.5390625</v>
      </c>
      <c r="C265" s="11">
        <v>45109.511990740742</v>
      </c>
      <c r="D265" s="11" t="str">
        <f>IF(Table1[[#This Row],[Duration of Campaign]]=0, "Ongoing","Completed")</f>
        <v>Completed</v>
      </c>
      <c r="E265" s="12">
        <f>Table1[[#This Row],[End Date]]-Table1[[#This Row],[Start Date]]</f>
        <v>107.97292824074248</v>
      </c>
      <c r="F265" s="13">
        <v>6945</v>
      </c>
      <c r="G265" s="14" t="s">
        <v>29</v>
      </c>
      <c r="H265" s="15">
        <v>14996</v>
      </c>
      <c r="I265" s="15">
        <v>1039</v>
      </c>
      <c r="J265" s="15">
        <v>307</v>
      </c>
      <c r="K265" s="16">
        <v>1896</v>
      </c>
      <c r="L265" s="17">
        <f t="shared" si="20"/>
        <v>6.9285142704721261E-2</v>
      </c>
      <c r="M265" s="17">
        <f t="shared" si="20"/>
        <v>0.29547641963426374</v>
      </c>
      <c r="N265" s="18">
        <f t="shared" si="21"/>
        <v>3.8392685274302214</v>
      </c>
      <c r="O265" s="18">
        <f t="shared" si="22"/>
        <v>12.993485342019545</v>
      </c>
      <c r="P265" s="17">
        <f t="shared" si="23"/>
        <v>0.57437005039596833</v>
      </c>
      <c r="Q265" s="17">
        <f t="shared" si="24"/>
        <v>0.47530709450990222</v>
      </c>
      <c r="R265" s="10" t="s">
        <v>562</v>
      </c>
      <c r="S265" s="14" t="s">
        <v>45</v>
      </c>
      <c r="T265" s="14" t="s">
        <v>37</v>
      </c>
      <c r="U265" s="13">
        <v>3989</v>
      </c>
      <c r="V265" s="15">
        <v>3</v>
      </c>
      <c r="W265" s="9" t="str">
        <f>IF(Table1[[#This Row],[Satisfaction Rating]]&lt;2, "Low", IF(Table1[[#This Row],[Satisfaction Rating]]&lt;4, "Medium", "High"))</f>
        <v>Medium</v>
      </c>
    </row>
    <row r="266" spans="1:23" ht="14" x14ac:dyDescent="0.2">
      <c r="A266" s="10" t="s">
        <v>563</v>
      </c>
      <c r="B266" s="11">
        <v>45134.388402777775</v>
      </c>
      <c r="C266" s="11">
        <v>45365.97865740741</v>
      </c>
      <c r="D266" s="11" t="str">
        <f>IF(Table1[[#This Row],[Duration of Campaign]]=0, "Ongoing","Completed")</f>
        <v>Completed</v>
      </c>
      <c r="E266" s="12">
        <f>Table1[[#This Row],[End Date]]-Table1[[#This Row],[Start Date]]</f>
        <v>231.59025462963473</v>
      </c>
      <c r="F266" s="13">
        <v>7891</v>
      </c>
      <c r="G266" s="14" t="s">
        <v>29</v>
      </c>
      <c r="H266" s="15">
        <v>16177</v>
      </c>
      <c r="I266" s="15">
        <v>262</v>
      </c>
      <c r="J266" s="15">
        <v>91</v>
      </c>
      <c r="K266" s="16">
        <v>3380</v>
      </c>
      <c r="L266" s="17">
        <f t="shared" si="20"/>
        <v>1.6195833590900661E-2</v>
      </c>
      <c r="M266" s="17">
        <f t="shared" si="20"/>
        <v>0.34732824427480918</v>
      </c>
      <c r="N266" s="18">
        <f t="shared" si="21"/>
        <v>56.702290076335878</v>
      </c>
      <c r="O266" s="18">
        <f t="shared" si="22"/>
        <v>163.25274725274724</v>
      </c>
      <c r="P266" s="17">
        <f t="shared" si="23"/>
        <v>1.8826511215308579</v>
      </c>
      <c r="Q266" s="17">
        <f t="shared" si="24"/>
        <v>0.22751750134625739</v>
      </c>
      <c r="R266" s="10" t="s">
        <v>564</v>
      </c>
      <c r="S266" s="14" t="s">
        <v>31</v>
      </c>
      <c r="T266" s="14" t="s">
        <v>37</v>
      </c>
      <c r="U266" s="13">
        <v>14856</v>
      </c>
      <c r="V266" s="15">
        <v>1</v>
      </c>
      <c r="W266" s="9" t="str">
        <f>IF(Table1[[#This Row],[Satisfaction Rating]]&lt;2, "Low", IF(Table1[[#This Row],[Satisfaction Rating]]&lt;4, "Medium", "High"))</f>
        <v>Low</v>
      </c>
    </row>
    <row r="267" spans="1:23" ht="14" x14ac:dyDescent="0.2">
      <c r="A267" s="10" t="s">
        <v>565</v>
      </c>
      <c r="B267" s="11">
        <v>45053.474872685183</v>
      </c>
      <c r="C267" s="11">
        <v>45639.473090277781</v>
      </c>
      <c r="D267" s="11" t="str">
        <f>IF(Table1[[#This Row],[Duration of Campaign]]=0, "Ongoing","Completed")</f>
        <v>Completed</v>
      </c>
      <c r="E267" s="12">
        <f>Table1[[#This Row],[End Date]]-Table1[[#This Row],[Start Date]]</f>
        <v>585.99821759259794</v>
      </c>
      <c r="F267" s="13">
        <v>2719</v>
      </c>
      <c r="G267" s="14" t="s">
        <v>29</v>
      </c>
      <c r="H267" s="15">
        <v>18233</v>
      </c>
      <c r="I267" s="15">
        <v>297</v>
      </c>
      <c r="J267" s="15">
        <v>169</v>
      </c>
      <c r="K267" s="16">
        <v>2119</v>
      </c>
      <c r="L267" s="17">
        <f t="shared" si="20"/>
        <v>1.6289146053858387E-2</v>
      </c>
      <c r="M267" s="17">
        <f t="shared" si="20"/>
        <v>0.56902356902356899</v>
      </c>
      <c r="N267" s="18">
        <f t="shared" si="21"/>
        <v>47.006734006734007</v>
      </c>
      <c r="O267" s="18">
        <f t="shared" si="22"/>
        <v>82.609467455621299</v>
      </c>
      <c r="P267" s="17">
        <f t="shared" si="23"/>
        <v>5.1346083118793677</v>
      </c>
      <c r="Q267" s="17">
        <f t="shared" si="24"/>
        <v>0.15177995845569803</v>
      </c>
      <c r="R267" s="10" t="s">
        <v>566</v>
      </c>
      <c r="S267" s="14" t="s">
        <v>34</v>
      </c>
      <c r="T267" s="14" t="s">
        <v>55</v>
      </c>
      <c r="U267" s="13">
        <v>13961</v>
      </c>
      <c r="V267" s="15">
        <v>4</v>
      </c>
      <c r="W267" s="9" t="str">
        <f>IF(Table1[[#This Row],[Satisfaction Rating]]&lt;2, "Low", IF(Table1[[#This Row],[Satisfaction Rating]]&lt;4, "Medium", "High"))</f>
        <v>High</v>
      </c>
    </row>
    <row r="268" spans="1:23" ht="14" x14ac:dyDescent="0.2">
      <c r="A268" s="10" t="s">
        <v>567</v>
      </c>
      <c r="B268" s="11">
        <v>45462.752789351849</v>
      </c>
      <c r="C268" s="11">
        <v>45462.752789351849</v>
      </c>
      <c r="D268" s="11" t="str">
        <f>IF(Table1[[#This Row],[Duration of Campaign]]=0, "Ongoing","Completed")</f>
        <v>Ongoing</v>
      </c>
      <c r="E268" s="12">
        <f>Table1[[#This Row],[End Date]]-Table1[[#This Row],[Start Date]]</f>
        <v>0</v>
      </c>
      <c r="F268" s="13">
        <v>7917</v>
      </c>
      <c r="G268" s="14" t="s">
        <v>24</v>
      </c>
      <c r="H268" s="15">
        <v>13764</v>
      </c>
      <c r="I268" s="15">
        <v>227</v>
      </c>
      <c r="J268" s="15">
        <v>226</v>
      </c>
      <c r="K268" s="16">
        <v>2953</v>
      </c>
      <c r="L268" s="17">
        <f t="shared" si="20"/>
        <v>1.6492298750363267E-2</v>
      </c>
      <c r="M268" s="17">
        <f t="shared" si="20"/>
        <v>0.99559471365638763</v>
      </c>
      <c r="N268" s="18">
        <f t="shared" si="21"/>
        <v>21.828193832599119</v>
      </c>
      <c r="O268" s="18">
        <f t="shared" si="22"/>
        <v>21.924778761061948</v>
      </c>
      <c r="P268" s="17">
        <f t="shared" si="23"/>
        <v>0.62586838448907411</v>
      </c>
      <c r="Q268" s="17">
        <f t="shared" si="24"/>
        <v>0.59596367305751763</v>
      </c>
      <c r="R268" s="10" t="s">
        <v>568</v>
      </c>
      <c r="S268" s="14" t="s">
        <v>31</v>
      </c>
      <c r="T268" s="14" t="s">
        <v>27</v>
      </c>
      <c r="U268" s="13">
        <v>4955</v>
      </c>
      <c r="V268" s="15">
        <v>1</v>
      </c>
      <c r="W268" s="9" t="str">
        <f>IF(Table1[[#This Row],[Satisfaction Rating]]&lt;2, "Low", IF(Table1[[#This Row],[Satisfaction Rating]]&lt;4, "Medium", "High"))</f>
        <v>Low</v>
      </c>
    </row>
    <row r="269" spans="1:23" ht="14" x14ac:dyDescent="0.2">
      <c r="A269" s="10" t="s">
        <v>569</v>
      </c>
      <c r="B269" s="11">
        <v>45224.509398148148</v>
      </c>
      <c r="C269" s="11">
        <v>45498.3200462963</v>
      </c>
      <c r="D269" s="11" t="str">
        <f>IF(Table1[[#This Row],[Duration of Campaign]]=0, "Ongoing","Completed")</f>
        <v>Completed</v>
      </c>
      <c r="E269" s="12">
        <f>Table1[[#This Row],[End Date]]-Table1[[#This Row],[Start Date]]</f>
        <v>273.81064814815181</v>
      </c>
      <c r="F269" s="13">
        <v>9775</v>
      </c>
      <c r="G269" s="14" t="s">
        <v>63</v>
      </c>
      <c r="H269" s="15">
        <v>5284</v>
      </c>
      <c r="I269" s="15">
        <v>699</v>
      </c>
      <c r="J269" s="15">
        <v>398</v>
      </c>
      <c r="K269" s="16">
        <v>4793</v>
      </c>
      <c r="L269" s="17">
        <f t="shared" si="20"/>
        <v>0.13228614685844056</v>
      </c>
      <c r="M269" s="17">
        <f t="shared" si="20"/>
        <v>0.56938483547925611</v>
      </c>
      <c r="N269" s="18">
        <f t="shared" si="21"/>
        <v>26.137339055793991</v>
      </c>
      <c r="O269" s="18">
        <f t="shared" si="22"/>
        <v>45.904522613065325</v>
      </c>
      <c r="P269" s="17">
        <f t="shared" si="23"/>
        <v>1.8690537084398977</v>
      </c>
      <c r="Q269" s="17">
        <f t="shared" si="24"/>
        <v>0.26234263820470716</v>
      </c>
      <c r="R269" s="10" t="s">
        <v>570</v>
      </c>
      <c r="S269" s="14" t="s">
        <v>45</v>
      </c>
      <c r="T269" s="14" t="s">
        <v>55</v>
      </c>
      <c r="U269" s="13">
        <v>18270</v>
      </c>
      <c r="V269" s="15">
        <v>5</v>
      </c>
      <c r="W269" s="9" t="str">
        <f>IF(Table1[[#This Row],[Satisfaction Rating]]&lt;2, "Low", IF(Table1[[#This Row],[Satisfaction Rating]]&lt;4, "Medium", "High"))</f>
        <v>High</v>
      </c>
    </row>
    <row r="270" spans="1:23" ht="14" x14ac:dyDescent="0.2">
      <c r="A270" s="10" t="s">
        <v>571</v>
      </c>
      <c r="B270" s="11">
        <v>45534.543449074074</v>
      </c>
      <c r="C270" s="11">
        <v>45534.543449074074</v>
      </c>
      <c r="D270" s="11" t="str">
        <f>IF(Table1[[#This Row],[Duration of Campaign]]=0, "Ongoing","Completed")</f>
        <v>Ongoing</v>
      </c>
      <c r="E270" s="12">
        <f>Table1[[#This Row],[End Date]]-Table1[[#This Row],[Start Date]]</f>
        <v>0</v>
      </c>
      <c r="F270" s="13">
        <v>3095</v>
      </c>
      <c r="G270" s="14" t="s">
        <v>63</v>
      </c>
      <c r="H270" s="15">
        <v>2387</v>
      </c>
      <c r="I270" s="15">
        <v>1217</v>
      </c>
      <c r="J270" s="15">
        <v>370</v>
      </c>
      <c r="K270" s="16">
        <v>7205</v>
      </c>
      <c r="L270" s="17">
        <f t="shared" si="20"/>
        <v>0.50984499371596148</v>
      </c>
      <c r="M270" s="17">
        <f t="shared" si="20"/>
        <v>0.30402629416598193</v>
      </c>
      <c r="N270" s="18">
        <f t="shared" si="21"/>
        <v>7.5571076417419887</v>
      </c>
      <c r="O270" s="18">
        <f t="shared" si="22"/>
        <v>24.856756756756756</v>
      </c>
      <c r="P270" s="17">
        <f t="shared" si="23"/>
        <v>2.97156704361874</v>
      </c>
      <c r="Q270" s="17">
        <f t="shared" si="24"/>
        <v>0.78340763292377946</v>
      </c>
      <c r="R270" s="10" t="s">
        <v>572</v>
      </c>
      <c r="S270" s="14" t="s">
        <v>40</v>
      </c>
      <c r="T270" s="14" t="s">
        <v>37</v>
      </c>
      <c r="U270" s="13">
        <v>9197</v>
      </c>
      <c r="V270" s="15">
        <v>3</v>
      </c>
      <c r="W270" s="9" t="str">
        <f>IF(Table1[[#This Row],[Satisfaction Rating]]&lt;2, "Low", IF(Table1[[#This Row],[Satisfaction Rating]]&lt;4, "Medium", "High"))</f>
        <v>Medium</v>
      </c>
    </row>
    <row r="271" spans="1:23" ht="14" x14ac:dyDescent="0.2">
      <c r="A271" s="10" t="s">
        <v>573</v>
      </c>
      <c r="B271" s="11">
        <v>45343.738483796296</v>
      </c>
      <c r="C271" s="11">
        <v>45343.738483796296</v>
      </c>
      <c r="D271" s="11" t="str">
        <f>IF(Table1[[#This Row],[Duration of Campaign]]=0, "Ongoing","Completed")</f>
        <v>Ongoing</v>
      </c>
      <c r="E271" s="12">
        <f>Table1[[#This Row],[End Date]]-Table1[[#This Row],[Start Date]]</f>
        <v>0</v>
      </c>
      <c r="F271" s="13">
        <v>6942</v>
      </c>
      <c r="G271" s="14" t="s">
        <v>29</v>
      </c>
      <c r="H271" s="15">
        <v>10965</v>
      </c>
      <c r="I271" s="15">
        <v>1573</v>
      </c>
      <c r="J271" s="15">
        <v>191</v>
      </c>
      <c r="K271" s="16">
        <v>5376</v>
      </c>
      <c r="L271" s="17">
        <f t="shared" si="20"/>
        <v>0.14345645234838122</v>
      </c>
      <c r="M271" s="17">
        <f t="shared" si="20"/>
        <v>0.12142403051493961</v>
      </c>
      <c r="N271" s="18">
        <f t="shared" si="21"/>
        <v>7.2892561983471076</v>
      </c>
      <c r="O271" s="18">
        <f t="shared" si="22"/>
        <v>60.031413612565444</v>
      </c>
      <c r="P271" s="17">
        <f t="shared" si="23"/>
        <v>1.651685393258427</v>
      </c>
      <c r="Q271" s="17">
        <f t="shared" si="24"/>
        <v>0.46886446886446886</v>
      </c>
      <c r="R271" s="10" t="s">
        <v>574</v>
      </c>
      <c r="S271" s="14" t="s">
        <v>40</v>
      </c>
      <c r="T271" s="14" t="s">
        <v>37</v>
      </c>
      <c r="U271" s="13">
        <v>11466</v>
      </c>
      <c r="V271" s="15">
        <v>1</v>
      </c>
      <c r="W271" s="9" t="str">
        <f>IF(Table1[[#This Row],[Satisfaction Rating]]&lt;2, "Low", IF(Table1[[#This Row],[Satisfaction Rating]]&lt;4, "Medium", "High"))</f>
        <v>Low</v>
      </c>
    </row>
    <row r="272" spans="1:23" ht="14" x14ac:dyDescent="0.2">
      <c r="A272" s="10" t="s">
        <v>575</v>
      </c>
      <c r="B272" s="11">
        <v>44990.567245370374</v>
      </c>
      <c r="C272" s="11">
        <v>45467.454293981478</v>
      </c>
      <c r="D272" s="11" t="str">
        <f>IF(Table1[[#This Row],[Duration of Campaign]]=0, "Ongoing","Completed")</f>
        <v>Completed</v>
      </c>
      <c r="E272" s="12">
        <f>Table1[[#This Row],[End Date]]-Table1[[#This Row],[Start Date]]</f>
        <v>476.88704861110455</v>
      </c>
      <c r="F272" s="13">
        <v>4155</v>
      </c>
      <c r="G272" s="14" t="s">
        <v>63</v>
      </c>
      <c r="H272" s="15">
        <v>14787</v>
      </c>
      <c r="I272" s="15">
        <v>742</v>
      </c>
      <c r="J272" s="15">
        <v>55</v>
      </c>
      <c r="K272" s="16">
        <v>3205</v>
      </c>
      <c r="L272" s="17">
        <f t="shared" si="20"/>
        <v>5.0179211469534052E-2</v>
      </c>
      <c r="M272" s="17">
        <f t="shared" si="20"/>
        <v>7.4123989218328842E-2</v>
      </c>
      <c r="N272" s="18">
        <f t="shared" si="21"/>
        <v>21.805929919137466</v>
      </c>
      <c r="O272" s="18">
        <f t="shared" si="22"/>
        <v>294.18181818181819</v>
      </c>
      <c r="P272" s="17">
        <f t="shared" si="23"/>
        <v>3.8941034897713598</v>
      </c>
      <c r="Q272" s="17">
        <f t="shared" si="24"/>
        <v>0.19808405438813351</v>
      </c>
      <c r="R272" s="10" t="s">
        <v>576</v>
      </c>
      <c r="S272" s="14" t="s">
        <v>26</v>
      </c>
      <c r="T272" s="14" t="s">
        <v>55</v>
      </c>
      <c r="U272" s="13">
        <v>16180</v>
      </c>
      <c r="V272" s="15">
        <v>1</v>
      </c>
      <c r="W272" s="9" t="str">
        <f>IF(Table1[[#This Row],[Satisfaction Rating]]&lt;2, "Low", IF(Table1[[#This Row],[Satisfaction Rating]]&lt;4, "Medium", "High"))</f>
        <v>Low</v>
      </c>
    </row>
    <row r="273" spans="1:23" ht="14" x14ac:dyDescent="0.2">
      <c r="A273" s="10" t="s">
        <v>577</v>
      </c>
      <c r="B273" s="11">
        <v>45362.447372685187</v>
      </c>
      <c r="C273" s="11">
        <v>45362.447372685187</v>
      </c>
      <c r="D273" s="11" t="str">
        <f>IF(Table1[[#This Row],[Duration of Campaign]]=0, "Ongoing","Completed")</f>
        <v>Ongoing</v>
      </c>
      <c r="E273" s="12">
        <f>Table1[[#This Row],[End Date]]-Table1[[#This Row],[Start Date]]</f>
        <v>0</v>
      </c>
      <c r="F273" s="13">
        <v>4255</v>
      </c>
      <c r="G273" s="14" t="s">
        <v>29</v>
      </c>
      <c r="H273" s="15">
        <v>10428</v>
      </c>
      <c r="I273" s="15">
        <v>543</v>
      </c>
      <c r="J273" s="15">
        <v>72</v>
      </c>
      <c r="K273" s="16">
        <v>12231</v>
      </c>
      <c r="L273" s="17">
        <f t="shared" si="20"/>
        <v>5.2071346375143844E-2</v>
      </c>
      <c r="M273" s="17">
        <f t="shared" si="20"/>
        <v>0.13259668508287292</v>
      </c>
      <c r="N273" s="18">
        <f t="shared" si="21"/>
        <v>23.447513812154696</v>
      </c>
      <c r="O273" s="18">
        <f t="shared" si="22"/>
        <v>176.83333333333334</v>
      </c>
      <c r="P273" s="17">
        <f t="shared" si="23"/>
        <v>2.9922444183313748</v>
      </c>
      <c r="Q273" s="17">
        <f t="shared" si="24"/>
        <v>0.96065032987747412</v>
      </c>
      <c r="R273" s="10" t="s">
        <v>578</v>
      </c>
      <c r="S273" s="14" t="s">
        <v>31</v>
      </c>
      <c r="T273" s="14" t="s">
        <v>27</v>
      </c>
      <c r="U273" s="13">
        <v>12732</v>
      </c>
      <c r="V273" s="15">
        <v>5</v>
      </c>
      <c r="W273" s="9" t="str">
        <f>IF(Table1[[#This Row],[Satisfaction Rating]]&lt;2, "Low", IF(Table1[[#This Row],[Satisfaction Rating]]&lt;4, "Medium", "High"))</f>
        <v>High</v>
      </c>
    </row>
    <row r="274" spans="1:23" ht="14" x14ac:dyDescent="0.2">
      <c r="A274" s="10" t="s">
        <v>579</v>
      </c>
      <c r="B274" s="11">
        <v>45301.19258101852</v>
      </c>
      <c r="C274" s="11">
        <v>45301.19258101852</v>
      </c>
      <c r="D274" s="11" t="str">
        <f>IF(Table1[[#This Row],[Duration of Campaign]]=0, "Ongoing","Completed")</f>
        <v>Ongoing</v>
      </c>
      <c r="E274" s="12">
        <f>Table1[[#This Row],[End Date]]-Table1[[#This Row],[Start Date]]</f>
        <v>0</v>
      </c>
      <c r="F274" s="13">
        <v>1414</v>
      </c>
      <c r="G274" s="14" t="s">
        <v>47</v>
      </c>
      <c r="H274" s="15">
        <v>11744</v>
      </c>
      <c r="I274" s="15">
        <v>937</v>
      </c>
      <c r="J274" s="15">
        <v>496</v>
      </c>
      <c r="K274" s="16">
        <v>9891</v>
      </c>
      <c r="L274" s="17">
        <f t="shared" si="20"/>
        <v>7.9785422343324253E-2</v>
      </c>
      <c r="M274" s="17">
        <f t="shared" si="20"/>
        <v>0.52934898612593384</v>
      </c>
      <c r="N274" s="18">
        <f t="shared" si="21"/>
        <v>3.3372465314834576</v>
      </c>
      <c r="O274" s="18">
        <f t="shared" si="22"/>
        <v>6.304435483870968</v>
      </c>
      <c r="P274" s="17">
        <f t="shared" si="23"/>
        <v>2.2114568599717113</v>
      </c>
      <c r="Q274" s="17">
        <f t="shared" si="24"/>
        <v>3.1630956188039656</v>
      </c>
      <c r="R274" s="10" t="s">
        <v>580</v>
      </c>
      <c r="S274" s="14" t="s">
        <v>45</v>
      </c>
      <c r="T274" s="14" t="s">
        <v>37</v>
      </c>
      <c r="U274" s="13">
        <v>3127</v>
      </c>
      <c r="V274" s="15">
        <v>4</v>
      </c>
      <c r="W274" s="9" t="str">
        <f>IF(Table1[[#This Row],[Satisfaction Rating]]&lt;2, "Low", IF(Table1[[#This Row],[Satisfaction Rating]]&lt;4, "Medium", "High"))</f>
        <v>High</v>
      </c>
    </row>
    <row r="275" spans="1:23" ht="14" x14ac:dyDescent="0.2">
      <c r="A275" s="10" t="s">
        <v>581</v>
      </c>
      <c r="B275" s="11">
        <v>45534.270254629628</v>
      </c>
      <c r="C275" s="11">
        <v>45534.270254629628</v>
      </c>
      <c r="D275" s="11" t="str">
        <f>IF(Table1[[#This Row],[Duration of Campaign]]=0, "Ongoing","Completed")</f>
        <v>Ongoing</v>
      </c>
      <c r="E275" s="12">
        <f>Table1[[#This Row],[End Date]]-Table1[[#This Row],[Start Date]]</f>
        <v>0</v>
      </c>
      <c r="F275" s="13">
        <v>8547</v>
      </c>
      <c r="G275" s="14" t="s">
        <v>24</v>
      </c>
      <c r="H275" s="15">
        <v>3911</v>
      </c>
      <c r="I275" s="15">
        <v>151</v>
      </c>
      <c r="J275" s="15">
        <v>359</v>
      </c>
      <c r="K275" s="16">
        <v>1112</v>
      </c>
      <c r="L275" s="17">
        <f t="shared" si="20"/>
        <v>3.8609051393505497E-2</v>
      </c>
      <c r="M275" s="17">
        <f t="shared" si="20"/>
        <v>2.3774834437086092</v>
      </c>
      <c r="N275" s="18">
        <f t="shared" si="21"/>
        <v>78.258278145695371</v>
      </c>
      <c r="O275" s="18">
        <f t="shared" si="22"/>
        <v>32.916434540389972</v>
      </c>
      <c r="P275" s="17">
        <f t="shared" si="23"/>
        <v>1.3825903825903827</v>
      </c>
      <c r="Q275" s="17">
        <f t="shared" si="24"/>
        <v>9.4101717864094103E-2</v>
      </c>
      <c r="R275" s="10" t="s">
        <v>582</v>
      </c>
      <c r="S275" s="14" t="s">
        <v>34</v>
      </c>
      <c r="T275" s="14" t="s">
        <v>27</v>
      </c>
      <c r="U275" s="13">
        <v>11817</v>
      </c>
      <c r="V275" s="15">
        <v>3</v>
      </c>
      <c r="W275" s="9" t="str">
        <f>IF(Table1[[#This Row],[Satisfaction Rating]]&lt;2, "Low", IF(Table1[[#This Row],[Satisfaction Rating]]&lt;4, "Medium", "High"))</f>
        <v>Medium</v>
      </c>
    </row>
    <row r="276" spans="1:23" ht="14" x14ac:dyDescent="0.2">
      <c r="A276" s="10" t="s">
        <v>583</v>
      </c>
      <c r="B276" s="11">
        <v>45637.22996527778</v>
      </c>
      <c r="C276" s="11">
        <v>45637.22996527778</v>
      </c>
      <c r="D276" s="11" t="str">
        <f>IF(Table1[[#This Row],[Duration of Campaign]]=0, "Ongoing","Completed")</f>
        <v>Ongoing</v>
      </c>
      <c r="E276" s="12">
        <f>Table1[[#This Row],[End Date]]-Table1[[#This Row],[Start Date]]</f>
        <v>0</v>
      </c>
      <c r="F276" s="13">
        <v>1097</v>
      </c>
      <c r="G276" s="14" t="s">
        <v>47</v>
      </c>
      <c r="H276" s="15">
        <v>7377</v>
      </c>
      <c r="I276" s="15">
        <v>1932</v>
      </c>
      <c r="J276" s="15">
        <v>464</v>
      </c>
      <c r="K276" s="16">
        <v>4485</v>
      </c>
      <c r="L276" s="17">
        <f t="shared" si="20"/>
        <v>0.26189507930052869</v>
      </c>
      <c r="M276" s="17">
        <f t="shared" si="20"/>
        <v>0.2401656314699793</v>
      </c>
      <c r="N276" s="18">
        <f t="shared" si="21"/>
        <v>8.4052795031055894</v>
      </c>
      <c r="O276" s="18">
        <f t="shared" si="22"/>
        <v>34.997844827586206</v>
      </c>
      <c r="P276" s="17">
        <f t="shared" si="23"/>
        <v>14.803099361896081</v>
      </c>
      <c r="Q276" s="17">
        <f t="shared" si="24"/>
        <v>0.27618695732495846</v>
      </c>
      <c r="R276" s="10" t="s">
        <v>584</v>
      </c>
      <c r="S276" s="14" t="s">
        <v>26</v>
      </c>
      <c r="T276" s="14" t="s">
        <v>37</v>
      </c>
      <c r="U276" s="13">
        <v>16239</v>
      </c>
      <c r="V276" s="15">
        <v>3</v>
      </c>
      <c r="W276" s="9" t="str">
        <f>IF(Table1[[#This Row],[Satisfaction Rating]]&lt;2, "Low", IF(Table1[[#This Row],[Satisfaction Rating]]&lt;4, "Medium", "High"))</f>
        <v>Medium</v>
      </c>
    </row>
    <row r="277" spans="1:23" ht="14" x14ac:dyDescent="0.2">
      <c r="A277" s="10" t="s">
        <v>585</v>
      </c>
      <c r="B277" s="11">
        <v>45550.571585648147</v>
      </c>
      <c r="C277" s="11">
        <v>45621.690451388888</v>
      </c>
      <c r="D277" s="11" t="str">
        <f>IF(Table1[[#This Row],[Duration of Campaign]]=0, "Ongoing","Completed")</f>
        <v>Completed</v>
      </c>
      <c r="E277" s="12">
        <f>Table1[[#This Row],[End Date]]-Table1[[#This Row],[Start Date]]</f>
        <v>71.118865740740148</v>
      </c>
      <c r="F277" s="13">
        <v>7702</v>
      </c>
      <c r="G277" s="14" t="s">
        <v>47</v>
      </c>
      <c r="H277" s="15">
        <v>4141</v>
      </c>
      <c r="I277" s="15">
        <v>1328</v>
      </c>
      <c r="J277" s="15">
        <v>367</v>
      </c>
      <c r="K277" s="16">
        <v>8997</v>
      </c>
      <c r="L277" s="17">
        <f t="shared" si="20"/>
        <v>0.32069548418256461</v>
      </c>
      <c r="M277" s="17">
        <f t="shared" si="20"/>
        <v>0.27635542168674698</v>
      </c>
      <c r="N277" s="18">
        <f t="shared" si="21"/>
        <v>1.0956325301204819</v>
      </c>
      <c r="O277" s="18">
        <f t="shared" si="22"/>
        <v>3.9645776566757491</v>
      </c>
      <c r="P277" s="17">
        <f t="shared" si="23"/>
        <v>0.18891197091664502</v>
      </c>
      <c r="Q277" s="17">
        <f t="shared" si="24"/>
        <v>6.1835051546391755</v>
      </c>
      <c r="R277" s="10" t="s">
        <v>586</v>
      </c>
      <c r="S277" s="14" t="s">
        <v>26</v>
      </c>
      <c r="T277" s="14" t="s">
        <v>37</v>
      </c>
      <c r="U277" s="13">
        <v>1455</v>
      </c>
      <c r="V277" s="15">
        <v>1</v>
      </c>
      <c r="W277" s="9" t="str">
        <f>IF(Table1[[#This Row],[Satisfaction Rating]]&lt;2, "Low", IF(Table1[[#This Row],[Satisfaction Rating]]&lt;4, "Medium", "High"))</f>
        <v>Low</v>
      </c>
    </row>
    <row r="278" spans="1:23" ht="14" x14ac:dyDescent="0.2">
      <c r="A278" s="10" t="s">
        <v>587</v>
      </c>
      <c r="B278" s="11">
        <v>45431.744259259256</v>
      </c>
      <c r="C278" s="11">
        <v>45431.744259259256</v>
      </c>
      <c r="D278" s="11" t="str">
        <f>IF(Table1[[#This Row],[Duration of Campaign]]=0, "Ongoing","Completed")</f>
        <v>Ongoing</v>
      </c>
      <c r="E278" s="12">
        <f>Table1[[#This Row],[End Date]]-Table1[[#This Row],[Start Date]]</f>
        <v>0</v>
      </c>
      <c r="F278" s="13">
        <v>1632</v>
      </c>
      <c r="G278" s="14" t="s">
        <v>63</v>
      </c>
      <c r="H278" s="15">
        <v>11408</v>
      </c>
      <c r="I278" s="15">
        <v>457</v>
      </c>
      <c r="J278" s="15">
        <v>11</v>
      </c>
      <c r="K278" s="16">
        <v>2280</v>
      </c>
      <c r="L278" s="17">
        <f t="shared" si="20"/>
        <v>4.005960729312763E-2</v>
      </c>
      <c r="M278" s="17">
        <f t="shared" si="20"/>
        <v>2.4070021881838075E-2</v>
      </c>
      <c r="N278" s="18">
        <f t="shared" si="21"/>
        <v>36.433260393873084</v>
      </c>
      <c r="O278" s="18">
        <f t="shared" si="22"/>
        <v>1513.6363636363637</v>
      </c>
      <c r="P278" s="17">
        <f t="shared" si="23"/>
        <v>10.202205882352942</v>
      </c>
      <c r="Q278" s="17">
        <f t="shared" si="24"/>
        <v>0.13693693693693693</v>
      </c>
      <c r="R278" s="10" t="s">
        <v>588</v>
      </c>
      <c r="S278" s="14" t="s">
        <v>40</v>
      </c>
      <c r="T278" s="14" t="s">
        <v>55</v>
      </c>
      <c r="U278" s="13">
        <v>16650</v>
      </c>
      <c r="V278" s="15">
        <v>4</v>
      </c>
      <c r="W278" s="9" t="str">
        <f>IF(Table1[[#This Row],[Satisfaction Rating]]&lt;2, "Low", IF(Table1[[#This Row],[Satisfaction Rating]]&lt;4, "Medium", "High"))</f>
        <v>High</v>
      </c>
    </row>
    <row r="279" spans="1:23" ht="14" x14ac:dyDescent="0.2">
      <c r="A279" s="10" t="s">
        <v>589</v>
      </c>
      <c r="B279" s="11">
        <v>45375.751354166663</v>
      </c>
      <c r="C279" s="11">
        <v>45375.751354166663</v>
      </c>
      <c r="D279" s="11" t="str">
        <f>IF(Table1[[#This Row],[Duration of Campaign]]=0, "Ongoing","Completed")</f>
        <v>Ongoing</v>
      </c>
      <c r="E279" s="12">
        <f>Table1[[#This Row],[End Date]]-Table1[[#This Row],[Start Date]]</f>
        <v>0</v>
      </c>
      <c r="F279" s="13">
        <v>7200</v>
      </c>
      <c r="G279" s="14" t="s">
        <v>29</v>
      </c>
      <c r="H279" s="15">
        <v>5783</v>
      </c>
      <c r="I279" s="15">
        <v>1265</v>
      </c>
      <c r="J279" s="15">
        <v>384</v>
      </c>
      <c r="K279" s="16">
        <v>7081</v>
      </c>
      <c r="L279" s="17">
        <f t="shared" si="20"/>
        <v>0.21874459623033027</v>
      </c>
      <c r="M279" s="17">
        <f t="shared" si="20"/>
        <v>0.30355731225296445</v>
      </c>
      <c r="N279" s="18">
        <f t="shared" si="21"/>
        <v>4.0766798418972332</v>
      </c>
      <c r="O279" s="18">
        <f t="shared" si="22"/>
        <v>13.4296875</v>
      </c>
      <c r="P279" s="17">
        <f t="shared" si="23"/>
        <v>0.71625000000000005</v>
      </c>
      <c r="Q279" s="17">
        <f t="shared" si="24"/>
        <v>1.3730851270118285</v>
      </c>
      <c r="R279" s="10" t="s">
        <v>590</v>
      </c>
      <c r="S279" s="14" t="s">
        <v>31</v>
      </c>
      <c r="T279" s="14" t="s">
        <v>27</v>
      </c>
      <c r="U279" s="13">
        <v>5157</v>
      </c>
      <c r="V279" s="15">
        <v>3</v>
      </c>
      <c r="W279" s="9" t="str">
        <f>IF(Table1[[#This Row],[Satisfaction Rating]]&lt;2, "Low", IF(Table1[[#This Row],[Satisfaction Rating]]&lt;4, "Medium", "High"))</f>
        <v>Medium</v>
      </c>
    </row>
    <row r="280" spans="1:23" ht="14" x14ac:dyDescent="0.2">
      <c r="A280" s="10" t="s">
        <v>591</v>
      </c>
      <c r="B280" s="11">
        <v>45492.248148148145</v>
      </c>
      <c r="C280" s="11">
        <v>45492.248148148145</v>
      </c>
      <c r="D280" s="11" t="str">
        <f>IF(Table1[[#This Row],[Duration of Campaign]]=0, "Ongoing","Completed")</f>
        <v>Ongoing</v>
      </c>
      <c r="E280" s="12">
        <f>Table1[[#This Row],[End Date]]-Table1[[#This Row],[Start Date]]</f>
        <v>0</v>
      </c>
      <c r="F280" s="13">
        <v>3550</v>
      </c>
      <c r="G280" s="14" t="s">
        <v>63</v>
      </c>
      <c r="H280" s="15">
        <v>13305</v>
      </c>
      <c r="I280" s="15">
        <v>357</v>
      </c>
      <c r="J280" s="15">
        <v>500</v>
      </c>
      <c r="K280" s="16">
        <v>5492</v>
      </c>
      <c r="L280" s="17">
        <f t="shared" si="20"/>
        <v>2.6832018038331455E-2</v>
      </c>
      <c r="M280" s="17">
        <f t="shared" si="20"/>
        <v>1.4005602240896358</v>
      </c>
      <c r="N280" s="18">
        <f t="shared" si="21"/>
        <v>47.53221288515406</v>
      </c>
      <c r="O280" s="18">
        <f t="shared" si="22"/>
        <v>33.938000000000002</v>
      </c>
      <c r="P280" s="17">
        <f t="shared" si="23"/>
        <v>4.78</v>
      </c>
      <c r="Q280" s="17">
        <f t="shared" si="24"/>
        <v>0.32364900701278804</v>
      </c>
      <c r="R280" s="10" t="s">
        <v>592</v>
      </c>
      <c r="S280" s="14" t="s">
        <v>40</v>
      </c>
      <c r="T280" s="14" t="s">
        <v>37</v>
      </c>
      <c r="U280" s="13">
        <v>16969</v>
      </c>
      <c r="V280" s="15">
        <v>5</v>
      </c>
      <c r="W280" s="9" t="str">
        <f>IF(Table1[[#This Row],[Satisfaction Rating]]&lt;2, "Low", IF(Table1[[#This Row],[Satisfaction Rating]]&lt;4, "Medium", "High"))</f>
        <v>High</v>
      </c>
    </row>
    <row r="281" spans="1:23" ht="14" x14ac:dyDescent="0.2">
      <c r="A281" s="10" t="s">
        <v>593</v>
      </c>
      <c r="B281" s="11">
        <v>45462.029097222221</v>
      </c>
      <c r="C281" s="11">
        <v>45506.458761574075</v>
      </c>
      <c r="D281" s="11" t="str">
        <f>IF(Table1[[#This Row],[Duration of Campaign]]=0, "Ongoing","Completed")</f>
        <v>Completed</v>
      </c>
      <c r="E281" s="12">
        <f>Table1[[#This Row],[End Date]]-Table1[[#This Row],[Start Date]]</f>
        <v>44.429664351853717</v>
      </c>
      <c r="F281" s="13">
        <v>2276</v>
      </c>
      <c r="G281" s="14" t="s">
        <v>29</v>
      </c>
      <c r="H281" s="15">
        <v>13060</v>
      </c>
      <c r="I281" s="15">
        <v>1875</v>
      </c>
      <c r="J281" s="15">
        <v>38</v>
      </c>
      <c r="K281" s="16">
        <v>5733</v>
      </c>
      <c r="L281" s="17">
        <f t="shared" si="20"/>
        <v>0.14356814701378254</v>
      </c>
      <c r="M281" s="17">
        <f t="shared" si="20"/>
        <v>2.0266666666666665E-2</v>
      </c>
      <c r="N281" s="18">
        <f t="shared" si="21"/>
        <v>10.490133333333333</v>
      </c>
      <c r="O281" s="18">
        <f t="shared" si="22"/>
        <v>517.60526315789468</v>
      </c>
      <c r="P281" s="17">
        <f t="shared" si="23"/>
        <v>8.6419156414762739</v>
      </c>
      <c r="Q281" s="17">
        <f t="shared" si="24"/>
        <v>0.29147389292795772</v>
      </c>
      <c r="R281" s="10" t="s">
        <v>594</v>
      </c>
      <c r="S281" s="14" t="s">
        <v>40</v>
      </c>
      <c r="T281" s="14" t="s">
        <v>27</v>
      </c>
      <c r="U281" s="13">
        <v>19669</v>
      </c>
      <c r="V281" s="15">
        <v>5</v>
      </c>
      <c r="W281" s="9" t="str">
        <f>IF(Table1[[#This Row],[Satisfaction Rating]]&lt;2, "Low", IF(Table1[[#This Row],[Satisfaction Rating]]&lt;4, "Medium", "High"))</f>
        <v>High</v>
      </c>
    </row>
    <row r="282" spans="1:23" ht="14" x14ac:dyDescent="0.2">
      <c r="A282" s="10" t="s">
        <v>595</v>
      </c>
      <c r="B282" s="11">
        <v>45184.652974537035</v>
      </c>
      <c r="C282" s="11">
        <v>45184.652974537035</v>
      </c>
      <c r="D282" s="11" t="str">
        <f>IF(Table1[[#This Row],[Duration of Campaign]]=0, "Ongoing","Completed")</f>
        <v>Ongoing</v>
      </c>
      <c r="E282" s="12">
        <f>Table1[[#This Row],[End Date]]-Table1[[#This Row],[Start Date]]</f>
        <v>0</v>
      </c>
      <c r="F282" s="13">
        <v>4650</v>
      </c>
      <c r="G282" s="14" t="s">
        <v>24</v>
      </c>
      <c r="H282" s="15">
        <v>7526</v>
      </c>
      <c r="I282" s="15">
        <v>1390</v>
      </c>
      <c r="J282" s="15">
        <v>383</v>
      </c>
      <c r="K282" s="16">
        <v>7772</v>
      </c>
      <c r="L282" s="17">
        <f t="shared" si="20"/>
        <v>0.18469306404464522</v>
      </c>
      <c r="M282" s="17">
        <f t="shared" si="20"/>
        <v>0.27553956834532373</v>
      </c>
      <c r="N282" s="18">
        <f t="shared" si="21"/>
        <v>11.564748201438849</v>
      </c>
      <c r="O282" s="18">
        <f t="shared" si="22"/>
        <v>41.971279373368148</v>
      </c>
      <c r="P282" s="17">
        <f t="shared" si="23"/>
        <v>3.456989247311828</v>
      </c>
      <c r="Q282" s="17">
        <f t="shared" si="24"/>
        <v>0.48348367029548989</v>
      </c>
      <c r="R282" s="10" t="s">
        <v>596</v>
      </c>
      <c r="S282" s="14" t="s">
        <v>31</v>
      </c>
      <c r="T282" s="14" t="s">
        <v>55</v>
      </c>
      <c r="U282" s="13">
        <v>16075</v>
      </c>
      <c r="V282" s="15">
        <v>1</v>
      </c>
      <c r="W282" s="9" t="str">
        <f>IF(Table1[[#This Row],[Satisfaction Rating]]&lt;2, "Low", IF(Table1[[#This Row],[Satisfaction Rating]]&lt;4, "Medium", "High"))</f>
        <v>Low</v>
      </c>
    </row>
    <row r="283" spans="1:23" ht="14" x14ac:dyDescent="0.2">
      <c r="A283" s="10" t="s">
        <v>597</v>
      </c>
      <c r="B283" s="11">
        <v>44928.989421296297</v>
      </c>
      <c r="C283" s="11">
        <v>45427.811909722222</v>
      </c>
      <c r="D283" s="11" t="str">
        <f>IF(Table1[[#This Row],[Duration of Campaign]]=0, "Ongoing","Completed")</f>
        <v>Completed</v>
      </c>
      <c r="E283" s="12">
        <f>Table1[[#This Row],[End Date]]-Table1[[#This Row],[Start Date]]</f>
        <v>498.82248842592526</v>
      </c>
      <c r="F283" s="13">
        <v>3111</v>
      </c>
      <c r="G283" s="14" t="s">
        <v>29</v>
      </c>
      <c r="H283" s="15">
        <v>15446</v>
      </c>
      <c r="I283" s="15">
        <v>1388</v>
      </c>
      <c r="J283" s="15">
        <v>157</v>
      </c>
      <c r="K283" s="16">
        <v>7498</v>
      </c>
      <c r="L283" s="17">
        <f t="shared" si="20"/>
        <v>8.986145280331477E-2</v>
      </c>
      <c r="M283" s="17">
        <f t="shared" si="20"/>
        <v>0.11311239193083573</v>
      </c>
      <c r="N283" s="18">
        <f t="shared" si="21"/>
        <v>2.6354466858789625</v>
      </c>
      <c r="O283" s="18">
        <f t="shared" si="22"/>
        <v>23.29936305732484</v>
      </c>
      <c r="P283" s="17">
        <f t="shared" si="23"/>
        <v>1.1758277081324333</v>
      </c>
      <c r="Q283" s="17">
        <f t="shared" si="24"/>
        <v>2.0497539639147075</v>
      </c>
      <c r="R283" s="10" t="s">
        <v>598</v>
      </c>
      <c r="S283" s="14" t="s">
        <v>45</v>
      </c>
      <c r="T283" s="14" t="s">
        <v>55</v>
      </c>
      <c r="U283" s="13">
        <v>3658</v>
      </c>
      <c r="V283" s="15">
        <v>1</v>
      </c>
      <c r="W283" s="9" t="str">
        <f>IF(Table1[[#This Row],[Satisfaction Rating]]&lt;2, "Low", IF(Table1[[#This Row],[Satisfaction Rating]]&lt;4, "Medium", "High"))</f>
        <v>Low</v>
      </c>
    </row>
    <row r="284" spans="1:23" ht="14" x14ac:dyDescent="0.2">
      <c r="A284" s="10" t="s">
        <v>599</v>
      </c>
      <c r="B284" s="11">
        <v>45268.239305555559</v>
      </c>
      <c r="C284" s="11">
        <v>45268.239305555559</v>
      </c>
      <c r="D284" s="11" t="str">
        <f>IF(Table1[[#This Row],[Duration of Campaign]]=0, "Ongoing","Completed")</f>
        <v>Ongoing</v>
      </c>
      <c r="E284" s="12">
        <f>Table1[[#This Row],[End Date]]-Table1[[#This Row],[Start Date]]</f>
        <v>0</v>
      </c>
      <c r="F284" s="13">
        <v>3853</v>
      </c>
      <c r="G284" s="14" t="s">
        <v>63</v>
      </c>
      <c r="H284" s="15">
        <v>17708</v>
      </c>
      <c r="I284" s="15">
        <v>779</v>
      </c>
      <c r="J284" s="15">
        <v>129</v>
      </c>
      <c r="K284" s="16">
        <v>5500</v>
      </c>
      <c r="L284" s="17">
        <f t="shared" si="20"/>
        <v>4.3991416309012876E-2</v>
      </c>
      <c r="M284" s="17">
        <f t="shared" si="20"/>
        <v>0.16559691912708602</v>
      </c>
      <c r="N284" s="18">
        <f t="shared" si="21"/>
        <v>3.7509627727856225</v>
      </c>
      <c r="O284" s="18">
        <f t="shared" si="22"/>
        <v>22.651162790697676</v>
      </c>
      <c r="P284" s="17">
        <f t="shared" si="23"/>
        <v>0.75837010121982873</v>
      </c>
      <c r="Q284" s="17">
        <f t="shared" si="24"/>
        <v>1.8822724161533197</v>
      </c>
      <c r="R284" s="10" t="s">
        <v>600</v>
      </c>
      <c r="S284" s="14" t="s">
        <v>45</v>
      </c>
      <c r="T284" s="14" t="s">
        <v>55</v>
      </c>
      <c r="U284" s="13">
        <v>2922</v>
      </c>
      <c r="V284" s="15">
        <v>5</v>
      </c>
      <c r="W284" s="9" t="str">
        <f>IF(Table1[[#This Row],[Satisfaction Rating]]&lt;2, "Low", IF(Table1[[#This Row],[Satisfaction Rating]]&lt;4, "Medium", "High"))</f>
        <v>High</v>
      </c>
    </row>
    <row r="285" spans="1:23" ht="14" x14ac:dyDescent="0.2">
      <c r="A285" s="10" t="s">
        <v>601</v>
      </c>
      <c r="B285" s="11">
        <v>45102.818171296298</v>
      </c>
      <c r="C285" s="11">
        <v>45102.818171296298</v>
      </c>
      <c r="D285" s="11" t="str">
        <f>IF(Table1[[#This Row],[Duration of Campaign]]=0, "Ongoing","Completed")</f>
        <v>Ongoing</v>
      </c>
      <c r="E285" s="12">
        <f>Table1[[#This Row],[End Date]]-Table1[[#This Row],[Start Date]]</f>
        <v>0</v>
      </c>
      <c r="F285" s="13">
        <v>1709</v>
      </c>
      <c r="G285" s="14" t="s">
        <v>63</v>
      </c>
      <c r="H285" s="15">
        <v>15308</v>
      </c>
      <c r="I285" s="15">
        <v>1428</v>
      </c>
      <c r="J285" s="15">
        <v>343</v>
      </c>
      <c r="K285" s="16">
        <v>6270</v>
      </c>
      <c r="L285" s="17">
        <f t="shared" si="20"/>
        <v>9.3284557094329756E-2</v>
      </c>
      <c r="M285" s="17">
        <f t="shared" si="20"/>
        <v>0.24019607843137256</v>
      </c>
      <c r="N285" s="18">
        <f t="shared" si="21"/>
        <v>8.75</v>
      </c>
      <c r="O285" s="18">
        <f t="shared" si="22"/>
        <v>36.428571428571431</v>
      </c>
      <c r="P285" s="17">
        <f t="shared" si="23"/>
        <v>7.3112931538911647</v>
      </c>
      <c r="Q285" s="17">
        <f t="shared" si="24"/>
        <v>0.50180072028811529</v>
      </c>
      <c r="R285" s="10" t="s">
        <v>602</v>
      </c>
      <c r="S285" s="14" t="s">
        <v>45</v>
      </c>
      <c r="T285" s="14" t="s">
        <v>37</v>
      </c>
      <c r="U285" s="13">
        <v>12495</v>
      </c>
      <c r="V285" s="15">
        <v>4</v>
      </c>
      <c r="W285" s="9" t="str">
        <f>IF(Table1[[#This Row],[Satisfaction Rating]]&lt;2, "Low", IF(Table1[[#This Row],[Satisfaction Rating]]&lt;4, "Medium", "High"))</f>
        <v>High</v>
      </c>
    </row>
    <row r="286" spans="1:23" ht="14" x14ac:dyDescent="0.2">
      <c r="A286" s="10" t="s">
        <v>603</v>
      </c>
      <c r="B286" s="11">
        <v>45182.702800925923</v>
      </c>
      <c r="C286" s="11">
        <v>45233.167974537035</v>
      </c>
      <c r="D286" s="11" t="str">
        <f>IF(Table1[[#This Row],[Duration of Campaign]]=0, "Ongoing","Completed")</f>
        <v>Completed</v>
      </c>
      <c r="E286" s="12">
        <f>Table1[[#This Row],[End Date]]-Table1[[#This Row],[Start Date]]</f>
        <v>50.465173611111823</v>
      </c>
      <c r="F286" s="13">
        <v>4767</v>
      </c>
      <c r="G286" s="14" t="s">
        <v>47</v>
      </c>
      <c r="H286" s="15">
        <v>18197</v>
      </c>
      <c r="I286" s="15">
        <v>123</v>
      </c>
      <c r="J286" s="15">
        <v>137</v>
      </c>
      <c r="K286" s="16">
        <v>14707</v>
      </c>
      <c r="L286" s="17">
        <f t="shared" si="20"/>
        <v>6.7593559377919438E-3</v>
      </c>
      <c r="M286" s="17">
        <f t="shared" si="20"/>
        <v>1.1138211382113821</v>
      </c>
      <c r="N286" s="18">
        <f t="shared" si="21"/>
        <v>10.16260162601626</v>
      </c>
      <c r="O286" s="18">
        <f t="shared" si="22"/>
        <v>9.1240875912408761</v>
      </c>
      <c r="P286" s="17">
        <f t="shared" si="23"/>
        <v>0.26221942521501995</v>
      </c>
      <c r="Q286" s="17">
        <f t="shared" si="24"/>
        <v>11.765599999999999</v>
      </c>
      <c r="R286" s="10" t="s">
        <v>604</v>
      </c>
      <c r="S286" s="14" t="s">
        <v>31</v>
      </c>
      <c r="T286" s="14" t="s">
        <v>55</v>
      </c>
      <c r="U286" s="13">
        <v>1250</v>
      </c>
      <c r="V286" s="15">
        <v>1</v>
      </c>
      <c r="W286" s="9" t="str">
        <f>IF(Table1[[#This Row],[Satisfaction Rating]]&lt;2, "Low", IF(Table1[[#This Row],[Satisfaction Rating]]&lt;4, "Medium", "High"))</f>
        <v>Low</v>
      </c>
    </row>
    <row r="287" spans="1:23" ht="14" x14ac:dyDescent="0.2">
      <c r="A287" s="10" t="s">
        <v>605</v>
      </c>
      <c r="B287" s="11">
        <v>45501.840057870373</v>
      </c>
      <c r="C287" s="11">
        <v>45602.314421296294</v>
      </c>
      <c r="D287" s="11" t="str">
        <f>IF(Table1[[#This Row],[Duration of Campaign]]=0, "Ongoing","Completed")</f>
        <v>Completed</v>
      </c>
      <c r="E287" s="12">
        <f>Table1[[#This Row],[End Date]]-Table1[[#This Row],[Start Date]]</f>
        <v>100.47436342592118</v>
      </c>
      <c r="F287" s="13">
        <v>3903</v>
      </c>
      <c r="G287" s="14" t="s">
        <v>63</v>
      </c>
      <c r="H287" s="15">
        <v>17497</v>
      </c>
      <c r="I287" s="15">
        <v>1626</v>
      </c>
      <c r="J287" s="15">
        <v>461</v>
      </c>
      <c r="K287" s="16">
        <v>13919</v>
      </c>
      <c r="L287" s="17">
        <f t="shared" si="20"/>
        <v>9.2930216608561461E-2</v>
      </c>
      <c r="M287" s="17">
        <f t="shared" si="20"/>
        <v>0.28351783517835177</v>
      </c>
      <c r="N287" s="18">
        <f t="shared" si="21"/>
        <v>2.4114391143911438</v>
      </c>
      <c r="O287" s="18">
        <f t="shared" si="22"/>
        <v>8.5054229934924077</v>
      </c>
      <c r="P287" s="17">
        <f t="shared" si="23"/>
        <v>1.0046118370484243</v>
      </c>
      <c r="Q287" s="17">
        <f t="shared" si="24"/>
        <v>3.5498597296608008</v>
      </c>
      <c r="R287" s="10" t="s">
        <v>606</v>
      </c>
      <c r="S287" s="14" t="s">
        <v>26</v>
      </c>
      <c r="T287" s="14" t="s">
        <v>37</v>
      </c>
      <c r="U287" s="13">
        <v>3921</v>
      </c>
      <c r="V287" s="15">
        <v>2</v>
      </c>
      <c r="W287" s="9" t="str">
        <f>IF(Table1[[#This Row],[Satisfaction Rating]]&lt;2, "Low", IF(Table1[[#This Row],[Satisfaction Rating]]&lt;4, "Medium", "High"))</f>
        <v>Medium</v>
      </c>
    </row>
    <row r="288" spans="1:23" ht="14" x14ac:dyDescent="0.2">
      <c r="A288" s="10" t="s">
        <v>607</v>
      </c>
      <c r="B288" s="11">
        <v>45012.689780092594</v>
      </c>
      <c r="C288" s="11">
        <v>45115.920243055552</v>
      </c>
      <c r="D288" s="11" t="str">
        <f>IF(Table1[[#This Row],[Duration of Campaign]]=0, "Ongoing","Completed")</f>
        <v>Completed</v>
      </c>
      <c r="E288" s="12">
        <f>Table1[[#This Row],[End Date]]-Table1[[#This Row],[Start Date]]</f>
        <v>103.23046296295797</v>
      </c>
      <c r="F288" s="13">
        <v>2890</v>
      </c>
      <c r="G288" s="14" t="s">
        <v>63</v>
      </c>
      <c r="H288" s="15">
        <v>11456</v>
      </c>
      <c r="I288" s="15">
        <v>1106</v>
      </c>
      <c r="J288" s="15">
        <v>479</v>
      </c>
      <c r="K288" s="16">
        <v>14218</v>
      </c>
      <c r="L288" s="17">
        <f t="shared" si="20"/>
        <v>9.6543296089385472E-2</v>
      </c>
      <c r="M288" s="17">
        <f t="shared" si="20"/>
        <v>0.43309222423146476</v>
      </c>
      <c r="N288" s="18">
        <f t="shared" si="21"/>
        <v>17.922242314647377</v>
      </c>
      <c r="O288" s="18">
        <f t="shared" si="22"/>
        <v>41.382045929018787</v>
      </c>
      <c r="P288" s="17">
        <f t="shared" si="23"/>
        <v>6.8588235294117643</v>
      </c>
      <c r="Q288" s="17">
        <f t="shared" si="24"/>
        <v>0.71728382605186158</v>
      </c>
      <c r="R288" s="10" t="s">
        <v>608</v>
      </c>
      <c r="S288" s="14" t="s">
        <v>40</v>
      </c>
      <c r="T288" s="14" t="s">
        <v>55</v>
      </c>
      <c r="U288" s="13">
        <v>19822</v>
      </c>
      <c r="V288" s="15">
        <v>4</v>
      </c>
      <c r="W288" s="9" t="str">
        <f>IF(Table1[[#This Row],[Satisfaction Rating]]&lt;2, "Low", IF(Table1[[#This Row],[Satisfaction Rating]]&lt;4, "Medium", "High"))</f>
        <v>High</v>
      </c>
    </row>
    <row r="289" spans="1:23" ht="14" x14ac:dyDescent="0.2">
      <c r="A289" s="10" t="s">
        <v>609</v>
      </c>
      <c r="B289" s="11">
        <v>45035.19027777778</v>
      </c>
      <c r="C289" s="11">
        <v>45434.835416666669</v>
      </c>
      <c r="D289" s="11" t="str">
        <f>IF(Table1[[#This Row],[Duration of Campaign]]=0, "Ongoing","Completed")</f>
        <v>Completed</v>
      </c>
      <c r="E289" s="12">
        <f>Table1[[#This Row],[End Date]]-Table1[[#This Row],[Start Date]]</f>
        <v>399.64513888888905</v>
      </c>
      <c r="F289" s="13">
        <v>1876</v>
      </c>
      <c r="G289" s="14" t="s">
        <v>47</v>
      </c>
      <c r="H289" s="15">
        <v>2003</v>
      </c>
      <c r="I289" s="15">
        <v>507</v>
      </c>
      <c r="J289" s="15">
        <v>269</v>
      </c>
      <c r="K289" s="16">
        <v>7149</v>
      </c>
      <c r="L289" s="17">
        <f t="shared" si="20"/>
        <v>0.25312031952071889</v>
      </c>
      <c r="M289" s="17">
        <f t="shared" si="20"/>
        <v>0.53057199211045369</v>
      </c>
      <c r="N289" s="18">
        <f t="shared" si="21"/>
        <v>31.301775147928993</v>
      </c>
      <c r="O289" s="18">
        <f t="shared" si="22"/>
        <v>58.996282527881043</v>
      </c>
      <c r="P289" s="17">
        <f t="shared" si="23"/>
        <v>8.4594882729211083</v>
      </c>
      <c r="Q289" s="17">
        <f t="shared" si="24"/>
        <v>0.45047258979206051</v>
      </c>
      <c r="R289" s="10" t="s">
        <v>610</v>
      </c>
      <c r="S289" s="14" t="s">
        <v>45</v>
      </c>
      <c r="T289" s="14" t="s">
        <v>37</v>
      </c>
      <c r="U289" s="13">
        <v>15870</v>
      </c>
      <c r="V289" s="15">
        <v>3</v>
      </c>
      <c r="W289" s="9" t="str">
        <f>IF(Table1[[#This Row],[Satisfaction Rating]]&lt;2, "Low", IF(Table1[[#This Row],[Satisfaction Rating]]&lt;4, "Medium", "High"))</f>
        <v>Medium</v>
      </c>
    </row>
    <row r="290" spans="1:23" ht="14" x14ac:dyDescent="0.2">
      <c r="A290" s="10" t="s">
        <v>611</v>
      </c>
      <c r="B290" s="11">
        <v>45139.897013888891</v>
      </c>
      <c r="C290" s="11">
        <v>45414.019293981481</v>
      </c>
      <c r="D290" s="11" t="str">
        <f>IF(Table1[[#This Row],[Duration of Campaign]]=0, "Ongoing","Completed")</f>
        <v>Completed</v>
      </c>
      <c r="E290" s="12">
        <f>Table1[[#This Row],[End Date]]-Table1[[#This Row],[Start Date]]</f>
        <v>274.12228009258979</v>
      </c>
      <c r="F290" s="13">
        <v>5406</v>
      </c>
      <c r="G290" s="14" t="s">
        <v>24</v>
      </c>
      <c r="H290" s="15">
        <v>19175</v>
      </c>
      <c r="I290" s="15">
        <v>595</v>
      </c>
      <c r="J290" s="15">
        <v>234</v>
      </c>
      <c r="K290" s="16">
        <v>5525</v>
      </c>
      <c r="L290" s="17">
        <f t="shared" si="20"/>
        <v>3.1029986962190351E-2</v>
      </c>
      <c r="M290" s="17">
        <f t="shared" si="20"/>
        <v>0.39327731092436974</v>
      </c>
      <c r="N290" s="18">
        <f t="shared" si="21"/>
        <v>9.6655462184873944</v>
      </c>
      <c r="O290" s="18">
        <f t="shared" si="22"/>
        <v>24.576923076923077</v>
      </c>
      <c r="P290" s="17">
        <f t="shared" si="23"/>
        <v>1.0638179800221976</v>
      </c>
      <c r="Q290" s="17">
        <f t="shared" si="24"/>
        <v>0.96070248652408274</v>
      </c>
      <c r="R290" s="10" t="s">
        <v>612</v>
      </c>
      <c r="S290" s="14" t="s">
        <v>45</v>
      </c>
      <c r="T290" s="14" t="s">
        <v>27</v>
      </c>
      <c r="U290" s="13">
        <v>5751</v>
      </c>
      <c r="V290" s="15">
        <v>2</v>
      </c>
      <c r="W290" s="9" t="str">
        <f>IF(Table1[[#This Row],[Satisfaction Rating]]&lt;2, "Low", IF(Table1[[#This Row],[Satisfaction Rating]]&lt;4, "Medium", "High"))</f>
        <v>Medium</v>
      </c>
    </row>
    <row r="291" spans="1:23" ht="14" x14ac:dyDescent="0.2">
      <c r="A291" s="10" t="s">
        <v>613</v>
      </c>
      <c r="B291" s="11">
        <v>45025.249976851854</v>
      </c>
      <c r="C291" s="11">
        <v>45171.551712962966</v>
      </c>
      <c r="D291" s="11" t="str">
        <f>IF(Table1[[#This Row],[Duration of Campaign]]=0, "Ongoing","Completed")</f>
        <v>Completed</v>
      </c>
      <c r="E291" s="12">
        <f>Table1[[#This Row],[End Date]]-Table1[[#This Row],[Start Date]]</f>
        <v>146.3017361111124</v>
      </c>
      <c r="F291" s="13">
        <v>6242</v>
      </c>
      <c r="G291" s="14" t="s">
        <v>63</v>
      </c>
      <c r="H291" s="15">
        <v>11376</v>
      </c>
      <c r="I291" s="15">
        <v>730</v>
      </c>
      <c r="J291" s="15">
        <v>62</v>
      </c>
      <c r="K291" s="16">
        <v>3648</v>
      </c>
      <c r="L291" s="17">
        <f t="shared" si="20"/>
        <v>6.4170182841068915E-2</v>
      </c>
      <c r="M291" s="17">
        <f t="shared" si="20"/>
        <v>8.4931506849315067E-2</v>
      </c>
      <c r="N291" s="18">
        <f t="shared" si="21"/>
        <v>19.104109589041094</v>
      </c>
      <c r="O291" s="18">
        <f t="shared" si="22"/>
        <v>224.93548387096774</v>
      </c>
      <c r="P291" s="17">
        <f t="shared" si="23"/>
        <v>2.2342198013457226</v>
      </c>
      <c r="Q291" s="17">
        <f t="shared" si="24"/>
        <v>0.26158038147138962</v>
      </c>
      <c r="R291" s="10" t="s">
        <v>614</v>
      </c>
      <c r="S291" s="14" t="s">
        <v>26</v>
      </c>
      <c r="T291" s="14" t="s">
        <v>55</v>
      </c>
      <c r="U291" s="13">
        <v>13946</v>
      </c>
      <c r="V291" s="15">
        <v>1</v>
      </c>
      <c r="W291" s="9" t="str">
        <f>IF(Table1[[#This Row],[Satisfaction Rating]]&lt;2, "Low", IF(Table1[[#This Row],[Satisfaction Rating]]&lt;4, "Medium", "High"))</f>
        <v>Low</v>
      </c>
    </row>
    <row r="292" spans="1:23" ht="14" x14ac:dyDescent="0.2">
      <c r="A292" s="10" t="s">
        <v>615</v>
      </c>
      <c r="B292" s="11">
        <v>45199.862754629627</v>
      </c>
      <c r="C292" s="11">
        <v>45199.862754629627</v>
      </c>
      <c r="D292" s="11" t="str">
        <f>IF(Table1[[#This Row],[Duration of Campaign]]=0, "Ongoing","Completed")</f>
        <v>Ongoing</v>
      </c>
      <c r="E292" s="12">
        <f>Table1[[#This Row],[End Date]]-Table1[[#This Row],[Start Date]]</f>
        <v>0</v>
      </c>
      <c r="F292" s="13">
        <v>4251</v>
      </c>
      <c r="G292" s="14" t="s">
        <v>29</v>
      </c>
      <c r="H292" s="15">
        <v>6344</v>
      </c>
      <c r="I292" s="15">
        <v>1690</v>
      </c>
      <c r="J292" s="15">
        <v>489</v>
      </c>
      <c r="K292" s="16">
        <v>12136</v>
      </c>
      <c r="L292" s="17">
        <f t="shared" si="20"/>
        <v>0.26639344262295084</v>
      </c>
      <c r="M292" s="17">
        <f t="shared" si="20"/>
        <v>0.2893491124260355</v>
      </c>
      <c r="N292" s="18">
        <f t="shared" si="21"/>
        <v>0.6585798816568047</v>
      </c>
      <c r="O292" s="18">
        <f t="shared" si="22"/>
        <v>2.276073619631902</v>
      </c>
      <c r="P292" s="17">
        <f t="shared" si="23"/>
        <v>0.26182074805928018</v>
      </c>
      <c r="Q292" s="17">
        <f t="shared" si="24"/>
        <v>10.90386343216532</v>
      </c>
      <c r="R292" s="10" t="s">
        <v>616</v>
      </c>
      <c r="S292" s="14" t="s">
        <v>45</v>
      </c>
      <c r="T292" s="14" t="s">
        <v>55</v>
      </c>
      <c r="U292" s="13">
        <v>1113</v>
      </c>
      <c r="V292" s="15">
        <v>4</v>
      </c>
      <c r="W292" s="9" t="str">
        <f>IF(Table1[[#This Row],[Satisfaction Rating]]&lt;2, "Low", IF(Table1[[#This Row],[Satisfaction Rating]]&lt;4, "Medium", "High"))</f>
        <v>High</v>
      </c>
    </row>
    <row r="293" spans="1:23" ht="14" x14ac:dyDescent="0.2">
      <c r="A293" s="10" t="s">
        <v>617</v>
      </c>
      <c r="B293" s="11">
        <v>44996.075289351851</v>
      </c>
      <c r="C293" s="11">
        <v>45114.635648148149</v>
      </c>
      <c r="D293" s="11" t="str">
        <f>IF(Table1[[#This Row],[Duration of Campaign]]=0, "Ongoing","Completed")</f>
        <v>Completed</v>
      </c>
      <c r="E293" s="12">
        <f>Table1[[#This Row],[End Date]]-Table1[[#This Row],[Start Date]]</f>
        <v>118.56035879629781</v>
      </c>
      <c r="F293" s="13">
        <v>5599</v>
      </c>
      <c r="G293" s="14" t="s">
        <v>47</v>
      </c>
      <c r="H293" s="15">
        <v>12966</v>
      </c>
      <c r="I293" s="15">
        <v>723</v>
      </c>
      <c r="J293" s="15">
        <v>133</v>
      </c>
      <c r="K293" s="16">
        <v>6243</v>
      </c>
      <c r="L293" s="17">
        <f t="shared" si="20"/>
        <v>5.5761221656640443E-2</v>
      </c>
      <c r="M293" s="17">
        <f t="shared" si="20"/>
        <v>0.1839557399723375</v>
      </c>
      <c r="N293" s="18">
        <f t="shared" si="21"/>
        <v>19.744121715076073</v>
      </c>
      <c r="O293" s="18">
        <f t="shared" si="22"/>
        <v>107.33082706766918</v>
      </c>
      <c r="P293" s="17">
        <f t="shared" si="23"/>
        <v>2.5495624218610464</v>
      </c>
      <c r="Q293" s="17">
        <f t="shared" si="24"/>
        <v>0.43733800350262697</v>
      </c>
      <c r="R293" s="10" t="s">
        <v>618</v>
      </c>
      <c r="S293" s="14" t="s">
        <v>40</v>
      </c>
      <c r="T293" s="14" t="s">
        <v>27</v>
      </c>
      <c r="U293" s="13">
        <v>14275</v>
      </c>
      <c r="V293" s="15">
        <v>5</v>
      </c>
      <c r="W293" s="9" t="str">
        <f>IF(Table1[[#This Row],[Satisfaction Rating]]&lt;2, "Low", IF(Table1[[#This Row],[Satisfaction Rating]]&lt;4, "Medium", "High"))</f>
        <v>High</v>
      </c>
    </row>
    <row r="294" spans="1:23" ht="14" x14ac:dyDescent="0.2">
      <c r="A294" s="10" t="s">
        <v>619</v>
      </c>
      <c r="B294" s="11">
        <v>45541.548842592594</v>
      </c>
      <c r="C294" s="11">
        <v>45541.548842592594</v>
      </c>
      <c r="D294" s="11" t="str">
        <f>IF(Table1[[#This Row],[Duration of Campaign]]=0, "Ongoing","Completed")</f>
        <v>Ongoing</v>
      </c>
      <c r="E294" s="12">
        <f>Table1[[#This Row],[End Date]]-Table1[[#This Row],[Start Date]]</f>
        <v>0</v>
      </c>
      <c r="F294" s="13">
        <v>5494</v>
      </c>
      <c r="G294" s="14" t="s">
        <v>47</v>
      </c>
      <c r="H294" s="15">
        <v>15303</v>
      </c>
      <c r="I294" s="15">
        <v>803</v>
      </c>
      <c r="J294" s="15">
        <v>395</v>
      </c>
      <c r="K294" s="16">
        <v>4100</v>
      </c>
      <c r="L294" s="17">
        <f t="shared" si="20"/>
        <v>5.2473371234398485E-2</v>
      </c>
      <c r="M294" s="17">
        <f t="shared" si="20"/>
        <v>0.49190535491905357</v>
      </c>
      <c r="N294" s="18">
        <f t="shared" si="21"/>
        <v>2.8941469489414695</v>
      </c>
      <c r="O294" s="18">
        <f t="shared" si="22"/>
        <v>5.8835443037974686</v>
      </c>
      <c r="P294" s="17">
        <f t="shared" si="23"/>
        <v>0.42300691663633055</v>
      </c>
      <c r="Q294" s="17">
        <f t="shared" si="24"/>
        <v>1.7641996557659207</v>
      </c>
      <c r="R294" s="10" t="s">
        <v>620</v>
      </c>
      <c r="S294" s="14" t="s">
        <v>40</v>
      </c>
      <c r="T294" s="14" t="s">
        <v>37</v>
      </c>
      <c r="U294" s="13">
        <v>2324</v>
      </c>
      <c r="V294" s="15">
        <v>1</v>
      </c>
      <c r="W294" s="9" t="str">
        <f>IF(Table1[[#This Row],[Satisfaction Rating]]&lt;2, "Low", IF(Table1[[#This Row],[Satisfaction Rating]]&lt;4, "Medium", "High"))</f>
        <v>Low</v>
      </c>
    </row>
    <row r="295" spans="1:23" ht="14" x14ac:dyDescent="0.2">
      <c r="A295" s="10" t="s">
        <v>621</v>
      </c>
      <c r="B295" s="11">
        <v>45227.651759259257</v>
      </c>
      <c r="C295" s="11">
        <v>45227.651759259257</v>
      </c>
      <c r="D295" s="11" t="str">
        <f>IF(Table1[[#This Row],[Duration of Campaign]]=0, "Ongoing","Completed")</f>
        <v>Ongoing</v>
      </c>
      <c r="E295" s="12">
        <f>Table1[[#This Row],[End Date]]-Table1[[#This Row],[Start Date]]</f>
        <v>0</v>
      </c>
      <c r="F295" s="13">
        <v>8818</v>
      </c>
      <c r="G295" s="14" t="s">
        <v>47</v>
      </c>
      <c r="H295" s="15">
        <v>12480</v>
      </c>
      <c r="I295" s="15">
        <v>1591</v>
      </c>
      <c r="J295" s="15">
        <v>91</v>
      </c>
      <c r="K295" s="16">
        <v>12375</v>
      </c>
      <c r="L295" s="17">
        <f t="shared" si="20"/>
        <v>0.12748397435897435</v>
      </c>
      <c r="M295" s="17">
        <f t="shared" si="20"/>
        <v>5.7196731615336269E-2</v>
      </c>
      <c r="N295" s="18">
        <f t="shared" si="21"/>
        <v>1.9472030169704588</v>
      </c>
      <c r="O295" s="18">
        <f t="shared" si="22"/>
        <v>34.043956043956044</v>
      </c>
      <c r="P295" s="17">
        <f t="shared" si="23"/>
        <v>0.35132683148106147</v>
      </c>
      <c r="Q295" s="17">
        <f t="shared" si="24"/>
        <v>3.9945125887669466</v>
      </c>
      <c r="R295" s="10" t="s">
        <v>622</v>
      </c>
      <c r="S295" s="14" t="s">
        <v>40</v>
      </c>
      <c r="T295" s="14" t="s">
        <v>27</v>
      </c>
      <c r="U295" s="13">
        <v>3098</v>
      </c>
      <c r="V295" s="15">
        <v>5</v>
      </c>
      <c r="W295" s="9" t="str">
        <f>IF(Table1[[#This Row],[Satisfaction Rating]]&lt;2, "Low", IF(Table1[[#This Row],[Satisfaction Rating]]&lt;4, "Medium", "High"))</f>
        <v>High</v>
      </c>
    </row>
    <row r="296" spans="1:23" ht="14" x14ac:dyDescent="0.2">
      <c r="A296" s="10" t="s">
        <v>623</v>
      </c>
      <c r="B296" s="11">
        <v>45144.412951388891</v>
      </c>
      <c r="C296" s="11">
        <v>45472.160474537035</v>
      </c>
      <c r="D296" s="11" t="str">
        <f>IF(Table1[[#This Row],[Duration of Campaign]]=0, "Ongoing","Completed")</f>
        <v>Completed</v>
      </c>
      <c r="E296" s="12">
        <f>Table1[[#This Row],[End Date]]-Table1[[#This Row],[Start Date]]</f>
        <v>327.74752314814396</v>
      </c>
      <c r="F296" s="13">
        <v>1816</v>
      </c>
      <c r="G296" s="14" t="s">
        <v>29</v>
      </c>
      <c r="H296" s="15">
        <v>8847</v>
      </c>
      <c r="I296" s="15">
        <v>713</v>
      </c>
      <c r="J296" s="15">
        <v>280</v>
      </c>
      <c r="K296" s="16">
        <v>4912</v>
      </c>
      <c r="L296" s="17">
        <f t="shared" si="20"/>
        <v>8.059229117214875E-2</v>
      </c>
      <c r="M296" s="17">
        <f t="shared" si="20"/>
        <v>0.39270687237026647</v>
      </c>
      <c r="N296" s="18">
        <f t="shared" si="21"/>
        <v>13.945301542776999</v>
      </c>
      <c r="O296" s="18">
        <f t="shared" si="22"/>
        <v>35.510714285714286</v>
      </c>
      <c r="P296" s="17">
        <f t="shared" si="23"/>
        <v>5.4752202643171808</v>
      </c>
      <c r="Q296" s="17">
        <f t="shared" si="24"/>
        <v>0.49401589057628481</v>
      </c>
      <c r="R296" s="10" t="s">
        <v>624</v>
      </c>
      <c r="S296" s="14" t="s">
        <v>34</v>
      </c>
      <c r="T296" s="14" t="s">
        <v>55</v>
      </c>
      <c r="U296" s="13">
        <v>9943</v>
      </c>
      <c r="V296" s="15">
        <v>2</v>
      </c>
      <c r="W296" s="9" t="str">
        <f>IF(Table1[[#This Row],[Satisfaction Rating]]&lt;2, "Low", IF(Table1[[#This Row],[Satisfaction Rating]]&lt;4, "Medium", "High"))</f>
        <v>Medium</v>
      </c>
    </row>
    <row r="297" spans="1:23" ht="14" x14ac:dyDescent="0.2">
      <c r="A297" s="10" t="s">
        <v>625</v>
      </c>
      <c r="B297" s="11">
        <v>45143.997870370367</v>
      </c>
      <c r="C297" s="11">
        <v>45597.208344907405</v>
      </c>
      <c r="D297" s="11" t="str">
        <f>IF(Table1[[#This Row],[Duration of Campaign]]=0, "Ongoing","Completed")</f>
        <v>Completed</v>
      </c>
      <c r="E297" s="12">
        <f>Table1[[#This Row],[End Date]]-Table1[[#This Row],[Start Date]]</f>
        <v>453.21047453703795</v>
      </c>
      <c r="F297" s="13">
        <v>7328</v>
      </c>
      <c r="G297" s="14" t="s">
        <v>63</v>
      </c>
      <c r="H297" s="15">
        <v>7477</v>
      </c>
      <c r="I297" s="15">
        <v>904</v>
      </c>
      <c r="J297" s="15">
        <v>377</v>
      </c>
      <c r="K297" s="16">
        <v>11897</v>
      </c>
      <c r="L297" s="17">
        <f t="shared" si="20"/>
        <v>0.12090410592483616</v>
      </c>
      <c r="M297" s="17">
        <f t="shared" si="20"/>
        <v>0.41703539823008851</v>
      </c>
      <c r="N297" s="18">
        <f t="shared" si="21"/>
        <v>3.5995575221238938</v>
      </c>
      <c r="O297" s="18">
        <f t="shared" si="22"/>
        <v>8.6312997347480103</v>
      </c>
      <c r="P297" s="17">
        <f t="shared" si="23"/>
        <v>0.44405021834061137</v>
      </c>
      <c r="Q297" s="17">
        <f t="shared" si="24"/>
        <v>3.6561155500921942</v>
      </c>
      <c r="R297" s="10" t="s">
        <v>626</v>
      </c>
      <c r="S297" s="14" t="s">
        <v>34</v>
      </c>
      <c r="T297" s="14" t="s">
        <v>55</v>
      </c>
      <c r="U297" s="13">
        <v>3254</v>
      </c>
      <c r="V297" s="15">
        <v>4</v>
      </c>
      <c r="W297" s="9" t="str">
        <f>IF(Table1[[#This Row],[Satisfaction Rating]]&lt;2, "Low", IF(Table1[[#This Row],[Satisfaction Rating]]&lt;4, "Medium", "High"))</f>
        <v>High</v>
      </c>
    </row>
    <row r="298" spans="1:23" ht="14" x14ac:dyDescent="0.2">
      <c r="A298" s="10" t="s">
        <v>627</v>
      </c>
      <c r="B298" s="11">
        <v>45624.416863425926</v>
      </c>
      <c r="C298" s="11">
        <v>45624.416863425926</v>
      </c>
      <c r="D298" s="11" t="str">
        <f>IF(Table1[[#This Row],[Duration of Campaign]]=0, "Ongoing","Completed")</f>
        <v>Ongoing</v>
      </c>
      <c r="E298" s="12">
        <f>Table1[[#This Row],[End Date]]-Table1[[#This Row],[Start Date]]</f>
        <v>0</v>
      </c>
      <c r="F298" s="13">
        <v>1181</v>
      </c>
      <c r="G298" s="14" t="s">
        <v>47</v>
      </c>
      <c r="H298" s="15">
        <v>10766</v>
      </c>
      <c r="I298" s="15">
        <v>1693</v>
      </c>
      <c r="J298" s="15">
        <v>32</v>
      </c>
      <c r="K298" s="16">
        <v>7440</v>
      </c>
      <c r="L298" s="17">
        <f t="shared" si="20"/>
        <v>0.15725431915288873</v>
      </c>
      <c r="M298" s="17">
        <f t="shared" si="20"/>
        <v>1.8901358535144713E-2</v>
      </c>
      <c r="N298" s="18">
        <f t="shared" si="21"/>
        <v>8.2096869462492617</v>
      </c>
      <c r="O298" s="18">
        <f t="shared" si="22"/>
        <v>434.34375</v>
      </c>
      <c r="P298" s="17">
        <f t="shared" si="23"/>
        <v>11.768839966130399</v>
      </c>
      <c r="Q298" s="17">
        <f t="shared" si="24"/>
        <v>0.53529030865529892</v>
      </c>
      <c r="R298" s="10" t="s">
        <v>628</v>
      </c>
      <c r="S298" s="14" t="s">
        <v>45</v>
      </c>
      <c r="T298" s="14" t="s">
        <v>37</v>
      </c>
      <c r="U298" s="13">
        <v>13899</v>
      </c>
      <c r="V298" s="15">
        <v>4</v>
      </c>
      <c r="W298" s="9" t="str">
        <f>IF(Table1[[#This Row],[Satisfaction Rating]]&lt;2, "Low", IF(Table1[[#This Row],[Satisfaction Rating]]&lt;4, "Medium", "High"))</f>
        <v>High</v>
      </c>
    </row>
    <row r="299" spans="1:23" ht="14" x14ac:dyDescent="0.2">
      <c r="A299" s="10" t="s">
        <v>629</v>
      </c>
      <c r="B299" s="11">
        <v>45289.290810185186</v>
      </c>
      <c r="C299" s="11">
        <v>45542.914756944447</v>
      </c>
      <c r="D299" s="11" t="str">
        <f>IF(Table1[[#This Row],[Duration of Campaign]]=0, "Ongoing","Completed")</f>
        <v>Completed</v>
      </c>
      <c r="E299" s="12">
        <f>Table1[[#This Row],[End Date]]-Table1[[#This Row],[Start Date]]</f>
        <v>253.62394675926043</v>
      </c>
      <c r="F299" s="13">
        <v>4963</v>
      </c>
      <c r="G299" s="14" t="s">
        <v>24</v>
      </c>
      <c r="H299" s="15">
        <v>19549</v>
      </c>
      <c r="I299" s="15">
        <v>1798</v>
      </c>
      <c r="J299" s="15">
        <v>349</v>
      </c>
      <c r="K299" s="16">
        <v>11895</v>
      </c>
      <c r="L299" s="17">
        <f t="shared" si="20"/>
        <v>9.19740140160622E-2</v>
      </c>
      <c r="M299" s="17">
        <f t="shared" si="20"/>
        <v>0.19410456062291434</v>
      </c>
      <c r="N299" s="18">
        <f t="shared" si="21"/>
        <v>8.9527252502780872</v>
      </c>
      <c r="O299" s="18">
        <f t="shared" si="22"/>
        <v>46.123209169054441</v>
      </c>
      <c r="P299" s="17">
        <f t="shared" si="23"/>
        <v>3.2434011686479951</v>
      </c>
      <c r="Q299" s="17">
        <f t="shared" si="24"/>
        <v>0.73895756973349069</v>
      </c>
      <c r="R299" s="10" t="s">
        <v>630</v>
      </c>
      <c r="S299" s="14" t="s">
        <v>26</v>
      </c>
      <c r="T299" s="14" t="s">
        <v>37</v>
      </c>
      <c r="U299" s="13">
        <v>16097</v>
      </c>
      <c r="V299" s="15">
        <v>2</v>
      </c>
      <c r="W299" s="9" t="str">
        <f>IF(Table1[[#This Row],[Satisfaction Rating]]&lt;2, "Low", IF(Table1[[#This Row],[Satisfaction Rating]]&lt;4, "Medium", "High"))</f>
        <v>Medium</v>
      </c>
    </row>
    <row r="300" spans="1:23" ht="14" x14ac:dyDescent="0.2">
      <c r="A300" s="10" t="s">
        <v>631</v>
      </c>
      <c r="B300" s="11">
        <v>44974.541365740741</v>
      </c>
      <c r="C300" s="11">
        <v>45273.363136574073</v>
      </c>
      <c r="D300" s="11" t="str">
        <f>IF(Table1[[#This Row],[Duration of Campaign]]=0, "Ongoing","Completed")</f>
        <v>Completed</v>
      </c>
      <c r="E300" s="12">
        <f>Table1[[#This Row],[End Date]]-Table1[[#This Row],[Start Date]]</f>
        <v>298.82177083333227</v>
      </c>
      <c r="F300" s="13">
        <v>2857</v>
      </c>
      <c r="G300" s="14" t="s">
        <v>63</v>
      </c>
      <c r="H300" s="15">
        <v>2308</v>
      </c>
      <c r="I300" s="15">
        <v>1607</v>
      </c>
      <c r="J300" s="15">
        <v>327</v>
      </c>
      <c r="K300" s="16">
        <v>2367</v>
      </c>
      <c r="L300" s="17">
        <f t="shared" si="20"/>
        <v>0.69627383015597921</v>
      </c>
      <c r="M300" s="17">
        <f t="shared" si="20"/>
        <v>0.20348475420037337</v>
      </c>
      <c r="N300" s="18">
        <f t="shared" si="21"/>
        <v>3.6888612321095207</v>
      </c>
      <c r="O300" s="18">
        <f t="shared" si="22"/>
        <v>18.128440366972477</v>
      </c>
      <c r="P300" s="17">
        <f t="shared" si="23"/>
        <v>2.0749037451872594</v>
      </c>
      <c r="Q300" s="17">
        <f t="shared" si="24"/>
        <v>0.39929149797570851</v>
      </c>
      <c r="R300" s="10" t="s">
        <v>632</v>
      </c>
      <c r="S300" s="14" t="s">
        <v>34</v>
      </c>
      <c r="T300" s="14" t="s">
        <v>37</v>
      </c>
      <c r="U300" s="13">
        <v>5928</v>
      </c>
      <c r="V300" s="15">
        <v>4</v>
      </c>
      <c r="W300" s="9" t="str">
        <f>IF(Table1[[#This Row],[Satisfaction Rating]]&lt;2, "Low", IF(Table1[[#This Row],[Satisfaction Rating]]&lt;4, "Medium", "High"))</f>
        <v>High</v>
      </c>
    </row>
    <row r="301" spans="1:23" ht="14" x14ac:dyDescent="0.2">
      <c r="A301" s="10" t="s">
        <v>633</v>
      </c>
      <c r="B301" s="11">
        <v>45297.368923611109</v>
      </c>
      <c r="C301" s="11">
        <v>45573.154409722221</v>
      </c>
      <c r="D301" s="11" t="str">
        <f>IF(Table1[[#This Row],[Duration of Campaign]]=0, "Ongoing","Completed")</f>
        <v>Completed</v>
      </c>
      <c r="E301" s="12">
        <f>Table1[[#This Row],[End Date]]-Table1[[#This Row],[Start Date]]</f>
        <v>275.78548611111182</v>
      </c>
      <c r="F301" s="13">
        <v>8565</v>
      </c>
      <c r="G301" s="14" t="s">
        <v>24</v>
      </c>
      <c r="H301" s="15">
        <v>2453</v>
      </c>
      <c r="I301" s="15">
        <v>405</v>
      </c>
      <c r="J301" s="15">
        <v>147</v>
      </c>
      <c r="K301" s="16">
        <v>9509</v>
      </c>
      <c r="L301" s="17">
        <f t="shared" si="20"/>
        <v>0.16510395434162251</v>
      </c>
      <c r="M301" s="17">
        <f t="shared" si="20"/>
        <v>0.36296296296296299</v>
      </c>
      <c r="N301" s="18">
        <f t="shared" si="21"/>
        <v>34.056790123456793</v>
      </c>
      <c r="O301" s="18">
        <f t="shared" si="22"/>
        <v>93.829931972789112</v>
      </c>
      <c r="P301" s="17">
        <f t="shared" si="23"/>
        <v>1.6103911266783422</v>
      </c>
      <c r="Q301" s="17">
        <f t="shared" si="24"/>
        <v>0.68940767055752916</v>
      </c>
      <c r="R301" s="10" t="s">
        <v>634</v>
      </c>
      <c r="S301" s="14" t="s">
        <v>45</v>
      </c>
      <c r="T301" s="14" t="s">
        <v>27</v>
      </c>
      <c r="U301" s="13">
        <v>13793</v>
      </c>
      <c r="V301" s="15">
        <v>4</v>
      </c>
      <c r="W301" s="9" t="str">
        <f>IF(Table1[[#This Row],[Satisfaction Rating]]&lt;2, "Low", IF(Table1[[#This Row],[Satisfaction Rating]]&lt;4, "Medium", "High"))</f>
        <v>High</v>
      </c>
    </row>
    <row r="302" spans="1:23" ht="14" x14ac:dyDescent="0.2">
      <c r="A302" s="10" t="s">
        <v>635</v>
      </c>
      <c r="B302" s="11">
        <v>45294.246192129627</v>
      </c>
      <c r="C302" s="11">
        <v>45294.246192129627</v>
      </c>
      <c r="D302" s="11" t="str">
        <f>IF(Table1[[#This Row],[Duration of Campaign]]=0, "Ongoing","Completed")</f>
        <v>Ongoing</v>
      </c>
      <c r="E302" s="12">
        <f>Table1[[#This Row],[End Date]]-Table1[[#This Row],[Start Date]]</f>
        <v>0</v>
      </c>
      <c r="F302" s="13">
        <v>2289</v>
      </c>
      <c r="G302" s="14" t="s">
        <v>47</v>
      </c>
      <c r="H302" s="15">
        <v>19797</v>
      </c>
      <c r="I302" s="15">
        <v>927</v>
      </c>
      <c r="J302" s="15">
        <v>135</v>
      </c>
      <c r="K302" s="16">
        <v>8254</v>
      </c>
      <c r="L302" s="17">
        <f t="shared" si="20"/>
        <v>4.6825276557054096E-2</v>
      </c>
      <c r="M302" s="17">
        <f t="shared" si="20"/>
        <v>0.14563106796116504</v>
      </c>
      <c r="N302" s="18">
        <f t="shared" si="21"/>
        <v>10.650485436893204</v>
      </c>
      <c r="O302" s="18">
        <f t="shared" si="22"/>
        <v>73.13333333333334</v>
      </c>
      <c r="P302" s="17">
        <f t="shared" si="23"/>
        <v>4.3132372214941022</v>
      </c>
      <c r="Q302" s="17">
        <f t="shared" si="24"/>
        <v>0.83601742124987344</v>
      </c>
      <c r="R302" s="10" t="s">
        <v>636</v>
      </c>
      <c r="S302" s="14" t="s">
        <v>26</v>
      </c>
      <c r="T302" s="14" t="s">
        <v>27</v>
      </c>
      <c r="U302" s="13">
        <v>9873</v>
      </c>
      <c r="V302" s="15">
        <v>2</v>
      </c>
      <c r="W302" s="9" t="str">
        <f>IF(Table1[[#This Row],[Satisfaction Rating]]&lt;2, "Low", IF(Table1[[#This Row],[Satisfaction Rating]]&lt;4, "Medium", "High"))</f>
        <v>Medium</v>
      </c>
    </row>
    <row r="303" spans="1:23" ht="14" x14ac:dyDescent="0.2">
      <c r="A303" s="10" t="s">
        <v>637</v>
      </c>
      <c r="B303" s="11">
        <v>45205.768622685187</v>
      </c>
      <c r="C303" s="11">
        <v>45205.768622685187</v>
      </c>
      <c r="D303" s="11" t="str">
        <f>IF(Table1[[#This Row],[Duration of Campaign]]=0, "Ongoing","Completed")</f>
        <v>Ongoing</v>
      </c>
      <c r="E303" s="12">
        <f>Table1[[#This Row],[End Date]]-Table1[[#This Row],[Start Date]]</f>
        <v>0</v>
      </c>
      <c r="F303" s="13">
        <v>5617</v>
      </c>
      <c r="G303" s="14" t="s">
        <v>29</v>
      </c>
      <c r="H303" s="15">
        <v>15410</v>
      </c>
      <c r="I303" s="15">
        <v>228</v>
      </c>
      <c r="J303" s="15">
        <v>190</v>
      </c>
      <c r="K303" s="16">
        <v>3875</v>
      </c>
      <c r="L303" s="17">
        <f t="shared" si="20"/>
        <v>1.4795587280986372E-2</v>
      </c>
      <c r="M303" s="17">
        <f t="shared" si="20"/>
        <v>0.83333333333333337</v>
      </c>
      <c r="N303" s="18">
        <f t="shared" si="21"/>
        <v>63.377192982456137</v>
      </c>
      <c r="O303" s="18">
        <f t="shared" si="22"/>
        <v>76.05263157894737</v>
      </c>
      <c r="P303" s="17">
        <f t="shared" si="23"/>
        <v>2.5725476232864519</v>
      </c>
      <c r="Q303" s="17">
        <f t="shared" si="24"/>
        <v>0.26816608996539792</v>
      </c>
      <c r="R303" s="10" t="s">
        <v>638</v>
      </c>
      <c r="S303" s="14" t="s">
        <v>34</v>
      </c>
      <c r="T303" s="14" t="s">
        <v>55</v>
      </c>
      <c r="U303" s="13">
        <v>14450</v>
      </c>
      <c r="V303" s="15">
        <v>4</v>
      </c>
      <c r="W303" s="9" t="str">
        <f>IF(Table1[[#This Row],[Satisfaction Rating]]&lt;2, "Low", IF(Table1[[#This Row],[Satisfaction Rating]]&lt;4, "Medium", "High"))</f>
        <v>High</v>
      </c>
    </row>
    <row r="304" spans="1:23" ht="14" x14ac:dyDescent="0.2">
      <c r="A304" s="10" t="s">
        <v>639</v>
      </c>
      <c r="B304" s="11">
        <v>45359.717569444445</v>
      </c>
      <c r="C304" s="11">
        <v>45469.157986111109</v>
      </c>
      <c r="D304" s="11" t="str">
        <f>IF(Table1[[#This Row],[Duration of Campaign]]=0, "Ongoing","Completed")</f>
        <v>Completed</v>
      </c>
      <c r="E304" s="12">
        <f>Table1[[#This Row],[End Date]]-Table1[[#This Row],[Start Date]]</f>
        <v>109.44041666666453</v>
      </c>
      <c r="F304" s="13">
        <v>2742</v>
      </c>
      <c r="G304" s="14" t="s">
        <v>63</v>
      </c>
      <c r="H304" s="15">
        <v>10930</v>
      </c>
      <c r="I304" s="15">
        <v>838</v>
      </c>
      <c r="J304" s="15">
        <v>127</v>
      </c>
      <c r="K304" s="16">
        <v>13825</v>
      </c>
      <c r="L304" s="17">
        <f t="shared" si="20"/>
        <v>7.6669716376944197E-2</v>
      </c>
      <c r="M304" s="17">
        <f t="shared" si="20"/>
        <v>0.15155131264916469</v>
      </c>
      <c r="N304" s="18">
        <f t="shared" si="21"/>
        <v>22.813842482100238</v>
      </c>
      <c r="O304" s="18">
        <f t="shared" si="22"/>
        <v>150.53543307086613</v>
      </c>
      <c r="P304" s="17">
        <f t="shared" si="23"/>
        <v>6.972283005105762</v>
      </c>
      <c r="Q304" s="17">
        <f t="shared" si="24"/>
        <v>0.72314049586776863</v>
      </c>
      <c r="R304" s="10" t="s">
        <v>640</v>
      </c>
      <c r="S304" s="14" t="s">
        <v>40</v>
      </c>
      <c r="T304" s="14" t="s">
        <v>37</v>
      </c>
      <c r="U304" s="13">
        <v>19118</v>
      </c>
      <c r="V304" s="15">
        <v>5</v>
      </c>
      <c r="W304" s="9" t="str">
        <f>IF(Table1[[#This Row],[Satisfaction Rating]]&lt;2, "Low", IF(Table1[[#This Row],[Satisfaction Rating]]&lt;4, "Medium", "High"))</f>
        <v>High</v>
      </c>
    </row>
    <row r="305" spans="1:23" ht="14" x14ac:dyDescent="0.2">
      <c r="A305" s="10" t="s">
        <v>641</v>
      </c>
      <c r="B305" s="11">
        <v>45196.973321759258</v>
      </c>
      <c r="C305" s="11">
        <v>45503.239560185182</v>
      </c>
      <c r="D305" s="11" t="str">
        <f>IF(Table1[[#This Row],[Duration of Campaign]]=0, "Ongoing","Completed")</f>
        <v>Completed</v>
      </c>
      <c r="E305" s="12">
        <f>Table1[[#This Row],[End Date]]-Table1[[#This Row],[Start Date]]</f>
        <v>306.2662384259238</v>
      </c>
      <c r="F305" s="13">
        <v>8882</v>
      </c>
      <c r="G305" s="14" t="s">
        <v>24</v>
      </c>
      <c r="H305" s="15">
        <v>8195</v>
      </c>
      <c r="I305" s="15">
        <v>1101</v>
      </c>
      <c r="J305" s="15">
        <v>408</v>
      </c>
      <c r="K305" s="16">
        <v>745</v>
      </c>
      <c r="L305" s="17">
        <f t="shared" si="20"/>
        <v>0.13435021354484442</v>
      </c>
      <c r="M305" s="17">
        <f t="shared" si="20"/>
        <v>0.37057220708446864</v>
      </c>
      <c r="N305" s="18">
        <f t="shared" si="21"/>
        <v>2.4450499545867395</v>
      </c>
      <c r="O305" s="18">
        <f t="shared" si="22"/>
        <v>6.5980392156862742</v>
      </c>
      <c r="P305" s="17">
        <f t="shared" si="23"/>
        <v>0.30308489079036255</v>
      </c>
      <c r="Q305" s="17">
        <f t="shared" si="24"/>
        <v>0.27674591381872216</v>
      </c>
      <c r="R305" s="10" t="s">
        <v>642</v>
      </c>
      <c r="S305" s="14" t="s">
        <v>40</v>
      </c>
      <c r="T305" s="14" t="s">
        <v>27</v>
      </c>
      <c r="U305" s="13">
        <v>2692</v>
      </c>
      <c r="V305" s="15">
        <v>5</v>
      </c>
      <c r="W305" s="9" t="str">
        <f>IF(Table1[[#This Row],[Satisfaction Rating]]&lt;2, "Low", IF(Table1[[#This Row],[Satisfaction Rating]]&lt;4, "Medium", "High"))</f>
        <v>High</v>
      </c>
    </row>
    <row r="306" spans="1:23" ht="14" x14ac:dyDescent="0.2">
      <c r="A306" s="10" t="s">
        <v>643</v>
      </c>
      <c r="B306" s="11">
        <v>45044.444305555553</v>
      </c>
      <c r="C306" s="11">
        <v>45090.750439814816</v>
      </c>
      <c r="D306" s="11" t="str">
        <f>IF(Table1[[#This Row],[Duration of Campaign]]=0, "Ongoing","Completed")</f>
        <v>Completed</v>
      </c>
      <c r="E306" s="12">
        <f>Table1[[#This Row],[End Date]]-Table1[[#This Row],[Start Date]]</f>
        <v>46.306134259262762</v>
      </c>
      <c r="F306" s="13">
        <v>7730</v>
      </c>
      <c r="G306" s="14" t="s">
        <v>47</v>
      </c>
      <c r="H306" s="15">
        <v>2235</v>
      </c>
      <c r="I306" s="15">
        <v>1454</v>
      </c>
      <c r="J306" s="15">
        <v>467</v>
      </c>
      <c r="K306" s="16">
        <v>4709</v>
      </c>
      <c r="L306" s="17">
        <f t="shared" si="20"/>
        <v>0.65055928411633113</v>
      </c>
      <c r="M306" s="17">
        <f t="shared" si="20"/>
        <v>0.32118294360385147</v>
      </c>
      <c r="N306" s="18">
        <f t="shared" si="21"/>
        <v>2.7895460797799174</v>
      </c>
      <c r="O306" s="18">
        <f t="shared" si="22"/>
        <v>8.6852248394004281</v>
      </c>
      <c r="P306" s="17">
        <f t="shared" si="23"/>
        <v>0.52470892626131949</v>
      </c>
      <c r="Q306" s="17">
        <f t="shared" si="24"/>
        <v>1.1609960552268244</v>
      </c>
      <c r="R306" s="10" t="s">
        <v>644</v>
      </c>
      <c r="S306" s="14" t="s">
        <v>45</v>
      </c>
      <c r="T306" s="14" t="s">
        <v>55</v>
      </c>
      <c r="U306" s="13">
        <v>4056</v>
      </c>
      <c r="V306" s="15">
        <v>1</v>
      </c>
      <c r="W306" s="9" t="str">
        <f>IF(Table1[[#This Row],[Satisfaction Rating]]&lt;2, "Low", IF(Table1[[#This Row],[Satisfaction Rating]]&lt;4, "Medium", "High"))</f>
        <v>Low</v>
      </c>
    </row>
    <row r="307" spans="1:23" ht="14" x14ac:dyDescent="0.2">
      <c r="A307" s="10" t="s">
        <v>645</v>
      </c>
      <c r="B307" s="11">
        <v>45469.793564814812</v>
      </c>
      <c r="C307" s="11">
        <v>45469.793564814812</v>
      </c>
      <c r="D307" s="11" t="str">
        <f>IF(Table1[[#This Row],[Duration of Campaign]]=0, "Ongoing","Completed")</f>
        <v>Ongoing</v>
      </c>
      <c r="E307" s="12">
        <f>Table1[[#This Row],[End Date]]-Table1[[#This Row],[Start Date]]</f>
        <v>0</v>
      </c>
      <c r="F307" s="13">
        <v>2812</v>
      </c>
      <c r="G307" s="14" t="s">
        <v>29</v>
      </c>
      <c r="H307" s="15">
        <v>3589</v>
      </c>
      <c r="I307" s="15">
        <v>923</v>
      </c>
      <c r="J307" s="15">
        <v>369</v>
      </c>
      <c r="K307" s="16">
        <v>8358</v>
      </c>
      <c r="L307" s="17">
        <f t="shared" si="20"/>
        <v>0.25717470047366953</v>
      </c>
      <c r="M307" s="17">
        <f t="shared" si="20"/>
        <v>0.39978331527627303</v>
      </c>
      <c r="N307" s="18">
        <f t="shared" si="21"/>
        <v>14.257854821235103</v>
      </c>
      <c r="O307" s="18">
        <f t="shared" si="22"/>
        <v>35.663956639566393</v>
      </c>
      <c r="P307" s="17">
        <f t="shared" si="23"/>
        <v>4.6799431009957324</v>
      </c>
      <c r="Q307" s="17">
        <f t="shared" si="24"/>
        <v>0.63510638297872335</v>
      </c>
      <c r="R307" s="10" t="s">
        <v>646</v>
      </c>
      <c r="S307" s="14" t="s">
        <v>34</v>
      </c>
      <c r="T307" s="14" t="s">
        <v>27</v>
      </c>
      <c r="U307" s="13">
        <v>13160</v>
      </c>
      <c r="V307" s="15">
        <v>2</v>
      </c>
      <c r="W307" s="9" t="str">
        <f>IF(Table1[[#This Row],[Satisfaction Rating]]&lt;2, "Low", IF(Table1[[#This Row],[Satisfaction Rating]]&lt;4, "Medium", "High"))</f>
        <v>Medium</v>
      </c>
    </row>
    <row r="308" spans="1:23" ht="14" x14ac:dyDescent="0.2">
      <c r="A308" s="10" t="s">
        <v>647</v>
      </c>
      <c r="B308" s="11">
        <v>45616.93540509259</v>
      </c>
      <c r="C308" s="11">
        <v>45616.93540509259</v>
      </c>
      <c r="D308" s="11" t="str">
        <f>IF(Table1[[#This Row],[Duration of Campaign]]=0, "Ongoing","Completed")</f>
        <v>Ongoing</v>
      </c>
      <c r="E308" s="12">
        <f>Table1[[#This Row],[End Date]]-Table1[[#This Row],[Start Date]]</f>
        <v>0</v>
      </c>
      <c r="F308" s="13">
        <v>7614</v>
      </c>
      <c r="G308" s="14" t="s">
        <v>29</v>
      </c>
      <c r="H308" s="15">
        <v>13631</v>
      </c>
      <c r="I308" s="15">
        <v>1239</v>
      </c>
      <c r="J308" s="15">
        <v>305</v>
      </c>
      <c r="K308" s="16">
        <v>13729</v>
      </c>
      <c r="L308" s="17">
        <f t="shared" si="20"/>
        <v>9.0895752329249499E-2</v>
      </c>
      <c r="M308" s="17">
        <f t="shared" si="20"/>
        <v>0.24616626311541565</v>
      </c>
      <c r="N308" s="18">
        <f t="shared" si="21"/>
        <v>10.118644067796611</v>
      </c>
      <c r="O308" s="18">
        <f t="shared" si="22"/>
        <v>41.104918032786884</v>
      </c>
      <c r="P308" s="17">
        <f t="shared" si="23"/>
        <v>1.6465721040189125</v>
      </c>
      <c r="Q308" s="17">
        <f t="shared" si="24"/>
        <v>1.0950785674403765</v>
      </c>
      <c r="R308" s="10" t="s">
        <v>648</v>
      </c>
      <c r="S308" s="14" t="s">
        <v>31</v>
      </c>
      <c r="T308" s="14" t="s">
        <v>55</v>
      </c>
      <c r="U308" s="13">
        <v>12537</v>
      </c>
      <c r="V308" s="15">
        <v>2</v>
      </c>
      <c r="W308" s="9" t="str">
        <f>IF(Table1[[#This Row],[Satisfaction Rating]]&lt;2, "Low", IF(Table1[[#This Row],[Satisfaction Rating]]&lt;4, "Medium", "High"))</f>
        <v>Medium</v>
      </c>
    </row>
    <row r="309" spans="1:23" ht="14" x14ac:dyDescent="0.2">
      <c r="A309" s="10" t="s">
        <v>649</v>
      </c>
      <c r="B309" s="11">
        <v>45159.612453703703</v>
      </c>
      <c r="C309" s="11">
        <v>45159.612453703703</v>
      </c>
      <c r="D309" s="11" t="str">
        <f>IF(Table1[[#This Row],[Duration of Campaign]]=0, "Ongoing","Completed")</f>
        <v>Ongoing</v>
      </c>
      <c r="E309" s="12">
        <f>Table1[[#This Row],[End Date]]-Table1[[#This Row],[Start Date]]</f>
        <v>0</v>
      </c>
      <c r="F309" s="13">
        <v>7620</v>
      </c>
      <c r="G309" s="14" t="s">
        <v>24</v>
      </c>
      <c r="H309" s="15">
        <v>11483</v>
      </c>
      <c r="I309" s="15">
        <v>1166</v>
      </c>
      <c r="J309" s="15">
        <v>405</v>
      </c>
      <c r="K309" s="16">
        <v>6479</v>
      </c>
      <c r="L309" s="17">
        <f t="shared" si="20"/>
        <v>0.10154140903944962</v>
      </c>
      <c r="M309" s="17">
        <f t="shared" si="20"/>
        <v>0.34734133790737565</v>
      </c>
      <c r="N309" s="18">
        <f t="shared" si="21"/>
        <v>15.839622641509434</v>
      </c>
      <c r="O309" s="18">
        <f t="shared" si="22"/>
        <v>45.602469135802473</v>
      </c>
      <c r="P309" s="17">
        <f t="shared" si="23"/>
        <v>2.4237532808398949</v>
      </c>
      <c r="Q309" s="17">
        <f t="shared" si="24"/>
        <v>0.35080405002977966</v>
      </c>
      <c r="R309" s="10" t="s">
        <v>650</v>
      </c>
      <c r="S309" s="14" t="s">
        <v>26</v>
      </c>
      <c r="T309" s="14" t="s">
        <v>37</v>
      </c>
      <c r="U309" s="13">
        <v>18469</v>
      </c>
      <c r="V309" s="15">
        <v>2</v>
      </c>
      <c r="W309" s="9" t="str">
        <f>IF(Table1[[#This Row],[Satisfaction Rating]]&lt;2, "Low", IF(Table1[[#This Row],[Satisfaction Rating]]&lt;4, "Medium", "High"))</f>
        <v>Medium</v>
      </c>
    </row>
    <row r="310" spans="1:23" ht="14" x14ac:dyDescent="0.2">
      <c r="A310" s="10" t="s">
        <v>651</v>
      </c>
      <c r="B310" s="11">
        <v>45332.289976851855</v>
      </c>
      <c r="C310" s="11">
        <v>45332.289976851855</v>
      </c>
      <c r="D310" s="11" t="str">
        <f>IF(Table1[[#This Row],[Duration of Campaign]]=0, "Ongoing","Completed")</f>
        <v>Ongoing</v>
      </c>
      <c r="E310" s="12">
        <f>Table1[[#This Row],[End Date]]-Table1[[#This Row],[Start Date]]</f>
        <v>0</v>
      </c>
      <c r="F310" s="13">
        <v>4463</v>
      </c>
      <c r="G310" s="14" t="s">
        <v>47</v>
      </c>
      <c r="H310" s="15">
        <v>17778</v>
      </c>
      <c r="I310" s="15">
        <v>1014</v>
      </c>
      <c r="J310" s="15">
        <v>315</v>
      </c>
      <c r="K310" s="16">
        <v>11419</v>
      </c>
      <c r="L310" s="17">
        <f t="shared" si="20"/>
        <v>5.7036787040161997E-2</v>
      </c>
      <c r="M310" s="17">
        <f t="shared" si="20"/>
        <v>0.31065088757396447</v>
      </c>
      <c r="N310" s="18">
        <f t="shared" si="21"/>
        <v>9.0147928994082847</v>
      </c>
      <c r="O310" s="18">
        <f t="shared" si="22"/>
        <v>29.019047619047619</v>
      </c>
      <c r="P310" s="17">
        <f t="shared" si="23"/>
        <v>2.0481738740757338</v>
      </c>
      <c r="Q310" s="17">
        <f t="shared" si="24"/>
        <v>1.2492068701454984</v>
      </c>
      <c r="R310" s="10" t="s">
        <v>652</v>
      </c>
      <c r="S310" s="14" t="s">
        <v>31</v>
      </c>
      <c r="T310" s="14" t="s">
        <v>27</v>
      </c>
      <c r="U310" s="13">
        <v>9141</v>
      </c>
      <c r="V310" s="15">
        <v>3</v>
      </c>
      <c r="W310" s="9" t="str">
        <f>IF(Table1[[#This Row],[Satisfaction Rating]]&lt;2, "Low", IF(Table1[[#This Row],[Satisfaction Rating]]&lt;4, "Medium", "High"))</f>
        <v>Medium</v>
      </c>
    </row>
    <row r="311" spans="1:23" ht="14" x14ac:dyDescent="0.2">
      <c r="A311" s="10" t="s">
        <v>653</v>
      </c>
      <c r="B311" s="11">
        <v>45225.443738425929</v>
      </c>
      <c r="C311" s="11">
        <v>45225.443738425929</v>
      </c>
      <c r="D311" s="11" t="str">
        <f>IF(Table1[[#This Row],[Duration of Campaign]]=0, "Ongoing","Completed")</f>
        <v>Ongoing</v>
      </c>
      <c r="E311" s="12">
        <f>Table1[[#This Row],[End Date]]-Table1[[#This Row],[Start Date]]</f>
        <v>0</v>
      </c>
      <c r="F311" s="13">
        <v>3570</v>
      </c>
      <c r="G311" s="14" t="s">
        <v>24</v>
      </c>
      <c r="H311" s="15">
        <v>12068</v>
      </c>
      <c r="I311" s="15">
        <v>1597</v>
      </c>
      <c r="J311" s="15">
        <v>496</v>
      </c>
      <c r="K311" s="16">
        <v>5571</v>
      </c>
      <c r="L311" s="17">
        <f t="shared" si="20"/>
        <v>0.13233344381836262</v>
      </c>
      <c r="M311" s="17">
        <f t="shared" si="20"/>
        <v>0.31058234189104572</v>
      </c>
      <c r="N311" s="18">
        <f t="shared" si="21"/>
        <v>5.3537883531621793</v>
      </c>
      <c r="O311" s="18">
        <f t="shared" si="22"/>
        <v>17.237903225806452</v>
      </c>
      <c r="P311" s="17">
        <f t="shared" si="23"/>
        <v>2.3949579831932772</v>
      </c>
      <c r="Q311" s="17">
        <f t="shared" si="24"/>
        <v>0.65157894736842104</v>
      </c>
      <c r="R311" s="10" t="s">
        <v>654</v>
      </c>
      <c r="S311" s="14" t="s">
        <v>45</v>
      </c>
      <c r="T311" s="14" t="s">
        <v>27</v>
      </c>
      <c r="U311" s="13">
        <v>8550</v>
      </c>
      <c r="V311" s="15">
        <v>3</v>
      </c>
      <c r="W311" s="9" t="str">
        <f>IF(Table1[[#This Row],[Satisfaction Rating]]&lt;2, "Low", IF(Table1[[#This Row],[Satisfaction Rating]]&lt;4, "Medium", "High"))</f>
        <v>Medium</v>
      </c>
    </row>
    <row r="312" spans="1:23" ht="14" x14ac:dyDescent="0.2">
      <c r="A312" s="10" t="s">
        <v>655</v>
      </c>
      <c r="B312" s="11">
        <v>44945.418865740743</v>
      </c>
      <c r="C312" s="11">
        <v>45044.368020833332</v>
      </c>
      <c r="D312" s="11" t="str">
        <f>IF(Table1[[#This Row],[Duration of Campaign]]=0, "Ongoing","Completed")</f>
        <v>Completed</v>
      </c>
      <c r="E312" s="12">
        <f>Table1[[#This Row],[End Date]]-Table1[[#This Row],[Start Date]]</f>
        <v>98.949155092588626</v>
      </c>
      <c r="F312" s="13">
        <v>5673</v>
      </c>
      <c r="G312" s="14" t="s">
        <v>47</v>
      </c>
      <c r="H312" s="15">
        <v>15956</v>
      </c>
      <c r="I312" s="15">
        <v>315</v>
      </c>
      <c r="J312" s="15">
        <v>494</v>
      </c>
      <c r="K312" s="16">
        <v>1359</v>
      </c>
      <c r="L312" s="17">
        <f t="shared" si="20"/>
        <v>1.9741789922286288E-2</v>
      </c>
      <c r="M312" s="17">
        <f t="shared" si="20"/>
        <v>1.5682539682539682</v>
      </c>
      <c r="N312" s="18">
        <f t="shared" si="21"/>
        <v>27.746031746031747</v>
      </c>
      <c r="O312" s="18">
        <f t="shared" si="22"/>
        <v>17.692307692307693</v>
      </c>
      <c r="P312" s="17">
        <f t="shared" si="23"/>
        <v>1.5406310594041952</v>
      </c>
      <c r="Q312" s="17">
        <f t="shared" si="24"/>
        <v>0.15549199084668192</v>
      </c>
      <c r="R312" s="10" t="s">
        <v>656</v>
      </c>
      <c r="S312" s="14" t="s">
        <v>34</v>
      </c>
      <c r="T312" s="14" t="s">
        <v>37</v>
      </c>
      <c r="U312" s="13">
        <v>8740</v>
      </c>
      <c r="V312" s="15">
        <v>4</v>
      </c>
      <c r="W312" s="9" t="str">
        <f>IF(Table1[[#This Row],[Satisfaction Rating]]&lt;2, "Low", IF(Table1[[#This Row],[Satisfaction Rating]]&lt;4, "Medium", "High"))</f>
        <v>High</v>
      </c>
    </row>
    <row r="313" spans="1:23" ht="14" x14ac:dyDescent="0.2">
      <c r="A313" s="10" t="s">
        <v>657</v>
      </c>
      <c r="B313" s="11">
        <v>45215.062094907407</v>
      </c>
      <c r="C313" s="11">
        <v>45215.062094907407</v>
      </c>
      <c r="D313" s="11" t="str">
        <f>IF(Table1[[#This Row],[Duration of Campaign]]=0, "Ongoing","Completed")</f>
        <v>Ongoing</v>
      </c>
      <c r="E313" s="12">
        <f>Table1[[#This Row],[End Date]]-Table1[[#This Row],[Start Date]]</f>
        <v>0</v>
      </c>
      <c r="F313" s="13">
        <v>7917</v>
      </c>
      <c r="G313" s="14" t="s">
        <v>63</v>
      </c>
      <c r="H313" s="15">
        <v>14699</v>
      </c>
      <c r="I313" s="15">
        <v>1339</v>
      </c>
      <c r="J313" s="15">
        <v>358</v>
      </c>
      <c r="K313" s="16">
        <v>3396</v>
      </c>
      <c r="L313" s="17">
        <f t="shared" si="20"/>
        <v>9.1094632287910746E-2</v>
      </c>
      <c r="M313" s="17">
        <f t="shared" si="20"/>
        <v>0.26736370425690814</v>
      </c>
      <c r="N313" s="18">
        <f t="shared" si="21"/>
        <v>13.888722927557879</v>
      </c>
      <c r="O313" s="18">
        <f t="shared" si="22"/>
        <v>51.946927374301673</v>
      </c>
      <c r="P313" s="17">
        <f t="shared" si="23"/>
        <v>2.3489958317544524</v>
      </c>
      <c r="Q313" s="17">
        <f t="shared" si="24"/>
        <v>0.18261009840296821</v>
      </c>
      <c r="R313" s="10" t="s">
        <v>658</v>
      </c>
      <c r="S313" s="14" t="s">
        <v>40</v>
      </c>
      <c r="T313" s="14" t="s">
        <v>55</v>
      </c>
      <c r="U313" s="13">
        <v>18597</v>
      </c>
      <c r="V313" s="15">
        <v>1</v>
      </c>
      <c r="W313" s="9" t="str">
        <f>IF(Table1[[#This Row],[Satisfaction Rating]]&lt;2, "Low", IF(Table1[[#This Row],[Satisfaction Rating]]&lt;4, "Medium", "High"))</f>
        <v>Low</v>
      </c>
    </row>
    <row r="314" spans="1:23" ht="14" x14ac:dyDescent="0.2">
      <c r="A314" s="10" t="s">
        <v>659</v>
      </c>
      <c r="B314" s="11">
        <v>45044.072708333333</v>
      </c>
      <c r="C314" s="11">
        <v>45371.760648148149</v>
      </c>
      <c r="D314" s="11" t="str">
        <f>IF(Table1[[#This Row],[Duration of Campaign]]=0, "Ongoing","Completed")</f>
        <v>Completed</v>
      </c>
      <c r="E314" s="12">
        <f>Table1[[#This Row],[End Date]]-Table1[[#This Row],[Start Date]]</f>
        <v>327.68793981481576</v>
      </c>
      <c r="F314" s="13">
        <v>1774</v>
      </c>
      <c r="G314" s="14" t="s">
        <v>47</v>
      </c>
      <c r="H314" s="15">
        <v>15981</v>
      </c>
      <c r="I314" s="15">
        <v>1367</v>
      </c>
      <c r="J314" s="15">
        <v>347</v>
      </c>
      <c r="K314" s="16">
        <v>9906</v>
      </c>
      <c r="L314" s="17">
        <f t="shared" si="20"/>
        <v>8.5539077654714968E-2</v>
      </c>
      <c r="M314" s="17">
        <f t="shared" si="20"/>
        <v>0.2538405267008047</v>
      </c>
      <c r="N314" s="18">
        <f t="shared" si="21"/>
        <v>0.71104608632040966</v>
      </c>
      <c r="O314" s="18">
        <f t="shared" si="22"/>
        <v>2.8011527377521612</v>
      </c>
      <c r="P314" s="17">
        <f t="shared" si="23"/>
        <v>0.54791431792559186</v>
      </c>
      <c r="Q314" s="17">
        <f t="shared" si="24"/>
        <v>10.191358024691358</v>
      </c>
      <c r="R314" s="10" t="s">
        <v>660</v>
      </c>
      <c r="S314" s="14" t="s">
        <v>26</v>
      </c>
      <c r="T314" s="14" t="s">
        <v>27</v>
      </c>
      <c r="U314" s="13">
        <v>972</v>
      </c>
      <c r="V314" s="15">
        <v>3</v>
      </c>
      <c r="W314" s="9" t="str">
        <f>IF(Table1[[#This Row],[Satisfaction Rating]]&lt;2, "Low", IF(Table1[[#This Row],[Satisfaction Rating]]&lt;4, "Medium", "High"))</f>
        <v>Medium</v>
      </c>
    </row>
    <row r="315" spans="1:23" ht="14" x14ac:dyDescent="0.2">
      <c r="A315" s="10" t="s">
        <v>661</v>
      </c>
      <c r="B315" s="11">
        <v>45223.640879629631</v>
      </c>
      <c r="C315" s="11">
        <v>45223.640879629631</v>
      </c>
      <c r="D315" s="11" t="str">
        <f>IF(Table1[[#This Row],[Duration of Campaign]]=0, "Ongoing","Completed")</f>
        <v>Ongoing</v>
      </c>
      <c r="E315" s="12">
        <f>Table1[[#This Row],[End Date]]-Table1[[#This Row],[Start Date]]</f>
        <v>0</v>
      </c>
      <c r="F315" s="13">
        <v>7137</v>
      </c>
      <c r="G315" s="14" t="s">
        <v>29</v>
      </c>
      <c r="H315" s="15">
        <v>4638</v>
      </c>
      <c r="I315" s="15">
        <v>1466</v>
      </c>
      <c r="J315" s="15">
        <v>93</v>
      </c>
      <c r="K315" s="16">
        <v>605</v>
      </c>
      <c r="L315" s="17">
        <f t="shared" si="20"/>
        <v>0.31608451918930575</v>
      </c>
      <c r="M315" s="17">
        <f t="shared" si="20"/>
        <v>6.3437926330150066E-2</v>
      </c>
      <c r="N315" s="18">
        <f t="shared" si="21"/>
        <v>9.7046384720327428</v>
      </c>
      <c r="O315" s="18">
        <f t="shared" si="22"/>
        <v>152.97849462365591</v>
      </c>
      <c r="P315" s="17">
        <f t="shared" si="23"/>
        <v>1.993414599971977</v>
      </c>
      <c r="Q315" s="17">
        <f t="shared" si="24"/>
        <v>4.2524776832782739E-2</v>
      </c>
      <c r="R315" s="10" t="s">
        <v>662</v>
      </c>
      <c r="S315" s="14" t="s">
        <v>45</v>
      </c>
      <c r="T315" s="14" t="s">
        <v>55</v>
      </c>
      <c r="U315" s="13">
        <v>14227</v>
      </c>
      <c r="V315" s="15">
        <v>3</v>
      </c>
      <c r="W315" s="9" t="str">
        <f>IF(Table1[[#This Row],[Satisfaction Rating]]&lt;2, "Low", IF(Table1[[#This Row],[Satisfaction Rating]]&lt;4, "Medium", "High"))</f>
        <v>Medium</v>
      </c>
    </row>
    <row r="316" spans="1:23" ht="14" x14ac:dyDescent="0.2">
      <c r="A316" s="10" t="s">
        <v>663</v>
      </c>
      <c r="B316" s="11">
        <v>45198.805138888885</v>
      </c>
      <c r="C316" s="11">
        <v>45564.700416666667</v>
      </c>
      <c r="D316" s="11" t="str">
        <f>IF(Table1[[#This Row],[Duration of Campaign]]=0, "Ongoing","Completed")</f>
        <v>Completed</v>
      </c>
      <c r="E316" s="12">
        <f>Table1[[#This Row],[End Date]]-Table1[[#This Row],[Start Date]]</f>
        <v>365.8952777777813</v>
      </c>
      <c r="F316" s="13">
        <v>7822</v>
      </c>
      <c r="G316" s="14" t="s">
        <v>29</v>
      </c>
      <c r="H316" s="15">
        <v>19503</v>
      </c>
      <c r="I316" s="15">
        <v>417</v>
      </c>
      <c r="J316" s="15">
        <v>52</v>
      </c>
      <c r="K316" s="16">
        <v>7524</v>
      </c>
      <c r="L316" s="17">
        <f t="shared" si="20"/>
        <v>2.1381325949853869E-2</v>
      </c>
      <c r="M316" s="17">
        <f t="shared" si="20"/>
        <v>0.12470023980815348</v>
      </c>
      <c r="N316" s="18">
        <f t="shared" si="21"/>
        <v>10.040767386091128</v>
      </c>
      <c r="O316" s="18">
        <f t="shared" si="22"/>
        <v>80.519230769230774</v>
      </c>
      <c r="P316" s="17">
        <f t="shared" si="23"/>
        <v>0.53528509332651497</v>
      </c>
      <c r="Q316" s="17">
        <f t="shared" si="24"/>
        <v>1.7969906854549798</v>
      </c>
      <c r="R316" s="10" t="s">
        <v>664</v>
      </c>
      <c r="S316" s="14" t="s">
        <v>40</v>
      </c>
      <c r="T316" s="14" t="s">
        <v>27</v>
      </c>
      <c r="U316" s="13">
        <v>4187</v>
      </c>
      <c r="V316" s="15">
        <v>4</v>
      </c>
      <c r="W316" s="9" t="str">
        <f>IF(Table1[[#This Row],[Satisfaction Rating]]&lt;2, "Low", IF(Table1[[#This Row],[Satisfaction Rating]]&lt;4, "Medium", "High"))</f>
        <v>High</v>
      </c>
    </row>
    <row r="317" spans="1:23" ht="14" x14ac:dyDescent="0.2">
      <c r="A317" s="10" t="s">
        <v>665</v>
      </c>
      <c r="B317" s="11">
        <v>45360.982268518521</v>
      </c>
      <c r="C317" s="11">
        <v>45360.982268518521</v>
      </c>
      <c r="D317" s="11" t="str">
        <f>IF(Table1[[#This Row],[Duration of Campaign]]=0, "Ongoing","Completed")</f>
        <v>Ongoing</v>
      </c>
      <c r="E317" s="12">
        <f>Table1[[#This Row],[End Date]]-Table1[[#This Row],[Start Date]]</f>
        <v>0</v>
      </c>
      <c r="F317" s="13">
        <v>6551</v>
      </c>
      <c r="G317" s="14" t="s">
        <v>24</v>
      </c>
      <c r="H317" s="15">
        <v>15879</v>
      </c>
      <c r="I317" s="15">
        <v>1050</v>
      </c>
      <c r="J317" s="15">
        <v>392</v>
      </c>
      <c r="K317" s="16">
        <v>13678</v>
      </c>
      <c r="L317" s="17">
        <f t="shared" si="20"/>
        <v>6.6125070848290196E-2</v>
      </c>
      <c r="M317" s="17">
        <f t="shared" si="20"/>
        <v>0.37333333333333335</v>
      </c>
      <c r="N317" s="18">
        <f t="shared" si="21"/>
        <v>18.942857142857143</v>
      </c>
      <c r="O317" s="18">
        <f t="shared" si="22"/>
        <v>50.739795918367349</v>
      </c>
      <c r="P317" s="17">
        <f t="shared" si="23"/>
        <v>3.0361776827965197</v>
      </c>
      <c r="Q317" s="17">
        <f t="shared" si="24"/>
        <v>0.68768225238813474</v>
      </c>
      <c r="R317" s="10" t="s">
        <v>666</v>
      </c>
      <c r="S317" s="14" t="s">
        <v>26</v>
      </c>
      <c r="T317" s="14" t="s">
        <v>55</v>
      </c>
      <c r="U317" s="13">
        <v>19890</v>
      </c>
      <c r="V317" s="15">
        <v>3</v>
      </c>
      <c r="W317" s="9" t="str">
        <f>IF(Table1[[#This Row],[Satisfaction Rating]]&lt;2, "Low", IF(Table1[[#This Row],[Satisfaction Rating]]&lt;4, "Medium", "High"))</f>
        <v>Medium</v>
      </c>
    </row>
    <row r="318" spans="1:23" ht="14" x14ac:dyDescent="0.2">
      <c r="A318" s="10" t="s">
        <v>667</v>
      </c>
      <c r="B318" s="11">
        <v>45556.260150462964</v>
      </c>
      <c r="C318" s="11">
        <v>45556.260150462964</v>
      </c>
      <c r="D318" s="11" t="str">
        <f>IF(Table1[[#This Row],[Duration of Campaign]]=0, "Ongoing","Completed")</f>
        <v>Ongoing</v>
      </c>
      <c r="E318" s="12">
        <f>Table1[[#This Row],[End Date]]-Table1[[#This Row],[Start Date]]</f>
        <v>0</v>
      </c>
      <c r="F318" s="13">
        <v>7021</v>
      </c>
      <c r="G318" s="14" t="s">
        <v>24</v>
      </c>
      <c r="H318" s="15">
        <v>7357</v>
      </c>
      <c r="I318" s="15">
        <v>842</v>
      </c>
      <c r="J318" s="15">
        <v>317</v>
      </c>
      <c r="K318" s="16">
        <v>7583</v>
      </c>
      <c r="L318" s="17">
        <f t="shared" si="20"/>
        <v>0.11444882424901455</v>
      </c>
      <c r="M318" s="17">
        <f t="shared" si="20"/>
        <v>0.37648456057007124</v>
      </c>
      <c r="N318" s="18">
        <f t="shared" si="21"/>
        <v>13.230403800475059</v>
      </c>
      <c r="O318" s="18">
        <f t="shared" si="22"/>
        <v>35.141955835962143</v>
      </c>
      <c r="P318" s="17">
        <f t="shared" si="23"/>
        <v>1.5866685657313773</v>
      </c>
      <c r="Q318" s="17">
        <f t="shared" si="24"/>
        <v>0.6807001795332136</v>
      </c>
      <c r="R318" s="10" t="s">
        <v>668</v>
      </c>
      <c r="S318" s="14" t="s">
        <v>40</v>
      </c>
      <c r="T318" s="14" t="s">
        <v>55</v>
      </c>
      <c r="U318" s="13">
        <v>11140</v>
      </c>
      <c r="V318" s="15">
        <v>4</v>
      </c>
      <c r="W318" s="9" t="str">
        <f>IF(Table1[[#This Row],[Satisfaction Rating]]&lt;2, "Low", IF(Table1[[#This Row],[Satisfaction Rating]]&lt;4, "Medium", "High"))</f>
        <v>High</v>
      </c>
    </row>
    <row r="319" spans="1:23" ht="14" x14ac:dyDescent="0.2">
      <c r="A319" s="10" t="s">
        <v>669</v>
      </c>
      <c r="B319" s="11">
        <v>44998.409467592595</v>
      </c>
      <c r="C319" s="11">
        <v>45118.474143518521</v>
      </c>
      <c r="D319" s="11" t="str">
        <f>IF(Table1[[#This Row],[Duration of Campaign]]=0, "Ongoing","Completed")</f>
        <v>Completed</v>
      </c>
      <c r="E319" s="12">
        <f>Table1[[#This Row],[End Date]]-Table1[[#This Row],[Start Date]]</f>
        <v>120.06467592592526</v>
      </c>
      <c r="F319" s="13">
        <v>5681</v>
      </c>
      <c r="G319" s="14" t="s">
        <v>47</v>
      </c>
      <c r="H319" s="15">
        <v>19590</v>
      </c>
      <c r="I319" s="15">
        <v>344</v>
      </c>
      <c r="J319" s="15">
        <v>238</v>
      </c>
      <c r="K319" s="16">
        <v>5070</v>
      </c>
      <c r="L319" s="17">
        <f t="shared" si="20"/>
        <v>1.755997958141909E-2</v>
      </c>
      <c r="M319" s="17">
        <f t="shared" si="20"/>
        <v>0.69186046511627908</v>
      </c>
      <c r="N319" s="18">
        <f t="shared" si="21"/>
        <v>17.819767441860463</v>
      </c>
      <c r="O319" s="18">
        <f t="shared" si="22"/>
        <v>25.756302521008404</v>
      </c>
      <c r="P319" s="17">
        <f t="shared" si="23"/>
        <v>1.0790353810948776</v>
      </c>
      <c r="Q319" s="17">
        <f t="shared" si="24"/>
        <v>0.82707993474714514</v>
      </c>
      <c r="R319" s="10" t="s">
        <v>670</v>
      </c>
      <c r="S319" s="14" t="s">
        <v>40</v>
      </c>
      <c r="T319" s="14" t="s">
        <v>27</v>
      </c>
      <c r="U319" s="13">
        <v>6130</v>
      </c>
      <c r="V319" s="15">
        <v>5</v>
      </c>
      <c r="W319" s="9" t="str">
        <f>IF(Table1[[#This Row],[Satisfaction Rating]]&lt;2, "Low", IF(Table1[[#This Row],[Satisfaction Rating]]&lt;4, "Medium", "High"))</f>
        <v>High</v>
      </c>
    </row>
    <row r="320" spans="1:23" ht="14" x14ac:dyDescent="0.2">
      <c r="A320" s="10" t="s">
        <v>671</v>
      </c>
      <c r="B320" s="11">
        <v>45214.598819444444</v>
      </c>
      <c r="C320" s="11">
        <v>45427.954351851855</v>
      </c>
      <c r="D320" s="11" t="str">
        <f>IF(Table1[[#This Row],[Duration of Campaign]]=0, "Ongoing","Completed")</f>
        <v>Completed</v>
      </c>
      <c r="E320" s="12">
        <f>Table1[[#This Row],[End Date]]-Table1[[#This Row],[Start Date]]</f>
        <v>213.35553240741137</v>
      </c>
      <c r="F320" s="13">
        <v>4282</v>
      </c>
      <c r="G320" s="14" t="s">
        <v>24</v>
      </c>
      <c r="H320" s="15">
        <v>8222</v>
      </c>
      <c r="I320" s="15">
        <v>1925</v>
      </c>
      <c r="J320" s="15">
        <v>298</v>
      </c>
      <c r="K320" s="16">
        <v>2126</v>
      </c>
      <c r="L320" s="17">
        <f t="shared" si="20"/>
        <v>0.23412794940403794</v>
      </c>
      <c r="M320" s="17">
        <f t="shared" si="20"/>
        <v>0.15480519480519481</v>
      </c>
      <c r="N320" s="18">
        <f t="shared" si="21"/>
        <v>6.8192207792207791</v>
      </c>
      <c r="O320" s="18">
        <f t="shared" si="22"/>
        <v>44.050335570469798</v>
      </c>
      <c r="P320" s="17">
        <f t="shared" si="23"/>
        <v>3.0656235404016816</v>
      </c>
      <c r="Q320" s="17">
        <f t="shared" si="24"/>
        <v>0.16195627332977833</v>
      </c>
      <c r="R320" s="10" t="s">
        <v>672</v>
      </c>
      <c r="S320" s="14" t="s">
        <v>40</v>
      </c>
      <c r="T320" s="14" t="s">
        <v>27</v>
      </c>
      <c r="U320" s="13">
        <v>13127</v>
      </c>
      <c r="V320" s="15">
        <v>3</v>
      </c>
      <c r="W320" s="9" t="str">
        <f>IF(Table1[[#This Row],[Satisfaction Rating]]&lt;2, "Low", IF(Table1[[#This Row],[Satisfaction Rating]]&lt;4, "Medium", "High"))</f>
        <v>Medium</v>
      </c>
    </row>
    <row r="321" spans="1:23" ht="14" x14ac:dyDescent="0.2">
      <c r="A321" s="10" t="s">
        <v>673</v>
      </c>
      <c r="B321" s="11">
        <v>45291.814166666663</v>
      </c>
      <c r="C321" s="11">
        <v>45391.791631944441</v>
      </c>
      <c r="D321" s="11" t="str">
        <f>IF(Table1[[#This Row],[Duration of Campaign]]=0, "Ongoing","Completed")</f>
        <v>Completed</v>
      </c>
      <c r="E321" s="12">
        <f>Table1[[#This Row],[End Date]]-Table1[[#This Row],[Start Date]]</f>
        <v>99.97746527777781</v>
      </c>
      <c r="F321" s="13">
        <v>5328</v>
      </c>
      <c r="G321" s="14" t="s">
        <v>29</v>
      </c>
      <c r="H321" s="15">
        <v>1830</v>
      </c>
      <c r="I321" s="15">
        <v>966</v>
      </c>
      <c r="J321" s="15">
        <v>432</v>
      </c>
      <c r="K321" s="16">
        <v>5920</v>
      </c>
      <c r="L321" s="17">
        <f t="shared" si="20"/>
        <v>0.52786885245901638</v>
      </c>
      <c r="M321" s="17">
        <f t="shared" si="20"/>
        <v>0.44720496894409939</v>
      </c>
      <c r="N321" s="18">
        <f t="shared" si="21"/>
        <v>19.508281573498966</v>
      </c>
      <c r="O321" s="18">
        <f t="shared" si="22"/>
        <v>43.622685185185183</v>
      </c>
      <c r="P321" s="17">
        <f t="shared" si="23"/>
        <v>3.5369744744744747</v>
      </c>
      <c r="Q321" s="17">
        <f t="shared" si="24"/>
        <v>0.31414168214380472</v>
      </c>
      <c r="R321" s="10" t="s">
        <v>674</v>
      </c>
      <c r="S321" s="14" t="s">
        <v>34</v>
      </c>
      <c r="T321" s="14" t="s">
        <v>55</v>
      </c>
      <c r="U321" s="13">
        <v>18845</v>
      </c>
      <c r="V321" s="15">
        <v>4</v>
      </c>
      <c r="W321" s="9" t="str">
        <f>IF(Table1[[#This Row],[Satisfaction Rating]]&lt;2, "Low", IF(Table1[[#This Row],[Satisfaction Rating]]&lt;4, "Medium", "High"))</f>
        <v>High</v>
      </c>
    </row>
    <row r="322" spans="1:23" ht="14" x14ac:dyDescent="0.2">
      <c r="A322" s="10" t="s">
        <v>675</v>
      </c>
      <c r="B322" s="11">
        <v>45199.679861111108</v>
      </c>
      <c r="C322" s="11">
        <v>45415.484467592592</v>
      </c>
      <c r="D322" s="11" t="str">
        <f>IF(Table1[[#This Row],[Duration of Campaign]]=0, "Ongoing","Completed")</f>
        <v>Completed</v>
      </c>
      <c r="E322" s="12">
        <f>Table1[[#This Row],[End Date]]-Table1[[#This Row],[Start Date]]</f>
        <v>215.80460648148437</v>
      </c>
      <c r="F322" s="13">
        <v>7488</v>
      </c>
      <c r="G322" s="14" t="s">
        <v>63</v>
      </c>
      <c r="H322" s="15">
        <v>7145</v>
      </c>
      <c r="I322" s="15">
        <v>1861</v>
      </c>
      <c r="J322" s="15">
        <v>79</v>
      </c>
      <c r="K322" s="16">
        <v>2720</v>
      </c>
      <c r="L322" s="17">
        <f t="shared" si="20"/>
        <v>0.26046186144156752</v>
      </c>
      <c r="M322" s="17">
        <f t="shared" si="20"/>
        <v>4.245029554003224E-2</v>
      </c>
      <c r="N322" s="18">
        <f t="shared" si="21"/>
        <v>9.0037614185921555</v>
      </c>
      <c r="O322" s="18">
        <f t="shared" si="22"/>
        <v>212.1012658227848</v>
      </c>
      <c r="P322" s="17">
        <f t="shared" si="23"/>
        <v>2.237713675213675</v>
      </c>
      <c r="Q322" s="17">
        <f t="shared" si="24"/>
        <v>0.16232991167343042</v>
      </c>
      <c r="R322" s="10" t="s">
        <v>676</v>
      </c>
      <c r="S322" s="14" t="s">
        <v>45</v>
      </c>
      <c r="T322" s="14" t="s">
        <v>27</v>
      </c>
      <c r="U322" s="13">
        <v>16756</v>
      </c>
      <c r="V322" s="15">
        <v>1</v>
      </c>
      <c r="W322" s="9" t="str">
        <f>IF(Table1[[#This Row],[Satisfaction Rating]]&lt;2, "Low", IF(Table1[[#This Row],[Satisfaction Rating]]&lt;4, "Medium", "High"))</f>
        <v>Low</v>
      </c>
    </row>
    <row r="323" spans="1:23" ht="14" x14ac:dyDescent="0.2">
      <c r="A323" s="10" t="s">
        <v>677</v>
      </c>
      <c r="B323" s="11">
        <v>45149.487337962964</v>
      </c>
      <c r="C323" s="11">
        <v>45225.207812499997</v>
      </c>
      <c r="D323" s="11" t="str">
        <f>IF(Table1[[#This Row],[Duration of Campaign]]=0, "Ongoing","Completed")</f>
        <v>Completed</v>
      </c>
      <c r="E323" s="12">
        <f>Table1[[#This Row],[End Date]]-Table1[[#This Row],[Start Date]]</f>
        <v>75.720474537032715</v>
      </c>
      <c r="F323" s="13">
        <v>3474</v>
      </c>
      <c r="G323" s="14" t="s">
        <v>63</v>
      </c>
      <c r="H323" s="15">
        <v>16830</v>
      </c>
      <c r="I323" s="15">
        <v>210</v>
      </c>
      <c r="J323" s="15">
        <v>207</v>
      </c>
      <c r="K323" s="16">
        <v>5791</v>
      </c>
      <c r="L323" s="17">
        <f t="shared" ref="L323:M386" si="25">I323/H323</f>
        <v>1.2477718360071301E-2</v>
      </c>
      <c r="M323" s="17">
        <f t="shared" si="25"/>
        <v>0.98571428571428577</v>
      </c>
      <c r="N323" s="18">
        <f t="shared" ref="N323:N386" si="26">U323/I323</f>
        <v>17.69047619047619</v>
      </c>
      <c r="O323" s="18">
        <f t="shared" ref="O323:O386" si="27">U323/J323</f>
        <v>17.946859903381643</v>
      </c>
      <c r="P323" s="17">
        <f t="shared" ref="P323:P386" si="28">U323/F323</f>
        <v>1.0693724812895797</v>
      </c>
      <c r="Q323" s="17">
        <f t="shared" ref="Q323:Q386" si="29">K323/U323</f>
        <v>1.5588156123822341</v>
      </c>
      <c r="R323" s="10" t="s">
        <v>678</v>
      </c>
      <c r="S323" s="14" t="s">
        <v>34</v>
      </c>
      <c r="T323" s="14" t="s">
        <v>37</v>
      </c>
      <c r="U323" s="13">
        <v>3715</v>
      </c>
      <c r="V323" s="15">
        <v>3</v>
      </c>
      <c r="W323" s="9" t="str">
        <f>IF(Table1[[#This Row],[Satisfaction Rating]]&lt;2, "Low", IF(Table1[[#This Row],[Satisfaction Rating]]&lt;4, "Medium", "High"))</f>
        <v>Medium</v>
      </c>
    </row>
    <row r="324" spans="1:23" ht="14" x14ac:dyDescent="0.2">
      <c r="A324" s="10" t="s">
        <v>679</v>
      </c>
      <c r="B324" s="11">
        <v>44977.4846412037</v>
      </c>
      <c r="C324" s="11">
        <v>45228.435844907406</v>
      </c>
      <c r="D324" s="11" t="str">
        <f>IF(Table1[[#This Row],[Duration of Campaign]]=0, "Ongoing","Completed")</f>
        <v>Completed</v>
      </c>
      <c r="E324" s="12">
        <f>Table1[[#This Row],[End Date]]-Table1[[#This Row],[Start Date]]</f>
        <v>250.95120370370569</v>
      </c>
      <c r="F324" s="13">
        <v>3119</v>
      </c>
      <c r="G324" s="14" t="s">
        <v>63</v>
      </c>
      <c r="H324" s="15">
        <v>2600</v>
      </c>
      <c r="I324" s="15">
        <v>1249</v>
      </c>
      <c r="J324" s="15">
        <v>29</v>
      </c>
      <c r="K324" s="16">
        <v>8128</v>
      </c>
      <c r="L324" s="17">
        <f t="shared" si="25"/>
        <v>0.48038461538461541</v>
      </c>
      <c r="M324" s="17">
        <f t="shared" si="25"/>
        <v>2.321857485988791E-2</v>
      </c>
      <c r="N324" s="18">
        <f t="shared" si="26"/>
        <v>15.5564451561249</v>
      </c>
      <c r="O324" s="18">
        <f t="shared" si="27"/>
        <v>670</v>
      </c>
      <c r="P324" s="17">
        <f t="shared" si="28"/>
        <v>6.2295607566527735</v>
      </c>
      <c r="Q324" s="17">
        <f t="shared" si="29"/>
        <v>0.41832218219248585</v>
      </c>
      <c r="R324" s="10" t="s">
        <v>680</v>
      </c>
      <c r="S324" s="14" t="s">
        <v>34</v>
      </c>
      <c r="T324" s="14" t="s">
        <v>27</v>
      </c>
      <c r="U324" s="13">
        <v>19430</v>
      </c>
      <c r="V324" s="15">
        <v>4</v>
      </c>
      <c r="W324" s="9" t="str">
        <f>IF(Table1[[#This Row],[Satisfaction Rating]]&lt;2, "Low", IF(Table1[[#This Row],[Satisfaction Rating]]&lt;4, "Medium", "High"))</f>
        <v>High</v>
      </c>
    </row>
    <row r="325" spans="1:23" ht="14" x14ac:dyDescent="0.2">
      <c r="A325" s="10" t="s">
        <v>681</v>
      </c>
      <c r="B325" s="11">
        <v>45156.664398148147</v>
      </c>
      <c r="C325" s="11">
        <v>45553.523298611108</v>
      </c>
      <c r="D325" s="11" t="str">
        <f>IF(Table1[[#This Row],[Duration of Campaign]]=0, "Ongoing","Completed")</f>
        <v>Completed</v>
      </c>
      <c r="E325" s="12">
        <f>Table1[[#This Row],[End Date]]-Table1[[#This Row],[Start Date]]</f>
        <v>396.85890046296117</v>
      </c>
      <c r="F325" s="13">
        <v>8206</v>
      </c>
      <c r="G325" s="14" t="s">
        <v>29</v>
      </c>
      <c r="H325" s="15">
        <v>8179</v>
      </c>
      <c r="I325" s="15">
        <v>213</v>
      </c>
      <c r="J325" s="15">
        <v>430</v>
      </c>
      <c r="K325" s="16">
        <v>5164</v>
      </c>
      <c r="L325" s="17">
        <f t="shared" si="25"/>
        <v>2.6042303460080695E-2</v>
      </c>
      <c r="M325" s="17">
        <f t="shared" si="25"/>
        <v>2.0187793427230045</v>
      </c>
      <c r="N325" s="18">
        <f t="shared" si="26"/>
        <v>17.305164319248828</v>
      </c>
      <c r="O325" s="18">
        <f t="shared" si="27"/>
        <v>8.5720930232558139</v>
      </c>
      <c r="P325" s="17">
        <f t="shared" si="28"/>
        <v>0.44918352425054836</v>
      </c>
      <c r="Q325" s="17">
        <f t="shared" si="29"/>
        <v>1.400976668475312</v>
      </c>
      <c r="R325" s="10" t="s">
        <v>682</v>
      </c>
      <c r="S325" s="14" t="s">
        <v>31</v>
      </c>
      <c r="T325" s="14" t="s">
        <v>37</v>
      </c>
      <c r="U325" s="13">
        <v>3686</v>
      </c>
      <c r="V325" s="15">
        <v>1</v>
      </c>
      <c r="W325" s="9" t="str">
        <f>IF(Table1[[#This Row],[Satisfaction Rating]]&lt;2, "Low", IF(Table1[[#This Row],[Satisfaction Rating]]&lt;4, "Medium", "High"))</f>
        <v>Low</v>
      </c>
    </row>
    <row r="326" spans="1:23" ht="14" x14ac:dyDescent="0.2">
      <c r="A326" s="10" t="s">
        <v>683</v>
      </c>
      <c r="B326" s="11">
        <v>45487.746863425928</v>
      </c>
      <c r="C326" s="11">
        <v>45487.746863425928</v>
      </c>
      <c r="D326" s="11" t="str">
        <f>IF(Table1[[#This Row],[Duration of Campaign]]=0, "Ongoing","Completed")</f>
        <v>Ongoing</v>
      </c>
      <c r="E326" s="12">
        <f>Table1[[#This Row],[End Date]]-Table1[[#This Row],[Start Date]]</f>
        <v>0</v>
      </c>
      <c r="F326" s="13">
        <v>9700</v>
      </c>
      <c r="G326" s="14" t="s">
        <v>29</v>
      </c>
      <c r="H326" s="15">
        <v>19720</v>
      </c>
      <c r="I326" s="15">
        <v>1978</v>
      </c>
      <c r="J326" s="15">
        <v>359</v>
      </c>
      <c r="K326" s="16">
        <v>4658</v>
      </c>
      <c r="L326" s="17">
        <f t="shared" si="25"/>
        <v>0.10030425963488844</v>
      </c>
      <c r="M326" s="17">
        <f t="shared" si="25"/>
        <v>0.18149646107178968</v>
      </c>
      <c r="N326" s="18">
        <f t="shared" si="26"/>
        <v>1.6132457027300304</v>
      </c>
      <c r="O326" s="18">
        <f t="shared" si="27"/>
        <v>8.8885793871866294</v>
      </c>
      <c r="P326" s="17">
        <f t="shared" si="28"/>
        <v>0.32896907216494847</v>
      </c>
      <c r="Q326" s="17">
        <f t="shared" si="29"/>
        <v>1.4597304920087746</v>
      </c>
      <c r="R326" s="10" t="s">
        <v>684</v>
      </c>
      <c r="S326" s="14" t="s">
        <v>34</v>
      </c>
      <c r="T326" s="14" t="s">
        <v>55</v>
      </c>
      <c r="U326" s="13">
        <v>3191</v>
      </c>
      <c r="V326" s="15">
        <v>2</v>
      </c>
      <c r="W326" s="9" t="str">
        <f>IF(Table1[[#This Row],[Satisfaction Rating]]&lt;2, "Low", IF(Table1[[#This Row],[Satisfaction Rating]]&lt;4, "Medium", "High"))</f>
        <v>Medium</v>
      </c>
    </row>
    <row r="327" spans="1:23" ht="14" x14ac:dyDescent="0.2">
      <c r="A327" s="10" t="s">
        <v>685</v>
      </c>
      <c r="B327" s="11">
        <v>45114.886793981481</v>
      </c>
      <c r="C327" s="11">
        <v>45357.582118055558</v>
      </c>
      <c r="D327" s="11" t="str">
        <f>IF(Table1[[#This Row],[Duration of Campaign]]=0, "Ongoing","Completed")</f>
        <v>Completed</v>
      </c>
      <c r="E327" s="12">
        <f>Table1[[#This Row],[End Date]]-Table1[[#This Row],[Start Date]]</f>
        <v>242.69532407407678</v>
      </c>
      <c r="F327" s="13">
        <v>3034</v>
      </c>
      <c r="G327" s="14" t="s">
        <v>24</v>
      </c>
      <c r="H327" s="15">
        <v>17148</v>
      </c>
      <c r="I327" s="15">
        <v>1630</v>
      </c>
      <c r="J327" s="15">
        <v>214</v>
      </c>
      <c r="K327" s="16">
        <v>4045</v>
      </c>
      <c r="L327" s="17">
        <f t="shared" si="25"/>
        <v>9.5054816888266849E-2</v>
      </c>
      <c r="M327" s="17">
        <f t="shared" si="25"/>
        <v>0.1312883435582822</v>
      </c>
      <c r="N327" s="18">
        <f t="shared" si="26"/>
        <v>10.255828220858895</v>
      </c>
      <c r="O327" s="18">
        <f t="shared" si="27"/>
        <v>78.116822429906549</v>
      </c>
      <c r="P327" s="17">
        <f t="shared" si="28"/>
        <v>5.5098879367172051</v>
      </c>
      <c r="Q327" s="17">
        <f t="shared" si="29"/>
        <v>0.24196925285637375</v>
      </c>
      <c r="R327" s="10" t="s">
        <v>686</v>
      </c>
      <c r="S327" s="14" t="s">
        <v>45</v>
      </c>
      <c r="T327" s="14" t="s">
        <v>55</v>
      </c>
      <c r="U327" s="13">
        <v>16717</v>
      </c>
      <c r="V327" s="15">
        <v>4</v>
      </c>
      <c r="W327" s="9" t="str">
        <f>IF(Table1[[#This Row],[Satisfaction Rating]]&lt;2, "Low", IF(Table1[[#This Row],[Satisfaction Rating]]&lt;4, "Medium", "High"))</f>
        <v>High</v>
      </c>
    </row>
    <row r="328" spans="1:23" ht="14" x14ac:dyDescent="0.2">
      <c r="A328" s="10" t="s">
        <v>687</v>
      </c>
      <c r="B328" s="11">
        <v>45502.539594907408</v>
      </c>
      <c r="C328" s="11">
        <v>45502.539594907408</v>
      </c>
      <c r="D328" s="11" t="str">
        <f>IF(Table1[[#This Row],[Duration of Campaign]]=0, "Ongoing","Completed")</f>
        <v>Ongoing</v>
      </c>
      <c r="E328" s="12">
        <f>Table1[[#This Row],[End Date]]-Table1[[#This Row],[Start Date]]</f>
        <v>0</v>
      </c>
      <c r="F328" s="13">
        <v>2027</v>
      </c>
      <c r="G328" s="14" t="s">
        <v>24</v>
      </c>
      <c r="H328" s="15">
        <v>11346</v>
      </c>
      <c r="I328" s="15">
        <v>446</v>
      </c>
      <c r="J328" s="15">
        <v>76</v>
      </c>
      <c r="K328" s="16">
        <v>5920</v>
      </c>
      <c r="L328" s="17">
        <f t="shared" si="25"/>
        <v>3.9309007579763793E-2</v>
      </c>
      <c r="M328" s="17">
        <f t="shared" si="25"/>
        <v>0.17040358744394618</v>
      </c>
      <c r="N328" s="18">
        <f t="shared" si="26"/>
        <v>17.892376681614351</v>
      </c>
      <c r="O328" s="18">
        <f t="shared" si="27"/>
        <v>105</v>
      </c>
      <c r="P328" s="17">
        <f t="shared" si="28"/>
        <v>3.9368524913665515</v>
      </c>
      <c r="Q328" s="17">
        <f t="shared" si="29"/>
        <v>0.74185463659147866</v>
      </c>
      <c r="R328" s="10" t="s">
        <v>688</v>
      </c>
      <c r="S328" s="14" t="s">
        <v>26</v>
      </c>
      <c r="T328" s="14" t="s">
        <v>27</v>
      </c>
      <c r="U328" s="13">
        <v>7980</v>
      </c>
      <c r="V328" s="15">
        <v>2</v>
      </c>
      <c r="W328" s="9" t="str">
        <f>IF(Table1[[#This Row],[Satisfaction Rating]]&lt;2, "Low", IF(Table1[[#This Row],[Satisfaction Rating]]&lt;4, "Medium", "High"))</f>
        <v>Medium</v>
      </c>
    </row>
    <row r="329" spans="1:23" ht="14" x14ac:dyDescent="0.2">
      <c r="A329" s="10" t="s">
        <v>689</v>
      </c>
      <c r="B329" s="11">
        <v>45353.429432870369</v>
      </c>
      <c r="C329" s="11">
        <v>45353.429432870369</v>
      </c>
      <c r="D329" s="11" t="str">
        <f>IF(Table1[[#This Row],[Duration of Campaign]]=0, "Ongoing","Completed")</f>
        <v>Ongoing</v>
      </c>
      <c r="E329" s="12">
        <f>Table1[[#This Row],[End Date]]-Table1[[#This Row],[Start Date]]</f>
        <v>0</v>
      </c>
      <c r="F329" s="13">
        <v>9417</v>
      </c>
      <c r="G329" s="14" t="s">
        <v>24</v>
      </c>
      <c r="H329" s="15">
        <v>11992</v>
      </c>
      <c r="I329" s="15">
        <v>828</v>
      </c>
      <c r="J329" s="15">
        <v>118</v>
      </c>
      <c r="K329" s="16">
        <v>8478</v>
      </c>
      <c r="L329" s="17">
        <f t="shared" si="25"/>
        <v>6.9046030687124754E-2</v>
      </c>
      <c r="M329" s="17">
        <f t="shared" si="25"/>
        <v>0.14251207729468598</v>
      </c>
      <c r="N329" s="18">
        <f t="shared" si="26"/>
        <v>14.721014492753623</v>
      </c>
      <c r="O329" s="18">
        <f t="shared" si="27"/>
        <v>103.29661016949153</v>
      </c>
      <c r="P329" s="17">
        <f t="shared" si="28"/>
        <v>1.2943612615482638</v>
      </c>
      <c r="Q329" s="17">
        <f t="shared" si="29"/>
        <v>0.69554516367216346</v>
      </c>
      <c r="R329" s="10" t="s">
        <v>690</v>
      </c>
      <c r="S329" s="14" t="s">
        <v>31</v>
      </c>
      <c r="T329" s="14" t="s">
        <v>55</v>
      </c>
      <c r="U329" s="13">
        <v>12189</v>
      </c>
      <c r="V329" s="15">
        <v>1</v>
      </c>
      <c r="W329" s="9" t="str">
        <f>IF(Table1[[#This Row],[Satisfaction Rating]]&lt;2, "Low", IF(Table1[[#This Row],[Satisfaction Rating]]&lt;4, "Medium", "High"))</f>
        <v>Low</v>
      </c>
    </row>
    <row r="330" spans="1:23" ht="14" x14ac:dyDescent="0.2">
      <c r="A330" s="10" t="s">
        <v>691</v>
      </c>
      <c r="B330" s="11">
        <v>45536.429016203707</v>
      </c>
      <c r="C330" s="11">
        <v>45536.429016203707</v>
      </c>
      <c r="D330" s="11" t="str">
        <f>IF(Table1[[#This Row],[Duration of Campaign]]=0, "Ongoing","Completed")</f>
        <v>Ongoing</v>
      </c>
      <c r="E330" s="12">
        <f>Table1[[#This Row],[End Date]]-Table1[[#This Row],[Start Date]]</f>
        <v>0</v>
      </c>
      <c r="F330" s="13">
        <v>5589</v>
      </c>
      <c r="G330" s="14" t="s">
        <v>24</v>
      </c>
      <c r="H330" s="15">
        <v>2585</v>
      </c>
      <c r="I330" s="15">
        <v>1712</v>
      </c>
      <c r="J330" s="15">
        <v>376</v>
      </c>
      <c r="K330" s="16">
        <v>8607</v>
      </c>
      <c r="L330" s="17">
        <f t="shared" si="25"/>
        <v>0.66228239845261117</v>
      </c>
      <c r="M330" s="17">
        <f t="shared" si="25"/>
        <v>0.21962616822429906</v>
      </c>
      <c r="N330" s="18">
        <f t="shared" si="26"/>
        <v>10.924065420560748</v>
      </c>
      <c r="O330" s="18">
        <f t="shared" si="27"/>
        <v>49.73936170212766</v>
      </c>
      <c r="P330" s="17">
        <f t="shared" si="28"/>
        <v>3.3462157809983899</v>
      </c>
      <c r="Q330" s="17">
        <f t="shared" si="29"/>
        <v>0.46021815848572345</v>
      </c>
      <c r="R330" s="10" t="s">
        <v>692</v>
      </c>
      <c r="S330" s="14" t="s">
        <v>26</v>
      </c>
      <c r="T330" s="14" t="s">
        <v>27</v>
      </c>
      <c r="U330" s="13">
        <v>18702</v>
      </c>
      <c r="V330" s="15">
        <v>4</v>
      </c>
      <c r="W330" s="9" t="str">
        <f>IF(Table1[[#This Row],[Satisfaction Rating]]&lt;2, "Low", IF(Table1[[#This Row],[Satisfaction Rating]]&lt;4, "Medium", "High"))</f>
        <v>High</v>
      </c>
    </row>
    <row r="331" spans="1:23" ht="14" x14ac:dyDescent="0.2">
      <c r="A331" s="10" t="s">
        <v>693</v>
      </c>
      <c r="B331" s="11">
        <v>44996.780717592592</v>
      </c>
      <c r="C331" s="11">
        <v>45026.66642361111</v>
      </c>
      <c r="D331" s="11" t="str">
        <f>IF(Table1[[#This Row],[Duration of Campaign]]=0, "Ongoing","Completed")</f>
        <v>Completed</v>
      </c>
      <c r="E331" s="12">
        <f>Table1[[#This Row],[End Date]]-Table1[[#This Row],[Start Date]]</f>
        <v>29.885706018518249</v>
      </c>
      <c r="F331" s="13">
        <v>6412</v>
      </c>
      <c r="G331" s="14" t="s">
        <v>24</v>
      </c>
      <c r="H331" s="15">
        <v>1023</v>
      </c>
      <c r="I331" s="15">
        <v>605</v>
      </c>
      <c r="J331" s="15">
        <v>151</v>
      </c>
      <c r="K331" s="16">
        <v>4679</v>
      </c>
      <c r="L331" s="17">
        <f t="shared" si="25"/>
        <v>0.59139784946236562</v>
      </c>
      <c r="M331" s="17">
        <f t="shared" si="25"/>
        <v>0.24958677685950414</v>
      </c>
      <c r="N331" s="18">
        <f t="shared" si="26"/>
        <v>2.4479338842975205</v>
      </c>
      <c r="O331" s="18">
        <f t="shared" si="27"/>
        <v>9.8079470198675498</v>
      </c>
      <c r="P331" s="17">
        <f t="shared" si="28"/>
        <v>0.23097317529631939</v>
      </c>
      <c r="Q331" s="17">
        <f t="shared" si="29"/>
        <v>3.1593517893315326</v>
      </c>
      <c r="R331" s="10" t="s">
        <v>694</v>
      </c>
      <c r="S331" s="14" t="s">
        <v>34</v>
      </c>
      <c r="T331" s="14" t="s">
        <v>55</v>
      </c>
      <c r="U331" s="13">
        <v>1481</v>
      </c>
      <c r="V331" s="15">
        <v>2</v>
      </c>
      <c r="W331" s="9" t="str">
        <f>IF(Table1[[#This Row],[Satisfaction Rating]]&lt;2, "Low", IF(Table1[[#This Row],[Satisfaction Rating]]&lt;4, "Medium", "High"))</f>
        <v>Medium</v>
      </c>
    </row>
    <row r="332" spans="1:23" ht="14" x14ac:dyDescent="0.2">
      <c r="A332" s="10" t="s">
        <v>695</v>
      </c>
      <c r="B332" s="11">
        <v>45628.136805555558</v>
      </c>
      <c r="C332" s="11">
        <v>45628.136805555558</v>
      </c>
      <c r="D332" s="11" t="str">
        <f>IF(Table1[[#This Row],[Duration of Campaign]]=0, "Ongoing","Completed")</f>
        <v>Ongoing</v>
      </c>
      <c r="E332" s="12">
        <f>Table1[[#This Row],[End Date]]-Table1[[#This Row],[Start Date]]</f>
        <v>0</v>
      </c>
      <c r="F332" s="13">
        <v>5130</v>
      </c>
      <c r="G332" s="14" t="s">
        <v>47</v>
      </c>
      <c r="H332" s="15">
        <v>3749</v>
      </c>
      <c r="I332" s="15">
        <v>848</v>
      </c>
      <c r="J332" s="15">
        <v>373</v>
      </c>
      <c r="K332" s="16">
        <v>12314</v>
      </c>
      <c r="L332" s="17">
        <f t="shared" si="25"/>
        <v>0.22619365164043745</v>
      </c>
      <c r="M332" s="17">
        <f t="shared" si="25"/>
        <v>0.43985849056603776</v>
      </c>
      <c r="N332" s="18">
        <f t="shared" si="26"/>
        <v>15.235849056603774</v>
      </c>
      <c r="O332" s="18">
        <f t="shared" si="27"/>
        <v>34.638069705093834</v>
      </c>
      <c r="P332" s="17">
        <f t="shared" si="28"/>
        <v>2.5185185185185186</v>
      </c>
      <c r="Q332" s="17">
        <f t="shared" si="29"/>
        <v>0.95309597523219813</v>
      </c>
      <c r="R332" s="10" t="s">
        <v>696</v>
      </c>
      <c r="S332" s="14" t="s">
        <v>45</v>
      </c>
      <c r="T332" s="14" t="s">
        <v>27</v>
      </c>
      <c r="U332" s="13">
        <v>12920</v>
      </c>
      <c r="V332" s="15">
        <v>1</v>
      </c>
      <c r="W332" s="9" t="str">
        <f>IF(Table1[[#This Row],[Satisfaction Rating]]&lt;2, "Low", IF(Table1[[#This Row],[Satisfaction Rating]]&lt;4, "Medium", "High"))</f>
        <v>Low</v>
      </c>
    </row>
    <row r="333" spans="1:23" ht="14" x14ac:dyDescent="0.2">
      <c r="A333" s="10" t="s">
        <v>697</v>
      </c>
      <c r="B333" s="11">
        <v>45388.592222222222</v>
      </c>
      <c r="C333" s="11">
        <v>45569.779039351852</v>
      </c>
      <c r="D333" s="11" t="str">
        <f>IF(Table1[[#This Row],[Duration of Campaign]]=0, "Ongoing","Completed")</f>
        <v>Completed</v>
      </c>
      <c r="E333" s="12">
        <f>Table1[[#This Row],[End Date]]-Table1[[#This Row],[Start Date]]</f>
        <v>181.18681712963007</v>
      </c>
      <c r="F333" s="13">
        <v>8449</v>
      </c>
      <c r="G333" s="14" t="s">
        <v>29</v>
      </c>
      <c r="H333" s="15">
        <v>6386</v>
      </c>
      <c r="I333" s="15">
        <v>1931</v>
      </c>
      <c r="J333" s="15">
        <v>430</v>
      </c>
      <c r="K333" s="16">
        <v>5221</v>
      </c>
      <c r="L333" s="17">
        <f t="shared" si="25"/>
        <v>0.30238020670216098</v>
      </c>
      <c r="M333" s="17">
        <f t="shared" si="25"/>
        <v>0.22268254790264111</v>
      </c>
      <c r="N333" s="18">
        <f t="shared" si="26"/>
        <v>6.6395649922320041</v>
      </c>
      <c r="O333" s="18">
        <f t="shared" si="27"/>
        <v>29.816279069767443</v>
      </c>
      <c r="P333" s="17">
        <f t="shared" si="28"/>
        <v>1.5174576873002723</v>
      </c>
      <c r="Q333" s="17">
        <f t="shared" si="29"/>
        <v>0.40722252554402932</v>
      </c>
      <c r="R333" s="10" t="s">
        <v>698</v>
      </c>
      <c r="S333" s="14" t="s">
        <v>34</v>
      </c>
      <c r="T333" s="14" t="s">
        <v>55</v>
      </c>
      <c r="U333" s="13">
        <v>12821</v>
      </c>
      <c r="V333" s="15">
        <v>4</v>
      </c>
      <c r="W333" s="9" t="str">
        <f>IF(Table1[[#This Row],[Satisfaction Rating]]&lt;2, "Low", IF(Table1[[#This Row],[Satisfaction Rating]]&lt;4, "Medium", "High"))</f>
        <v>High</v>
      </c>
    </row>
    <row r="334" spans="1:23" ht="14" x14ac:dyDescent="0.2">
      <c r="A334" s="10" t="s">
        <v>699</v>
      </c>
      <c r="B334" s="11">
        <v>45071.519444444442</v>
      </c>
      <c r="C334" s="11">
        <v>45118.188576388886</v>
      </c>
      <c r="D334" s="11" t="str">
        <f>IF(Table1[[#This Row],[Duration of Campaign]]=0, "Ongoing","Completed")</f>
        <v>Completed</v>
      </c>
      <c r="E334" s="12">
        <f>Table1[[#This Row],[End Date]]-Table1[[#This Row],[Start Date]]</f>
        <v>46.669131944443507</v>
      </c>
      <c r="F334" s="13">
        <v>4579</v>
      </c>
      <c r="G334" s="14" t="s">
        <v>63</v>
      </c>
      <c r="H334" s="15">
        <v>2413</v>
      </c>
      <c r="I334" s="15">
        <v>1237</v>
      </c>
      <c r="J334" s="15">
        <v>203</v>
      </c>
      <c r="K334" s="16">
        <v>13725</v>
      </c>
      <c r="L334" s="17">
        <f t="shared" si="25"/>
        <v>0.51263986738499789</v>
      </c>
      <c r="M334" s="17">
        <f t="shared" si="25"/>
        <v>0.16410670978173</v>
      </c>
      <c r="N334" s="18">
        <f t="shared" si="26"/>
        <v>0.86742118027485848</v>
      </c>
      <c r="O334" s="18">
        <f t="shared" si="27"/>
        <v>5.2857142857142856</v>
      </c>
      <c r="P334" s="17">
        <f t="shared" si="28"/>
        <v>0.23433063987770256</v>
      </c>
      <c r="Q334" s="17">
        <f t="shared" si="29"/>
        <v>12.791239515377447</v>
      </c>
      <c r="R334" s="10" t="s">
        <v>700</v>
      </c>
      <c r="S334" s="14" t="s">
        <v>26</v>
      </c>
      <c r="T334" s="14" t="s">
        <v>37</v>
      </c>
      <c r="U334" s="13">
        <v>1073</v>
      </c>
      <c r="V334" s="15">
        <v>1</v>
      </c>
      <c r="W334" s="9" t="str">
        <f>IF(Table1[[#This Row],[Satisfaction Rating]]&lt;2, "Low", IF(Table1[[#This Row],[Satisfaction Rating]]&lt;4, "Medium", "High"))</f>
        <v>Low</v>
      </c>
    </row>
    <row r="335" spans="1:23" ht="14" x14ac:dyDescent="0.2">
      <c r="A335" s="10" t="s">
        <v>701</v>
      </c>
      <c r="B335" s="11">
        <v>45039.967187499999</v>
      </c>
      <c r="C335" s="11">
        <v>45096.27925925926</v>
      </c>
      <c r="D335" s="11" t="str">
        <f>IF(Table1[[#This Row],[Duration of Campaign]]=0, "Ongoing","Completed")</f>
        <v>Completed</v>
      </c>
      <c r="E335" s="12">
        <f>Table1[[#This Row],[End Date]]-Table1[[#This Row],[Start Date]]</f>
        <v>56.312071759261016</v>
      </c>
      <c r="F335" s="13">
        <v>5575</v>
      </c>
      <c r="G335" s="14" t="s">
        <v>63</v>
      </c>
      <c r="H335" s="15">
        <v>17044</v>
      </c>
      <c r="I335" s="15">
        <v>234</v>
      </c>
      <c r="J335" s="15">
        <v>282</v>
      </c>
      <c r="K335" s="16">
        <v>5540</v>
      </c>
      <c r="L335" s="17">
        <f t="shared" si="25"/>
        <v>1.3729171555972777E-2</v>
      </c>
      <c r="M335" s="17">
        <f t="shared" si="25"/>
        <v>1.2051282051282051</v>
      </c>
      <c r="N335" s="18">
        <f t="shared" si="26"/>
        <v>79.987179487179489</v>
      </c>
      <c r="O335" s="18">
        <f t="shared" si="27"/>
        <v>66.372340425531917</v>
      </c>
      <c r="P335" s="17">
        <f t="shared" si="28"/>
        <v>3.3573094170403586</v>
      </c>
      <c r="Q335" s="17">
        <f t="shared" si="29"/>
        <v>0.29598760485120479</v>
      </c>
      <c r="R335" s="10" t="s">
        <v>702</v>
      </c>
      <c r="S335" s="14" t="s">
        <v>34</v>
      </c>
      <c r="T335" s="14" t="s">
        <v>37</v>
      </c>
      <c r="U335" s="13">
        <v>18717</v>
      </c>
      <c r="V335" s="15">
        <v>4</v>
      </c>
      <c r="W335" s="9" t="str">
        <f>IF(Table1[[#This Row],[Satisfaction Rating]]&lt;2, "Low", IF(Table1[[#This Row],[Satisfaction Rating]]&lt;4, "Medium", "High"))</f>
        <v>High</v>
      </c>
    </row>
    <row r="336" spans="1:23" ht="14" x14ac:dyDescent="0.2">
      <c r="A336" s="10" t="s">
        <v>703</v>
      </c>
      <c r="B336" s="11">
        <v>45272.426099537035</v>
      </c>
      <c r="C336" s="11">
        <v>45272.426099537035</v>
      </c>
      <c r="D336" s="11" t="str">
        <f>IF(Table1[[#This Row],[Duration of Campaign]]=0, "Ongoing","Completed")</f>
        <v>Ongoing</v>
      </c>
      <c r="E336" s="12">
        <f>Table1[[#This Row],[End Date]]-Table1[[#This Row],[Start Date]]</f>
        <v>0</v>
      </c>
      <c r="F336" s="13">
        <v>9288</v>
      </c>
      <c r="G336" s="14" t="s">
        <v>47</v>
      </c>
      <c r="H336" s="15">
        <v>19331</v>
      </c>
      <c r="I336" s="15">
        <v>453</v>
      </c>
      <c r="J336" s="15">
        <v>278</v>
      </c>
      <c r="K336" s="16">
        <v>5993</v>
      </c>
      <c r="L336" s="17">
        <f t="shared" si="25"/>
        <v>2.3433862707568153E-2</v>
      </c>
      <c r="M336" s="17">
        <f t="shared" si="25"/>
        <v>0.61368653421633557</v>
      </c>
      <c r="N336" s="18">
        <f t="shared" si="26"/>
        <v>41.046357615894038</v>
      </c>
      <c r="O336" s="18">
        <f t="shared" si="27"/>
        <v>66.884892086330936</v>
      </c>
      <c r="P336" s="17">
        <f t="shared" si="28"/>
        <v>2.001937984496124</v>
      </c>
      <c r="Q336" s="17">
        <f t="shared" si="29"/>
        <v>0.3223082714854254</v>
      </c>
      <c r="R336" s="10" t="s">
        <v>704</v>
      </c>
      <c r="S336" s="14" t="s">
        <v>31</v>
      </c>
      <c r="T336" s="14" t="s">
        <v>27</v>
      </c>
      <c r="U336" s="13">
        <v>18594</v>
      </c>
      <c r="V336" s="15">
        <v>5</v>
      </c>
      <c r="W336" s="9" t="str">
        <f>IF(Table1[[#This Row],[Satisfaction Rating]]&lt;2, "Low", IF(Table1[[#This Row],[Satisfaction Rating]]&lt;4, "Medium", "High"))</f>
        <v>High</v>
      </c>
    </row>
    <row r="337" spans="1:23" ht="14" x14ac:dyDescent="0.2">
      <c r="A337" s="10" t="s">
        <v>705</v>
      </c>
      <c r="B337" s="11">
        <v>45492.542592592596</v>
      </c>
      <c r="C337" s="11">
        <v>45492.542592592596</v>
      </c>
      <c r="D337" s="11" t="str">
        <f>IF(Table1[[#This Row],[Duration of Campaign]]=0, "Ongoing","Completed")</f>
        <v>Ongoing</v>
      </c>
      <c r="E337" s="12">
        <f>Table1[[#This Row],[End Date]]-Table1[[#This Row],[Start Date]]</f>
        <v>0</v>
      </c>
      <c r="F337" s="13">
        <v>6745</v>
      </c>
      <c r="G337" s="14" t="s">
        <v>63</v>
      </c>
      <c r="H337" s="15">
        <v>15643</v>
      </c>
      <c r="I337" s="15">
        <v>1656</v>
      </c>
      <c r="J337" s="15">
        <v>46</v>
      </c>
      <c r="K337" s="16">
        <v>9937</v>
      </c>
      <c r="L337" s="17">
        <f t="shared" si="25"/>
        <v>0.10586204692194592</v>
      </c>
      <c r="M337" s="17">
        <f t="shared" si="25"/>
        <v>2.7777777777777776E-2</v>
      </c>
      <c r="N337" s="18">
        <f t="shared" si="26"/>
        <v>8.0730676328502415</v>
      </c>
      <c r="O337" s="18">
        <f t="shared" si="27"/>
        <v>290.63043478260869</v>
      </c>
      <c r="P337" s="17">
        <f t="shared" si="28"/>
        <v>1.982060785767235</v>
      </c>
      <c r="Q337" s="17">
        <f t="shared" si="29"/>
        <v>0.74328670805595032</v>
      </c>
      <c r="R337" s="10" t="s">
        <v>706</v>
      </c>
      <c r="S337" s="14" t="s">
        <v>45</v>
      </c>
      <c r="T337" s="14" t="s">
        <v>55</v>
      </c>
      <c r="U337" s="13">
        <v>13369</v>
      </c>
      <c r="V337" s="15">
        <v>1</v>
      </c>
      <c r="W337" s="9" t="str">
        <f>IF(Table1[[#This Row],[Satisfaction Rating]]&lt;2, "Low", IF(Table1[[#This Row],[Satisfaction Rating]]&lt;4, "Medium", "High"))</f>
        <v>Low</v>
      </c>
    </row>
    <row r="338" spans="1:23" ht="14" x14ac:dyDescent="0.2">
      <c r="A338" s="10" t="s">
        <v>707</v>
      </c>
      <c r="B338" s="11">
        <v>45269.419236111113</v>
      </c>
      <c r="C338" s="11">
        <v>45485.917442129627</v>
      </c>
      <c r="D338" s="11" t="str">
        <f>IF(Table1[[#This Row],[Duration of Campaign]]=0, "Ongoing","Completed")</f>
        <v>Completed</v>
      </c>
      <c r="E338" s="12">
        <f>Table1[[#This Row],[End Date]]-Table1[[#This Row],[Start Date]]</f>
        <v>216.49820601851388</v>
      </c>
      <c r="F338" s="13">
        <v>5001</v>
      </c>
      <c r="G338" s="14" t="s">
        <v>24</v>
      </c>
      <c r="H338" s="15">
        <v>11873</v>
      </c>
      <c r="I338" s="15">
        <v>1366</v>
      </c>
      <c r="J338" s="15">
        <v>500</v>
      </c>
      <c r="K338" s="16">
        <v>11279</v>
      </c>
      <c r="L338" s="17">
        <f t="shared" si="25"/>
        <v>0.11505095595047587</v>
      </c>
      <c r="M338" s="17">
        <f t="shared" si="25"/>
        <v>0.36603221083455345</v>
      </c>
      <c r="N338" s="18">
        <f t="shared" si="26"/>
        <v>9.8221083455344065</v>
      </c>
      <c r="O338" s="18">
        <f t="shared" si="27"/>
        <v>26.834</v>
      </c>
      <c r="P338" s="17">
        <f t="shared" si="28"/>
        <v>2.6828634273145373</v>
      </c>
      <c r="Q338" s="17">
        <f t="shared" si="29"/>
        <v>0.84064992174107478</v>
      </c>
      <c r="R338" s="10" t="s">
        <v>708</v>
      </c>
      <c r="S338" s="14" t="s">
        <v>40</v>
      </c>
      <c r="T338" s="14" t="s">
        <v>37</v>
      </c>
      <c r="U338" s="13">
        <v>13417</v>
      </c>
      <c r="V338" s="15">
        <v>3</v>
      </c>
      <c r="W338" s="9" t="str">
        <f>IF(Table1[[#This Row],[Satisfaction Rating]]&lt;2, "Low", IF(Table1[[#This Row],[Satisfaction Rating]]&lt;4, "Medium", "High"))</f>
        <v>Medium</v>
      </c>
    </row>
    <row r="339" spans="1:23" ht="14" x14ac:dyDescent="0.2">
      <c r="A339" s="10" t="s">
        <v>709</v>
      </c>
      <c r="B339" s="11">
        <v>45428.315127314818</v>
      </c>
      <c r="C339" s="11">
        <v>45428.315127314818</v>
      </c>
      <c r="D339" s="11" t="str">
        <f>IF(Table1[[#This Row],[Duration of Campaign]]=0, "Ongoing","Completed")</f>
        <v>Ongoing</v>
      </c>
      <c r="E339" s="12">
        <f>Table1[[#This Row],[End Date]]-Table1[[#This Row],[Start Date]]</f>
        <v>0</v>
      </c>
      <c r="F339" s="13">
        <v>7554</v>
      </c>
      <c r="G339" s="14" t="s">
        <v>63</v>
      </c>
      <c r="H339" s="15">
        <v>2782</v>
      </c>
      <c r="I339" s="15">
        <v>1866</v>
      </c>
      <c r="J339" s="15">
        <v>375</v>
      </c>
      <c r="K339" s="16">
        <v>5636</v>
      </c>
      <c r="L339" s="17">
        <f t="shared" si="25"/>
        <v>0.67074047447879226</v>
      </c>
      <c r="M339" s="17">
        <f t="shared" si="25"/>
        <v>0.20096463022508038</v>
      </c>
      <c r="N339" s="18">
        <f t="shared" si="26"/>
        <v>5.866023579849946</v>
      </c>
      <c r="O339" s="18">
        <f t="shared" si="27"/>
        <v>29.189333333333334</v>
      </c>
      <c r="P339" s="17">
        <f t="shared" si="28"/>
        <v>1.4490336245697644</v>
      </c>
      <c r="Q339" s="17">
        <f t="shared" si="29"/>
        <v>0.514891284487484</v>
      </c>
      <c r="R339" s="10" t="s">
        <v>710</v>
      </c>
      <c r="S339" s="14" t="s">
        <v>40</v>
      </c>
      <c r="T339" s="14" t="s">
        <v>55</v>
      </c>
      <c r="U339" s="13">
        <v>10946</v>
      </c>
      <c r="V339" s="15">
        <v>4</v>
      </c>
      <c r="W339" s="9" t="str">
        <f>IF(Table1[[#This Row],[Satisfaction Rating]]&lt;2, "Low", IF(Table1[[#This Row],[Satisfaction Rating]]&lt;4, "Medium", "High"))</f>
        <v>High</v>
      </c>
    </row>
    <row r="340" spans="1:23" ht="14" x14ac:dyDescent="0.2">
      <c r="A340" s="10" t="s">
        <v>711</v>
      </c>
      <c r="B340" s="11">
        <v>45427.460636574076</v>
      </c>
      <c r="C340" s="11">
        <v>45427.460636574076</v>
      </c>
      <c r="D340" s="11" t="str">
        <f>IF(Table1[[#This Row],[Duration of Campaign]]=0, "Ongoing","Completed")</f>
        <v>Ongoing</v>
      </c>
      <c r="E340" s="12">
        <f>Table1[[#This Row],[End Date]]-Table1[[#This Row],[Start Date]]</f>
        <v>0</v>
      </c>
      <c r="F340" s="13">
        <v>9316</v>
      </c>
      <c r="G340" s="14" t="s">
        <v>47</v>
      </c>
      <c r="H340" s="15">
        <v>9474</v>
      </c>
      <c r="I340" s="15">
        <v>912</v>
      </c>
      <c r="J340" s="15">
        <v>215</v>
      </c>
      <c r="K340" s="16">
        <v>3889</v>
      </c>
      <c r="L340" s="17">
        <f t="shared" si="25"/>
        <v>9.6263457884737169E-2</v>
      </c>
      <c r="M340" s="17">
        <f t="shared" si="25"/>
        <v>0.23574561403508773</v>
      </c>
      <c r="N340" s="18">
        <f t="shared" si="26"/>
        <v>3.3640350877192984</v>
      </c>
      <c r="O340" s="18">
        <f t="shared" si="27"/>
        <v>14.269767441860465</v>
      </c>
      <c r="P340" s="17">
        <f t="shared" si="28"/>
        <v>0.32932589094031772</v>
      </c>
      <c r="Q340" s="17">
        <f t="shared" si="29"/>
        <v>1.2676010430247719</v>
      </c>
      <c r="R340" s="10" t="s">
        <v>712</v>
      </c>
      <c r="S340" s="14" t="s">
        <v>45</v>
      </c>
      <c r="T340" s="14" t="s">
        <v>55</v>
      </c>
      <c r="U340" s="13">
        <v>3068</v>
      </c>
      <c r="V340" s="15">
        <v>4</v>
      </c>
      <c r="W340" s="9" t="str">
        <f>IF(Table1[[#This Row],[Satisfaction Rating]]&lt;2, "Low", IF(Table1[[#This Row],[Satisfaction Rating]]&lt;4, "Medium", "High"))</f>
        <v>High</v>
      </c>
    </row>
    <row r="341" spans="1:23" ht="14" x14ac:dyDescent="0.2">
      <c r="A341" s="10" t="s">
        <v>713</v>
      </c>
      <c r="B341" s="11">
        <v>44951.60125</v>
      </c>
      <c r="C341" s="11">
        <v>45619.283356481479</v>
      </c>
      <c r="D341" s="11" t="str">
        <f>IF(Table1[[#This Row],[Duration of Campaign]]=0, "Ongoing","Completed")</f>
        <v>Completed</v>
      </c>
      <c r="E341" s="12">
        <f>Table1[[#This Row],[End Date]]-Table1[[#This Row],[Start Date]]</f>
        <v>667.68210648147942</v>
      </c>
      <c r="F341" s="13">
        <v>4169</v>
      </c>
      <c r="G341" s="14" t="s">
        <v>47</v>
      </c>
      <c r="H341" s="15">
        <v>4758</v>
      </c>
      <c r="I341" s="15">
        <v>702</v>
      </c>
      <c r="J341" s="15">
        <v>100</v>
      </c>
      <c r="K341" s="16">
        <v>13819</v>
      </c>
      <c r="L341" s="17">
        <f t="shared" si="25"/>
        <v>0.14754098360655737</v>
      </c>
      <c r="M341" s="17">
        <f t="shared" si="25"/>
        <v>0.14245014245014245</v>
      </c>
      <c r="N341" s="18">
        <f t="shared" si="26"/>
        <v>12.065527065527066</v>
      </c>
      <c r="O341" s="18">
        <f t="shared" si="27"/>
        <v>84.7</v>
      </c>
      <c r="P341" s="17">
        <f t="shared" si="28"/>
        <v>2.0316622691292876</v>
      </c>
      <c r="Q341" s="17">
        <f t="shared" si="29"/>
        <v>1.6315230224321133</v>
      </c>
      <c r="R341" s="10" t="s">
        <v>714</v>
      </c>
      <c r="S341" s="14" t="s">
        <v>40</v>
      </c>
      <c r="T341" s="14" t="s">
        <v>37</v>
      </c>
      <c r="U341" s="13">
        <v>8470</v>
      </c>
      <c r="V341" s="15">
        <v>5</v>
      </c>
      <c r="W341" s="9" t="str">
        <f>IF(Table1[[#This Row],[Satisfaction Rating]]&lt;2, "Low", IF(Table1[[#This Row],[Satisfaction Rating]]&lt;4, "Medium", "High"))</f>
        <v>High</v>
      </c>
    </row>
    <row r="342" spans="1:23" ht="14" x14ac:dyDescent="0.2">
      <c r="A342" s="10" t="s">
        <v>715</v>
      </c>
      <c r="B342" s="11">
        <v>45242.480381944442</v>
      </c>
      <c r="C342" s="11">
        <v>45242.480381944442</v>
      </c>
      <c r="D342" s="11" t="str">
        <f>IF(Table1[[#This Row],[Duration of Campaign]]=0, "Ongoing","Completed")</f>
        <v>Ongoing</v>
      </c>
      <c r="E342" s="12">
        <f>Table1[[#This Row],[End Date]]-Table1[[#This Row],[Start Date]]</f>
        <v>0</v>
      </c>
      <c r="F342" s="13">
        <v>9113</v>
      </c>
      <c r="G342" s="14" t="s">
        <v>24</v>
      </c>
      <c r="H342" s="15">
        <v>11694</v>
      </c>
      <c r="I342" s="15">
        <v>1512</v>
      </c>
      <c r="J342" s="15">
        <v>143</v>
      </c>
      <c r="K342" s="16">
        <v>6299</v>
      </c>
      <c r="L342" s="17">
        <f t="shared" si="25"/>
        <v>0.12929707542329399</v>
      </c>
      <c r="M342" s="17">
        <f t="shared" si="25"/>
        <v>9.4576719576719578E-2</v>
      </c>
      <c r="N342" s="18">
        <f t="shared" si="26"/>
        <v>3.517195767195767</v>
      </c>
      <c r="O342" s="18">
        <f t="shared" si="27"/>
        <v>37.188811188811187</v>
      </c>
      <c r="P342" s="17">
        <f t="shared" si="28"/>
        <v>0.58356194447492593</v>
      </c>
      <c r="Q342" s="17">
        <f t="shared" si="29"/>
        <v>1.1844678450545318</v>
      </c>
      <c r="R342" s="10" t="s">
        <v>716</v>
      </c>
      <c r="S342" s="14" t="s">
        <v>45</v>
      </c>
      <c r="T342" s="14" t="s">
        <v>55</v>
      </c>
      <c r="U342" s="13">
        <v>5318</v>
      </c>
      <c r="V342" s="15">
        <v>2</v>
      </c>
      <c r="W342" s="9" t="str">
        <f>IF(Table1[[#This Row],[Satisfaction Rating]]&lt;2, "Low", IF(Table1[[#This Row],[Satisfaction Rating]]&lt;4, "Medium", "High"))</f>
        <v>Medium</v>
      </c>
    </row>
    <row r="343" spans="1:23" ht="14" x14ac:dyDescent="0.2">
      <c r="A343" s="10" t="s">
        <v>717</v>
      </c>
      <c r="B343" s="11">
        <v>45472.367083333331</v>
      </c>
      <c r="C343" s="11">
        <v>45472.367083333331</v>
      </c>
      <c r="D343" s="11" t="str">
        <f>IF(Table1[[#This Row],[Duration of Campaign]]=0, "Ongoing","Completed")</f>
        <v>Ongoing</v>
      </c>
      <c r="E343" s="12">
        <f>Table1[[#This Row],[End Date]]-Table1[[#This Row],[Start Date]]</f>
        <v>0</v>
      </c>
      <c r="F343" s="13">
        <v>1576</v>
      </c>
      <c r="G343" s="14" t="s">
        <v>29</v>
      </c>
      <c r="H343" s="15">
        <v>7503</v>
      </c>
      <c r="I343" s="15">
        <v>149</v>
      </c>
      <c r="J343" s="15">
        <v>39</v>
      </c>
      <c r="K343" s="16">
        <v>9983</v>
      </c>
      <c r="L343" s="17">
        <f t="shared" si="25"/>
        <v>1.9858723177395707E-2</v>
      </c>
      <c r="M343" s="17">
        <f t="shared" si="25"/>
        <v>0.26174496644295303</v>
      </c>
      <c r="N343" s="18">
        <f t="shared" si="26"/>
        <v>88.583892617449663</v>
      </c>
      <c r="O343" s="18">
        <f t="shared" si="27"/>
        <v>338.43589743589746</v>
      </c>
      <c r="P343" s="17">
        <f t="shared" si="28"/>
        <v>8.375</v>
      </c>
      <c r="Q343" s="17">
        <f t="shared" si="29"/>
        <v>0.75634517766497467</v>
      </c>
      <c r="R343" s="10" t="s">
        <v>718</v>
      </c>
      <c r="S343" s="14" t="s">
        <v>34</v>
      </c>
      <c r="T343" s="14" t="s">
        <v>55</v>
      </c>
      <c r="U343" s="13">
        <v>13199</v>
      </c>
      <c r="V343" s="15">
        <v>5</v>
      </c>
      <c r="W343" s="9" t="str">
        <f>IF(Table1[[#This Row],[Satisfaction Rating]]&lt;2, "Low", IF(Table1[[#This Row],[Satisfaction Rating]]&lt;4, "Medium", "High"))</f>
        <v>High</v>
      </c>
    </row>
    <row r="344" spans="1:23" ht="14" x14ac:dyDescent="0.2">
      <c r="A344" s="10" t="s">
        <v>719</v>
      </c>
      <c r="B344" s="11">
        <v>45262.615844907406</v>
      </c>
      <c r="C344" s="11">
        <v>45482.99077546296</v>
      </c>
      <c r="D344" s="11" t="str">
        <f>IF(Table1[[#This Row],[Duration of Campaign]]=0, "Ongoing","Completed")</f>
        <v>Completed</v>
      </c>
      <c r="E344" s="12">
        <f>Table1[[#This Row],[End Date]]-Table1[[#This Row],[Start Date]]</f>
        <v>220.37493055555387</v>
      </c>
      <c r="F344" s="13">
        <v>9631</v>
      </c>
      <c r="G344" s="14" t="s">
        <v>63</v>
      </c>
      <c r="H344" s="15">
        <v>1586</v>
      </c>
      <c r="I344" s="15">
        <v>172</v>
      </c>
      <c r="J344" s="15">
        <v>20</v>
      </c>
      <c r="K344" s="16">
        <v>13202</v>
      </c>
      <c r="L344" s="17">
        <f t="shared" si="25"/>
        <v>0.10844892812105927</v>
      </c>
      <c r="M344" s="17">
        <f t="shared" si="25"/>
        <v>0.11627906976744186</v>
      </c>
      <c r="N344" s="18">
        <f t="shared" si="26"/>
        <v>98.633720930232556</v>
      </c>
      <c r="O344" s="18">
        <f t="shared" si="27"/>
        <v>848.25</v>
      </c>
      <c r="P344" s="17">
        <f t="shared" si="28"/>
        <v>1.761499325096044</v>
      </c>
      <c r="Q344" s="17">
        <f t="shared" si="29"/>
        <v>0.77819039198349538</v>
      </c>
      <c r="R344" s="10" t="s">
        <v>720</v>
      </c>
      <c r="S344" s="14" t="s">
        <v>34</v>
      </c>
      <c r="T344" s="14" t="s">
        <v>37</v>
      </c>
      <c r="U344" s="13">
        <v>16965</v>
      </c>
      <c r="V344" s="15">
        <v>3</v>
      </c>
      <c r="W344" s="9" t="str">
        <f>IF(Table1[[#This Row],[Satisfaction Rating]]&lt;2, "Low", IF(Table1[[#This Row],[Satisfaction Rating]]&lt;4, "Medium", "High"))</f>
        <v>Medium</v>
      </c>
    </row>
    <row r="345" spans="1:23" ht="14" x14ac:dyDescent="0.2">
      <c r="A345" s="10" t="s">
        <v>721</v>
      </c>
      <c r="B345" s="11">
        <v>45383.070277777777</v>
      </c>
      <c r="C345" s="11">
        <v>45383.070277777777</v>
      </c>
      <c r="D345" s="11" t="str">
        <f>IF(Table1[[#This Row],[Duration of Campaign]]=0, "Ongoing","Completed")</f>
        <v>Ongoing</v>
      </c>
      <c r="E345" s="12">
        <f>Table1[[#This Row],[End Date]]-Table1[[#This Row],[Start Date]]</f>
        <v>0</v>
      </c>
      <c r="F345" s="13">
        <v>4295</v>
      </c>
      <c r="G345" s="14" t="s">
        <v>63</v>
      </c>
      <c r="H345" s="15">
        <v>14284</v>
      </c>
      <c r="I345" s="15">
        <v>1016</v>
      </c>
      <c r="J345" s="15">
        <v>259</v>
      </c>
      <c r="K345" s="16">
        <v>1216</v>
      </c>
      <c r="L345" s="17">
        <f t="shared" si="25"/>
        <v>7.1128535424250905E-2</v>
      </c>
      <c r="M345" s="17">
        <f t="shared" si="25"/>
        <v>0.25492125984251968</v>
      </c>
      <c r="N345" s="18">
        <f t="shared" si="26"/>
        <v>11.890748031496063</v>
      </c>
      <c r="O345" s="18">
        <f t="shared" si="27"/>
        <v>46.644787644787648</v>
      </c>
      <c r="P345" s="17">
        <f t="shared" si="28"/>
        <v>2.8128055878928988</v>
      </c>
      <c r="Q345" s="17">
        <f t="shared" si="29"/>
        <v>0.10065391937753497</v>
      </c>
      <c r="R345" s="10" t="s">
        <v>722</v>
      </c>
      <c r="S345" s="14" t="s">
        <v>45</v>
      </c>
      <c r="T345" s="14" t="s">
        <v>55</v>
      </c>
      <c r="U345" s="13">
        <v>12081</v>
      </c>
      <c r="V345" s="15">
        <v>2</v>
      </c>
      <c r="W345" s="9" t="str">
        <f>IF(Table1[[#This Row],[Satisfaction Rating]]&lt;2, "Low", IF(Table1[[#This Row],[Satisfaction Rating]]&lt;4, "Medium", "High"))</f>
        <v>Medium</v>
      </c>
    </row>
    <row r="346" spans="1:23" ht="14" x14ac:dyDescent="0.2">
      <c r="A346" s="10" t="s">
        <v>723</v>
      </c>
      <c r="B346" s="11">
        <v>45127.196875000001</v>
      </c>
      <c r="C346" s="11">
        <v>45127.196875000001</v>
      </c>
      <c r="D346" s="11" t="str">
        <f>IF(Table1[[#This Row],[Duration of Campaign]]=0, "Ongoing","Completed")</f>
        <v>Ongoing</v>
      </c>
      <c r="E346" s="12">
        <f>Table1[[#This Row],[End Date]]-Table1[[#This Row],[Start Date]]</f>
        <v>0</v>
      </c>
      <c r="F346" s="13">
        <v>3996</v>
      </c>
      <c r="G346" s="14" t="s">
        <v>29</v>
      </c>
      <c r="H346" s="15">
        <v>8557</v>
      </c>
      <c r="I346" s="15">
        <v>342</v>
      </c>
      <c r="J346" s="15">
        <v>453</v>
      </c>
      <c r="K346" s="16">
        <v>13436</v>
      </c>
      <c r="L346" s="17">
        <f t="shared" si="25"/>
        <v>3.9967278251723734E-2</v>
      </c>
      <c r="M346" s="17">
        <f t="shared" si="25"/>
        <v>1.3245614035087718</v>
      </c>
      <c r="N346" s="18">
        <f t="shared" si="26"/>
        <v>9.0555555555555554</v>
      </c>
      <c r="O346" s="18">
        <f t="shared" si="27"/>
        <v>6.8366445916114786</v>
      </c>
      <c r="P346" s="17">
        <f t="shared" si="28"/>
        <v>0.77502502502502502</v>
      </c>
      <c r="Q346" s="17">
        <f t="shared" si="29"/>
        <v>4.3383919922505649</v>
      </c>
      <c r="R346" s="10" t="s">
        <v>724</v>
      </c>
      <c r="S346" s="14" t="s">
        <v>40</v>
      </c>
      <c r="T346" s="14" t="s">
        <v>27</v>
      </c>
      <c r="U346" s="13">
        <v>3097</v>
      </c>
      <c r="V346" s="15">
        <v>2</v>
      </c>
      <c r="W346" s="9" t="str">
        <f>IF(Table1[[#This Row],[Satisfaction Rating]]&lt;2, "Low", IF(Table1[[#This Row],[Satisfaction Rating]]&lt;4, "Medium", "High"))</f>
        <v>Medium</v>
      </c>
    </row>
    <row r="347" spans="1:23" ht="14" x14ac:dyDescent="0.2">
      <c r="A347" s="10" t="s">
        <v>725</v>
      </c>
      <c r="B347" s="11">
        <v>45088.581493055557</v>
      </c>
      <c r="C347" s="11">
        <v>45562.187534722223</v>
      </c>
      <c r="D347" s="11" t="str">
        <f>IF(Table1[[#This Row],[Duration of Campaign]]=0, "Ongoing","Completed")</f>
        <v>Completed</v>
      </c>
      <c r="E347" s="12">
        <f>Table1[[#This Row],[End Date]]-Table1[[#This Row],[Start Date]]</f>
        <v>473.60604166666599</v>
      </c>
      <c r="F347" s="13">
        <v>6961</v>
      </c>
      <c r="G347" s="14" t="s">
        <v>29</v>
      </c>
      <c r="H347" s="15">
        <v>14510</v>
      </c>
      <c r="I347" s="15">
        <v>673</v>
      </c>
      <c r="J347" s="15">
        <v>211</v>
      </c>
      <c r="K347" s="16">
        <v>10461</v>
      </c>
      <c r="L347" s="17">
        <f t="shared" si="25"/>
        <v>4.6381805651274984E-2</v>
      </c>
      <c r="M347" s="17">
        <f t="shared" si="25"/>
        <v>0.31352154531946508</v>
      </c>
      <c r="N347" s="18">
        <f t="shared" si="26"/>
        <v>10.649331352154531</v>
      </c>
      <c r="O347" s="18">
        <f t="shared" si="27"/>
        <v>33.96682464454976</v>
      </c>
      <c r="P347" s="17">
        <f t="shared" si="28"/>
        <v>1.0295934492170664</v>
      </c>
      <c r="Q347" s="17">
        <f t="shared" si="29"/>
        <v>1.4596065299288405</v>
      </c>
      <c r="R347" s="10" t="s">
        <v>726</v>
      </c>
      <c r="S347" s="14" t="s">
        <v>31</v>
      </c>
      <c r="T347" s="14" t="s">
        <v>27</v>
      </c>
      <c r="U347" s="13">
        <v>7167</v>
      </c>
      <c r="V347" s="15">
        <v>2</v>
      </c>
      <c r="W347" s="9" t="str">
        <f>IF(Table1[[#This Row],[Satisfaction Rating]]&lt;2, "Low", IF(Table1[[#This Row],[Satisfaction Rating]]&lt;4, "Medium", "High"))</f>
        <v>Medium</v>
      </c>
    </row>
    <row r="348" spans="1:23" ht="14" x14ac:dyDescent="0.2">
      <c r="A348" s="10" t="s">
        <v>727</v>
      </c>
      <c r="B348" s="11">
        <v>45348.301319444443</v>
      </c>
      <c r="C348" s="11">
        <v>45348.301319444443</v>
      </c>
      <c r="D348" s="11" t="str">
        <f>IF(Table1[[#This Row],[Duration of Campaign]]=0, "Ongoing","Completed")</f>
        <v>Ongoing</v>
      </c>
      <c r="E348" s="12">
        <f>Table1[[#This Row],[End Date]]-Table1[[#This Row],[Start Date]]</f>
        <v>0</v>
      </c>
      <c r="F348" s="13">
        <v>8715</v>
      </c>
      <c r="G348" s="14" t="s">
        <v>63</v>
      </c>
      <c r="H348" s="15">
        <v>3025</v>
      </c>
      <c r="I348" s="15">
        <v>320</v>
      </c>
      <c r="J348" s="15">
        <v>61</v>
      </c>
      <c r="K348" s="16">
        <v>14867</v>
      </c>
      <c r="L348" s="17">
        <f t="shared" si="25"/>
        <v>0.10578512396694215</v>
      </c>
      <c r="M348" s="17">
        <f t="shared" si="25"/>
        <v>0.19062499999999999</v>
      </c>
      <c r="N348" s="18">
        <f t="shared" si="26"/>
        <v>12.706250000000001</v>
      </c>
      <c r="O348" s="18">
        <f t="shared" si="27"/>
        <v>66.655737704918039</v>
      </c>
      <c r="P348" s="17">
        <f t="shared" si="28"/>
        <v>0.46655192197360873</v>
      </c>
      <c r="Q348" s="17">
        <f t="shared" si="29"/>
        <v>3.6564190850959175</v>
      </c>
      <c r="R348" s="10" t="s">
        <v>728</v>
      </c>
      <c r="S348" s="14" t="s">
        <v>34</v>
      </c>
      <c r="T348" s="14" t="s">
        <v>27</v>
      </c>
      <c r="U348" s="13">
        <v>4066</v>
      </c>
      <c r="V348" s="15">
        <v>4</v>
      </c>
      <c r="W348" s="9" t="str">
        <f>IF(Table1[[#This Row],[Satisfaction Rating]]&lt;2, "Low", IF(Table1[[#This Row],[Satisfaction Rating]]&lt;4, "Medium", "High"))</f>
        <v>High</v>
      </c>
    </row>
    <row r="349" spans="1:23" ht="14" x14ac:dyDescent="0.2">
      <c r="A349" s="10" t="s">
        <v>729</v>
      </c>
      <c r="B349" s="11">
        <v>45227.563773148147</v>
      </c>
      <c r="C349" s="11">
        <v>45416.462650462963</v>
      </c>
      <c r="D349" s="11" t="str">
        <f>IF(Table1[[#This Row],[Duration of Campaign]]=0, "Ongoing","Completed")</f>
        <v>Completed</v>
      </c>
      <c r="E349" s="12">
        <f>Table1[[#This Row],[End Date]]-Table1[[#This Row],[Start Date]]</f>
        <v>188.89887731481576</v>
      </c>
      <c r="F349" s="13">
        <v>9459</v>
      </c>
      <c r="G349" s="14" t="s">
        <v>47</v>
      </c>
      <c r="H349" s="15">
        <v>13421</v>
      </c>
      <c r="I349" s="15">
        <v>1306</v>
      </c>
      <c r="J349" s="15">
        <v>35</v>
      </c>
      <c r="K349" s="16">
        <v>4645</v>
      </c>
      <c r="L349" s="17">
        <f t="shared" si="25"/>
        <v>9.7310185530139329E-2</v>
      </c>
      <c r="M349" s="17">
        <f t="shared" si="25"/>
        <v>2.679938744257274E-2</v>
      </c>
      <c r="N349" s="18">
        <f t="shared" si="26"/>
        <v>6.6508422664624804</v>
      </c>
      <c r="O349" s="18">
        <f t="shared" si="27"/>
        <v>248.17142857142858</v>
      </c>
      <c r="P349" s="17">
        <f t="shared" si="28"/>
        <v>0.91827888783169465</v>
      </c>
      <c r="Q349" s="17">
        <f t="shared" si="29"/>
        <v>0.53476859313838365</v>
      </c>
      <c r="R349" s="10" t="s">
        <v>730</v>
      </c>
      <c r="S349" s="14" t="s">
        <v>26</v>
      </c>
      <c r="T349" s="14" t="s">
        <v>27</v>
      </c>
      <c r="U349" s="13">
        <v>8686</v>
      </c>
      <c r="V349" s="15">
        <v>2</v>
      </c>
      <c r="W349" s="9" t="str">
        <f>IF(Table1[[#This Row],[Satisfaction Rating]]&lt;2, "Low", IF(Table1[[#This Row],[Satisfaction Rating]]&lt;4, "Medium", "High"))</f>
        <v>Medium</v>
      </c>
    </row>
    <row r="350" spans="1:23" ht="14" x14ac:dyDescent="0.2">
      <c r="A350" s="10" t="s">
        <v>731</v>
      </c>
      <c r="B350" s="11">
        <v>45572.612962962965</v>
      </c>
      <c r="C350" s="11">
        <v>45572.612962962965</v>
      </c>
      <c r="D350" s="11" t="str">
        <f>IF(Table1[[#This Row],[Duration of Campaign]]=0, "Ongoing","Completed")</f>
        <v>Ongoing</v>
      </c>
      <c r="E350" s="12">
        <f>Table1[[#This Row],[End Date]]-Table1[[#This Row],[Start Date]]</f>
        <v>0</v>
      </c>
      <c r="F350" s="13">
        <v>9733</v>
      </c>
      <c r="G350" s="14" t="s">
        <v>47</v>
      </c>
      <c r="H350" s="15">
        <v>12471</v>
      </c>
      <c r="I350" s="15">
        <v>1989</v>
      </c>
      <c r="J350" s="15">
        <v>247</v>
      </c>
      <c r="K350" s="16">
        <v>8915</v>
      </c>
      <c r="L350" s="17">
        <f t="shared" si="25"/>
        <v>0.15949001683906663</v>
      </c>
      <c r="M350" s="17">
        <f t="shared" si="25"/>
        <v>0.12418300653594772</v>
      </c>
      <c r="N350" s="18">
        <f t="shared" si="26"/>
        <v>0.66163901458019103</v>
      </c>
      <c r="O350" s="18">
        <f t="shared" si="27"/>
        <v>5.3279352226720649</v>
      </c>
      <c r="P350" s="17">
        <f t="shared" si="28"/>
        <v>0.13521010993527174</v>
      </c>
      <c r="Q350" s="17">
        <f t="shared" si="29"/>
        <v>6.7743161094224922</v>
      </c>
      <c r="R350" s="10" t="s">
        <v>732</v>
      </c>
      <c r="S350" s="14" t="s">
        <v>45</v>
      </c>
      <c r="T350" s="14" t="s">
        <v>55</v>
      </c>
      <c r="U350" s="13">
        <v>1316</v>
      </c>
      <c r="V350" s="15">
        <v>4</v>
      </c>
      <c r="W350" s="9" t="str">
        <f>IF(Table1[[#This Row],[Satisfaction Rating]]&lt;2, "Low", IF(Table1[[#This Row],[Satisfaction Rating]]&lt;4, "Medium", "High"))</f>
        <v>High</v>
      </c>
    </row>
    <row r="351" spans="1:23" ht="14" x14ac:dyDescent="0.2">
      <c r="A351" s="10" t="s">
        <v>733</v>
      </c>
      <c r="B351" s="11">
        <v>44932.492303240739</v>
      </c>
      <c r="C351" s="11">
        <v>45030.985451388886</v>
      </c>
      <c r="D351" s="11" t="str">
        <f>IF(Table1[[#This Row],[Duration of Campaign]]=0, "Ongoing","Completed")</f>
        <v>Completed</v>
      </c>
      <c r="E351" s="12">
        <f>Table1[[#This Row],[End Date]]-Table1[[#This Row],[Start Date]]</f>
        <v>98.493148148147156</v>
      </c>
      <c r="F351" s="13">
        <v>4607</v>
      </c>
      <c r="G351" s="14" t="s">
        <v>29</v>
      </c>
      <c r="H351" s="15">
        <v>3277</v>
      </c>
      <c r="I351" s="15">
        <v>850</v>
      </c>
      <c r="J351" s="15">
        <v>371</v>
      </c>
      <c r="K351" s="16">
        <v>8642</v>
      </c>
      <c r="L351" s="17">
        <f t="shared" si="25"/>
        <v>0.2593835825450107</v>
      </c>
      <c r="M351" s="17">
        <f t="shared" si="25"/>
        <v>0.43647058823529411</v>
      </c>
      <c r="N351" s="18">
        <f t="shared" si="26"/>
        <v>14.087058823529413</v>
      </c>
      <c r="O351" s="18">
        <f t="shared" si="27"/>
        <v>32.274932614555254</v>
      </c>
      <c r="P351" s="17">
        <f t="shared" si="28"/>
        <v>2.5990883438246146</v>
      </c>
      <c r="Q351" s="17">
        <f t="shared" si="29"/>
        <v>0.72173041590111908</v>
      </c>
      <c r="R351" s="10" t="s">
        <v>734</v>
      </c>
      <c r="S351" s="14" t="s">
        <v>45</v>
      </c>
      <c r="T351" s="14" t="s">
        <v>27</v>
      </c>
      <c r="U351" s="13">
        <v>11974</v>
      </c>
      <c r="V351" s="15">
        <v>3</v>
      </c>
      <c r="W351" s="9" t="str">
        <f>IF(Table1[[#This Row],[Satisfaction Rating]]&lt;2, "Low", IF(Table1[[#This Row],[Satisfaction Rating]]&lt;4, "Medium", "High"))</f>
        <v>Medium</v>
      </c>
    </row>
    <row r="352" spans="1:23" ht="14" x14ac:dyDescent="0.2">
      <c r="A352" s="10" t="s">
        <v>735</v>
      </c>
      <c r="B352" s="11">
        <v>45182.228206018517</v>
      </c>
      <c r="C352" s="11">
        <v>45442.97115740741</v>
      </c>
      <c r="D352" s="11" t="str">
        <f>IF(Table1[[#This Row],[Duration of Campaign]]=0, "Ongoing","Completed")</f>
        <v>Completed</v>
      </c>
      <c r="E352" s="12">
        <f>Table1[[#This Row],[End Date]]-Table1[[#This Row],[Start Date]]</f>
        <v>260.74295138889283</v>
      </c>
      <c r="F352" s="13">
        <v>5476</v>
      </c>
      <c r="G352" s="14" t="s">
        <v>47</v>
      </c>
      <c r="H352" s="15">
        <v>3156</v>
      </c>
      <c r="I352" s="15">
        <v>1066</v>
      </c>
      <c r="J352" s="15">
        <v>452</v>
      </c>
      <c r="K352" s="16">
        <v>6664</v>
      </c>
      <c r="L352" s="17">
        <f t="shared" si="25"/>
        <v>0.33776932826362482</v>
      </c>
      <c r="M352" s="17">
        <f t="shared" si="25"/>
        <v>0.42401500938086306</v>
      </c>
      <c r="N352" s="18">
        <f t="shared" si="26"/>
        <v>2.1744840525328328</v>
      </c>
      <c r="O352" s="18">
        <f t="shared" si="27"/>
        <v>5.1283185840707963</v>
      </c>
      <c r="P352" s="17">
        <f t="shared" si="28"/>
        <v>0.42330168005843682</v>
      </c>
      <c r="Q352" s="17">
        <f t="shared" si="29"/>
        <v>2.8748921484037964</v>
      </c>
      <c r="R352" s="10" t="s">
        <v>736</v>
      </c>
      <c r="S352" s="14" t="s">
        <v>26</v>
      </c>
      <c r="T352" s="14" t="s">
        <v>55</v>
      </c>
      <c r="U352" s="13">
        <v>2318</v>
      </c>
      <c r="V352" s="15">
        <v>3</v>
      </c>
      <c r="W352" s="9" t="str">
        <f>IF(Table1[[#This Row],[Satisfaction Rating]]&lt;2, "Low", IF(Table1[[#This Row],[Satisfaction Rating]]&lt;4, "Medium", "High"))</f>
        <v>Medium</v>
      </c>
    </row>
    <row r="353" spans="1:23" ht="14" x14ac:dyDescent="0.2">
      <c r="A353" s="10" t="s">
        <v>737</v>
      </c>
      <c r="B353" s="11">
        <v>45639.450011574074</v>
      </c>
      <c r="C353" s="11">
        <v>45639.450011574074</v>
      </c>
      <c r="D353" s="11" t="str">
        <f>IF(Table1[[#This Row],[Duration of Campaign]]=0, "Ongoing","Completed")</f>
        <v>Ongoing</v>
      </c>
      <c r="E353" s="12">
        <f>Table1[[#This Row],[End Date]]-Table1[[#This Row],[Start Date]]</f>
        <v>0</v>
      </c>
      <c r="F353" s="13">
        <v>8972</v>
      </c>
      <c r="G353" s="14" t="s">
        <v>29</v>
      </c>
      <c r="H353" s="15">
        <v>1766</v>
      </c>
      <c r="I353" s="15">
        <v>1308</v>
      </c>
      <c r="J353" s="15">
        <v>47</v>
      </c>
      <c r="K353" s="16">
        <v>14809</v>
      </c>
      <c r="L353" s="17">
        <f t="shared" si="25"/>
        <v>0.74065685164212913</v>
      </c>
      <c r="M353" s="17">
        <f t="shared" si="25"/>
        <v>3.5932721712538224E-2</v>
      </c>
      <c r="N353" s="18">
        <f t="shared" si="26"/>
        <v>3.6123853211009176</v>
      </c>
      <c r="O353" s="18">
        <f t="shared" si="27"/>
        <v>100.53191489361703</v>
      </c>
      <c r="P353" s="17">
        <f t="shared" si="28"/>
        <v>0.52663843067320548</v>
      </c>
      <c r="Q353" s="17">
        <f t="shared" si="29"/>
        <v>3.1341798941798942</v>
      </c>
      <c r="R353" s="10" t="s">
        <v>738</v>
      </c>
      <c r="S353" s="14" t="s">
        <v>34</v>
      </c>
      <c r="T353" s="14" t="s">
        <v>37</v>
      </c>
      <c r="U353" s="13">
        <v>4725</v>
      </c>
      <c r="V353" s="15">
        <v>1</v>
      </c>
      <c r="W353" s="9" t="str">
        <f>IF(Table1[[#This Row],[Satisfaction Rating]]&lt;2, "Low", IF(Table1[[#This Row],[Satisfaction Rating]]&lt;4, "Medium", "High"))</f>
        <v>Low</v>
      </c>
    </row>
    <row r="354" spans="1:23" ht="14" x14ac:dyDescent="0.2">
      <c r="A354" s="10" t="s">
        <v>739</v>
      </c>
      <c r="B354" s="11">
        <v>45383.961770833332</v>
      </c>
      <c r="C354" s="11">
        <v>45383.961770833332</v>
      </c>
      <c r="D354" s="11" t="str">
        <f>IF(Table1[[#This Row],[Duration of Campaign]]=0, "Ongoing","Completed")</f>
        <v>Ongoing</v>
      </c>
      <c r="E354" s="12">
        <f>Table1[[#This Row],[End Date]]-Table1[[#This Row],[Start Date]]</f>
        <v>0</v>
      </c>
      <c r="F354" s="13">
        <v>4397</v>
      </c>
      <c r="G354" s="14" t="s">
        <v>29</v>
      </c>
      <c r="H354" s="15">
        <v>2938</v>
      </c>
      <c r="I354" s="15">
        <v>1361</v>
      </c>
      <c r="J354" s="15">
        <v>478</v>
      </c>
      <c r="K354" s="16">
        <v>13769</v>
      </c>
      <c r="L354" s="17">
        <f t="shared" si="25"/>
        <v>0.46324029952348539</v>
      </c>
      <c r="M354" s="17">
        <f t="shared" si="25"/>
        <v>0.35121234386480527</v>
      </c>
      <c r="N354" s="18">
        <f t="shared" si="26"/>
        <v>14.646583394562821</v>
      </c>
      <c r="O354" s="18">
        <f t="shared" si="27"/>
        <v>41.702928870292887</v>
      </c>
      <c r="P354" s="17">
        <f t="shared" si="28"/>
        <v>4.5335455992722311</v>
      </c>
      <c r="Q354" s="17">
        <f t="shared" si="29"/>
        <v>0.6907294070432427</v>
      </c>
      <c r="R354" s="10" t="s">
        <v>740</v>
      </c>
      <c r="S354" s="14" t="s">
        <v>31</v>
      </c>
      <c r="T354" s="14" t="s">
        <v>27</v>
      </c>
      <c r="U354" s="13">
        <v>19934</v>
      </c>
      <c r="V354" s="15">
        <v>2</v>
      </c>
      <c r="W354" s="9" t="str">
        <f>IF(Table1[[#This Row],[Satisfaction Rating]]&lt;2, "Low", IF(Table1[[#This Row],[Satisfaction Rating]]&lt;4, "Medium", "High"))</f>
        <v>Medium</v>
      </c>
    </row>
    <row r="355" spans="1:23" ht="14" x14ac:dyDescent="0.2">
      <c r="A355" s="10" t="s">
        <v>741</v>
      </c>
      <c r="B355" s="11">
        <v>44978.812627314815</v>
      </c>
      <c r="C355" s="11">
        <v>45346.832337962966</v>
      </c>
      <c r="D355" s="11" t="str">
        <f>IF(Table1[[#This Row],[Duration of Campaign]]=0, "Ongoing","Completed")</f>
        <v>Completed</v>
      </c>
      <c r="E355" s="12">
        <f>Table1[[#This Row],[End Date]]-Table1[[#This Row],[Start Date]]</f>
        <v>368.01971064815007</v>
      </c>
      <c r="F355" s="13">
        <v>2868</v>
      </c>
      <c r="G355" s="14" t="s">
        <v>63</v>
      </c>
      <c r="H355" s="15">
        <v>17432</v>
      </c>
      <c r="I355" s="15">
        <v>362</v>
      </c>
      <c r="J355" s="15">
        <v>474</v>
      </c>
      <c r="K355" s="16">
        <v>13009</v>
      </c>
      <c r="L355" s="17">
        <f t="shared" si="25"/>
        <v>2.0766406608536025E-2</v>
      </c>
      <c r="M355" s="17">
        <f t="shared" si="25"/>
        <v>1.3093922651933703</v>
      </c>
      <c r="N355" s="18">
        <f t="shared" si="26"/>
        <v>42.179558011049721</v>
      </c>
      <c r="O355" s="18">
        <f t="shared" si="27"/>
        <v>32.213080168776372</v>
      </c>
      <c r="P355" s="17">
        <f t="shared" si="28"/>
        <v>5.3239191073919105</v>
      </c>
      <c r="Q355" s="17">
        <f t="shared" si="29"/>
        <v>0.85198768747134712</v>
      </c>
      <c r="R355" s="10" t="s">
        <v>742</v>
      </c>
      <c r="S355" s="14" t="s">
        <v>45</v>
      </c>
      <c r="T355" s="14" t="s">
        <v>27</v>
      </c>
      <c r="U355" s="13">
        <v>15269</v>
      </c>
      <c r="V355" s="15">
        <v>2</v>
      </c>
      <c r="W355" s="9" t="str">
        <f>IF(Table1[[#This Row],[Satisfaction Rating]]&lt;2, "Low", IF(Table1[[#This Row],[Satisfaction Rating]]&lt;4, "Medium", "High"))</f>
        <v>Medium</v>
      </c>
    </row>
    <row r="356" spans="1:23" ht="14" x14ac:dyDescent="0.2">
      <c r="A356" s="10" t="s">
        <v>743</v>
      </c>
      <c r="B356" s="11">
        <v>45387.180775462963</v>
      </c>
      <c r="C356" s="11">
        <v>45387.180775462963</v>
      </c>
      <c r="D356" s="11" t="str">
        <f>IF(Table1[[#This Row],[Duration of Campaign]]=0, "Ongoing","Completed")</f>
        <v>Ongoing</v>
      </c>
      <c r="E356" s="12">
        <f>Table1[[#This Row],[End Date]]-Table1[[#This Row],[Start Date]]</f>
        <v>0</v>
      </c>
      <c r="F356" s="13">
        <v>8520</v>
      </c>
      <c r="G356" s="14" t="s">
        <v>47</v>
      </c>
      <c r="H356" s="15">
        <v>3357</v>
      </c>
      <c r="I356" s="15">
        <v>1033</v>
      </c>
      <c r="J356" s="15">
        <v>162</v>
      </c>
      <c r="K356" s="16">
        <v>8855</v>
      </c>
      <c r="L356" s="17">
        <f t="shared" si="25"/>
        <v>0.3077152219243372</v>
      </c>
      <c r="M356" s="17">
        <f t="shared" si="25"/>
        <v>0.15682478218780252</v>
      </c>
      <c r="N356" s="18">
        <f t="shared" si="26"/>
        <v>3.7967086156824781</v>
      </c>
      <c r="O356" s="18">
        <f t="shared" si="27"/>
        <v>24.209876543209877</v>
      </c>
      <c r="P356" s="17">
        <f t="shared" si="28"/>
        <v>0.4603286384976526</v>
      </c>
      <c r="Q356" s="17">
        <f t="shared" si="29"/>
        <v>2.2577766445690974</v>
      </c>
      <c r="R356" s="10" t="s">
        <v>744</v>
      </c>
      <c r="S356" s="14" t="s">
        <v>34</v>
      </c>
      <c r="T356" s="14" t="s">
        <v>37</v>
      </c>
      <c r="U356" s="13">
        <v>3922</v>
      </c>
      <c r="V356" s="15">
        <v>1</v>
      </c>
      <c r="W356" s="9" t="str">
        <f>IF(Table1[[#This Row],[Satisfaction Rating]]&lt;2, "Low", IF(Table1[[#This Row],[Satisfaction Rating]]&lt;4, "Medium", "High"))</f>
        <v>Low</v>
      </c>
    </row>
    <row r="357" spans="1:23" ht="14" x14ac:dyDescent="0.2">
      <c r="A357" s="10" t="s">
        <v>745</v>
      </c>
      <c r="B357" s="11">
        <v>45481.206608796296</v>
      </c>
      <c r="C357" s="11">
        <v>45481.206608796296</v>
      </c>
      <c r="D357" s="11" t="str">
        <f>IF(Table1[[#This Row],[Duration of Campaign]]=0, "Ongoing","Completed")</f>
        <v>Ongoing</v>
      </c>
      <c r="E357" s="12">
        <f>Table1[[#This Row],[End Date]]-Table1[[#This Row],[Start Date]]</f>
        <v>0</v>
      </c>
      <c r="F357" s="13">
        <v>7380</v>
      </c>
      <c r="G357" s="14" t="s">
        <v>29</v>
      </c>
      <c r="H357" s="15">
        <v>2002</v>
      </c>
      <c r="I357" s="15">
        <v>166</v>
      </c>
      <c r="J357" s="15">
        <v>414</v>
      </c>
      <c r="K357" s="16">
        <v>5894</v>
      </c>
      <c r="L357" s="17">
        <f t="shared" si="25"/>
        <v>8.2917082917082913E-2</v>
      </c>
      <c r="M357" s="17">
        <f t="shared" si="25"/>
        <v>2.4939759036144578</v>
      </c>
      <c r="N357" s="18">
        <f t="shared" si="26"/>
        <v>73.560240963855421</v>
      </c>
      <c r="O357" s="18">
        <f t="shared" si="27"/>
        <v>29.495169082125603</v>
      </c>
      <c r="P357" s="17">
        <f t="shared" si="28"/>
        <v>1.6546070460704607</v>
      </c>
      <c r="Q357" s="17">
        <f t="shared" si="29"/>
        <v>0.48267955122430595</v>
      </c>
      <c r="R357" s="10" t="s">
        <v>746</v>
      </c>
      <c r="S357" s="14" t="s">
        <v>26</v>
      </c>
      <c r="T357" s="14" t="s">
        <v>37</v>
      </c>
      <c r="U357" s="13">
        <v>12211</v>
      </c>
      <c r="V357" s="15">
        <v>3</v>
      </c>
      <c r="W357" s="9" t="str">
        <f>IF(Table1[[#This Row],[Satisfaction Rating]]&lt;2, "Low", IF(Table1[[#This Row],[Satisfaction Rating]]&lt;4, "Medium", "High"))</f>
        <v>Medium</v>
      </c>
    </row>
    <row r="358" spans="1:23" ht="14" x14ac:dyDescent="0.2">
      <c r="A358" s="10" t="s">
        <v>747</v>
      </c>
      <c r="B358" s="11">
        <v>45432.541932870372</v>
      </c>
      <c r="C358" s="11">
        <v>45432.541932870372</v>
      </c>
      <c r="D358" s="11" t="str">
        <f>IF(Table1[[#This Row],[Duration of Campaign]]=0, "Ongoing","Completed")</f>
        <v>Ongoing</v>
      </c>
      <c r="E358" s="12">
        <f>Table1[[#This Row],[End Date]]-Table1[[#This Row],[Start Date]]</f>
        <v>0</v>
      </c>
      <c r="F358" s="13">
        <v>1510</v>
      </c>
      <c r="G358" s="14" t="s">
        <v>47</v>
      </c>
      <c r="H358" s="15">
        <v>4585</v>
      </c>
      <c r="I358" s="15">
        <v>513</v>
      </c>
      <c r="J358" s="15">
        <v>317</v>
      </c>
      <c r="K358" s="16">
        <v>5384</v>
      </c>
      <c r="L358" s="17">
        <f t="shared" si="25"/>
        <v>0.111886586695747</v>
      </c>
      <c r="M358" s="17">
        <f t="shared" si="25"/>
        <v>0.61793372319688111</v>
      </c>
      <c r="N358" s="18">
        <f t="shared" si="26"/>
        <v>19.775828460038987</v>
      </c>
      <c r="O358" s="18">
        <f t="shared" si="27"/>
        <v>32.003154574132495</v>
      </c>
      <c r="P358" s="17">
        <f t="shared" si="28"/>
        <v>6.7185430463576159</v>
      </c>
      <c r="Q358" s="17">
        <f t="shared" si="29"/>
        <v>0.53070478068013804</v>
      </c>
      <c r="R358" s="10" t="s">
        <v>748</v>
      </c>
      <c r="S358" s="14" t="s">
        <v>45</v>
      </c>
      <c r="T358" s="14" t="s">
        <v>27</v>
      </c>
      <c r="U358" s="13">
        <v>10145</v>
      </c>
      <c r="V358" s="15">
        <v>2</v>
      </c>
      <c r="W358" s="9" t="str">
        <f>IF(Table1[[#This Row],[Satisfaction Rating]]&lt;2, "Low", IF(Table1[[#This Row],[Satisfaction Rating]]&lt;4, "Medium", "High"))</f>
        <v>Medium</v>
      </c>
    </row>
    <row r="359" spans="1:23" ht="14" x14ac:dyDescent="0.2">
      <c r="A359" s="10" t="s">
        <v>749</v>
      </c>
      <c r="B359" s="11">
        <v>45265.002615740741</v>
      </c>
      <c r="C359" s="11">
        <v>45265.002615740741</v>
      </c>
      <c r="D359" s="11" t="str">
        <f>IF(Table1[[#This Row],[Duration of Campaign]]=0, "Ongoing","Completed")</f>
        <v>Ongoing</v>
      </c>
      <c r="E359" s="12">
        <f>Table1[[#This Row],[End Date]]-Table1[[#This Row],[Start Date]]</f>
        <v>0</v>
      </c>
      <c r="F359" s="13">
        <v>8560</v>
      </c>
      <c r="G359" s="14" t="s">
        <v>47</v>
      </c>
      <c r="H359" s="15">
        <v>14714</v>
      </c>
      <c r="I359" s="15">
        <v>1646</v>
      </c>
      <c r="J359" s="15">
        <v>238</v>
      </c>
      <c r="K359" s="16">
        <v>598</v>
      </c>
      <c r="L359" s="17">
        <f t="shared" si="25"/>
        <v>0.11186624983009379</v>
      </c>
      <c r="M359" s="17">
        <f t="shared" si="25"/>
        <v>0.14459295261239369</v>
      </c>
      <c r="N359" s="18">
        <f t="shared" si="26"/>
        <v>1.1773997569866343</v>
      </c>
      <c r="O359" s="18">
        <f t="shared" si="27"/>
        <v>8.1428571428571423</v>
      </c>
      <c r="P359" s="17">
        <f t="shared" si="28"/>
        <v>0.2264018691588785</v>
      </c>
      <c r="Q359" s="17">
        <f t="shared" si="29"/>
        <v>0.30856553147574817</v>
      </c>
      <c r="R359" s="10" t="s">
        <v>750</v>
      </c>
      <c r="S359" s="14" t="s">
        <v>45</v>
      </c>
      <c r="T359" s="14" t="s">
        <v>27</v>
      </c>
      <c r="U359" s="13">
        <v>1938</v>
      </c>
      <c r="V359" s="15">
        <v>4</v>
      </c>
      <c r="W359" s="9" t="str">
        <f>IF(Table1[[#This Row],[Satisfaction Rating]]&lt;2, "Low", IF(Table1[[#This Row],[Satisfaction Rating]]&lt;4, "Medium", "High"))</f>
        <v>High</v>
      </c>
    </row>
    <row r="360" spans="1:23" ht="14" x14ac:dyDescent="0.2">
      <c r="A360" s="10" t="s">
        <v>751</v>
      </c>
      <c r="B360" s="11">
        <v>45303.94730324074</v>
      </c>
      <c r="C360" s="11">
        <v>45558.301238425927</v>
      </c>
      <c r="D360" s="11" t="str">
        <f>IF(Table1[[#This Row],[Duration of Campaign]]=0, "Ongoing","Completed")</f>
        <v>Completed</v>
      </c>
      <c r="E360" s="12">
        <f>Table1[[#This Row],[End Date]]-Table1[[#This Row],[Start Date]]</f>
        <v>254.35393518518686</v>
      </c>
      <c r="F360" s="13">
        <v>6195</v>
      </c>
      <c r="G360" s="14" t="s">
        <v>63</v>
      </c>
      <c r="H360" s="15">
        <v>18227</v>
      </c>
      <c r="I360" s="15">
        <v>1864</v>
      </c>
      <c r="J360" s="15">
        <v>327</v>
      </c>
      <c r="K360" s="16">
        <v>10378</v>
      </c>
      <c r="L360" s="17">
        <f t="shared" si="25"/>
        <v>0.10226586931475284</v>
      </c>
      <c r="M360" s="17">
        <f t="shared" si="25"/>
        <v>0.17542918454935622</v>
      </c>
      <c r="N360" s="18">
        <f t="shared" si="26"/>
        <v>0.89967811158798283</v>
      </c>
      <c r="O360" s="18">
        <f t="shared" si="27"/>
        <v>5.1284403669724767</v>
      </c>
      <c r="P360" s="17">
        <f t="shared" si="28"/>
        <v>0.27070217917675543</v>
      </c>
      <c r="Q360" s="17">
        <f t="shared" si="29"/>
        <v>6.1884317233154444</v>
      </c>
      <c r="R360" s="10" t="s">
        <v>752</v>
      </c>
      <c r="S360" s="14" t="s">
        <v>34</v>
      </c>
      <c r="T360" s="14" t="s">
        <v>27</v>
      </c>
      <c r="U360" s="13">
        <v>1677</v>
      </c>
      <c r="V360" s="15">
        <v>2</v>
      </c>
      <c r="W360" s="9" t="str">
        <f>IF(Table1[[#This Row],[Satisfaction Rating]]&lt;2, "Low", IF(Table1[[#This Row],[Satisfaction Rating]]&lt;4, "Medium", "High"))</f>
        <v>Medium</v>
      </c>
    </row>
    <row r="361" spans="1:23" ht="14" x14ac:dyDescent="0.2">
      <c r="A361" s="10" t="s">
        <v>753</v>
      </c>
      <c r="B361" s="11">
        <v>45434.425185185188</v>
      </c>
      <c r="C361" s="11">
        <v>45434.425185185188</v>
      </c>
      <c r="D361" s="11" t="str">
        <f>IF(Table1[[#This Row],[Duration of Campaign]]=0, "Ongoing","Completed")</f>
        <v>Ongoing</v>
      </c>
      <c r="E361" s="12">
        <f>Table1[[#This Row],[End Date]]-Table1[[#This Row],[Start Date]]</f>
        <v>0</v>
      </c>
      <c r="F361" s="13">
        <v>2566</v>
      </c>
      <c r="G361" s="14" t="s">
        <v>47</v>
      </c>
      <c r="H361" s="15">
        <v>9669</v>
      </c>
      <c r="I361" s="15">
        <v>743</v>
      </c>
      <c r="J361" s="15">
        <v>45</v>
      </c>
      <c r="K361" s="16">
        <v>10709</v>
      </c>
      <c r="L361" s="17">
        <f t="shared" si="25"/>
        <v>7.6843520529527351E-2</v>
      </c>
      <c r="M361" s="17">
        <f t="shared" si="25"/>
        <v>6.0565275908479141E-2</v>
      </c>
      <c r="N361" s="18">
        <f t="shared" si="26"/>
        <v>6.6137281292059216</v>
      </c>
      <c r="O361" s="18">
        <f t="shared" si="27"/>
        <v>109.2</v>
      </c>
      <c r="P361" s="17">
        <f t="shared" si="28"/>
        <v>1.9150428682774747</v>
      </c>
      <c r="Q361" s="17">
        <f t="shared" si="29"/>
        <v>2.1792836792836794</v>
      </c>
      <c r="R361" s="10" t="s">
        <v>754</v>
      </c>
      <c r="S361" s="14" t="s">
        <v>34</v>
      </c>
      <c r="T361" s="14" t="s">
        <v>27</v>
      </c>
      <c r="U361" s="13">
        <v>4914</v>
      </c>
      <c r="V361" s="15">
        <v>4</v>
      </c>
      <c r="W361" s="9" t="str">
        <f>IF(Table1[[#This Row],[Satisfaction Rating]]&lt;2, "Low", IF(Table1[[#This Row],[Satisfaction Rating]]&lt;4, "Medium", "High"))</f>
        <v>High</v>
      </c>
    </row>
    <row r="362" spans="1:23" ht="14" x14ac:dyDescent="0.2">
      <c r="A362" s="10" t="s">
        <v>755</v>
      </c>
      <c r="B362" s="11">
        <v>45167.852789351855</v>
      </c>
      <c r="C362" s="11">
        <v>45167.852789351855</v>
      </c>
      <c r="D362" s="11" t="str">
        <f>IF(Table1[[#This Row],[Duration of Campaign]]=0, "Ongoing","Completed")</f>
        <v>Ongoing</v>
      </c>
      <c r="E362" s="12">
        <f>Table1[[#This Row],[End Date]]-Table1[[#This Row],[Start Date]]</f>
        <v>0</v>
      </c>
      <c r="F362" s="13">
        <v>4815</v>
      </c>
      <c r="G362" s="14" t="s">
        <v>47</v>
      </c>
      <c r="H362" s="15">
        <v>1903</v>
      </c>
      <c r="I362" s="15">
        <v>166</v>
      </c>
      <c r="J362" s="15">
        <v>53</v>
      </c>
      <c r="K362" s="16">
        <v>13918</v>
      </c>
      <c r="L362" s="17">
        <f t="shared" si="25"/>
        <v>8.7230688386757751E-2</v>
      </c>
      <c r="M362" s="17">
        <f t="shared" si="25"/>
        <v>0.31927710843373491</v>
      </c>
      <c r="N362" s="18">
        <f t="shared" si="26"/>
        <v>59.120481927710841</v>
      </c>
      <c r="O362" s="18">
        <f t="shared" si="27"/>
        <v>185.16981132075472</v>
      </c>
      <c r="P362" s="17">
        <f t="shared" si="28"/>
        <v>2.0382139148494289</v>
      </c>
      <c r="Q362" s="17">
        <f t="shared" si="29"/>
        <v>1.4181781128999389</v>
      </c>
      <c r="R362" s="10" t="s">
        <v>756</v>
      </c>
      <c r="S362" s="14" t="s">
        <v>31</v>
      </c>
      <c r="T362" s="14" t="s">
        <v>55</v>
      </c>
      <c r="U362" s="13">
        <v>9814</v>
      </c>
      <c r="V362" s="15">
        <v>3</v>
      </c>
      <c r="W362" s="9" t="str">
        <f>IF(Table1[[#This Row],[Satisfaction Rating]]&lt;2, "Low", IF(Table1[[#This Row],[Satisfaction Rating]]&lt;4, "Medium", "High"))</f>
        <v>Medium</v>
      </c>
    </row>
    <row r="363" spans="1:23" ht="14" x14ac:dyDescent="0.2">
      <c r="A363" s="10" t="s">
        <v>757</v>
      </c>
      <c r="B363" s="11">
        <v>45331.474537037036</v>
      </c>
      <c r="C363" s="11">
        <v>45636.271041666667</v>
      </c>
      <c r="D363" s="11" t="str">
        <f>IF(Table1[[#This Row],[Duration of Campaign]]=0, "Ongoing","Completed")</f>
        <v>Completed</v>
      </c>
      <c r="E363" s="12">
        <f>Table1[[#This Row],[End Date]]-Table1[[#This Row],[Start Date]]</f>
        <v>304.79650462963036</v>
      </c>
      <c r="F363" s="13">
        <v>9021</v>
      </c>
      <c r="G363" s="14" t="s">
        <v>24</v>
      </c>
      <c r="H363" s="15">
        <v>6008</v>
      </c>
      <c r="I363" s="15">
        <v>1889</v>
      </c>
      <c r="J363" s="15">
        <v>221</v>
      </c>
      <c r="K363" s="16">
        <v>3353</v>
      </c>
      <c r="L363" s="17">
        <f t="shared" si="25"/>
        <v>0.31441411451398138</v>
      </c>
      <c r="M363" s="17">
        <f t="shared" si="25"/>
        <v>0.1169931180518793</v>
      </c>
      <c r="N363" s="18">
        <f t="shared" si="26"/>
        <v>9.6013763896241393</v>
      </c>
      <c r="O363" s="18">
        <f t="shared" si="27"/>
        <v>82.067873303167417</v>
      </c>
      <c r="P363" s="17">
        <f t="shared" si="28"/>
        <v>2.0105309832612792</v>
      </c>
      <c r="Q363" s="17">
        <f t="shared" si="29"/>
        <v>0.18487070629100733</v>
      </c>
      <c r="R363" s="10" t="s">
        <v>758</v>
      </c>
      <c r="S363" s="14" t="s">
        <v>31</v>
      </c>
      <c r="T363" s="14" t="s">
        <v>37</v>
      </c>
      <c r="U363" s="13">
        <v>18137</v>
      </c>
      <c r="V363" s="15">
        <v>3</v>
      </c>
      <c r="W363" s="9" t="str">
        <f>IF(Table1[[#This Row],[Satisfaction Rating]]&lt;2, "Low", IF(Table1[[#This Row],[Satisfaction Rating]]&lt;4, "Medium", "High"))</f>
        <v>Medium</v>
      </c>
    </row>
    <row r="364" spans="1:23" ht="14" x14ac:dyDescent="0.2">
      <c r="A364" s="10" t="s">
        <v>759</v>
      </c>
      <c r="B364" s="11">
        <v>44960.778379629628</v>
      </c>
      <c r="C364" s="11">
        <v>45462.487870370373</v>
      </c>
      <c r="D364" s="11" t="str">
        <f>IF(Table1[[#This Row],[Duration of Campaign]]=0, "Ongoing","Completed")</f>
        <v>Completed</v>
      </c>
      <c r="E364" s="12">
        <f>Table1[[#This Row],[End Date]]-Table1[[#This Row],[Start Date]]</f>
        <v>501.70949074074451</v>
      </c>
      <c r="F364" s="13">
        <v>3286</v>
      </c>
      <c r="G364" s="14" t="s">
        <v>47</v>
      </c>
      <c r="H364" s="15">
        <v>10575</v>
      </c>
      <c r="I364" s="15">
        <v>564</v>
      </c>
      <c r="J364" s="15">
        <v>421</v>
      </c>
      <c r="K364" s="16">
        <v>10294</v>
      </c>
      <c r="L364" s="17">
        <f t="shared" si="25"/>
        <v>5.3333333333333337E-2</v>
      </c>
      <c r="M364" s="17">
        <f t="shared" si="25"/>
        <v>0.74645390070921991</v>
      </c>
      <c r="N364" s="18">
        <f t="shared" si="26"/>
        <v>5.9007092198581557</v>
      </c>
      <c r="O364" s="18">
        <f t="shared" si="27"/>
        <v>7.9049881235154391</v>
      </c>
      <c r="P364" s="17">
        <f t="shared" si="28"/>
        <v>1.0127814972611078</v>
      </c>
      <c r="Q364" s="17">
        <f t="shared" si="29"/>
        <v>3.0931490384615383</v>
      </c>
      <c r="R364" s="10" t="s">
        <v>760</v>
      </c>
      <c r="S364" s="14" t="s">
        <v>34</v>
      </c>
      <c r="T364" s="14" t="s">
        <v>55</v>
      </c>
      <c r="U364" s="13">
        <v>3328</v>
      </c>
      <c r="V364" s="15">
        <v>5</v>
      </c>
      <c r="W364" s="9" t="str">
        <f>IF(Table1[[#This Row],[Satisfaction Rating]]&lt;2, "Low", IF(Table1[[#This Row],[Satisfaction Rating]]&lt;4, "Medium", "High"))</f>
        <v>High</v>
      </c>
    </row>
    <row r="365" spans="1:23" ht="14" x14ac:dyDescent="0.2">
      <c r="A365" s="10" t="s">
        <v>761</v>
      </c>
      <c r="B365" s="11">
        <v>45416.834270833337</v>
      </c>
      <c r="C365" s="11">
        <v>45416.834270833337</v>
      </c>
      <c r="D365" s="11" t="str">
        <f>IF(Table1[[#This Row],[Duration of Campaign]]=0, "Ongoing","Completed")</f>
        <v>Ongoing</v>
      </c>
      <c r="E365" s="12">
        <f>Table1[[#This Row],[End Date]]-Table1[[#This Row],[Start Date]]</f>
        <v>0</v>
      </c>
      <c r="F365" s="13">
        <v>7235</v>
      </c>
      <c r="G365" s="14" t="s">
        <v>63</v>
      </c>
      <c r="H365" s="15">
        <v>4868</v>
      </c>
      <c r="I365" s="15">
        <v>238</v>
      </c>
      <c r="J365" s="15">
        <v>361</v>
      </c>
      <c r="K365" s="16">
        <v>11746</v>
      </c>
      <c r="L365" s="17">
        <f t="shared" si="25"/>
        <v>4.8890714872637631E-2</v>
      </c>
      <c r="M365" s="17">
        <f t="shared" si="25"/>
        <v>1.5168067226890756</v>
      </c>
      <c r="N365" s="18">
        <f t="shared" si="26"/>
        <v>15.844537815126051</v>
      </c>
      <c r="O365" s="18">
        <f t="shared" si="27"/>
        <v>10.445983379501385</v>
      </c>
      <c r="P365" s="17">
        <f t="shared" si="28"/>
        <v>0.52121630960608156</v>
      </c>
      <c r="Q365" s="17">
        <f t="shared" si="29"/>
        <v>3.1148236542031293</v>
      </c>
      <c r="R365" s="10" t="s">
        <v>762</v>
      </c>
      <c r="S365" s="14" t="s">
        <v>34</v>
      </c>
      <c r="T365" s="14" t="s">
        <v>55</v>
      </c>
      <c r="U365" s="13">
        <v>3771</v>
      </c>
      <c r="V365" s="15">
        <v>5</v>
      </c>
      <c r="W365" s="9" t="str">
        <f>IF(Table1[[#This Row],[Satisfaction Rating]]&lt;2, "Low", IF(Table1[[#This Row],[Satisfaction Rating]]&lt;4, "Medium", "High"))</f>
        <v>High</v>
      </c>
    </row>
    <row r="366" spans="1:23" ht="14" x14ac:dyDescent="0.2">
      <c r="A366" s="10" t="s">
        <v>763</v>
      </c>
      <c r="B366" s="11">
        <v>45091.129108796296</v>
      </c>
      <c r="C366" s="11">
        <v>45140.134895833333</v>
      </c>
      <c r="D366" s="11" t="str">
        <f>IF(Table1[[#This Row],[Duration of Campaign]]=0, "Ongoing","Completed")</f>
        <v>Completed</v>
      </c>
      <c r="E366" s="12">
        <f>Table1[[#This Row],[End Date]]-Table1[[#This Row],[Start Date]]</f>
        <v>49.005787037036498</v>
      </c>
      <c r="F366" s="13">
        <v>1565</v>
      </c>
      <c r="G366" s="14" t="s">
        <v>24</v>
      </c>
      <c r="H366" s="15">
        <v>9947</v>
      </c>
      <c r="I366" s="15">
        <v>410</v>
      </c>
      <c r="J366" s="15">
        <v>295</v>
      </c>
      <c r="K366" s="16">
        <v>13019</v>
      </c>
      <c r="L366" s="17">
        <f t="shared" si="25"/>
        <v>4.1218457826480343E-2</v>
      </c>
      <c r="M366" s="17">
        <f t="shared" si="25"/>
        <v>0.71951219512195119</v>
      </c>
      <c r="N366" s="18">
        <f t="shared" si="26"/>
        <v>20.08048780487805</v>
      </c>
      <c r="O366" s="18">
        <f t="shared" si="27"/>
        <v>27.908474576271185</v>
      </c>
      <c r="P366" s="17">
        <f t="shared" si="28"/>
        <v>5.2607028753993612</v>
      </c>
      <c r="Q366" s="17">
        <f t="shared" si="29"/>
        <v>1.5813190817442002</v>
      </c>
      <c r="R366" s="10" t="s">
        <v>764</v>
      </c>
      <c r="S366" s="14" t="s">
        <v>31</v>
      </c>
      <c r="T366" s="14" t="s">
        <v>55</v>
      </c>
      <c r="U366" s="13">
        <v>8233</v>
      </c>
      <c r="V366" s="15">
        <v>1</v>
      </c>
      <c r="W366" s="9" t="str">
        <f>IF(Table1[[#This Row],[Satisfaction Rating]]&lt;2, "Low", IF(Table1[[#This Row],[Satisfaction Rating]]&lt;4, "Medium", "High"))</f>
        <v>Low</v>
      </c>
    </row>
    <row r="367" spans="1:23" ht="14" x14ac:dyDescent="0.2">
      <c r="A367" s="10" t="s">
        <v>765</v>
      </c>
      <c r="B367" s="11">
        <v>44931.907037037039</v>
      </c>
      <c r="C367" s="11">
        <v>44961.255879629629</v>
      </c>
      <c r="D367" s="11" t="str">
        <f>IF(Table1[[#This Row],[Duration of Campaign]]=0, "Ongoing","Completed")</f>
        <v>Completed</v>
      </c>
      <c r="E367" s="12">
        <f>Table1[[#This Row],[End Date]]-Table1[[#This Row],[Start Date]]</f>
        <v>29.34884259258979</v>
      </c>
      <c r="F367" s="13">
        <v>9976</v>
      </c>
      <c r="G367" s="14" t="s">
        <v>63</v>
      </c>
      <c r="H367" s="15">
        <v>6521</v>
      </c>
      <c r="I367" s="15">
        <v>797</v>
      </c>
      <c r="J367" s="15">
        <v>151</v>
      </c>
      <c r="K367" s="16">
        <v>1268</v>
      </c>
      <c r="L367" s="17">
        <f t="shared" si="25"/>
        <v>0.12222051832541021</v>
      </c>
      <c r="M367" s="17">
        <f t="shared" si="25"/>
        <v>0.18946047678795483</v>
      </c>
      <c r="N367" s="18">
        <f t="shared" si="26"/>
        <v>17.601003764115433</v>
      </c>
      <c r="O367" s="18">
        <f t="shared" si="27"/>
        <v>92.900662251655632</v>
      </c>
      <c r="P367" s="17">
        <f t="shared" si="28"/>
        <v>1.4061748195669608</v>
      </c>
      <c r="Q367" s="17">
        <f t="shared" si="29"/>
        <v>9.0390647276874819E-2</v>
      </c>
      <c r="R367" s="10" t="s">
        <v>766</v>
      </c>
      <c r="S367" s="14" t="s">
        <v>34</v>
      </c>
      <c r="T367" s="14" t="s">
        <v>55</v>
      </c>
      <c r="U367" s="13">
        <v>14028</v>
      </c>
      <c r="V367" s="15">
        <v>2</v>
      </c>
      <c r="W367" s="9" t="str">
        <f>IF(Table1[[#This Row],[Satisfaction Rating]]&lt;2, "Low", IF(Table1[[#This Row],[Satisfaction Rating]]&lt;4, "Medium", "High"))</f>
        <v>Medium</v>
      </c>
    </row>
    <row r="368" spans="1:23" ht="14" x14ac:dyDescent="0.2">
      <c r="A368" s="10" t="s">
        <v>767</v>
      </c>
      <c r="B368" s="11">
        <v>45046.210092592592</v>
      </c>
      <c r="C368" s="11">
        <v>45084.691759259258</v>
      </c>
      <c r="D368" s="11" t="str">
        <f>IF(Table1[[#This Row],[Duration of Campaign]]=0, "Ongoing","Completed")</f>
        <v>Completed</v>
      </c>
      <c r="E368" s="12">
        <f>Table1[[#This Row],[End Date]]-Table1[[#This Row],[Start Date]]</f>
        <v>38.48166666666657</v>
      </c>
      <c r="F368" s="13">
        <v>3929</v>
      </c>
      <c r="G368" s="14" t="s">
        <v>63</v>
      </c>
      <c r="H368" s="15">
        <v>10503</v>
      </c>
      <c r="I368" s="15">
        <v>1336</v>
      </c>
      <c r="J368" s="15">
        <v>402</v>
      </c>
      <c r="K368" s="16">
        <v>1408</v>
      </c>
      <c r="L368" s="17">
        <f t="shared" si="25"/>
        <v>0.12720175188041513</v>
      </c>
      <c r="M368" s="17">
        <f t="shared" si="25"/>
        <v>0.30089820359281438</v>
      </c>
      <c r="N368" s="18">
        <f t="shared" si="26"/>
        <v>12.56062874251497</v>
      </c>
      <c r="O368" s="18">
        <f t="shared" si="27"/>
        <v>41.743781094527364</v>
      </c>
      <c r="P368" s="17">
        <f t="shared" si="28"/>
        <v>4.2710613387630438</v>
      </c>
      <c r="Q368" s="17">
        <f t="shared" si="29"/>
        <v>8.3904415708241462E-2</v>
      </c>
      <c r="R368" s="10" t="s">
        <v>768</v>
      </c>
      <c r="S368" s="14" t="s">
        <v>45</v>
      </c>
      <c r="T368" s="14" t="s">
        <v>27</v>
      </c>
      <c r="U368" s="13">
        <v>16781</v>
      </c>
      <c r="V368" s="15">
        <v>5</v>
      </c>
      <c r="W368" s="9" t="str">
        <f>IF(Table1[[#This Row],[Satisfaction Rating]]&lt;2, "Low", IF(Table1[[#This Row],[Satisfaction Rating]]&lt;4, "Medium", "High"))</f>
        <v>High</v>
      </c>
    </row>
    <row r="369" spans="1:23" ht="14" x14ac:dyDescent="0.2">
      <c r="A369" s="10" t="s">
        <v>769</v>
      </c>
      <c r="B369" s="11">
        <v>45308.225266203706</v>
      </c>
      <c r="C369" s="11">
        <v>45484.353877314818</v>
      </c>
      <c r="D369" s="11" t="str">
        <f>IF(Table1[[#This Row],[Duration of Campaign]]=0, "Ongoing","Completed")</f>
        <v>Completed</v>
      </c>
      <c r="E369" s="12">
        <f>Table1[[#This Row],[End Date]]-Table1[[#This Row],[Start Date]]</f>
        <v>176.12861111111124</v>
      </c>
      <c r="F369" s="13">
        <v>5190</v>
      </c>
      <c r="G369" s="14" t="s">
        <v>24</v>
      </c>
      <c r="H369" s="15">
        <v>7637</v>
      </c>
      <c r="I369" s="15">
        <v>593</v>
      </c>
      <c r="J369" s="15">
        <v>125</v>
      </c>
      <c r="K369" s="16">
        <v>8739</v>
      </c>
      <c r="L369" s="17">
        <f t="shared" si="25"/>
        <v>7.7648291213827422E-2</v>
      </c>
      <c r="M369" s="17">
        <f t="shared" si="25"/>
        <v>0.21079258010118043</v>
      </c>
      <c r="N369" s="18">
        <f t="shared" si="26"/>
        <v>20.300168634064082</v>
      </c>
      <c r="O369" s="18">
        <f t="shared" si="27"/>
        <v>96.304000000000002</v>
      </c>
      <c r="P369" s="17">
        <f t="shared" si="28"/>
        <v>2.3194605009633911</v>
      </c>
      <c r="Q369" s="17">
        <f t="shared" si="29"/>
        <v>0.72595115467685667</v>
      </c>
      <c r="R369" s="10" t="s">
        <v>770</v>
      </c>
      <c r="S369" s="14" t="s">
        <v>34</v>
      </c>
      <c r="T369" s="14" t="s">
        <v>37</v>
      </c>
      <c r="U369" s="13">
        <v>12038</v>
      </c>
      <c r="V369" s="15">
        <v>2</v>
      </c>
      <c r="W369" s="9" t="str">
        <f>IF(Table1[[#This Row],[Satisfaction Rating]]&lt;2, "Low", IF(Table1[[#This Row],[Satisfaction Rating]]&lt;4, "Medium", "High"))</f>
        <v>Medium</v>
      </c>
    </row>
    <row r="370" spans="1:23" ht="14" x14ac:dyDescent="0.2">
      <c r="A370" s="10" t="s">
        <v>771</v>
      </c>
      <c r="B370" s="11">
        <v>45531.160081018519</v>
      </c>
      <c r="C370" s="11">
        <v>45531.160081018519</v>
      </c>
      <c r="D370" s="11" t="str">
        <f>IF(Table1[[#This Row],[Duration of Campaign]]=0, "Ongoing","Completed")</f>
        <v>Ongoing</v>
      </c>
      <c r="E370" s="12">
        <f>Table1[[#This Row],[End Date]]-Table1[[#This Row],[Start Date]]</f>
        <v>0</v>
      </c>
      <c r="F370" s="13">
        <v>6241</v>
      </c>
      <c r="G370" s="14" t="s">
        <v>47</v>
      </c>
      <c r="H370" s="15">
        <v>16375</v>
      </c>
      <c r="I370" s="15">
        <v>730</v>
      </c>
      <c r="J370" s="15">
        <v>495</v>
      </c>
      <c r="K370" s="16">
        <v>10107</v>
      </c>
      <c r="L370" s="17">
        <f t="shared" si="25"/>
        <v>4.4580152671755725E-2</v>
      </c>
      <c r="M370" s="17">
        <f t="shared" si="25"/>
        <v>0.67808219178082196</v>
      </c>
      <c r="N370" s="18">
        <f t="shared" si="26"/>
        <v>8.1753424657534239</v>
      </c>
      <c r="O370" s="18">
        <f t="shared" si="27"/>
        <v>12.056565656565656</v>
      </c>
      <c r="P370" s="17">
        <f t="shared" si="28"/>
        <v>0.95625701009453612</v>
      </c>
      <c r="Q370" s="17">
        <f t="shared" si="29"/>
        <v>1.6935321715817695</v>
      </c>
      <c r="R370" s="10" t="s">
        <v>772</v>
      </c>
      <c r="S370" s="14" t="s">
        <v>26</v>
      </c>
      <c r="T370" s="14" t="s">
        <v>27</v>
      </c>
      <c r="U370" s="13">
        <v>5968</v>
      </c>
      <c r="V370" s="15">
        <v>3</v>
      </c>
      <c r="W370" s="9" t="str">
        <f>IF(Table1[[#This Row],[Satisfaction Rating]]&lt;2, "Low", IF(Table1[[#This Row],[Satisfaction Rating]]&lt;4, "Medium", "High"))</f>
        <v>Medium</v>
      </c>
    </row>
    <row r="371" spans="1:23" ht="14" x14ac:dyDescent="0.2">
      <c r="A371" s="10" t="s">
        <v>773</v>
      </c>
      <c r="B371" s="11">
        <v>45639.136076388888</v>
      </c>
      <c r="C371" s="11">
        <v>45639.136076388888</v>
      </c>
      <c r="D371" s="11" t="str">
        <f>IF(Table1[[#This Row],[Duration of Campaign]]=0, "Ongoing","Completed")</f>
        <v>Ongoing</v>
      </c>
      <c r="E371" s="12">
        <f>Table1[[#This Row],[End Date]]-Table1[[#This Row],[Start Date]]</f>
        <v>0</v>
      </c>
      <c r="F371" s="13">
        <v>9095</v>
      </c>
      <c r="G371" s="14" t="s">
        <v>63</v>
      </c>
      <c r="H371" s="15">
        <v>7439</v>
      </c>
      <c r="I371" s="15">
        <v>1497</v>
      </c>
      <c r="J371" s="15">
        <v>382</v>
      </c>
      <c r="K371" s="16">
        <v>8071</v>
      </c>
      <c r="L371" s="17">
        <f t="shared" si="25"/>
        <v>0.20123672536631268</v>
      </c>
      <c r="M371" s="17">
        <f t="shared" si="25"/>
        <v>0.25517702070808285</v>
      </c>
      <c r="N371" s="18">
        <f t="shared" si="26"/>
        <v>6.110220440881764</v>
      </c>
      <c r="O371" s="18">
        <f t="shared" si="27"/>
        <v>23.945026178010473</v>
      </c>
      <c r="P371" s="17">
        <f t="shared" si="28"/>
        <v>1.0057174271577789</v>
      </c>
      <c r="Q371" s="17">
        <f t="shared" si="29"/>
        <v>0.8823658029955177</v>
      </c>
      <c r="R371" s="10" t="s">
        <v>774</v>
      </c>
      <c r="S371" s="14" t="s">
        <v>31</v>
      </c>
      <c r="T371" s="14" t="s">
        <v>55</v>
      </c>
      <c r="U371" s="13">
        <v>9147</v>
      </c>
      <c r="V371" s="15">
        <v>4</v>
      </c>
      <c r="W371" s="9" t="str">
        <f>IF(Table1[[#This Row],[Satisfaction Rating]]&lt;2, "Low", IF(Table1[[#This Row],[Satisfaction Rating]]&lt;4, "Medium", "High"))</f>
        <v>High</v>
      </c>
    </row>
    <row r="372" spans="1:23" ht="14" x14ac:dyDescent="0.2">
      <c r="A372" s="10" t="s">
        <v>775</v>
      </c>
      <c r="B372" s="11">
        <v>45446.339247685188</v>
      </c>
      <c r="C372" s="11">
        <v>45446.339247685188</v>
      </c>
      <c r="D372" s="11" t="str">
        <f>IF(Table1[[#This Row],[Duration of Campaign]]=0, "Ongoing","Completed")</f>
        <v>Ongoing</v>
      </c>
      <c r="E372" s="12">
        <f>Table1[[#This Row],[End Date]]-Table1[[#This Row],[Start Date]]</f>
        <v>0</v>
      </c>
      <c r="F372" s="13">
        <v>5490</v>
      </c>
      <c r="G372" s="14" t="s">
        <v>24</v>
      </c>
      <c r="H372" s="15">
        <v>9452</v>
      </c>
      <c r="I372" s="15">
        <v>255</v>
      </c>
      <c r="J372" s="15">
        <v>88</v>
      </c>
      <c r="K372" s="16">
        <v>10451</v>
      </c>
      <c r="L372" s="17">
        <f t="shared" si="25"/>
        <v>2.6978417266187049E-2</v>
      </c>
      <c r="M372" s="17">
        <f t="shared" si="25"/>
        <v>0.34509803921568627</v>
      </c>
      <c r="N372" s="18">
        <f t="shared" si="26"/>
        <v>50.705882352941174</v>
      </c>
      <c r="O372" s="18">
        <f t="shared" si="27"/>
        <v>146.93181818181819</v>
      </c>
      <c r="P372" s="17">
        <f t="shared" si="28"/>
        <v>2.3551912568306013</v>
      </c>
      <c r="Q372" s="17">
        <f t="shared" si="29"/>
        <v>0.80827532869296215</v>
      </c>
      <c r="R372" s="10" t="s">
        <v>776</v>
      </c>
      <c r="S372" s="14" t="s">
        <v>40</v>
      </c>
      <c r="T372" s="14" t="s">
        <v>27</v>
      </c>
      <c r="U372" s="13">
        <v>12930</v>
      </c>
      <c r="V372" s="15">
        <v>3</v>
      </c>
      <c r="W372" s="9" t="str">
        <f>IF(Table1[[#This Row],[Satisfaction Rating]]&lt;2, "Low", IF(Table1[[#This Row],[Satisfaction Rating]]&lt;4, "Medium", "High"))</f>
        <v>Medium</v>
      </c>
    </row>
    <row r="373" spans="1:23" ht="14" x14ac:dyDescent="0.2">
      <c r="A373" s="10" t="s">
        <v>777</v>
      </c>
      <c r="B373" s="11">
        <v>45624.873657407406</v>
      </c>
      <c r="C373" s="11">
        <v>45624.873657407406</v>
      </c>
      <c r="D373" s="11" t="str">
        <f>IF(Table1[[#This Row],[Duration of Campaign]]=0, "Ongoing","Completed")</f>
        <v>Ongoing</v>
      </c>
      <c r="E373" s="12">
        <f>Table1[[#This Row],[End Date]]-Table1[[#This Row],[Start Date]]</f>
        <v>0</v>
      </c>
      <c r="F373" s="13">
        <v>5399</v>
      </c>
      <c r="G373" s="14" t="s">
        <v>24</v>
      </c>
      <c r="H373" s="15">
        <v>16607</v>
      </c>
      <c r="I373" s="15">
        <v>250</v>
      </c>
      <c r="J373" s="15">
        <v>206</v>
      </c>
      <c r="K373" s="16">
        <v>9934</v>
      </c>
      <c r="L373" s="17">
        <f t="shared" si="25"/>
        <v>1.5053892936713434E-2</v>
      </c>
      <c r="M373" s="17">
        <f t="shared" si="25"/>
        <v>0.82399999999999995</v>
      </c>
      <c r="N373" s="18">
        <f t="shared" si="26"/>
        <v>41.204000000000001</v>
      </c>
      <c r="O373" s="18">
        <f t="shared" si="27"/>
        <v>50.004854368932037</v>
      </c>
      <c r="P373" s="17">
        <f t="shared" si="28"/>
        <v>1.9079459159103538</v>
      </c>
      <c r="Q373" s="17">
        <f t="shared" si="29"/>
        <v>0.96437239102999706</v>
      </c>
      <c r="R373" s="10" t="s">
        <v>778</v>
      </c>
      <c r="S373" s="14" t="s">
        <v>45</v>
      </c>
      <c r="T373" s="14" t="s">
        <v>37</v>
      </c>
      <c r="U373" s="13">
        <v>10301</v>
      </c>
      <c r="V373" s="15">
        <v>1</v>
      </c>
      <c r="W373" s="9" t="str">
        <f>IF(Table1[[#This Row],[Satisfaction Rating]]&lt;2, "Low", IF(Table1[[#This Row],[Satisfaction Rating]]&lt;4, "Medium", "High"))</f>
        <v>Low</v>
      </c>
    </row>
    <row r="374" spans="1:23" ht="14" x14ac:dyDescent="0.2">
      <c r="A374" s="10" t="s">
        <v>779</v>
      </c>
      <c r="B374" s="11">
        <v>45448.829953703702</v>
      </c>
      <c r="C374" s="11">
        <v>45508.673263888886</v>
      </c>
      <c r="D374" s="11" t="str">
        <f>IF(Table1[[#This Row],[Duration of Campaign]]=0, "Ongoing","Completed")</f>
        <v>Completed</v>
      </c>
      <c r="E374" s="12">
        <f>Table1[[#This Row],[End Date]]-Table1[[#This Row],[Start Date]]</f>
        <v>59.843310185184237</v>
      </c>
      <c r="F374" s="13">
        <v>4498</v>
      </c>
      <c r="G374" s="14" t="s">
        <v>47</v>
      </c>
      <c r="H374" s="15">
        <v>7582</v>
      </c>
      <c r="I374" s="15">
        <v>1318</v>
      </c>
      <c r="J374" s="15">
        <v>394</v>
      </c>
      <c r="K374" s="16">
        <v>10845</v>
      </c>
      <c r="L374" s="17">
        <f t="shared" si="25"/>
        <v>0.17383276180427329</v>
      </c>
      <c r="M374" s="17">
        <f t="shared" si="25"/>
        <v>0.29893778452200304</v>
      </c>
      <c r="N374" s="18">
        <f t="shared" si="26"/>
        <v>13.574355083459787</v>
      </c>
      <c r="O374" s="18">
        <f t="shared" si="27"/>
        <v>45.408629441624363</v>
      </c>
      <c r="P374" s="17">
        <f t="shared" si="28"/>
        <v>3.9775455758114719</v>
      </c>
      <c r="Q374" s="17">
        <f t="shared" si="29"/>
        <v>0.60617070035213239</v>
      </c>
      <c r="R374" s="10" t="s">
        <v>780</v>
      </c>
      <c r="S374" s="14" t="s">
        <v>40</v>
      </c>
      <c r="T374" s="14" t="s">
        <v>37</v>
      </c>
      <c r="U374" s="13">
        <v>17891</v>
      </c>
      <c r="V374" s="15">
        <v>1</v>
      </c>
      <c r="W374" s="9" t="str">
        <f>IF(Table1[[#This Row],[Satisfaction Rating]]&lt;2, "Low", IF(Table1[[#This Row],[Satisfaction Rating]]&lt;4, "Medium", "High"))</f>
        <v>Low</v>
      </c>
    </row>
    <row r="375" spans="1:23" ht="14" x14ac:dyDescent="0.2">
      <c r="A375" s="10" t="s">
        <v>781</v>
      </c>
      <c r="B375" s="11">
        <v>45206.091747685183</v>
      </c>
      <c r="C375" s="11">
        <v>45206.091747685183</v>
      </c>
      <c r="D375" s="11" t="str">
        <f>IF(Table1[[#This Row],[Duration of Campaign]]=0, "Ongoing","Completed")</f>
        <v>Ongoing</v>
      </c>
      <c r="E375" s="12">
        <f>Table1[[#This Row],[End Date]]-Table1[[#This Row],[Start Date]]</f>
        <v>0</v>
      </c>
      <c r="F375" s="13">
        <v>4162</v>
      </c>
      <c r="G375" s="14" t="s">
        <v>63</v>
      </c>
      <c r="H375" s="15">
        <v>14537</v>
      </c>
      <c r="I375" s="15">
        <v>821</v>
      </c>
      <c r="J375" s="15">
        <v>131</v>
      </c>
      <c r="K375" s="16">
        <v>5747</v>
      </c>
      <c r="L375" s="17">
        <f t="shared" si="25"/>
        <v>5.6476577010387288E-2</v>
      </c>
      <c r="M375" s="17">
        <f t="shared" si="25"/>
        <v>0.15956151035322777</v>
      </c>
      <c r="N375" s="18">
        <f t="shared" si="26"/>
        <v>11.191230207064555</v>
      </c>
      <c r="O375" s="18">
        <f t="shared" si="27"/>
        <v>70.137404580152676</v>
      </c>
      <c r="P375" s="17">
        <f t="shared" si="28"/>
        <v>2.2075925036040367</v>
      </c>
      <c r="Q375" s="17">
        <f t="shared" si="29"/>
        <v>0.6254897692642577</v>
      </c>
      <c r="R375" s="10" t="s">
        <v>782</v>
      </c>
      <c r="S375" s="14" t="s">
        <v>31</v>
      </c>
      <c r="T375" s="14" t="s">
        <v>55</v>
      </c>
      <c r="U375" s="13">
        <v>9188</v>
      </c>
      <c r="V375" s="15">
        <v>4</v>
      </c>
      <c r="W375" s="9" t="str">
        <f>IF(Table1[[#This Row],[Satisfaction Rating]]&lt;2, "Low", IF(Table1[[#This Row],[Satisfaction Rating]]&lt;4, "Medium", "High"))</f>
        <v>High</v>
      </c>
    </row>
    <row r="376" spans="1:23" ht="14" x14ac:dyDescent="0.2">
      <c r="A376" s="10" t="s">
        <v>783</v>
      </c>
      <c r="B376" s="11">
        <v>45058.027581018519</v>
      </c>
      <c r="C376" s="11">
        <v>45058.027581018519</v>
      </c>
      <c r="D376" s="11" t="str">
        <f>IF(Table1[[#This Row],[Duration of Campaign]]=0, "Ongoing","Completed")</f>
        <v>Ongoing</v>
      </c>
      <c r="E376" s="12">
        <f>Table1[[#This Row],[End Date]]-Table1[[#This Row],[Start Date]]</f>
        <v>0</v>
      </c>
      <c r="F376" s="13">
        <v>5095</v>
      </c>
      <c r="G376" s="14" t="s">
        <v>47</v>
      </c>
      <c r="H376" s="15">
        <v>14914</v>
      </c>
      <c r="I376" s="15">
        <v>1062</v>
      </c>
      <c r="J376" s="15">
        <v>481</v>
      </c>
      <c r="K376" s="16">
        <v>1336</v>
      </c>
      <c r="L376" s="17">
        <f t="shared" si="25"/>
        <v>7.120826069464932E-2</v>
      </c>
      <c r="M376" s="17">
        <f t="shared" si="25"/>
        <v>0.45291902071563089</v>
      </c>
      <c r="N376" s="18">
        <f t="shared" si="26"/>
        <v>12.891713747645952</v>
      </c>
      <c r="O376" s="18">
        <f t="shared" si="27"/>
        <v>28.463617463617464</v>
      </c>
      <c r="P376" s="17">
        <f t="shared" si="28"/>
        <v>2.687144259077527</v>
      </c>
      <c r="Q376" s="17">
        <f t="shared" si="29"/>
        <v>9.7582353370827546E-2</v>
      </c>
      <c r="R376" s="10" t="s">
        <v>784</v>
      </c>
      <c r="S376" s="14" t="s">
        <v>31</v>
      </c>
      <c r="T376" s="14" t="s">
        <v>27</v>
      </c>
      <c r="U376" s="13">
        <v>13691</v>
      </c>
      <c r="V376" s="15">
        <v>3</v>
      </c>
      <c r="W376" s="9" t="str">
        <f>IF(Table1[[#This Row],[Satisfaction Rating]]&lt;2, "Low", IF(Table1[[#This Row],[Satisfaction Rating]]&lt;4, "Medium", "High"))</f>
        <v>Medium</v>
      </c>
    </row>
    <row r="377" spans="1:23" ht="14" x14ac:dyDescent="0.2">
      <c r="A377" s="10" t="s">
        <v>785</v>
      </c>
      <c r="B377" s="11">
        <v>45603.366006944445</v>
      </c>
      <c r="C377" s="11">
        <v>45603.366006944445</v>
      </c>
      <c r="D377" s="11" t="str">
        <f>IF(Table1[[#This Row],[Duration of Campaign]]=0, "Ongoing","Completed")</f>
        <v>Ongoing</v>
      </c>
      <c r="E377" s="12">
        <f>Table1[[#This Row],[End Date]]-Table1[[#This Row],[Start Date]]</f>
        <v>0</v>
      </c>
      <c r="F377" s="13">
        <v>3261</v>
      </c>
      <c r="G377" s="14" t="s">
        <v>63</v>
      </c>
      <c r="H377" s="15">
        <v>6505</v>
      </c>
      <c r="I377" s="15">
        <v>1979</v>
      </c>
      <c r="J377" s="15">
        <v>305</v>
      </c>
      <c r="K377" s="16">
        <v>14852</v>
      </c>
      <c r="L377" s="17">
        <f t="shared" si="25"/>
        <v>0.30422751729438891</v>
      </c>
      <c r="M377" s="17">
        <f t="shared" si="25"/>
        <v>0.15411824153612935</v>
      </c>
      <c r="N377" s="18">
        <f t="shared" si="26"/>
        <v>7.7099545224861039</v>
      </c>
      <c r="O377" s="18">
        <f t="shared" si="27"/>
        <v>50.026229508196721</v>
      </c>
      <c r="P377" s="17">
        <f t="shared" si="28"/>
        <v>4.6789328426862928</v>
      </c>
      <c r="Q377" s="17">
        <f t="shared" si="29"/>
        <v>0.97339100799580547</v>
      </c>
      <c r="R377" s="10" t="s">
        <v>786</v>
      </c>
      <c r="S377" s="14" t="s">
        <v>26</v>
      </c>
      <c r="T377" s="14" t="s">
        <v>27</v>
      </c>
      <c r="U377" s="13">
        <v>15258</v>
      </c>
      <c r="V377" s="15">
        <v>3</v>
      </c>
      <c r="W377" s="9" t="str">
        <f>IF(Table1[[#This Row],[Satisfaction Rating]]&lt;2, "Low", IF(Table1[[#This Row],[Satisfaction Rating]]&lt;4, "Medium", "High"))</f>
        <v>Medium</v>
      </c>
    </row>
    <row r="378" spans="1:23" ht="14" x14ac:dyDescent="0.2">
      <c r="A378" s="10" t="s">
        <v>787</v>
      </c>
      <c r="B378" s="11">
        <v>45656.160393518519</v>
      </c>
      <c r="C378" s="11">
        <v>45656.160393518519</v>
      </c>
      <c r="D378" s="11" t="str">
        <f>IF(Table1[[#This Row],[Duration of Campaign]]=0, "Ongoing","Completed")</f>
        <v>Ongoing</v>
      </c>
      <c r="E378" s="12">
        <f>Table1[[#This Row],[End Date]]-Table1[[#This Row],[Start Date]]</f>
        <v>0</v>
      </c>
      <c r="F378" s="13">
        <v>4344</v>
      </c>
      <c r="G378" s="14" t="s">
        <v>47</v>
      </c>
      <c r="H378" s="15">
        <v>7383</v>
      </c>
      <c r="I378" s="15">
        <v>1189</v>
      </c>
      <c r="J378" s="15">
        <v>216</v>
      </c>
      <c r="K378" s="16">
        <v>4369</v>
      </c>
      <c r="L378" s="17">
        <f t="shared" si="25"/>
        <v>0.16104564540159827</v>
      </c>
      <c r="M378" s="17">
        <f t="shared" si="25"/>
        <v>0.18166526492851134</v>
      </c>
      <c r="N378" s="18">
        <f t="shared" si="26"/>
        <v>5.2153069806560133</v>
      </c>
      <c r="O378" s="18">
        <f t="shared" si="27"/>
        <v>28.708333333333332</v>
      </c>
      <c r="P378" s="17">
        <f t="shared" si="28"/>
        <v>1.4274861878453038</v>
      </c>
      <c r="Q378" s="17">
        <f t="shared" si="29"/>
        <v>0.70456378003547815</v>
      </c>
      <c r="R378" s="10" t="s">
        <v>788</v>
      </c>
      <c r="S378" s="14" t="s">
        <v>26</v>
      </c>
      <c r="T378" s="14" t="s">
        <v>27</v>
      </c>
      <c r="U378" s="13">
        <v>6201</v>
      </c>
      <c r="V378" s="15">
        <v>5</v>
      </c>
      <c r="W378" s="9" t="str">
        <f>IF(Table1[[#This Row],[Satisfaction Rating]]&lt;2, "Low", IF(Table1[[#This Row],[Satisfaction Rating]]&lt;4, "Medium", "High"))</f>
        <v>High</v>
      </c>
    </row>
    <row r="379" spans="1:23" ht="14" x14ac:dyDescent="0.2">
      <c r="A379" s="10" t="s">
        <v>789</v>
      </c>
      <c r="B379" s="11">
        <v>45254.320833333331</v>
      </c>
      <c r="C379" s="11">
        <v>45254.320833333331</v>
      </c>
      <c r="D379" s="11" t="str">
        <f>IF(Table1[[#This Row],[Duration of Campaign]]=0, "Ongoing","Completed")</f>
        <v>Ongoing</v>
      </c>
      <c r="E379" s="12">
        <f>Table1[[#This Row],[End Date]]-Table1[[#This Row],[Start Date]]</f>
        <v>0</v>
      </c>
      <c r="F379" s="13">
        <v>1017</v>
      </c>
      <c r="G379" s="14" t="s">
        <v>24</v>
      </c>
      <c r="H379" s="15">
        <v>17171</v>
      </c>
      <c r="I379" s="15">
        <v>1836</v>
      </c>
      <c r="J379" s="15">
        <v>366</v>
      </c>
      <c r="K379" s="16">
        <v>9876</v>
      </c>
      <c r="L379" s="17">
        <f t="shared" si="25"/>
        <v>0.10692446566886028</v>
      </c>
      <c r="M379" s="17">
        <f t="shared" si="25"/>
        <v>0.19934640522875818</v>
      </c>
      <c r="N379" s="18">
        <f t="shared" si="26"/>
        <v>8.5675381263616561</v>
      </c>
      <c r="O379" s="18">
        <f t="shared" si="27"/>
        <v>42.978142076502735</v>
      </c>
      <c r="P379" s="17">
        <f t="shared" si="28"/>
        <v>15.467059980334316</v>
      </c>
      <c r="Q379" s="17">
        <f t="shared" si="29"/>
        <v>0.62784488239033698</v>
      </c>
      <c r="R379" s="10" t="s">
        <v>790</v>
      </c>
      <c r="S379" s="14" t="s">
        <v>31</v>
      </c>
      <c r="T379" s="14" t="s">
        <v>37</v>
      </c>
      <c r="U379" s="13">
        <v>15730</v>
      </c>
      <c r="V379" s="15">
        <v>1</v>
      </c>
      <c r="W379" s="9" t="str">
        <f>IF(Table1[[#This Row],[Satisfaction Rating]]&lt;2, "Low", IF(Table1[[#This Row],[Satisfaction Rating]]&lt;4, "Medium", "High"))</f>
        <v>Low</v>
      </c>
    </row>
    <row r="380" spans="1:23" ht="14" x14ac:dyDescent="0.2">
      <c r="A380" s="10" t="s">
        <v>791</v>
      </c>
      <c r="B380" s="11">
        <v>45122.06590277778</v>
      </c>
      <c r="C380" s="11">
        <v>45181.942476851851</v>
      </c>
      <c r="D380" s="11" t="str">
        <f>IF(Table1[[#This Row],[Duration of Campaign]]=0, "Ongoing","Completed")</f>
        <v>Completed</v>
      </c>
      <c r="E380" s="12">
        <f>Table1[[#This Row],[End Date]]-Table1[[#This Row],[Start Date]]</f>
        <v>59.876574074070959</v>
      </c>
      <c r="F380" s="13">
        <v>1634</v>
      </c>
      <c r="G380" s="14" t="s">
        <v>63</v>
      </c>
      <c r="H380" s="15">
        <v>1209</v>
      </c>
      <c r="I380" s="15">
        <v>450</v>
      </c>
      <c r="J380" s="15">
        <v>79</v>
      </c>
      <c r="K380" s="16">
        <v>13389</v>
      </c>
      <c r="L380" s="17">
        <f t="shared" si="25"/>
        <v>0.37220843672456577</v>
      </c>
      <c r="M380" s="17">
        <f t="shared" si="25"/>
        <v>0.17555555555555555</v>
      </c>
      <c r="N380" s="18">
        <f t="shared" si="26"/>
        <v>33.737777777777779</v>
      </c>
      <c r="O380" s="18">
        <f t="shared" si="27"/>
        <v>192.17721518987341</v>
      </c>
      <c r="P380" s="17">
        <f t="shared" si="28"/>
        <v>9.2913096695226436</v>
      </c>
      <c r="Q380" s="17">
        <f t="shared" si="29"/>
        <v>0.88189961796864713</v>
      </c>
      <c r="R380" s="10" t="s">
        <v>792</v>
      </c>
      <c r="S380" s="14" t="s">
        <v>31</v>
      </c>
      <c r="T380" s="14" t="s">
        <v>37</v>
      </c>
      <c r="U380" s="13">
        <v>15182</v>
      </c>
      <c r="V380" s="15">
        <v>2</v>
      </c>
      <c r="W380" s="9" t="str">
        <f>IF(Table1[[#This Row],[Satisfaction Rating]]&lt;2, "Low", IF(Table1[[#This Row],[Satisfaction Rating]]&lt;4, "Medium", "High"))</f>
        <v>Medium</v>
      </c>
    </row>
    <row r="381" spans="1:23" ht="14" x14ac:dyDescent="0.2">
      <c r="A381" s="10" t="s">
        <v>793</v>
      </c>
      <c r="B381" s="11">
        <v>45394.751400462963</v>
      </c>
      <c r="C381" s="11">
        <v>45394.751400462963</v>
      </c>
      <c r="D381" s="11" t="str">
        <f>IF(Table1[[#This Row],[Duration of Campaign]]=0, "Ongoing","Completed")</f>
        <v>Ongoing</v>
      </c>
      <c r="E381" s="12">
        <f>Table1[[#This Row],[End Date]]-Table1[[#This Row],[Start Date]]</f>
        <v>0</v>
      </c>
      <c r="F381" s="13">
        <v>7558</v>
      </c>
      <c r="G381" s="14" t="s">
        <v>63</v>
      </c>
      <c r="H381" s="15">
        <v>7491</v>
      </c>
      <c r="I381" s="15">
        <v>1031</v>
      </c>
      <c r="J381" s="15">
        <v>182</v>
      </c>
      <c r="K381" s="16">
        <v>11937</v>
      </c>
      <c r="L381" s="17">
        <f t="shared" si="25"/>
        <v>0.13763182485649447</v>
      </c>
      <c r="M381" s="17">
        <f t="shared" si="25"/>
        <v>0.17652764306498545</v>
      </c>
      <c r="N381" s="18">
        <f t="shared" si="26"/>
        <v>4.0882638215324931</v>
      </c>
      <c r="O381" s="18">
        <f t="shared" si="27"/>
        <v>23.159340659340661</v>
      </c>
      <c r="P381" s="17">
        <f t="shared" si="28"/>
        <v>0.55768721884096317</v>
      </c>
      <c r="Q381" s="17">
        <f t="shared" si="29"/>
        <v>2.8320284697508895</v>
      </c>
      <c r="R381" s="10" t="s">
        <v>794</v>
      </c>
      <c r="S381" s="14" t="s">
        <v>31</v>
      </c>
      <c r="T381" s="14" t="s">
        <v>27</v>
      </c>
      <c r="U381" s="13">
        <v>4215</v>
      </c>
      <c r="V381" s="15">
        <v>1</v>
      </c>
      <c r="W381" s="9" t="str">
        <f>IF(Table1[[#This Row],[Satisfaction Rating]]&lt;2, "Low", IF(Table1[[#This Row],[Satisfaction Rating]]&lt;4, "Medium", "High"))</f>
        <v>Low</v>
      </c>
    </row>
    <row r="382" spans="1:23" ht="14" x14ac:dyDescent="0.2">
      <c r="A382" s="10" t="s">
        <v>795</v>
      </c>
      <c r="B382" s="11">
        <v>45228.394409722219</v>
      </c>
      <c r="C382" s="11">
        <v>45228.394409722219</v>
      </c>
      <c r="D382" s="11" t="str">
        <f>IF(Table1[[#This Row],[Duration of Campaign]]=0, "Ongoing","Completed")</f>
        <v>Ongoing</v>
      </c>
      <c r="E382" s="12">
        <f>Table1[[#This Row],[End Date]]-Table1[[#This Row],[Start Date]]</f>
        <v>0</v>
      </c>
      <c r="F382" s="13">
        <v>8916</v>
      </c>
      <c r="G382" s="14" t="s">
        <v>24</v>
      </c>
      <c r="H382" s="15">
        <v>13679</v>
      </c>
      <c r="I382" s="15">
        <v>1546</v>
      </c>
      <c r="J382" s="15">
        <v>396</v>
      </c>
      <c r="K382" s="16">
        <v>1575</v>
      </c>
      <c r="L382" s="17">
        <f t="shared" si="25"/>
        <v>0.1130199575992397</v>
      </c>
      <c r="M382" s="17">
        <f t="shared" si="25"/>
        <v>0.25614489003880986</v>
      </c>
      <c r="N382" s="18">
        <f t="shared" si="26"/>
        <v>4.3130659767141006</v>
      </c>
      <c r="O382" s="18">
        <f t="shared" si="27"/>
        <v>16.838383838383837</v>
      </c>
      <c r="P382" s="17">
        <f t="shared" si="28"/>
        <v>0.74786899955136832</v>
      </c>
      <c r="Q382" s="17">
        <f t="shared" si="29"/>
        <v>0.23620275944811037</v>
      </c>
      <c r="R382" s="10" t="s">
        <v>796</v>
      </c>
      <c r="S382" s="14" t="s">
        <v>31</v>
      </c>
      <c r="T382" s="14" t="s">
        <v>55</v>
      </c>
      <c r="U382" s="13">
        <v>6668</v>
      </c>
      <c r="V382" s="15">
        <v>2</v>
      </c>
      <c r="W382" s="9" t="str">
        <f>IF(Table1[[#This Row],[Satisfaction Rating]]&lt;2, "Low", IF(Table1[[#This Row],[Satisfaction Rating]]&lt;4, "Medium", "High"))</f>
        <v>Medium</v>
      </c>
    </row>
    <row r="383" spans="1:23" ht="14" x14ac:dyDescent="0.2">
      <c r="A383" s="10" t="s">
        <v>797</v>
      </c>
      <c r="B383" s="11">
        <v>45351.221967592595</v>
      </c>
      <c r="C383" s="11">
        <v>45351.221967592595</v>
      </c>
      <c r="D383" s="11" t="str">
        <f>IF(Table1[[#This Row],[Duration of Campaign]]=0, "Ongoing","Completed")</f>
        <v>Ongoing</v>
      </c>
      <c r="E383" s="12">
        <f>Table1[[#This Row],[End Date]]-Table1[[#This Row],[Start Date]]</f>
        <v>0</v>
      </c>
      <c r="F383" s="13">
        <v>3118</v>
      </c>
      <c r="G383" s="14" t="s">
        <v>63</v>
      </c>
      <c r="H383" s="15">
        <v>19648</v>
      </c>
      <c r="I383" s="15">
        <v>689</v>
      </c>
      <c r="J383" s="15">
        <v>96</v>
      </c>
      <c r="K383" s="16">
        <v>891</v>
      </c>
      <c r="L383" s="17">
        <f t="shared" si="25"/>
        <v>3.5067182410423454E-2</v>
      </c>
      <c r="M383" s="17">
        <f t="shared" si="25"/>
        <v>0.13933236574746008</v>
      </c>
      <c r="N383" s="18">
        <f t="shared" si="26"/>
        <v>2.2278664731494922</v>
      </c>
      <c r="O383" s="18">
        <f t="shared" si="27"/>
        <v>15.989583333333334</v>
      </c>
      <c r="P383" s="17">
        <f t="shared" si="28"/>
        <v>0.49230275817831942</v>
      </c>
      <c r="Q383" s="17">
        <f t="shared" si="29"/>
        <v>0.58045602605863189</v>
      </c>
      <c r="R383" s="10" t="s">
        <v>798</v>
      </c>
      <c r="S383" s="14" t="s">
        <v>45</v>
      </c>
      <c r="T383" s="14" t="s">
        <v>27</v>
      </c>
      <c r="U383" s="13">
        <v>1535</v>
      </c>
      <c r="V383" s="15">
        <v>4</v>
      </c>
      <c r="W383" s="9" t="str">
        <f>IF(Table1[[#This Row],[Satisfaction Rating]]&lt;2, "Low", IF(Table1[[#This Row],[Satisfaction Rating]]&lt;4, "Medium", "High"))</f>
        <v>High</v>
      </c>
    </row>
    <row r="384" spans="1:23" ht="14" x14ac:dyDescent="0.2">
      <c r="A384" s="10" t="s">
        <v>799</v>
      </c>
      <c r="B384" s="11">
        <v>45051.77171296296</v>
      </c>
      <c r="C384" s="11">
        <v>45101.781770833331</v>
      </c>
      <c r="D384" s="11" t="str">
        <f>IF(Table1[[#This Row],[Duration of Campaign]]=0, "Ongoing","Completed")</f>
        <v>Completed</v>
      </c>
      <c r="E384" s="12">
        <f>Table1[[#This Row],[End Date]]-Table1[[#This Row],[Start Date]]</f>
        <v>50.010057870371384</v>
      </c>
      <c r="F384" s="13">
        <v>4056</v>
      </c>
      <c r="G384" s="14" t="s">
        <v>24</v>
      </c>
      <c r="H384" s="15">
        <v>16216</v>
      </c>
      <c r="I384" s="15">
        <v>414</v>
      </c>
      <c r="J384" s="15">
        <v>349</v>
      </c>
      <c r="K384" s="16">
        <v>2271</v>
      </c>
      <c r="L384" s="17">
        <f t="shared" si="25"/>
        <v>2.5530340404538727E-2</v>
      </c>
      <c r="M384" s="17">
        <f t="shared" si="25"/>
        <v>0.84299516908212557</v>
      </c>
      <c r="N384" s="18">
        <f t="shared" si="26"/>
        <v>35.937198067632849</v>
      </c>
      <c r="O384" s="18">
        <f t="shared" si="27"/>
        <v>42.630372492836678</v>
      </c>
      <c r="P384" s="17">
        <f t="shared" si="28"/>
        <v>3.668145956607495</v>
      </c>
      <c r="Q384" s="17">
        <f t="shared" si="29"/>
        <v>0.15264148407043956</v>
      </c>
      <c r="R384" s="10" t="s">
        <v>800</v>
      </c>
      <c r="S384" s="14" t="s">
        <v>34</v>
      </c>
      <c r="T384" s="14" t="s">
        <v>37</v>
      </c>
      <c r="U384" s="13">
        <v>14878</v>
      </c>
      <c r="V384" s="15">
        <v>1</v>
      </c>
      <c r="W384" s="9" t="str">
        <f>IF(Table1[[#This Row],[Satisfaction Rating]]&lt;2, "Low", IF(Table1[[#This Row],[Satisfaction Rating]]&lt;4, "Medium", "High"))</f>
        <v>Low</v>
      </c>
    </row>
    <row r="385" spans="1:23" ht="14" x14ac:dyDescent="0.2">
      <c r="A385" s="10" t="s">
        <v>801</v>
      </c>
      <c r="B385" s="11">
        <v>45629.053541666668</v>
      </c>
      <c r="C385" s="11">
        <v>45629.053541666668</v>
      </c>
      <c r="D385" s="11" t="str">
        <f>IF(Table1[[#This Row],[Duration of Campaign]]=0, "Ongoing","Completed")</f>
        <v>Ongoing</v>
      </c>
      <c r="E385" s="12">
        <f>Table1[[#This Row],[End Date]]-Table1[[#This Row],[Start Date]]</f>
        <v>0</v>
      </c>
      <c r="F385" s="13">
        <v>8601</v>
      </c>
      <c r="G385" s="14" t="s">
        <v>29</v>
      </c>
      <c r="H385" s="15">
        <v>16515</v>
      </c>
      <c r="I385" s="15">
        <v>1495</v>
      </c>
      <c r="J385" s="15">
        <v>493</v>
      </c>
      <c r="K385" s="16">
        <v>13041</v>
      </c>
      <c r="L385" s="17">
        <f t="shared" si="25"/>
        <v>9.0523766273085074E-2</v>
      </c>
      <c r="M385" s="17">
        <f t="shared" si="25"/>
        <v>0.32976588628762543</v>
      </c>
      <c r="N385" s="18">
        <f t="shared" si="26"/>
        <v>2.3605351170568563</v>
      </c>
      <c r="O385" s="18">
        <f t="shared" si="27"/>
        <v>7.1582150101419879</v>
      </c>
      <c r="P385" s="17">
        <f t="shared" si="28"/>
        <v>0.41030112777583999</v>
      </c>
      <c r="Q385" s="17">
        <f t="shared" si="29"/>
        <v>3.6953811277982433</v>
      </c>
      <c r="R385" s="10" t="s">
        <v>802</v>
      </c>
      <c r="S385" s="14" t="s">
        <v>40</v>
      </c>
      <c r="T385" s="14" t="s">
        <v>37</v>
      </c>
      <c r="U385" s="13">
        <v>3529</v>
      </c>
      <c r="V385" s="15">
        <v>5</v>
      </c>
      <c r="W385" s="9" t="str">
        <f>IF(Table1[[#This Row],[Satisfaction Rating]]&lt;2, "Low", IF(Table1[[#This Row],[Satisfaction Rating]]&lt;4, "Medium", "High"))</f>
        <v>High</v>
      </c>
    </row>
    <row r="386" spans="1:23" ht="14" x14ac:dyDescent="0.2">
      <c r="A386" s="10" t="s">
        <v>803</v>
      </c>
      <c r="B386" s="11">
        <v>45326.901817129627</v>
      </c>
      <c r="C386" s="11">
        <v>45326.901817129627</v>
      </c>
      <c r="D386" s="11" t="str">
        <f>IF(Table1[[#This Row],[Duration of Campaign]]=0, "Ongoing","Completed")</f>
        <v>Ongoing</v>
      </c>
      <c r="E386" s="12">
        <f>Table1[[#This Row],[End Date]]-Table1[[#This Row],[Start Date]]</f>
        <v>0</v>
      </c>
      <c r="F386" s="13">
        <v>3550</v>
      </c>
      <c r="G386" s="14" t="s">
        <v>47</v>
      </c>
      <c r="H386" s="15">
        <v>10253</v>
      </c>
      <c r="I386" s="15">
        <v>443</v>
      </c>
      <c r="J386" s="15">
        <v>120</v>
      </c>
      <c r="K386" s="16">
        <v>1930</v>
      </c>
      <c r="L386" s="17">
        <f t="shared" si="25"/>
        <v>4.320686628303911E-2</v>
      </c>
      <c r="M386" s="17">
        <f t="shared" si="25"/>
        <v>0.27088036117381492</v>
      </c>
      <c r="N386" s="18">
        <f t="shared" si="26"/>
        <v>29.042889390519186</v>
      </c>
      <c r="O386" s="18">
        <f t="shared" si="27"/>
        <v>107.21666666666667</v>
      </c>
      <c r="P386" s="17">
        <f t="shared" si="28"/>
        <v>3.6242253521126759</v>
      </c>
      <c r="Q386" s="17">
        <f t="shared" si="29"/>
        <v>0.15000777242344163</v>
      </c>
      <c r="R386" s="10" t="s">
        <v>804</v>
      </c>
      <c r="S386" s="14" t="s">
        <v>26</v>
      </c>
      <c r="T386" s="14" t="s">
        <v>37</v>
      </c>
      <c r="U386" s="13">
        <v>12866</v>
      </c>
      <c r="V386" s="15">
        <v>3</v>
      </c>
      <c r="W386" s="9" t="str">
        <f>IF(Table1[[#This Row],[Satisfaction Rating]]&lt;2, "Low", IF(Table1[[#This Row],[Satisfaction Rating]]&lt;4, "Medium", "High"))</f>
        <v>Medium</v>
      </c>
    </row>
    <row r="387" spans="1:23" ht="14" x14ac:dyDescent="0.2">
      <c r="A387" s="10" t="s">
        <v>805</v>
      </c>
      <c r="B387" s="11">
        <v>44955.945543981485</v>
      </c>
      <c r="C387" s="11">
        <v>45372.399733796294</v>
      </c>
      <c r="D387" s="11" t="str">
        <f>IF(Table1[[#This Row],[Duration of Campaign]]=0, "Ongoing","Completed")</f>
        <v>Completed</v>
      </c>
      <c r="E387" s="12">
        <f>Table1[[#This Row],[End Date]]-Table1[[#This Row],[Start Date]]</f>
        <v>416.45418981480907</v>
      </c>
      <c r="F387" s="13">
        <v>4913</v>
      </c>
      <c r="G387" s="14" t="s">
        <v>29</v>
      </c>
      <c r="H387" s="15">
        <v>5205</v>
      </c>
      <c r="I387" s="15">
        <v>1922</v>
      </c>
      <c r="J387" s="15">
        <v>261</v>
      </c>
      <c r="K387" s="16">
        <v>863</v>
      </c>
      <c r="L387" s="17">
        <f t="shared" ref="L387:M450" si="30">I387/H387</f>
        <v>0.3692603266090298</v>
      </c>
      <c r="M387" s="17">
        <f t="shared" si="30"/>
        <v>0.13579604578563995</v>
      </c>
      <c r="N387" s="18">
        <f t="shared" ref="N387:N450" si="31">U387/I387</f>
        <v>4.8621227887617069</v>
      </c>
      <c r="O387" s="18">
        <f t="shared" ref="O387:O450" si="32">U387/J387</f>
        <v>35.804597701149426</v>
      </c>
      <c r="P387" s="17">
        <f t="shared" ref="P387:P450" si="33">U387/F387</f>
        <v>1.9020964787299002</v>
      </c>
      <c r="Q387" s="17">
        <f t="shared" ref="Q387:Q450" si="34">K387/U387</f>
        <v>9.2348849652220441E-2</v>
      </c>
      <c r="R387" s="10" t="s">
        <v>806</v>
      </c>
      <c r="S387" s="14" t="s">
        <v>40</v>
      </c>
      <c r="T387" s="14" t="s">
        <v>55</v>
      </c>
      <c r="U387" s="13">
        <v>9345</v>
      </c>
      <c r="V387" s="15">
        <v>1</v>
      </c>
      <c r="W387" s="9" t="str">
        <f>IF(Table1[[#This Row],[Satisfaction Rating]]&lt;2, "Low", IF(Table1[[#This Row],[Satisfaction Rating]]&lt;4, "Medium", "High"))</f>
        <v>Low</v>
      </c>
    </row>
    <row r="388" spans="1:23" ht="14" x14ac:dyDescent="0.2">
      <c r="A388" s="10" t="s">
        <v>807</v>
      </c>
      <c r="B388" s="11">
        <v>45136.150648148148</v>
      </c>
      <c r="C388" s="11">
        <v>45136.150648148148</v>
      </c>
      <c r="D388" s="11" t="str">
        <f>IF(Table1[[#This Row],[Duration of Campaign]]=0, "Ongoing","Completed")</f>
        <v>Ongoing</v>
      </c>
      <c r="E388" s="12">
        <f>Table1[[#This Row],[End Date]]-Table1[[#This Row],[Start Date]]</f>
        <v>0</v>
      </c>
      <c r="F388" s="13">
        <v>3861</v>
      </c>
      <c r="G388" s="14" t="s">
        <v>24</v>
      </c>
      <c r="H388" s="15">
        <v>4229</v>
      </c>
      <c r="I388" s="15">
        <v>226</v>
      </c>
      <c r="J388" s="15">
        <v>255</v>
      </c>
      <c r="K388" s="16">
        <v>12977</v>
      </c>
      <c r="L388" s="17">
        <f t="shared" si="30"/>
        <v>5.3440529676046344E-2</v>
      </c>
      <c r="M388" s="17">
        <f t="shared" si="30"/>
        <v>1.1283185840707965</v>
      </c>
      <c r="N388" s="18">
        <f t="shared" si="31"/>
        <v>55.818584070796462</v>
      </c>
      <c r="O388" s="18">
        <f t="shared" si="32"/>
        <v>49.470588235294116</v>
      </c>
      <c r="P388" s="17">
        <f t="shared" si="33"/>
        <v>3.2672882672882673</v>
      </c>
      <c r="Q388" s="17">
        <f t="shared" si="34"/>
        <v>1.0286959968291716</v>
      </c>
      <c r="R388" s="10" t="s">
        <v>808</v>
      </c>
      <c r="S388" s="14" t="s">
        <v>31</v>
      </c>
      <c r="T388" s="14" t="s">
        <v>27</v>
      </c>
      <c r="U388" s="13">
        <v>12615</v>
      </c>
      <c r="V388" s="15">
        <v>3</v>
      </c>
      <c r="W388" s="9" t="str">
        <f>IF(Table1[[#This Row],[Satisfaction Rating]]&lt;2, "Low", IF(Table1[[#This Row],[Satisfaction Rating]]&lt;4, "Medium", "High"))</f>
        <v>Medium</v>
      </c>
    </row>
    <row r="389" spans="1:23" ht="14" x14ac:dyDescent="0.2">
      <c r="A389" s="10" t="s">
        <v>809</v>
      </c>
      <c r="B389" s="11">
        <v>45120.42083333333</v>
      </c>
      <c r="C389" s="11">
        <v>45284.763344907406</v>
      </c>
      <c r="D389" s="11" t="str">
        <f>IF(Table1[[#This Row],[Duration of Campaign]]=0, "Ongoing","Completed")</f>
        <v>Completed</v>
      </c>
      <c r="E389" s="12">
        <f>Table1[[#This Row],[End Date]]-Table1[[#This Row],[Start Date]]</f>
        <v>164.34251157407562</v>
      </c>
      <c r="F389" s="13">
        <v>8002</v>
      </c>
      <c r="G389" s="14" t="s">
        <v>24</v>
      </c>
      <c r="H389" s="15">
        <v>8337</v>
      </c>
      <c r="I389" s="15">
        <v>1143</v>
      </c>
      <c r="J389" s="15">
        <v>383</v>
      </c>
      <c r="K389" s="16">
        <v>12814</v>
      </c>
      <c r="L389" s="17">
        <f t="shared" si="30"/>
        <v>0.1370996761424973</v>
      </c>
      <c r="M389" s="17">
        <f t="shared" si="30"/>
        <v>0.33508311461067369</v>
      </c>
      <c r="N389" s="18">
        <f t="shared" si="31"/>
        <v>3.3595800524934383</v>
      </c>
      <c r="O389" s="18">
        <f t="shared" si="32"/>
        <v>10.026109660574413</v>
      </c>
      <c r="P389" s="17">
        <f t="shared" si="33"/>
        <v>0.4798800299925019</v>
      </c>
      <c r="Q389" s="17">
        <f t="shared" si="34"/>
        <v>3.3369791666666666</v>
      </c>
      <c r="R389" s="10" t="s">
        <v>810</v>
      </c>
      <c r="S389" s="14" t="s">
        <v>26</v>
      </c>
      <c r="T389" s="14" t="s">
        <v>37</v>
      </c>
      <c r="U389" s="13">
        <v>3840</v>
      </c>
      <c r="V389" s="15">
        <v>5</v>
      </c>
      <c r="W389" s="9" t="str">
        <f>IF(Table1[[#This Row],[Satisfaction Rating]]&lt;2, "Low", IF(Table1[[#This Row],[Satisfaction Rating]]&lt;4, "Medium", "High"))</f>
        <v>High</v>
      </c>
    </row>
    <row r="390" spans="1:23" ht="14" x14ac:dyDescent="0.2">
      <c r="A390" s="10" t="s">
        <v>811</v>
      </c>
      <c r="B390" s="11">
        <v>45001.654444444444</v>
      </c>
      <c r="C390" s="11">
        <v>45054.074456018519</v>
      </c>
      <c r="D390" s="11" t="str">
        <f>IF(Table1[[#This Row],[Duration of Campaign]]=0, "Ongoing","Completed")</f>
        <v>Completed</v>
      </c>
      <c r="E390" s="12">
        <f>Table1[[#This Row],[End Date]]-Table1[[#This Row],[Start Date]]</f>
        <v>52.420011574075033</v>
      </c>
      <c r="F390" s="13">
        <v>9069</v>
      </c>
      <c r="G390" s="14" t="s">
        <v>63</v>
      </c>
      <c r="H390" s="15">
        <v>14103</v>
      </c>
      <c r="I390" s="15">
        <v>1274</v>
      </c>
      <c r="J390" s="15">
        <v>345</v>
      </c>
      <c r="K390" s="16">
        <v>5596</v>
      </c>
      <c r="L390" s="17">
        <f t="shared" si="30"/>
        <v>9.0335389633411325E-2</v>
      </c>
      <c r="M390" s="17">
        <f t="shared" si="30"/>
        <v>0.27080062794348508</v>
      </c>
      <c r="N390" s="18">
        <f t="shared" si="31"/>
        <v>5.2558869701726847</v>
      </c>
      <c r="O390" s="18">
        <f t="shared" si="32"/>
        <v>19.408695652173915</v>
      </c>
      <c r="P390" s="17">
        <f t="shared" si="33"/>
        <v>0.73833939794905723</v>
      </c>
      <c r="Q390" s="17">
        <f t="shared" si="34"/>
        <v>0.83572281959378736</v>
      </c>
      <c r="R390" s="10" t="s">
        <v>812</v>
      </c>
      <c r="S390" s="14" t="s">
        <v>40</v>
      </c>
      <c r="T390" s="14" t="s">
        <v>27</v>
      </c>
      <c r="U390" s="13">
        <v>6696</v>
      </c>
      <c r="V390" s="15">
        <v>5</v>
      </c>
      <c r="W390" s="9" t="str">
        <f>IF(Table1[[#This Row],[Satisfaction Rating]]&lt;2, "Low", IF(Table1[[#This Row],[Satisfaction Rating]]&lt;4, "Medium", "High"))</f>
        <v>High</v>
      </c>
    </row>
    <row r="391" spans="1:23" ht="14" x14ac:dyDescent="0.2">
      <c r="A391" s="10" t="s">
        <v>813</v>
      </c>
      <c r="B391" s="11">
        <v>45593.092951388891</v>
      </c>
      <c r="C391" s="11">
        <v>45593.092951388891</v>
      </c>
      <c r="D391" s="11" t="str">
        <f>IF(Table1[[#This Row],[Duration of Campaign]]=0, "Ongoing","Completed")</f>
        <v>Ongoing</v>
      </c>
      <c r="E391" s="12">
        <f>Table1[[#This Row],[End Date]]-Table1[[#This Row],[Start Date]]</f>
        <v>0</v>
      </c>
      <c r="F391" s="13">
        <v>2166</v>
      </c>
      <c r="G391" s="14" t="s">
        <v>47</v>
      </c>
      <c r="H391" s="15">
        <v>7121</v>
      </c>
      <c r="I391" s="15">
        <v>1300</v>
      </c>
      <c r="J391" s="15">
        <v>137</v>
      </c>
      <c r="K391" s="16">
        <v>13691</v>
      </c>
      <c r="L391" s="17">
        <f t="shared" si="30"/>
        <v>0.1825586294059823</v>
      </c>
      <c r="M391" s="17">
        <f t="shared" si="30"/>
        <v>0.10538461538461538</v>
      </c>
      <c r="N391" s="18">
        <f t="shared" si="31"/>
        <v>1.0592307692307692</v>
      </c>
      <c r="O391" s="18">
        <f t="shared" si="32"/>
        <v>10.051094890510949</v>
      </c>
      <c r="P391" s="17">
        <f t="shared" si="33"/>
        <v>0.6357340720221607</v>
      </c>
      <c r="Q391" s="17">
        <f t="shared" si="34"/>
        <v>9.9426289034132171</v>
      </c>
      <c r="R391" s="10" t="s">
        <v>814</v>
      </c>
      <c r="S391" s="14" t="s">
        <v>31</v>
      </c>
      <c r="T391" s="14" t="s">
        <v>37</v>
      </c>
      <c r="U391" s="13">
        <v>1377</v>
      </c>
      <c r="V391" s="15">
        <v>5</v>
      </c>
      <c r="W391" s="9" t="str">
        <f>IF(Table1[[#This Row],[Satisfaction Rating]]&lt;2, "Low", IF(Table1[[#This Row],[Satisfaction Rating]]&lt;4, "Medium", "High"))</f>
        <v>High</v>
      </c>
    </row>
    <row r="392" spans="1:23" ht="14" x14ac:dyDescent="0.2">
      <c r="A392" s="10" t="s">
        <v>815</v>
      </c>
      <c r="B392" s="11">
        <v>45128.756030092591</v>
      </c>
      <c r="C392" s="11">
        <v>45128.756030092591</v>
      </c>
      <c r="D392" s="11" t="str">
        <f>IF(Table1[[#This Row],[Duration of Campaign]]=0, "Ongoing","Completed")</f>
        <v>Ongoing</v>
      </c>
      <c r="E392" s="12">
        <f>Table1[[#This Row],[End Date]]-Table1[[#This Row],[Start Date]]</f>
        <v>0</v>
      </c>
      <c r="F392" s="13">
        <v>1691</v>
      </c>
      <c r="G392" s="14" t="s">
        <v>63</v>
      </c>
      <c r="H392" s="15">
        <v>18582</v>
      </c>
      <c r="I392" s="15">
        <v>1560</v>
      </c>
      <c r="J392" s="15">
        <v>168</v>
      </c>
      <c r="K392" s="16">
        <v>534</v>
      </c>
      <c r="L392" s="17">
        <f t="shared" si="30"/>
        <v>8.3952211817888284E-2</v>
      </c>
      <c r="M392" s="17">
        <f t="shared" si="30"/>
        <v>0.1076923076923077</v>
      </c>
      <c r="N392" s="18">
        <f t="shared" si="31"/>
        <v>4.1141025641025637</v>
      </c>
      <c r="O392" s="18">
        <f t="shared" si="32"/>
        <v>38.202380952380949</v>
      </c>
      <c r="P392" s="17">
        <f t="shared" si="33"/>
        <v>3.7953873447664104</v>
      </c>
      <c r="Q392" s="17">
        <f t="shared" si="34"/>
        <v>8.3203490183857906E-2</v>
      </c>
      <c r="R392" s="10" t="s">
        <v>816</v>
      </c>
      <c r="S392" s="14" t="s">
        <v>40</v>
      </c>
      <c r="T392" s="14" t="s">
        <v>27</v>
      </c>
      <c r="U392" s="13">
        <v>6418</v>
      </c>
      <c r="V392" s="15">
        <v>1</v>
      </c>
      <c r="W392" s="9" t="str">
        <f>IF(Table1[[#This Row],[Satisfaction Rating]]&lt;2, "Low", IF(Table1[[#This Row],[Satisfaction Rating]]&lt;4, "Medium", "High"))</f>
        <v>Low</v>
      </c>
    </row>
    <row r="393" spans="1:23" ht="14" x14ac:dyDescent="0.2">
      <c r="A393" s="10" t="s">
        <v>817</v>
      </c>
      <c r="B393" s="11">
        <v>45164.093634259261</v>
      </c>
      <c r="C393" s="11">
        <v>45164.093634259261</v>
      </c>
      <c r="D393" s="11" t="str">
        <f>IF(Table1[[#This Row],[Duration of Campaign]]=0, "Ongoing","Completed")</f>
        <v>Ongoing</v>
      </c>
      <c r="E393" s="12">
        <f>Table1[[#This Row],[End Date]]-Table1[[#This Row],[Start Date]]</f>
        <v>0</v>
      </c>
      <c r="F393" s="13">
        <v>4990</v>
      </c>
      <c r="G393" s="14" t="s">
        <v>29</v>
      </c>
      <c r="H393" s="15">
        <v>17792</v>
      </c>
      <c r="I393" s="15">
        <v>1967</v>
      </c>
      <c r="J393" s="15">
        <v>261</v>
      </c>
      <c r="K393" s="16">
        <v>7750</v>
      </c>
      <c r="L393" s="17">
        <f t="shared" si="30"/>
        <v>0.11055530575539568</v>
      </c>
      <c r="M393" s="17">
        <f t="shared" si="30"/>
        <v>0.13268937468225725</v>
      </c>
      <c r="N393" s="18">
        <f t="shared" si="31"/>
        <v>8.7173360447381807</v>
      </c>
      <c r="O393" s="18">
        <f t="shared" si="32"/>
        <v>65.69731800766283</v>
      </c>
      <c r="P393" s="17">
        <f t="shared" si="33"/>
        <v>3.4362725450901803</v>
      </c>
      <c r="Q393" s="17">
        <f t="shared" si="34"/>
        <v>0.45197410625765438</v>
      </c>
      <c r="R393" s="10" t="s">
        <v>818</v>
      </c>
      <c r="S393" s="14" t="s">
        <v>40</v>
      </c>
      <c r="T393" s="14" t="s">
        <v>27</v>
      </c>
      <c r="U393" s="13">
        <v>17147</v>
      </c>
      <c r="V393" s="15">
        <v>2</v>
      </c>
      <c r="W393" s="9" t="str">
        <f>IF(Table1[[#This Row],[Satisfaction Rating]]&lt;2, "Low", IF(Table1[[#This Row],[Satisfaction Rating]]&lt;4, "Medium", "High"))</f>
        <v>Medium</v>
      </c>
    </row>
    <row r="394" spans="1:23" ht="14" x14ac:dyDescent="0.2">
      <c r="A394" s="10" t="s">
        <v>819</v>
      </c>
      <c r="B394" s="11">
        <v>45500.516979166663</v>
      </c>
      <c r="C394" s="11">
        <v>45500.516979166663</v>
      </c>
      <c r="D394" s="11" t="str">
        <f>IF(Table1[[#This Row],[Duration of Campaign]]=0, "Ongoing","Completed")</f>
        <v>Ongoing</v>
      </c>
      <c r="E394" s="12">
        <f>Table1[[#This Row],[End Date]]-Table1[[#This Row],[Start Date]]</f>
        <v>0</v>
      </c>
      <c r="F394" s="13">
        <v>1196</v>
      </c>
      <c r="G394" s="14" t="s">
        <v>29</v>
      </c>
      <c r="H394" s="15">
        <v>2329</v>
      </c>
      <c r="I394" s="15">
        <v>268</v>
      </c>
      <c r="J394" s="15">
        <v>69</v>
      </c>
      <c r="K394" s="16">
        <v>4792</v>
      </c>
      <c r="L394" s="17">
        <f t="shared" si="30"/>
        <v>0.11507084585659082</v>
      </c>
      <c r="M394" s="17">
        <f t="shared" si="30"/>
        <v>0.2574626865671642</v>
      </c>
      <c r="N394" s="18">
        <f t="shared" si="31"/>
        <v>16.134328358208954</v>
      </c>
      <c r="O394" s="18">
        <f t="shared" si="32"/>
        <v>62.666666666666664</v>
      </c>
      <c r="P394" s="17">
        <f t="shared" si="33"/>
        <v>3.6153846153846154</v>
      </c>
      <c r="Q394" s="17">
        <f t="shared" si="34"/>
        <v>1.1082331174838114</v>
      </c>
      <c r="R394" s="10" t="s">
        <v>820</v>
      </c>
      <c r="S394" s="14" t="s">
        <v>31</v>
      </c>
      <c r="T394" s="14" t="s">
        <v>27</v>
      </c>
      <c r="U394" s="13">
        <v>4324</v>
      </c>
      <c r="V394" s="15">
        <v>5</v>
      </c>
      <c r="W394" s="9" t="str">
        <f>IF(Table1[[#This Row],[Satisfaction Rating]]&lt;2, "Low", IF(Table1[[#This Row],[Satisfaction Rating]]&lt;4, "Medium", "High"))</f>
        <v>High</v>
      </c>
    </row>
    <row r="395" spans="1:23" ht="14" x14ac:dyDescent="0.2">
      <c r="A395" s="10" t="s">
        <v>821</v>
      </c>
      <c r="B395" s="11">
        <v>45247.559398148151</v>
      </c>
      <c r="C395" s="11">
        <v>45247.559398148151</v>
      </c>
      <c r="D395" s="11" t="str">
        <f>IF(Table1[[#This Row],[Duration of Campaign]]=0, "Ongoing","Completed")</f>
        <v>Ongoing</v>
      </c>
      <c r="E395" s="12">
        <f>Table1[[#This Row],[End Date]]-Table1[[#This Row],[Start Date]]</f>
        <v>0</v>
      </c>
      <c r="F395" s="13">
        <v>3077</v>
      </c>
      <c r="G395" s="14" t="s">
        <v>47</v>
      </c>
      <c r="H395" s="15">
        <v>14375</v>
      </c>
      <c r="I395" s="15">
        <v>1427</v>
      </c>
      <c r="J395" s="15">
        <v>469</v>
      </c>
      <c r="K395" s="16">
        <v>5465</v>
      </c>
      <c r="L395" s="17">
        <f t="shared" si="30"/>
        <v>9.9269565217391303E-2</v>
      </c>
      <c r="M395" s="17">
        <f t="shared" si="30"/>
        <v>0.32866152768044848</v>
      </c>
      <c r="N395" s="18">
        <f t="shared" si="31"/>
        <v>6.8605466012613876</v>
      </c>
      <c r="O395" s="18">
        <f t="shared" si="32"/>
        <v>20.874200426439231</v>
      </c>
      <c r="P395" s="17">
        <f t="shared" si="33"/>
        <v>3.181670458238544</v>
      </c>
      <c r="Q395" s="17">
        <f t="shared" si="34"/>
        <v>0.55822267620020427</v>
      </c>
      <c r="R395" s="10" t="s">
        <v>822</v>
      </c>
      <c r="S395" s="14" t="s">
        <v>40</v>
      </c>
      <c r="T395" s="14" t="s">
        <v>37</v>
      </c>
      <c r="U395" s="13">
        <v>9790</v>
      </c>
      <c r="V395" s="15">
        <v>5</v>
      </c>
      <c r="W395" s="9" t="str">
        <f>IF(Table1[[#This Row],[Satisfaction Rating]]&lt;2, "Low", IF(Table1[[#This Row],[Satisfaction Rating]]&lt;4, "Medium", "High"))</f>
        <v>High</v>
      </c>
    </row>
    <row r="396" spans="1:23" ht="14" x14ac:dyDescent="0.2">
      <c r="A396" s="10" t="s">
        <v>823</v>
      </c>
      <c r="B396" s="11">
        <v>45554.99790509259</v>
      </c>
      <c r="C396" s="11">
        <v>45573.102164351854</v>
      </c>
      <c r="D396" s="11" t="str">
        <f>IF(Table1[[#This Row],[Duration of Campaign]]=0, "Ongoing","Completed")</f>
        <v>Completed</v>
      </c>
      <c r="E396" s="12">
        <f>Table1[[#This Row],[End Date]]-Table1[[#This Row],[Start Date]]</f>
        <v>18.104259259263927</v>
      </c>
      <c r="F396" s="13">
        <v>2867</v>
      </c>
      <c r="G396" s="14" t="s">
        <v>29</v>
      </c>
      <c r="H396" s="15">
        <v>3783</v>
      </c>
      <c r="I396" s="15">
        <v>1856</v>
      </c>
      <c r="J396" s="15">
        <v>413</v>
      </c>
      <c r="K396" s="16">
        <v>12037</v>
      </c>
      <c r="L396" s="17">
        <f t="shared" si="30"/>
        <v>0.49061591329632565</v>
      </c>
      <c r="M396" s="17">
        <f t="shared" si="30"/>
        <v>0.22252155172413793</v>
      </c>
      <c r="N396" s="18">
        <f t="shared" si="31"/>
        <v>9.5678879310344822</v>
      </c>
      <c r="O396" s="18">
        <f t="shared" si="32"/>
        <v>42.997578692493946</v>
      </c>
      <c r="P396" s="17">
        <f t="shared" si="33"/>
        <v>6.1939309382629926</v>
      </c>
      <c r="Q396" s="17">
        <f t="shared" si="34"/>
        <v>0.67783534181777227</v>
      </c>
      <c r="R396" s="10" t="s">
        <v>824</v>
      </c>
      <c r="S396" s="14" t="s">
        <v>26</v>
      </c>
      <c r="T396" s="14" t="s">
        <v>55</v>
      </c>
      <c r="U396" s="13">
        <v>17758</v>
      </c>
      <c r="V396" s="15">
        <v>5</v>
      </c>
      <c r="W396" s="9" t="str">
        <f>IF(Table1[[#This Row],[Satisfaction Rating]]&lt;2, "Low", IF(Table1[[#This Row],[Satisfaction Rating]]&lt;4, "Medium", "High"))</f>
        <v>High</v>
      </c>
    </row>
    <row r="397" spans="1:23" ht="14" x14ac:dyDescent="0.2">
      <c r="A397" s="10" t="s">
        <v>825</v>
      </c>
      <c r="B397" s="11">
        <v>45397.483923611115</v>
      </c>
      <c r="C397" s="11">
        <v>45397.483923611115</v>
      </c>
      <c r="D397" s="11" t="str">
        <f>IF(Table1[[#This Row],[Duration of Campaign]]=0, "Ongoing","Completed")</f>
        <v>Ongoing</v>
      </c>
      <c r="E397" s="12">
        <f>Table1[[#This Row],[End Date]]-Table1[[#This Row],[Start Date]]</f>
        <v>0</v>
      </c>
      <c r="F397" s="13">
        <v>7300</v>
      </c>
      <c r="G397" s="14" t="s">
        <v>29</v>
      </c>
      <c r="H397" s="15">
        <v>6056</v>
      </c>
      <c r="I397" s="15">
        <v>1513</v>
      </c>
      <c r="J397" s="15">
        <v>399</v>
      </c>
      <c r="K397" s="16">
        <v>4155</v>
      </c>
      <c r="L397" s="17">
        <f t="shared" si="30"/>
        <v>0.24983487450462352</v>
      </c>
      <c r="M397" s="17">
        <f t="shared" si="30"/>
        <v>0.26371447455386648</v>
      </c>
      <c r="N397" s="18">
        <f t="shared" si="31"/>
        <v>3.6378056840713815</v>
      </c>
      <c r="O397" s="18">
        <f t="shared" si="32"/>
        <v>13.794486215538846</v>
      </c>
      <c r="P397" s="17">
        <f t="shared" si="33"/>
        <v>0.75397260273972599</v>
      </c>
      <c r="Q397" s="17">
        <f t="shared" si="34"/>
        <v>0.75490552325581395</v>
      </c>
      <c r="R397" s="10" t="s">
        <v>826</v>
      </c>
      <c r="S397" s="14" t="s">
        <v>45</v>
      </c>
      <c r="T397" s="14" t="s">
        <v>27</v>
      </c>
      <c r="U397" s="13">
        <v>5504</v>
      </c>
      <c r="V397" s="15">
        <v>4</v>
      </c>
      <c r="W397" s="9" t="str">
        <f>IF(Table1[[#This Row],[Satisfaction Rating]]&lt;2, "Low", IF(Table1[[#This Row],[Satisfaction Rating]]&lt;4, "Medium", "High"))</f>
        <v>High</v>
      </c>
    </row>
    <row r="398" spans="1:23" ht="14" x14ac:dyDescent="0.2">
      <c r="A398" s="10" t="s">
        <v>827</v>
      </c>
      <c r="B398" s="11">
        <v>45279.09233796296</v>
      </c>
      <c r="C398" s="11">
        <v>45279.09233796296</v>
      </c>
      <c r="D398" s="11" t="str">
        <f>IF(Table1[[#This Row],[Duration of Campaign]]=0, "Ongoing","Completed")</f>
        <v>Ongoing</v>
      </c>
      <c r="E398" s="12">
        <f>Table1[[#This Row],[End Date]]-Table1[[#This Row],[Start Date]]</f>
        <v>0</v>
      </c>
      <c r="F398" s="13">
        <v>8882</v>
      </c>
      <c r="G398" s="14" t="s">
        <v>24</v>
      </c>
      <c r="H398" s="15">
        <v>4404</v>
      </c>
      <c r="I398" s="15">
        <v>796</v>
      </c>
      <c r="J398" s="15">
        <v>337</v>
      </c>
      <c r="K398" s="16">
        <v>1056</v>
      </c>
      <c r="L398" s="17">
        <f t="shared" si="30"/>
        <v>0.18074477747502271</v>
      </c>
      <c r="M398" s="17">
        <f t="shared" si="30"/>
        <v>0.42336683417085424</v>
      </c>
      <c r="N398" s="18">
        <f t="shared" si="31"/>
        <v>18.002512562814072</v>
      </c>
      <c r="O398" s="18">
        <f t="shared" si="32"/>
        <v>42.52225519287834</v>
      </c>
      <c r="P398" s="17">
        <f t="shared" si="33"/>
        <v>1.6133753659085792</v>
      </c>
      <c r="Q398" s="17">
        <f t="shared" si="34"/>
        <v>7.369155617585485E-2</v>
      </c>
      <c r="R398" s="10" t="s">
        <v>828</v>
      </c>
      <c r="S398" s="14" t="s">
        <v>45</v>
      </c>
      <c r="T398" s="14" t="s">
        <v>55</v>
      </c>
      <c r="U398" s="13">
        <v>14330</v>
      </c>
      <c r="V398" s="15">
        <v>1</v>
      </c>
      <c r="W398" s="9" t="str">
        <f>IF(Table1[[#This Row],[Satisfaction Rating]]&lt;2, "Low", IF(Table1[[#This Row],[Satisfaction Rating]]&lt;4, "Medium", "High"))</f>
        <v>Low</v>
      </c>
    </row>
    <row r="399" spans="1:23" ht="14" x14ac:dyDescent="0.2">
      <c r="A399" s="10" t="s">
        <v>829</v>
      </c>
      <c r="B399" s="11">
        <v>45161.723634259259</v>
      </c>
      <c r="C399" s="11">
        <v>45161.723634259259</v>
      </c>
      <c r="D399" s="11" t="str">
        <f>IF(Table1[[#This Row],[Duration of Campaign]]=0, "Ongoing","Completed")</f>
        <v>Ongoing</v>
      </c>
      <c r="E399" s="12">
        <f>Table1[[#This Row],[End Date]]-Table1[[#This Row],[Start Date]]</f>
        <v>0</v>
      </c>
      <c r="F399" s="13">
        <v>1927</v>
      </c>
      <c r="G399" s="14" t="s">
        <v>29</v>
      </c>
      <c r="H399" s="15">
        <v>7775</v>
      </c>
      <c r="I399" s="15">
        <v>469</v>
      </c>
      <c r="J399" s="15">
        <v>58</v>
      </c>
      <c r="K399" s="16">
        <v>10080</v>
      </c>
      <c r="L399" s="17">
        <f t="shared" si="30"/>
        <v>6.0321543408360129E-2</v>
      </c>
      <c r="M399" s="17">
        <f t="shared" si="30"/>
        <v>0.12366737739872068</v>
      </c>
      <c r="N399" s="18">
        <f t="shared" si="31"/>
        <v>28.882729211087419</v>
      </c>
      <c r="O399" s="18">
        <f t="shared" si="32"/>
        <v>233.55172413793105</v>
      </c>
      <c r="P399" s="17">
        <f t="shared" si="33"/>
        <v>7.0295796574987026</v>
      </c>
      <c r="Q399" s="17">
        <f t="shared" si="34"/>
        <v>0.74413110881441014</v>
      </c>
      <c r="R399" s="10" t="s">
        <v>830</v>
      </c>
      <c r="S399" s="14" t="s">
        <v>31</v>
      </c>
      <c r="T399" s="14" t="s">
        <v>27</v>
      </c>
      <c r="U399" s="13">
        <v>13546</v>
      </c>
      <c r="V399" s="15">
        <v>4</v>
      </c>
      <c r="W399" s="9" t="str">
        <f>IF(Table1[[#This Row],[Satisfaction Rating]]&lt;2, "Low", IF(Table1[[#This Row],[Satisfaction Rating]]&lt;4, "Medium", "High"))</f>
        <v>High</v>
      </c>
    </row>
    <row r="400" spans="1:23" ht="14" x14ac:dyDescent="0.2">
      <c r="A400" s="10" t="s">
        <v>831</v>
      </c>
      <c r="B400" s="11">
        <v>45501.707384259258</v>
      </c>
      <c r="C400" s="11">
        <v>45501.707384259258</v>
      </c>
      <c r="D400" s="11" t="str">
        <f>IF(Table1[[#This Row],[Duration of Campaign]]=0, "Ongoing","Completed")</f>
        <v>Ongoing</v>
      </c>
      <c r="E400" s="12">
        <f>Table1[[#This Row],[End Date]]-Table1[[#This Row],[Start Date]]</f>
        <v>0</v>
      </c>
      <c r="F400" s="13">
        <v>3404</v>
      </c>
      <c r="G400" s="14" t="s">
        <v>24</v>
      </c>
      <c r="H400" s="15">
        <v>11748</v>
      </c>
      <c r="I400" s="15">
        <v>1017</v>
      </c>
      <c r="J400" s="15">
        <v>267</v>
      </c>
      <c r="K400" s="16">
        <v>10034</v>
      </c>
      <c r="L400" s="17">
        <f t="shared" si="30"/>
        <v>8.6567926455566907E-2</v>
      </c>
      <c r="M400" s="17">
        <f t="shared" si="30"/>
        <v>0.26253687315634217</v>
      </c>
      <c r="N400" s="18">
        <f t="shared" si="31"/>
        <v>19.661750245821043</v>
      </c>
      <c r="O400" s="18">
        <f t="shared" si="32"/>
        <v>74.891385767790268</v>
      </c>
      <c r="P400" s="17">
        <f t="shared" si="33"/>
        <v>5.8742655699177435</v>
      </c>
      <c r="Q400" s="17">
        <f t="shared" si="34"/>
        <v>0.50180036007201445</v>
      </c>
      <c r="R400" s="10" t="s">
        <v>832</v>
      </c>
      <c r="S400" s="14" t="s">
        <v>40</v>
      </c>
      <c r="T400" s="14" t="s">
        <v>27</v>
      </c>
      <c r="U400" s="13">
        <v>19996</v>
      </c>
      <c r="V400" s="15">
        <v>3</v>
      </c>
      <c r="W400" s="9" t="str">
        <f>IF(Table1[[#This Row],[Satisfaction Rating]]&lt;2, "Low", IF(Table1[[#This Row],[Satisfaction Rating]]&lt;4, "Medium", "High"))</f>
        <v>Medium</v>
      </c>
    </row>
    <row r="401" spans="1:23" ht="14" x14ac:dyDescent="0.2">
      <c r="A401" s="10" t="s">
        <v>833</v>
      </c>
      <c r="B401" s="11">
        <v>45475.275752314818</v>
      </c>
      <c r="C401" s="11">
        <v>45475.275752314818</v>
      </c>
      <c r="D401" s="11" t="str">
        <f>IF(Table1[[#This Row],[Duration of Campaign]]=0, "Ongoing","Completed")</f>
        <v>Ongoing</v>
      </c>
      <c r="E401" s="12">
        <f>Table1[[#This Row],[End Date]]-Table1[[#This Row],[Start Date]]</f>
        <v>0</v>
      </c>
      <c r="F401" s="13">
        <v>2759</v>
      </c>
      <c r="G401" s="14" t="s">
        <v>24</v>
      </c>
      <c r="H401" s="15">
        <v>5464</v>
      </c>
      <c r="I401" s="15">
        <v>1929</v>
      </c>
      <c r="J401" s="15">
        <v>258</v>
      </c>
      <c r="K401" s="16">
        <v>4870</v>
      </c>
      <c r="L401" s="17">
        <f t="shared" si="30"/>
        <v>0.35303806734992682</v>
      </c>
      <c r="M401" s="17">
        <f t="shared" si="30"/>
        <v>0.13374805598755832</v>
      </c>
      <c r="N401" s="18">
        <f t="shared" si="31"/>
        <v>2.2306894764126493</v>
      </c>
      <c r="O401" s="18">
        <f t="shared" si="32"/>
        <v>16.678294573643409</v>
      </c>
      <c r="P401" s="17">
        <f t="shared" si="33"/>
        <v>1.5596230518303733</v>
      </c>
      <c r="Q401" s="17">
        <f t="shared" si="34"/>
        <v>1.1317685335812224</v>
      </c>
      <c r="R401" s="10" t="s">
        <v>834</v>
      </c>
      <c r="S401" s="14" t="s">
        <v>40</v>
      </c>
      <c r="T401" s="14" t="s">
        <v>55</v>
      </c>
      <c r="U401" s="13">
        <v>4303</v>
      </c>
      <c r="V401" s="15">
        <v>5</v>
      </c>
      <c r="W401" s="9" t="str">
        <f>IF(Table1[[#This Row],[Satisfaction Rating]]&lt;2, "Low", IF(Table1[[#This Row],[Satisfaction Rating]]&lt;4, "Medium", "High"))</f>
        <v>High</v>
      </c>
    </row>
    <row r="402" spans="1:23" ht="14" x14ac:dyDescent="0.2">
      <c r="A402" s="10" t="s">
        <v>835</v>
      </c>
      <c r="B402" s="11">
        <v>45176.017743055556</v>
      </c>
      <c r="C402" s="11">
        <v>45235.344826388886</v>
      </c>
      <c r="D402" s="11" t="str">
        <f>IF(Table1[[#This Row],[Duration of Campaign]]=0, "Ongoing","Completed")</f>
        <v>Completed</v>
      </c>
      <c r="E402" s="12">
        <f>Table1[[#This Row],[End Date]]-Table1[[#This Row],[Start Date]]</f>
        <v>59.327083333329938</v>
      </c>
      <c r="F402" s="13">
        <v>6840</v>
      </c>
      <c r="G402" s="14" t="s">
        <v>29</v>
      </c>
      <c r="H402" s="15">
        <v>17853</v>
      </c>
      <c r="I402" s="15">
        <v>433</v>
      </c>
      <c r="J402" s="15">
        <v>87</v>
      </c>
      <c r="K402" s="16">
        <v>6891</v>
      </c>
      <c r="L402" s="17">
        <f t="shared" si="30"/>
        <v>2.425362684142721E-2</v>
      </c>
      <c r="M402" s="17">
        <f t="shared" si="30"/>
        <v>0.20092378752886836</v>
      </c>
      <c r="N402" s="18">
        <f t="shared" si="31"/>
        <v>1.7598152424942264</v>
      </c>
      <c r="O402" s="18">
        <f t="shared" si="32"/>
        <v>8.7586206896551726</v>
      </c>
      <c r="P402" s="17">
        <f t="shared" si="33"/>
        <v>0.11140350877192982</v>
      </c>
      <c r="Q402" s="17">
        <f t="shared" si="34"/>
        <v>9.043307086614174</v>
      </c>
      <c r="R402" s="10" t="s">
        <v>836</v>
      </c>
      <c r="S402" s="14" t="s">
        <v>34</v>
      </c>
      <c r="T402" s="14" t="s">
        <v>37</v>
      </c>
      <c r="U402" s="13">
        <v>762</v>
      </c>
      <c r="V402" s="15">
        <v>2</v>
      </c>
      <c r="W402" s="9" t="str">
        <f>IF(Table1[[#This Row],[Satisfaction Rating]]&lt;2, "Low", IF(Table1[[#This Row],[Satisfaction Rating]]&lt;4, "Medium", "High"))</f>
        <v>Medium</v>
      </c>
    </row>
    <row r="403" spans="1:23" ht="14" x14ac:dyDescent="0.2">
      <c r="A403" s="10" t="s">
        <v>837</v>
      </c>
      <c r="B403" s="11">
        <v>45402.835972222223</v>
      </c>
      <c r="C403" s="11">
        <v>45638.151712962965</v>
      </c>
      <c r="D403" s="11" t="str">
        <f>IF(Table1[[#This Row],[Duration of Campaign]]=0, "Ongoing","Completed")</f>
        <v>Completed</v>
      </c>
      <c r="E403" s="12">
        <f>Table1[[#This Row],[End Date]]-Table1[[#This Row],[Start Date]]</f>
        <v>235.3157407407416</v>
      </c>
      <c r="F403" s="13">
        <v>1191</v>
      </c>
      <c r="G403" s="14" t="s">
        <v>47</v>
      </c>
      <c r="H403" s="15">
        <v>17041</v>
      </c>
      <c r="I403" s="15">
        <v>134</v>
      </c>
      <c r="J403" s="15">
        <v>407</v>
      </c>
      <c r="K403" s="16">
        <v>10599</v>
      </c>
      <c r="L403" s="17">
        <f t="shared" si="30"/>
        <v>7.8633882988087562E-3</v>
      </c>
      <c r="M403" s="17">
        <f t="shared" si="30"/>
        <v>3.0373134328358211</v>
      </c>
      <c r="N403" s="18">
        <f t="shared" si="31"/>
        <v>60.559701492537314</v>
      </c>
      <c r="O403" s="18">
        <f t="shared" si="32"/>
        <v>19.938574938574938</v>
      </c>
      <c r="P403" s="17">
        <f t="shared" si="33"/>
        <v>6.8136020151133501</v>
      </c>
      <c r="Q403" s="17">
        <f t="shared" si="34"/>
        <v>1.3060998151571164</v>
      </c>
      <c r="R403" s="10" t="s">
        <v>838</v>
      </c>
      <c r="S403" s="14" t="s">
        <v>40</v>
      </c>
      <c r="T403" s="14" t="s">
        <v>27</v>
      </c>
      <c r="U403" s="13">
        <v>8115</v>
      </c>
      <c r="V403" s="15">
        <v>3</v>
      </c>
      <c r="W403" s="9" t="str">
        <f>IF(Table1[[#This Row],[Satisfaction Rating]]&lt;2, "Low", IF(Table1[[#This Row],[Satisfaction Rating]]&lt;4, "Medium", "High"))</f>
        <v>Medium</v>
      </c>
    </row>
    <row r="404" spans="1:23" ht="14" x14ac:dyDescent="0.2">
      <c r="A404" s="10" t="s">
        <v>839</v>
      </c>
      <c r="B404" s="11">
        <v>45245.461030092592</v>
      </c>
      <c r="C404" s="11">
        <v>45245.461030092592</v>
      </c>
      <c r="D404" s="11" t="str">
        <f>IF(Table1[[#This Row],[Duration of Campaign]]=0, "Ongoing","Completed")</f>
        <v>Ongoing</v>
      </c>
      <c r="E404" s="12">
        <f>Table1[[#This Row],[End Date]]-Table1[[#This Row],[Start Date]]</f>
        <v>0</v>
      </c>
      <c r="F404" s="13">
        <v>5948</v>
      </c>
      <c r="G404" s="14" t="s">
        <v>63</v>
      </c>
      <c r="H404" s="15">
        <v>13974</v>
      </c>
      <c r="I404" s="15">
        <v>1091</v>
      </c>
      <c r="J404" s="15">
        <v>292</v>
      </c>
      <c r="K404" s="16">
        <v>11148</v>
      </c>
      <c r="L404" s="17">
        <f t="shared" si="30"/>
        <v>7.807356519250036E-2</v>
      </c>
      <c r="M404" s="17">
        <f t="shared" si="30"/>
        <v>0.26764436296975253</v>
      </c>
      <c r="N404" s="18">
        <f t="shared" si="31"/>
        <v>7.3363886342804765</v>
      </c>
      <c r="O404" s="18">
        <f t="shared" si="32"/>
        <v>27.410958904109588</v>
      </c>
      <c r="P404" s="17">
        <f t="shared" si="33"/>
        <v>1.3456624075319434</v>
      </c>
      <c r="Q404" s="17">
        <f t="shared" si="34"/>
        <v>1.3928035982008995</v>
      </c>
      <c r="R404" s="10" t="s">
        <v>840</v>
      </c>
      <c r="S404" s="14" t="s">
        <v>26</v>
      </c>
      <c r="T404" s="14" t="s">
        <v>37</v>
      </c>
      <c r="U404" s="13">
        <v>8004</v>
      </c>
      <c r="V404" s="15">
        <v>4</v>
      </c>
      <c r="W404" s="9" t="str">
        <f>IF(Table1[[#This Row],[Satisfaction Rating]]&lt;2, "Low", IF(Table1[[#This Row],[Satisfaction Rating]]&lt;4, "Medium", "High"))</f>
        <v>High</v>
      </c>
    </row>
    <row r="405" spans="1:23" ht="14" x14ac:dyDescent="0.2">
      <c r="A405" s="10" t="s">
        <v>841</v>
      </c>
      <c r="B405" s="11">
        <v>45387.999756944446</v>
      </c>
      <c r="C405" s="11">
        <v>45553.351261574076</v>
      </c>
      <c r="D405" s="11" t="str">
        <f>IF(Table1[[#This Row],[Duration of Campaign]]=0, "Ongoing","Completed")</f>
        <v>Completed</v>
      </c>
      <c r="E405" s="12">
        <f>Table1[[#This Row],[End Date]]-Table1[[#This Row],[Start Date]]</f>
        <v>165.35150462963065</v>
      </c>
      <c r="F405" s="13">
        <v>4607</v>
      </c>
      <c r="G405" s="14" t="s">
        <v>47</v>
      </c>
      <c r="H405" s="15">
        <v>15724</v>
      </c>
      <c r="I405" s="15">
        <v>1338</v>
      </c>
      <c r="J405" s="15">
        <v>32</v>
      </c>
      <c r="K405" s="16">
        <v>1319</v>
      </c>
      <c r="L405" s="17">
        <f t="shared" si="30"/>
        <v>8.5092851691681501E-2</v>
      </c>
      <c r="M405" s="17">
        <f t="shared" si="30"/>
        <v>2.391629297458894E-2</v>
      </c>
      <c r="N405" s="18">
        <f t="shared" si="31"/>
        <v>7.6420029895366222</v>
      </c>
      <c r="O405" s="18">
        <f t="shared" si="32"/>
        <v>319.53125</v>
      </c>
      <c r="P405" s="17">
        <f t="shared" si="33"/>
        <v>2.2194486650748861</v>
      </c>
      <c r="Q405" s="17">
        <f t="shared" si="34"/>
        <v>0.12899755501222493</v>
      </c>
      <c r="R405" s="10" t="s">
        <v>842</v>
      </c>
      <c r="S405" s="14" t="s">
        <v>45</v>
      </c>
      <c r="T405" s="14" t="s">
        <v>37</v>
      </c>
      <c r="U405" s="13">
        <v>10225</v>
      </c>
      <c r="V405" s="15">
        <v>1</v>
      </c>
      <c r="W405" s="9" t="str">
        <f>IF(Table1[[#This Row],[Satisfaction Rating]]&lt;2, "Low", IF(Table1[[#This Row],[Satisfaction Rating]]&lt;4, "Medium", "High"))</f>
        <v>Low</v>
      </c>
    </row>
    <row r="406" spans="1:23" ht="14" x14ac:dyDescent="0.2">
      <c r="A406" s="10" t="s">
        <v>843</v>
      </c>
      <c r="B406" s="11">
        <v>45180.609155092592</v>
      </c>
      <c r="C406" s="11">
        <v>45180.609155092592</v>
      </c>
      <c r="D406" s="11" t="str">
        <f>IF(Table1[[#This Row],[Duration of Campaign]]=0, "Ongoing","Completed")</f>
        <v>Ongoing</v>
      </c>
      <c r="E406" s="12">
        <f>Table1[[#This Row],[End Date]]-Table1[[#This Row],[Start Date]]</f>
        <v>0</v>
      </c>
      <c r="F406" s="13">
        <v>4102</v>
      </c>
      <c r="G406" s="14" t="s">
        <v>63</v>
      </c>
      <c r="H406" s="15">
        <v>7332</v>
      </c>
      <c r="I406" s="15">
        <v>576</v>
      </c>
      <c r="J406" s="15">
        <v>117</v>
      </c>
      <c r="K406" s="16">
        <v>12765</v>
      </c>
      <c r="L406" s="17">
        <f t="shared" si="30"/>
        <v>7.855973813420622E-2</v>
      </c>
      <c r="M406" s="17">
        <f t="shared" si="30"/>
        <v>0.203125</v>
      </c>
      <c r="N406" s="18">
        <f t="shared" si="31"/>
        <v>23.901041666666668</v>
      </c>
      <c r="O406" s="18">
        <f t="shared" si="32"/>
        <v>117.66666666666667</v>
      </c>
      <c r="P406" s="17">
        <f t="shared" si="33"/>
        <v>3.3561677230619211</v>
      </c>
      <c r="Q406" s="17">
        <f t="shared" si="34"/>
        <v>0.92721725866201787</v>
      </c>
      <c r="R406" s="10" t="s">
        <v>844</v>
      </c>
      <c r="S406" s="14" t="s">
        <v>26</v>
      </c>
      <c r="T406" s="14" t="s">
        <v>27</v>
      </c>
      <c r="U406" s="13">
        <v>13767</v>
      </c>
      <c r="V406" s="15">
        <v>2</v>
      </c>
      <c r="W406" s="9" t="str">
        <f>IF(Table1[[#This Row],[Satisfaction Rating]]&lt;2, "Low", IF(Table1[[#This Row],[Satisfaction Rating]]&lt;4, "Medium", "High"))</f>
        <v>Medium</v>
      </c>
    </row>
    <row r="407" spans="1:23" ht="14" x14ac:dyDescent="0.2">
      <c r="A407" s="10" t="s">
        <v>845</v>
      </c>
      <c r="B407" s="11">
        <v>45271.245462962965</v>
      </c>
      <c r="C407" s="11">
        <v>45271.245462962965</v>
      </c>
      <c r="D407" s="11" t="str">
        <f>IF(Table1[[#This Row],[Duration of Campaign]]=0, "Ongoing","Completed")</f>
        <v>Ongoing</v>
      </c>
      <c r="E407" s="12">
        <f>Table1[[#This Row],[End Date]]-Table1[[#This Row],[Start Date]]</f>
        <v>0</v>
      </c>
      <c r="F407" s="13">
        <v>6450</v>
      </c>
      <c r="G407" s="14" t="s">
        <v>24</v>
      </c>
      <c r="H407" s="15">
        <v>15723</v>
      </c>
      <c r="I407" s="15">
        <v>247</v>
      </c>
      <c r="J407" s="15">
        <v>481</v>
      </c>
      <c r="K407" s="16">
        <v>14396</v>
      </c>
      <c r="L407" s="17">
        <f t="shared" si="30"/>
        <v>1.5709470202887491E-2</v>
      </c>
      <c r="M407" s="17">
        <f t="shared" si="30"/>
        <v>1.9473684210526316</v>
      </c>
      <c r="N407" s="18">
        <f t="shared" si="31"/>
        <v>50.890688259109311</v>
      </c>
      <c r="O407" s="18">
        <f t="shared" si="32"/>
        <v>26.133056133056133</v>
      </c>
      <c r="P407" s="17">
        <f t="shared" si="33"/>
        <v>1.9488372093023256</v>
      </c>
      <c r="Q407" s="17">
        <f t="shared" si="34"/>
        <v>1.1452665075576771</v>
      </c>
      <c r="R407" s="10" t="s">
        <v>846</v>
      </c>
      <c r="S407" s="14" t="s">
        <v>26</v>
      </c>
      <c r="T407" s="14" t="s">
        <v>27</v>
      </c>
      <c r="U407" s="13">
        <v>12570</v>
      </c>
      <c r="V407" s="15">
        <v>4</v>
      </c>
      <c r="W407" s="9" t="str">
        <f>IF(Table1[[#This Row],[Satisfaction Rating]]&lt;2, "Low", IF(Table1[[#This Row],[Satisfaction Rating]]&lt;4, "Medium", "High"))</f>
        <v>High</v>
      </c>
    </row>
    <row r="408" spans="1:23" ht="14" x14ac:dyDescent="0.2">
      <c r="A408" s="10" t="s">
        <v>847</v>
      </c>
      <c r="B408" s="11">
        <v>45368.04078703704</v>
      </c>
      <c r="C408" s="11">
        <v>45368.04078703704</v>
      </c>
      <c r="D408" s="11" t="str">
        <f>IF(Table1[[#This Row],[Duration of Campaign]]=0, "Ongoing","Completed")</f>
        <v>Ongoing</v>
      </c>
      <c r="E408" s="12">
        <f>Table1[[#This Row],[End Date]]-Table1[[#This Row],[Start Date]]</f>
        <v>0</v>
      </c>
      <c r="F408" s="13">
        <v>7845</v>
      </c>
      <c r="G408" s="14" t="s">
        <v>47</v>
      </c>
      <c r="H408" s="15">
        <v>19020</v>
      </c>
      <c r="I408" s="15">
        <v>1327</v>
      </c>
      <c r="J408" s="15">
        <v>236</v>
      </c>
      <c r="K408" s="16">
        <v>5248</v>
      </c>
      <c r="L408" s="17">
        <f t="shared" si="30"/>
        <v>6.9768664563617244E-2</v>
      </c>
      <c r="M408" s="17">
        <f t="shared" si="30"/>
        <v>0.17784476262245666</v>
      </c>
      <c r="N408" s="18">
        <f t="shared" si="31"/>
        <v>12.968349660889224</v>
      </c>
      <c r="O408" s="18">
        <f t="shared" si="32"/>
        <v>72.919491525423723</v>
      </c>
      <c r="P408" s="17">
        <f t="shared" si="33"/>
        <v>2.1936265137029953</v>
      </c>
      <c r="Q408" s="17">
        <f t="shared" si="34"/>
        <v>0.3049567086989366</v>
      </c>
      <c r="R408" s="10" t="s">
        <v>848</v>
      </c>
      <c r="S408" s="14" t="s">
        <v>26</v>
      </c>
      <c r="T408" s="14" t="s">
        <v>37</v>
      </c>
      <c r="U408" s="13">
        <v>17209</v>
      </c>
      <c r="V408" s="15">
        <v>1</v>
      </c>
      <c r="W408" s="9" t="str">
        <f>IF(Table1[[#This Row],[Satisfaction Rating]]&lt;2, "Low", IF(Table1[[#This Row],[Satisfaction Rating]]&lt;4, "Medium", "High"))</f>
        <v>Low</v>
      </c>
    </row>
    <row r="409" spans="1:23" ht="14" x14ac:dyDescent="0.2">
      <c r="A409" s="10" t="s">
        <v>849</v>
      </c>
      <c r="B409" s="11">
        <v>45589.998229166667</v>
      </c>
      <c r="C409" s="11">
        <v>45589.998229166667</v>
      </c>
      <c r="D409" s="11" t="str">
        <f>IF(Table1[[#This Row],[Duration of Campaign]]=0, "Ongoing","Completed")</f>
        <v>Ongoing</v>
      </c>
      <c r="E409" s="12">
        <f>Table1[[#This Row],[End Date]]-Table1[[#This Row],[Start Date]]</f>
        <v>0</v>
      </c>
      <c r="F409" s="13">
        <v>1916</v>
      </c>
      <c r="G409" s="14" t="s">
        <v>24</v>
      </c>
      <c r="H409" s="15">
        <v>8882</v>
      </c>
      <c r="I409" s="15">
        <v>949</v>
      </c>
      <c r="J409" s="15">
        <v>230</v>
      </c>
      <c r="K409" s="16">
        <v>6242</v>
      </c>
      <c r="L409" s="17">
        <f t="shared" si="30"/>
        <v>0.10684530511146138</v>
      </c>
      <c r="M409" s="17">
        <f t="shared" si="30"/>
        <v>0.24236037934668073</v>
      </c>
      <c r="N409" s="18">
        <f t="shared" si="31"/>
        <v>5.2297154899894629</v>
      </c>
      <c r="O409" s="18">
        <f t="shared" si="32"/>
        <v>21.578260869565216</v>
      </c>
      <c r="P409" s="17">
        <f t="shared" si="33"/>
        <v>2.5902922755741127</v>
      </c>
      <c r="Q409" s="17">
        <f t="shared" si="34"/>
        <v>1.2577070320370745</v>
      </c>
      <c r="R409" s="10" t="s">
        <v>850</v>
      </c>
      <c r="S409" s="14" t="s">
        <v>40</v>
      </c>
      <c r="T409" s="14" t="s">
        <v>37</v>
      </c>
      <c r="U409" s="13">
        <v>4963</v>
      </c>
      <c r="V409" s="15">
        <v>1</v>
      </c>
      <c r="W409" s="9" t="str">
        <f>IF(Table1[[#This Row],[Satisfaction Rating]]&lt;2, "Low", IF(Table1[[#This Row],[Satisfaction Rating]]&lt;4, "Medium", "High"))</f>
        <v>Low</v>
      </c>
    </row>
    <row r="410" spans="1:23" ht="14" x14ac:dyDescent="0.2">
      <c r="A410" s="10" t="s">
        <v>851</v>
      </c>
      <c r="B410" s="11">
        <v>45304.225960648146</v>
      </c>
      <c r="C410" s="11">
        <v>45585.690671296295</v>
      </c>
      <c r="D410" s="11" t="str">
        <f>IF(Table1[[#This Row],[Duration of Campaign]]=0, "Ongoing","Completed")</f>
        <v>Completed</v>
      </c>
      <c r="E410" s="12">
        <f>Table1[[#This Row],[End Date]]-Table1[[#This Row],[Start Date]]</f>
        <v>281.46471064814978</v>
      </c>
      <c r="F410" s="13">
        <v>3824</v>
      </c>
      <c r="G410" s="14" t="s">
        <v>24</v>
      </c>
      <c r="H410" s="15">
        <v>19696</v>
      </c>
      <c r="I410" s="15">
        <v>1245</v>
      </c>
      <c r="J410" s="15">
        <v>468</v>
      </c>
      <c r="K410" s="16">
        <v>4470</v>
      </c>
      <c r="L410" s="17">
        <f t="shared" si="30"/>
        <v>6.3210804224207967E-2</v>
      </c>
      <c r="M410" s="17">
        <f t="shared" si="30"/>
        <v>0.37590361445783133</v>
      </c>
      <c r="N410" s="18">
        <f t="shared" si="31"/>
        <v>13.327710843373493</v>
      </c>
      <c r="O410" s="18">
        <f t="shared" si="32"/>
        <v>35.455128205128204</v>
      </c>
      <c r="P410" s="17">
        <f t="shared" si="33"/>
        <v>4.3391736401673642</v>
      </c>
      <c r="Q410" s="17">
        <f t="shared" si="34"/>
        <v>0.26939070692460676</v>
      </c>
      <c r="R410" s="10" t="s">
        <v>852</v>
      </c>
      <c r="S410" s="14" t="s">
        <v>40</v>
      </c>
      <c r="T410" s="14" t="s">
        <v>27</v>
      </c>
      <c r="U410" s="13">
        <v>16593</v>
      </c>
      <c r="V410" s="15">
        <v>4</v>
      </c>
      <c r="W410" s="9" t="str">
        <f>IF(Table1[[#This Row],[Satisfaction Rating]]&lt;2, "Low", IF(Table1[[#This Row],[Satisfaction Rating]]&lt;4, "Medium", "High"))</f>
        <v>High</v>
      </c>
    </row>
    <row r="411" spans="1:23" ht="14" x14ac:dyDescent="0.2">
      <c r="A411" s="10" t="s">
        <v>853</v>
      </c>
      <c r="B411" s="11">
        <v>45047.040254629632</v>
      </c>
      <c r="C411" s="11">
        <v>45453.822384259256</v>
      </c>
      <c r="D411" s="11" t="str">
        <f>IF(Table1[[#This Row],[Duration of Campaign]]=0, "Ongoing","Completed")</f>
        <v>Completed</v>
      </c>
      <c r="E411" s="12">
        <f>Table1[[#This Row],[End Date]]-Table1[[#This Row],[Start Date]]</f>
        <v>406.78212962962425</v>
      </c>
      <c r="F411" s="13">
        <v>6089</v>
      </c>
      <c r="G411" s="14" t="s">
        <v>29</v>
      </c>
      <c r="H411" s="15">
        <v>2757</v>
      </c>
      <c r="I411" s="15">
        <v>490</v>
      </c>
      <c r="J411" s="15">
        <v>122</v>
      </c>
      <c r="K411" s="16">
        <v>2677</v>
      </c>
      <c r="L411" s="17">
        <f t="shared" si="30"/>
        <v>0.17772941603191875</v>
      </c>
      <c r="M411" s="17">
        <f t="shared" si="30"/>
        <v>0.24897959183673468</v>
      </c>
      <c r="N411" s="18">
        <f t="shared" si="31"/>
        <v>24.685714285714287</v>
      </c>
      <c r="O411" s="18">
        <f t="shared" si="32"/>
        <v>99.147540983606561</v>
      </c>
      <c r="P411" s="17">
        <f t="shared" si="33"/>
        <v>1.9865330924618163</v>
      </c>
      <c r="Q411" s="17">
        <f t="shared" si="34"/>
        <v>0.2213128306878307</v>
      </c>
      <c r="R411" s="10" t="s">
        <v>854</v>
      </c>
      <c r="S411" s="14" t="s">
        <v>31</v>
      </c>
      <c r="T411" s="14" t="s">
        <v>27</v>
      </c>
      <c r="U411" s="13">
        <v>12096</v>
      </c>
      <c r="V411" s="15">
        <v>4</v>
      </c>
      <c r="W411" s="9" t="str">
        <f>IF(Table1[[#This Row],[Satisfaction Rating]]&lt;2, "Low", IF(Table1[[#This Row],[Satisfaction Rating]]&lt;4, "Medium", "High"))</f>
        <v>High</v>
      </c>
    </row>
    <row r="412" spans="1:23" ht="14" x14ac:dyDescent="0.2">
      <c r="A412" s="10" t="s">
        <v>855</v>
      </c>
      <c r="B412" s="11">
        <v>45463.03197916667</v>
      </c>
      <c r="C412" s="11">
        <v>45463.03197916667</v>
      </c>
      <c r="D412" s="11" t="str">
        <f>IF(Table1[[#This Row],[Duration of Campaign]]=0, "Ongoing","Completed")</f>
        <v>Ongoing</v>
      </c>
      <c r="E412" s="12">
        <f>Table1[[#This Row],[End Date]]-Table1[[#This Row],[Start Date]]</f>
        <v>0</v>
      </c>
      <c r="F412" s="13">
        <v>8208</v>
      </c>
      <c r="G412" s="14" t="s">
        <v>29</v>
      </c>
      <c r="H412" s="15">
        <v>11319</v>
      </c>
      <c r="I412" s="15">
        <v>197</v>
      </c>
      <c r="J412" s="15">
        <v>147</v>
      </c>
      <c r="K412" s="16">
        <v>11781</v>
      </c>
      <c r="L412" s="17">
        <f t="shared" si="30"/>
        <v>1.7404364343139852E-2</v>
      </c>
      <c r="M412" s="17">
        <f t="shared" si="30"/>
        <v>0.74619289340101524</v>
      </c>
      <c r="N412" s="18">
        <f t="shared" si="31"/>
        <v>33.44670050761421</v>
      </c>
      <c r="O412" s="18">
        <f t="shared" si="32"/>
        <v>44.823129251700678</v>
      </c>
      <c r="P412" s="17">
        <f t="shared" si="33"/>
        <v>0.80275341130604283</v>
      </c>
      <c r="Q412" s="17">
        <f t="shared" si="34"/>
        <v>1.7879799666110183</v>
      </c>
      <c r="R412" s="10" t="s">
        <v>856</v>
      </c>
      <c r="S412" s="14" t="s">
        <v>31</v>
      </c>
      <c r="T412" s="14" t="s">
        <v>37</v>
      </c>
      <c r="U412" s="13">
        <v>6589</v>
      </c>
      <c r="V412" s="15">
        <v>4</v>
      </c>
      <c r="W412" s="9" t="str">
        <f>IF(Table1[[#This Row],[Satisfaction Rating]]&lt;2, "Low", IF(Table1[[#This Row],[Satisfaction Rating]]&lt;4, "Medium", "High"))</f>
        <v>High</v>
      </c>
    </row>
    <row r="413" spans="1:23" ht="14" x14ac:dyDescent="0.2">
      <c r="A413" s="10" t="s">
        <v>857</v>
      </c>
      <c r="B413" s="11">
        <v>45581.260868055557</v>
      </c>
      <c r="C413" s="11">
        <v>45581.260868055557</v>
      </c>
      <c r="D413" s="11" t="str">
        <f>IF(Table1[[#This Row],[Duration of Campaign]]=0, "Ongoing","Completed")</f>
        <v>Ongoing</v>
      </c>
      <c r="E413" s="12">
        <f>Table1[[#This Row],[End Date]]-Table1[[#This Row],[Start Date]]</f>
        <v>0</v>
      </c>
      <c r="F413" s="13">
        <v>2488</v>
      </c>
      <c r="G413" s="14" t="s">
        <v>29</v>
      </c>
      <c r="H413" s="15">
        <v>9278</v>
      </c>
      <c r="I413" s="15">
        <v>1339</v>
      </c>
      <c r="J413" s="15">
        <v>219</v>
      </c>
      <c r="K413" s="16">
        <v>2817</v>
      </c>
      <c r="L413" s="17">
        <f t="shared" si="30"/>
        <v>0.14431989652942445</v>
      </c>
      <c r="M413" s="17">
        <f t="shared" si="30"/>
        <v>0.16355489171023152</v>
      </c>
      <c r="N413" s="18">
        <f t="shared" si="31"/>
        <v>2.2150858849887975</v>
      </c>
      <c r="O413" s="18">
        <f t="shared" si="32"/>
        <v>13.543378995433789</v>
      </c>
      <c r="P413" s="17">
        <f t="shared" si="33"/>
        <v>1.1921221864951768</v>
      </c>
      <c r="Q413" s="17">
        <f t="shared" si="34"/>
        <v>0.94976399190829397</v>
      </c>
      <c r="R413" s="10" t="s">
        <v>858</v>
      </c>
      <c r="S413" s="14" t="s">
        <v>45</v>
      </c>
      <c r="T413" s="14" t="s">
        <v>55</v>
      </c>
      <c r="U413" s="13">
        <v>2966</v>
      </c>
      <c r="V413" s="15">
        <v>5</v>
      </c>
      <c r="W413" s="9" t="str">
        <f>IF(Table1[[#This Row],[Satisfaction Rating]]&lt;2, "Low", IF(Table1[[#This Row],[Satisfaction Rating]]&lt;4, "Medium", "High"))</f>
        <v>High</v>
      </c>
    </row>
    <row r="414" spans="1:23" ht="14" x14ac:dyDescent="0.2">
      <c r="A414" s="10" t="s">
        <v>859</v>
      </c>
      <c r="B414" s="11">
        <v>45023.960486111115</v>
      </c>
      <c r="C414" s="11">
        <v>45143.132013888891</v>
      </c>
      <c r="D414" s="11" t="str">
        <f>IF(Table1[[#This Row],[Duration of Campaign]]=0, "Ongoing","Completed")</f>
        <v>Completed</v>
      </c>
      <c r="E414" s="12">
        <f>Table1[[#This Row],[End Date]]-Table1[[#This Row],[Start Date]]</f>
        <v>119.17152777777665</v>
      </c>
      <c r="F414" s="13">
        <v>6774</v>
      </c>
      <c r="G414" s="14" t="s">
        <v>29</v>
      </c>
      <c r="H414" s="15">
        <v>13678</v>
      </c>
      <c r="I414" s="15">
        <v>1422</v>
      </c>
      <c r="J414" s="15">
        <v>488</v>
      </c>
      <c r="K414" s="16">
        <v>10430</v>
      </c>
      <c r="L414" s="17">
        <f t="shared" si="30"/>
        <v>0.10396256762684603</v>
      </c>
      <c r="M414" s="17">
        <f t="shared" si="30"/>
        <v>0.34317862165963431</v>
      </c>
      <c r="N414" s="18">
        <f t="shared" si="31"/>
        <v>2.5513361462728552</v>
      </c>
      <c r="O414" s="18">
        <f t="shared" si="32"/>
        <v>7.4344262295081966</v>
      </c>
      <c r="P414" s="17">
        <f t="shared" si="33"/>
        <v>0.53557720696781808</v>
      </c>
      <c r="Q414" s="17">
        <f t="shared" si="34"/>
        <v>2.874862183020948</v>
      </c>
      <c r="R414" s="10" t="s">
        <v>860</v>
      </c>
      <c r="S414" s="14" t="s">
        <v>34</v>
      </c>
      <c r="T414" s="14" t="s">
        <v>27</v>
      </c>
      <c r="U414" s="13">
        <v>3628</v>
      </c>
      <c r="V414" s="15">
        <v>1</v>
      </c>
      <c r="W414" s="9" t="str">
        <f>IF(Table1[[#This Row],[Satisfaction Rating]]&lt;2, "Low", IF(Table1[[#This Row],[Satisfaction Rating]]&lt;4, "Medium", "High"))</f>
        <v>Low</v>
      </c>
    </row>
    <row r="415" spans="1:23" ht="14" x14ac:dyDescent="0.2">
      <c r="A415" s="10" t="s">
        <v>861</v>
      </c>
      <c r="B415" s="11">
        <v>45266.512499999997</v>
      </c>
      <c r="C415" s="11">
        <v>45307.068171296298</v>
      </c>
      <c r="D415" s="11" t="str">
        <f>IF(Table1[[#This Row],[Duration of Campaign]]=0, "Ongoing","Completed")</f>
        <v>Completed</v>
      </c>
      <c r="E415" s="12">
        <f>Table1[[#This Row],[End Date]]-Table1[[#This Row],[Start Date]]</f>
        <v>40.555671296300716</v>
      </c>
      <c r="F415" s="13">
        <v>1795</v>
      </c>
      <c r="G415" s="14" t="s">
        <v>24</v>
      </c>
      <c r="H415" s="15">
        <v>13476</v>
      </c>
      <c r="I415" s="15">
        <v>1699</v>
      </c>
      <c r="J415" s="15">
        <v>434</v>
      </c>
      <c r="K415" s="16">
        <v>8932</v>
      </c>
      <c r="L415" s="17">
        <f t="shared" si="30"/>
        <v>0.12607598693974473</v>
      </c>
      <c r="M415" s="17">
        <f t="shared" si="30"/>
        <v>0.25544437904649792</v>
      </c>
      <c r="N415" s="18">
        <f t="shared" si="31"/>
        <v>2.6044732195409064</v>
      </c>
      <c r="O415" s="18">
        <f t="shared" si="32"/>
        <v>10.195852534562212</v>
      </c>
      <c r="P415" s="17">
        <f t="shared" si="33"/>
        <v>2.4651810584958218</v>
      </c>
      <c r="Q415" s="17">
        <f t="shared" si="34"/>
        <v>2.0185310734463275</v>
      </c>
      <c r="R415" s="10" t="s">
        <v>862</v>
      </c>
      <c r="S415" s="14" t="s">
        <v>40</v>
      </c>
      <c r="T415" s="14" t="s">
        <v>27</v>
      </c>
      <c r="U415" s="13">
        <v>4425</v>
      </c>
      <c r="V415" s="15">
        <v>2</v>
      </c>
      <c r="W415" s="9" t="str">
        <f>IF(Table1[[#This Row],[Satisfaction Rating]]&lt;2, "Low", IF(Table1[[#This Row],[Satisfaction Rating]]&lt;4, "Medium", "High"))</f>
        <v>Medium</v>
      </c>
    </row>
    <row r="416" spans="1:23" ht="14" x14ac:dyDescent="0.2">
      <c r="A416" s="10" t="s">
        <v>863</v>
      </c>
      <c r="B416" s="11">
        <v>45397.268333333333</v>
      </c>
      <c r="C416" s="11">
        <v>45397.268333333333</v>
      </c>
      <c r="D416" s="11" t="str">
        <f>IF(Table1[[#This Row],[Duration of Campaign]]=0, "Ongoing","Completed")</f>
        <v>Ongoing</v>
      </c>
      <c r="E416" s="12">
        <f>Table1[[#This Row],[End Date]]-Table1[[#This Row],[Start Date]]</f>
        <v>0</v>
      </c>
      <c r="F416" s="13">
        <v>3347</v>
      </c>
      <c r="G416" s="14" t="s">
        <v>24</v>
      </c>
      <c r="H416" s="15">
        <v>19222</v>
      </c>
      <c r="I416" s="15">
        <v>1141</v>
      </c>
      <c r="J416" s="15">
        <v>171</v>
      </c>
      <c r="K416" s="16">
        <v>8249</v>
      </c>
      <c r="L416" s="17">
        <f t="shared" si="30"/>
        <v>5.9359067734887111E-2</v>
      </c>
      <c r="M416" s="17">
        <f t="shared" si="30"/>
        <v>0.14986853637160386</v>
      </c>
      <c r="N416" s="18">
        <f t="shared" si="31"/>
        <v>13.85626643295355</v>
      </c>
      <c r="O416" s="18">
        <f t="shared" si="32"/>
        <v>92.456140350877192</v>
      </c>
      <c r="P416" s="17">
        <f t="shared" si="33"/>
        <v>4.7236331042724826</v>
      </c>
      <c r="Q416" s="17">
        <f t="shared" si="34"/>
        <v>0.52175838077166348</v>
      </c>
      <c r="R416" s="10" t="s">
        <v>864</v>
      </c>
      <c r="S416" s="14" t="s">
        <v>45</v>
      </c>
      <c r="T416" s="14" t="s">
        <v>27</v>
      </c>
      <c r="U416" s="13">
        <v>15810</v>
      </c>
      <c r="V416" s="15">
        <v>1</v>
      </c>
      <c r="W416" s="9" t="str">
        <f>IF(Table1[[#This Row],[Satisfaction Rating]]&lt;2, "Low", IF(Table1[[#This Row],[Satisfaction Rating]]&lt;4, "Medium", "High"))</f>
        <v>Low</v>
      </c>
    </row>
    <row r="417" spans="1:23" ht="14" x14ac:dyDescent="0.2">
      <c r="A417" s="10" t="s">
        <v>865</v>
      </c>
      <c r="B417" s="11">
        <v>45150.871631944443</v>
      </c>
      <c r="C417" s="11">
        <v>45429.307326388887</v>
      </c>
      <c r="D417" s="11" t="str">
        <f>IF(Table1[[#This Row],[Duration of Campaign]]=0, "Ongoing","Completed")</f>
        <v>Completed</v>
      </c>
      <c r="E417" s="12">
        <f>Table1[[#This Row],[End Date]]-Table1[[#This Row],[Start Date]]</f>
        <v>278.43569444444438</v>
      </c>
      <c r="F417" s="13">
        <v>6590</v>
      </c>
      <c r="G417" s="14" t="s">
        <v>24</v>
      </c>
      <c r="H417" s="15">
        <v>10235</v>
      </c>
      <c r="I417" s="15">
        <v>1404</v>
      </c>
      <c r="J417" s="15">
        <v>228</v>
      </c>
      <c r="K417" s="16">
        <v>7288</v>
      </c>
      <c r="L417" s="17">
        <f t="shared" si="30"/>
        <v>0.13717635564240352</v>
      </c>
      <c r="M417" s="17">
        <f t="shared" si="30"/>
        <v>0.1623931623931624</v>
      </c>
      <c r="N417" s="18">
        <f t="shared" si="31"/>
        <v>5.6068376068376065</v>
      </c>
      <c r="O417" s="18">
        <f t="shared" si="32"/>
        <v>34.526315789473685</v>
      </c>
      <c r="P417" s="17">
        <f t="shared" si="33"/>
        <v>1.1945371775417299</v>
      </c>
      <c r="Q417" s="17">
        <f t="shared" si="34"/>
        <v>0.92581300813008127</v>
      </c>
      <c r="R417" s="10" t="s">
        <v>866</v>
      </c>
      <c r="S417" s="14" t="s">
        <v>26</v>
      </c>
      <c r="T417" s="14" t="s">
        <v>27</v>
      </c>
      <c r="U417" s="13">
        <v>7872</v>
      </c>
      <c r="V417" s="15">
        <v>3</v>
      </c>
      <c r="W417" s="9" t="str">
        <f>IF(Table1[[#This Row],[Satisfaction Rating]]&lt;2, "Low", IF(Table1[[#This Row],[Satisfaction Rating]]&lt;4, "Medium", "High"))</f>
        <v>Medium</v>
      </c>
    </row>
    <row r="418" spans="1:23" ht="14" x14ac:dyDescent="0.2">
      <c r="A418" s="10" t="s">
        <v>867</v>
      </c>
      <c r="B418" s="11">
        <v>45503.573831018519</v>
      </c>
      <c r="C418" s="11">
        <v>45503.573831018519</v>
      </c>
      <c r="D418" s="11" t="str">
        <f>IF(Table1[[#This Row],[Duration of Campaign]]=0, "Ongoing","Completed")</f>
        <v>Ongoing</v>
      </c>
      <c r="E418" s="12">
        <f>Table1[[#This Row],[End Date]]-Table1[[#This Row],[Start Date]]</f>
        <v>0</v>
      </c>
      <c r="F418" s="13">
        <v>2648</v>
      </c>
      <c r="G418" s="14" t="s">
        <v>63</v>
      </c>
      <c r="H418" s="15">
        <v>3559</v>
      </c>
      <c r="I418" s="15">
        <v>699</v>
      </c>
      <c r="J418" s="15">
        <v>246</v>
      </c>
      <c r="K418" s="16">
        <v>14090</v>
      </c>
      <c r="L418" s="17">
        <f t="shared" si="30"/>
        <v>0.19640348412475414</v>
      </c>
      <c r="M418" s="17">
        <f t="shared" si="30"/>
        <v>0.35193133047210301</v>
      </c>
      <c r="N418" s="18">
        <f t="shared" si="31"/>
        <v>24.254649499284692</v>
      </c>
      <c r="O418" s="18">
        <f t="shared" si="32"/>
        <v>68.918699186991873</v>
      </c>
      <c r="P418" s="17">
        <f t="shared" si="33"/>
        <v>6.4025679758308156</v>
      </c>
      <c r="Q418" s="17">
        <f t="shared" si="34"/>
        <v>0.83107231331839093</v>
      </c>
      <c r="R418" s="10" t="s">
        <v>868</v>
      </c>
      <c r="S418" s="14" t="s">
        <v>31</v>
      </c>
      <c r="T418" s="14" t="s">
        <v>55</v>
      </c>
      <c r="U418" s="13">
        <v>16954</v>
      </c>
      <c r="V418" s="15">
        <v>4</v>
      </c>
      <c r="W418" s="9" t="str">
        <f>IF(Table1[[#This Row],[Satisfaction Rating]]&lt;2, "Low", IF(Table1[[#This Row],[Satisfaction Rating]]&lt;4, "Medium", "High"))</f>
        <v>High</v>
      </c>
    </row>
    <row r="419" spans="1:23" ht="14" x14ac:dyDescent="0.2">
      <c r="A419" s="10" t="s">
        <v>869</v>
      </c>
      <c r="B419" s="11">
        <v>45594.326157407406</v>
      </c>
      <c r="C419" s="11">
        <v>45594.326157407406</v>
      </c>
      <c r="D419" s="11" t="str">
        <f>IF(Table1[[#This Row],[Duration of Campaign]]=0, "Ongoing","Completed")</f>
        <v>Ongoing</v>
      </c>
      <c r="E419" s="12">
        <f>Table1[[#This Row],[End Date]]-Table1[[#This Row],[Start Date]]</f>
        <v>0</v>
      </c>
      <c r="F419" s="13">
        <v>7904</v>
      </c>
      <c r="G419" s="14" t="s">
        <v>47</v>
      </c>
      <c r="H419" s="15">
        <v>17575</v>
      </c>
      <c r="I419" s="15">
        <v>1423</v>
      </c>
      <c r="J419" s="15">
        <v>145</v>
      </c>
      <c r="K419" s="16">
        <v>3301</v>
      </c>
      <c r="L419" s="17">
        <f t="shared" si="30"/>
        <v>8.0967283072546234E-2</v>
      </c>
      <c r="M419" s="17">
        <f t="shared" si="30"/>
        <v>0.10189739985945186</v>
      </c>
      <c r="N419" s="18">
        <f t="shared" si="31"/>
        <v>1.7990161630358397</v>
      </c>
      <c r="O419" s="18">
        <f t="shared" si="32"/>
        <v>17.655172413793103</v>
      </c>
      <c r="P419" s="17">
        <f t="shared" si="33"/>
        <v>0.32388663967611336</v>
      </c>
      <c r="Q419" s="17">
        <f t="shared" si="34"/>
        <v>1.2894531250000001</v>
      </c>
      <c r="R419" s="10" t="s">
        <v>870</v>
      </c>
      <c r="S419" s="14" t="s">
        <v>45</v>
      </c>
      <c r="T419" s="14" t="s">
        <v>55</v>
      </c>
      <c r="U419" s="13">
        <v>2560</v>
      </c>
      <c r="V419" s="15">
        <v>1</v>
      </c>
      <c r="W419" s="9" t="str">
        <f>IF(Table1[[#This Row],[Satisfaction Rating]]&lt;2, "Low", IF(Table1[[#This Row],[Satisfaction Rating]]&lt;4, "Medium", "High"))</f>
        <v>Low</v>
      </c>
    </row>
    <row r="420" spans="1:23" ht="14" x14ac:dyDescent="0.2">
      <c r="A420" s="10" t="s">
        <v>871</v>
      </c>
      <c r="B420" s="11">
        <v>45648.669872685183</v>
      </c>
      <c r="C420" s="11">
        <v>45648.669872685183</v>
      </c>
      <c r="D420" s="11" t="str">
        <f>IF(Table1[[#This Row],[Duration of Campaign]]=0, "Ongoing","Completed")</f>
        <v>Ongoing</v>
      </c>
      <c r="E420" s="12">
        <f>Table1[[#This Row],[End Date]]-Table1[[#This Row],[Start Date]]</f>
        <v>0</v>
      </c>
      <c r="F420" s="13">
        <v>9634</v>
      </c>
      <c r="G420" s="14" t="s">
        <v>24</v>
      </c>
      <c r="H420" s="15">
        <v>19247</v>
      </c>
      <c r="I420" s="15">
        <v>982</v>
      </c>
      <c r="J420" s="15">
        <v>95</v>
      </c>
      <c r="K420" s="16">
        <v>9774</v>
      </c>
      <c r="L420" s="17">
        <f t="shared" si="30"/>
        <v>5.1020938328051123E-2</v>
      </c>
      <c r="M420" s="17">
        <f t="shared" si="30"/>
        <v>9.6741344195519344E-2</v>
      </c>
      <c r="N420" s="18">
        <f t="shared" si="31"/>
        <v>17.553971486761711</v>
      </c>
      <c r="O420" s="18">
        <f t="shared" si="32"/>
        <v>181.45263157894738</v>
      </c>
      <c r="P420" s="17">
        <f t="shared" si="33"/>
        <v>1.7892879385509652</v>
      </c>
      <c r="Q420" s="17">
        <f t="shared" si="34"/>
        <v>0.56700313261399238</v>
      </c>
      <c r="R420" s="10" t="s">
        <v>872</v>
      </c>
      <c r="S420" s="14" t="s">
        <v>26</v>
      </c>
      <c r="T420" s="14" t="s">
        <v>55</v>
      </c>
      <c r="U420" s="13">
        <v>17238</v>
      </c>
      <c r="V420" s="15">
        <v>1</v>
      </c>
      <c r="W420" s="9" t="str">
        <f>IF(Table1[[#This Row],[Satisfaction Rating]]&lt;2, "Low", IF(Table1[[#This Row],[Satisfaction Rating]]&lt;4, "Medium", "High"))</f>
        <v>Low</v>
      </c>
    </row>
    <row r="421" spans="1:23" ht="14" x14ac:dyDescent="0.2">
      <c r="A421" s="10" t="s">
        <v>873</v>
      </c>
      <c r="B421" s="11">
        <v>45357.996481481481</v>
      </c>
      <c r="C421" s="11">
        <v>45357.996481481481</v>
      </c>
      <c r="D421" s="11" t="str">
        <f>IF(Table1[[#This Row],[Duration of Campaign]]=0, "Ongoing","Completed")</f>
        <v>Ongoing</v>
      </c>
      <c r="E421" s="12">
        <f>Table1[[#This Row],[End Date]]-Table1[[#This Row],[Start Date]]</f>
        <v>0</v>
      </c>
      <c r="F421" s="13">
        <v>1942</v>
      </c>
      <c r="G421" s="14" t="s">
        <v>29</v>
      </c>
      <c r="H421" s="15">
        <v>13041</v>
      </c>
      <c r="I421" s="15">
        <v>1259</v>
      </c>
      <c r="J421" s="15">
        <v>141</v>
      </c>
      <c r="K421" s="16">
        <v>4847</v>
      </c>
      <c r="L421" s="17">
        <f t="shared" si="30"/>
        <v>9.6541676251821182E-2</v>
      </c>
      <c r="M421" s="17">
        <f t="shared" si="30"/>
        <v>0.11199364575059571</v>
      </c>
      <c r="N421" s="18">
        <f t="shared" si="31"/>
        <v>14.430500397140587</v>
      </c>
      <c r="O421" s="18">
        <f t="shared" si="32"/>
        <v>128.85106382978722</v>
      </c>
      <c r="P421" s="17">
        <f t="shared" si="33"/>
        <v>9.3553038105046351</v>
      </c>
      <c r="Q421" s="17">
        <f t="shared" si="34"/>
        <v>0.26678775869660942</v>
      </c>
      <c r="R421" s="10" t="s">
        <v>874</v>
      </c>
      <c r="S421" s="14" t="s">
        <v>45</v>
      </c>
      <c r="T421" s="14" t="s">
        <v>55</v>
      </c>
      <c r="U421" s="13">
        <v>18168</v>
      </c>
      <c r="V421" s="15">
        <v>2</v>
      </c>
      <c r="W421" s="9" t="str">
        <f>IF(Table1[[#This Row],[Satisfaction Rating]]&lt;2, "Low", IF(Table1[[#This Row],[Satisfaction Rating]]&lt;4, "Medium", "High"))</f>
        <v>Medium</v>
      </c>
    </row>
    <row r="422" spans="1:23" ht="14" x14ac:dyDescent="0.2">
      <c r="A422" s="10" t="s">
        <v>875</v>
      </c>
      <c r="B422" s="11">
        <v>45406.529918981483</v>
      </c>
      <c r="C422" s="11">
        <v>45406.529918981483</v>
      </c>
      <c r="D422" s="11" t="str">
        <f>IF(Table1[[#This Row],[Duration of Campaign]]=0, "Ongoing","Completed")</f>
        <v>Ongoing</v>
      </c>
      <c r="E422" s="12">
        <f>Table1[[#This Row],[End Date]]-Table1[[#This Row],[Start Date]]</f>
        <v>0</v>
      </c>
      <c r="F422" s="13">
        <v>2572</v>
      </c>
      <c r="G422" s="14" t="s">
        <v>29</v>
      </c>
      <c r="H422" s="15">
        <v>5148</v>
      </c>
      <c r="I422" s="15">
        <v>1664</v>
      </c>
      <c r="J422" s="15">
        <v>346</v>
      </c>
      <c r="K422" s="16">
        <v>587</v>
      </c>
      <c r="L422" s="17">
        <f t="shared" si="30"/>
        <v>0.32323232323232326</v>
      </c>
      <c r="M422" s="17">
        <f t="shared" si="30"/>
        <v>0.20793269230769232</v>
      </c>
      <c r="N422" s="18">
        <f t="shared" si="31"/>
        <v>1.2578125</v>
      </c>
      <c r="O422" s="18">
        <f t="shared" si="32"/>
        <v>6.0491329479768785</v>
      </c>
      <c r="P422" s="17">
        <f t="shared" si="33"/>
        <v>0.81376360808709181</v>
      </c>
      <c r="Q422" s="17">
        <f t="shared" si="34"/>
        <v>0.28045867176301958</v>
      </c>
      <c r="R422" s="10" t="s">
        <v>876</v>
      </c>
      <c r="S422" s="14" t="s">
        <v>31</v>
      </c>
      <c r="T422" s="14" t="s">
        <v>37</v>
      </c>
      <c r="U422" s="13">
        <v>2093</v>
      </c>
      <c r="V422" s="15">
        <v>5</v>
      </c>
      <c r="W422" s="9" t="str">
        <f>IF(Table1[[#This Row],[Satisfaction Rating]]&lt;2, "Low", IF(Table1[[#This Row],[Satisfaction Rating]]&lt;4, "Medium", "High"))</f>
        <v>High</v>
      </c>
    </row>
    <row r="423" spans="1:23" ht="14" x14ac:dyDescent="0.2">
      <c r="A423" s="10" t="s">
        <v>877</v>
      </c>
      <c r="B423" s="11">
        <v>45111.542870370373</v>
      </c>
      <c r="C423" s="11">
        <v>45642.714375000003</v>
      </c>
      <c r="D423" s="11" t="str">
        <f>IF(Table1[[#This Row],[Duration of Campaign]]=0, "Ongoing","Completed")</f>
        <v>Completed</v>
      </c>
      <c r="E423" s="12">
        <f>Table1[[#This Row],[End Date]]-Table1[[#This Row],[Start Date]]</f>
        <v>531.17150462963036</v>
      </c>
      <c r="F423" s="13">
        <v>4464</v>
      </c>
      <c r="G423" s="14" t="s">
        <v>63</v>
      </c>
      <c r="H423" s="15">
        <v>2953</v>
      </c>
      <c r="I423" s="15">
        <v>267</v>
      </c>
      <c r="J423" s="15">
        <v>215</v>
      </c>
      <c r="K423" s="16">
        <v>3020</v>
      </c>
      <c r="L423" s="17">
        <f t="shared" si="30"/>
        <v>9.0416525567219783E-2</v>
      </c>
      <c r="M423" s="17">
        <f t="shared" si="30"/>
        <v>0.80524344569288386</v>
      </c>
      <c r="N423" s="18">
        <f t="shared" si="31"/>
        <v>67.970037453183522</v>
      </c>
      <c r="O423" s="18">
        <f t="shared" si="32"/>
        <v>84.409302325581393</v>
      </c>
      <c r="P423" s="17">
        <f t="shared" si="33"/>
        <v>4.0654121863799286</v>
      </c>
      <c r="Q423" s="17">
        <f t="shared" si="34"/>
        <v>0.16640952171038131</v>
      </c>
      <c r="R423" s="10" t="s">
        <v>878</v>
      </c>
      <c r="S423" s="14" t="s">
        <v>40</v>
      </c>
      <c r="T423" s="14" t="s">
        <v>55</v>
      </c>
      <c r="U423" s="13">
        <v>18148</v>
      </c>
      <c r="V423" s="15">
        <v>1</v>
      </c>
      <c r="W423" s="9" t="str">
        <f>IF(Table1[[#This Row],[Satisfaction Rating]]&lt;2, "Low", IF(Table1[[#This Row],[Satisfaction Rating]]&lt;4, "Medium", "High"))</f>
        <v>Low</v>
      </c>
    </row>
    <row r="424" spans="1:23" ht="14" x14ac:dyDescent="0.2">
      <c r="A424" s="10" t="s">
        <v>879</v>
      </c>
      <c r="B424" s="11">
        <v>45106.999386574076</v>
      </c>
      <c r="C424" s="11">
        <v>45654.821319444447</v>
      </c>
      <c r="D424" s="11" t="str">
        <f>IF(Table1[[#This Row],[Duration of Campaign]]=0, "Ongoing","Completed")</f>
        <v>Completed</v>
      </c>
      <c r="E424" s="12">
        <f>Table1[[#This Row],[End Date]]-Table1[[#This Row],[Start Date]]</f>
        <v>547.8219328703708</v>
      </c>
      <c r="F424" s="13">
        <v>9336</v>
      </c>
      <c r="G424" s="14" t="s">
        <v>29</v>
      </c>
      <c r="H424" s="15">
        <v>8451</v>
      </c>
      <c r="I424" s="15">
        <v>1570</v>
      </c>
      <c r="J424" s="15">
        <v>425</v>
      </c>
      <c r="K424" s="16">
        <v>12153</v>
      </c>
      <c r="L424" s="17">
        <f t="shared" si="30"/>
        <v>0.18577683114424329</v>
      </c>
      <c r="M424" s="17">
        <f t="shared" si="30"/>
        <v>0.27070063694267515</v>
      </c>
      <c r="N424" s="18">
        <f t="shared" si="31"/>
        <v>7.8261146496815286</v>
      </c>
      <c r="O424" s="18">
        <f t="shared" si="32"/>
        <v>28.910588235294117</v>
      </c>
      <c r="P424" s="17">
        <f t="shared" si="33"/>
        <v>1.3160882604970008</v>
      </c>
      <c r="Q424" s="17">
        <f t="shared" si="34"/>
        <v>0.98909416456417354</v>
      </c>
      <c r="R424" s="10" t="s">
        <v>880</v>
      </c>
      <c r="S424" s="14" t="s">
        <v>40</v>
      </c>
      <c r="T424" s="14" t="s">
        <v>37</v>
      </c>
      <c r="U424" s="13">
        <v>12287</v>
      </c>
      <c r="V424" s="15">
        <v>1</v>
      </c>
      <c r="W424" s="9" t="str">
        <f>IF(Table1[[#This Row],[Satisfaction Rating]]&lt;2, "Low", IF(Table1[[#This Row],[Satisfaction Rating]]&lt;4, "Medium", "High"))</f>
        <v>Low</v>
      </c>
    </row>
    <row r="425" spans="1:23" ht="14" x14ac:dyDescent="0.2">
      <c r="A425" s="10" t="s">
        <v>881</v>
      </c>
      <c r="B425" s="11">
        <v>45206.869525462964</v>
      </c>
      <c r="C425" s="11">
        <v>45206.869525462964</v>
      </c>
      <c r="D425" s="11" t="str">
        <f>IF(Table1[[#This Row],[Duration of Campaign]]=0, "Ongoing","Completed")</f>
        <v>Ongoing</v>
      </c>
      <c r="E425" s="12">
        <f>Table1[[#This Row],[End Date]]-Table1[[#This Row],[Start Date]]</f>
        <v>0</v>
      </c>
      <c r="F425" s="13">
        <v>1380</v>
      </c>
      <c r="G425" s="14" t="s">
        <v>63</v>
      </c>
      <c r="H425" s="15">
        <v>4780</v>
      </c>
      <c r="I425" s="15">
        <v>912</v>
      </c>
      <c r="J425" s="15">
        <v>326</v>
      </c>
      <c r="K425" s="16">
        <v>4654</v>
      </c>
      <c r="L425" s="17">
        <f t="shared" si="30"/>
        <v>0.19079497907949791</v>
      </c>
      <c r="M425" s="17">
        <f t="shared" si="30"/>
        <v>0.35745614035087719</v>
      </c>
      <c r="N425" s="18">
        <f t="shared" si="31"/>
        <v>14.987938596491228</v>
      </c>
      <c r="O425" s="18">
        <f t="shared" si="32"/>
        <v>41.929447852760738</v>
      </c>
      <c r="P425" s="17">
        <f t="shared" si="33"/>
        <v>9.905072463768116</v>
      </c>
      <c r="Q425" s="17">
        <f t="shared" si="34"/>
        <v>0.34047845489794426</v>
      </c>
      <c r="R425" s="10" t="s">
        <v>882</v>
      </c>
      <c r="S425" s="14" t="s">
        <v>40</v>
      </c>
      <c r="T425" s="14" t="s">
        <v>27</v>
      </c>
      <c r="U425" s="13">
        <v>13669</v>
      </c>
      <c r="V425" s="15">
        <v>4</v>
      </c>
      <c r="W425" s="9" t="str">
        <f>IF(Table1[[#This Row],[Satisfaction Rating]]&lt;2, "Low", IF(Table1[[#This Row],[Satisfaction Rating]]&lt;4, "Medium", "High"))</f>
        <v>High</v>
      </c>
    </row>
    <row r="426" spans="1:23" ht="14" x14ac:dyDescent="0.2">
      <c r="A426" s="10" t="s">
        <v>883</v>
      </c>
      <c r="B426" s="11">
        <v>45608.769548611112</v>
      </c>
      <c r="C426" s="11">
        <v>45608.769548611112</v>
      </c>
      <c r="D426" s="11" t="str">
        <f>IF(Table1[[#This Row],[Duration of Campaign]]=0, "Ongoing","Completed")</f>
        <v>Ongoing</v>
      </c>
      <c r="E426" s="12">
        <f>Table1[[#This Row],[End Date]]-Table1[[#This Row],[Start Date]]</f>
        <v>0</v>
      </c>
      <c r="F426" s="13">
        <v>1880</v>
      </c>
      <c r="G426" s="14" t="s">
        <v>24</v>
      </c>
      <c r="H426" s="15">
        <v>10981</v>
      </c>
      <c r="I426" s="15">
        <v>697</v>
      </c>
      <c r="J426" s="15">
        <v>211</v>
      </c>
      <c r="K426" s="16">
        <v>14584</v>
      </c>
      <c r="L426" s="17">
        <f t="shared" si="30"/>
        <v>6.3473272015299148E-2</v>
      </c>
      <c r="M426" s="17">
        <f t="shared" si="30"/>
        <v>0.30272596843615496</v>
      </c>
      <c r="N426" s="18">
        <f t="shared" si="31"/>
        <v>17.680057388809182</v>
      </c>
      <c r="O426" s="18">
        <f t="shared" si="32"/>
        <v>58.402843601895732</v>
      </c>
      <c r="P426" s="17">
        <f t="shared" si="33"/>
        <v>6.5547872340425535</v>
      </c>
      <c r="Q426" s="17">
        <f t="shared" si="34"/>
        <v>1.183478049176337</v>
      </c>
      <c r="R426" s="10" t="s">
        <v>884</v>
      </c>
      <c r="S426" s="14" t="s">
        <v>40</v>
      </c>
      <c r="T426" s="14" t="s">
        <v>27</v>
      </c>
      <c r="U426" s="13">
        <v>12323</v>
      </c>
      <c r="V426" s="15">
        <v>2</v>
      </c>
      <c r="W426" s="9" t="str">
        <f>IF(Table1[[#This Row],[Satisfaction Rating]]&lt;2, "Low", IF(Table1[[#This Row],[Satisfaction Rating]]&lt;4, "Medium", "High"))</f>
        <v>Medium</v>
      </c>
    </row>
    <row r="427" spans="1:23" ht="14" x14ac:dyDescent="0.2">
      <c r="A427" s="10" t="s">
        <v>885</v>
      </c>
      <c r="B427" s="11">
        <v>45180.289224537039</v>
      </c>
      <c r="C427" s="11">
        <v>45227.182997685188</v>
      </c>
      <c r="D427" s="11" t="str">
        <f>IF(Table1[[#This Row],[Duration of Campaign]]=0, "Ongoing","Completed")</f>
        <v>Completed</v>
      </c>
      <c r="E427" s="12">
        <f>Table1[[#This Row],[End Date]]-Table1[[#This Row],[Start Date]]</f>
        <v>46.893773148149194</v>
      </c>
      <c r="F427" s="13">
        <v>7268</v>
      </c>
      <c r="G427" s="14" t="s">
        <v>29</v>
      </c>
      <c r="H427" s="15">
        <v>7972</v>
      </c>
      <c r="I427" s="15">
        <v>237</v>
      </c>
      <c r="J427" s="15">
        <v>317</v>
      </c>
      <c r="K427" s="16">
        <v>6477</v>
      </c>
      <c r="L427" s="17">
        <f t="shared" si="30"/>
        <v>2.9729051680883092E-2</v>
      </c>
      <c r="M427" s="17">
        <f t="shared" si="30"/>
        <v>1.3375527426160339</v>
      </c>
      <c r="N427" s="18">
        <f t="shared" si="31"/>
        <v>83.877637130801688</v>
      </c>
      <c r="O427" s="18">
        <f t="shared" si="32"/>
        <v>62.709779179810724</v>
      </c>
      <c r="P427" s="17">
        <f t="shared" si="33"/>
        <v>2.7351403412217943</v>
      </c>
      <c r="Q427" s="17">
        <f t="shared" si="34"/>
        <v>0.32582121837114542</v>
      </c>
      <c r="R427" s="10" t="s">
        <v>886</v>
      </c>
      <c r="S427" s="14" t="s">
        <v>34</v>
      </c>
      <c r="T427" s="14" t="s">
        <v>55</v>
      </c>
      <c r="U427" s="13">
        <v>19879</v>
      </c>
      <c r="V427" s="15">
        <v>5</v>
      </c>
      <c r="W427" s="9" t="str">
        <f>IF(Table1[[#This Row],[Satisfaction Rating]]&lt;2, "Low", IF(Table1[[#This Row],[Satisfaction Rating]]&lt;4, "Medium", "High"))</f>
        <v>High</v>
      </c>
    </row>
    <row r="428" spans="1:23" ht="14" x14ac:dyDescent="0.2">
      <c r="A428" s="10" t="s">
        <v>887</v>
      </c>
      <c r="B428" s="11">
        <v>45651.547858796293</v>
      </c>
      <c r="C428" s="11">
        <v>45651.547858796293</v>
      </c>
      <c r="D428" s="11" t="str">
        <f>IF(Table1[[#This Row],[Duration of Campaign]]=0, "Ongoing","Completed")</f>
        <v>Ongoing</v>
      </c>
      <c r="E428" s="12">
        <f>Table1[[#This Row],[End Date]]-Table1[[#This Row],[Start Date]]</f>
        <v>0</v>
      </c>
      <c r="F428" s="13">
        <v>5779</v>
      </c>
      <c r="G428" s="14" t="s">
        <v>63</v>
      </c>
      <c r="H428" s="15">
        <v>10108</v>
      </c>
      <c r="I428" s="15">
        <v>1520</v>
      </c>
      <c r="J428" s="15">
        <v>320</v>
      </c>
      <c r="K428" s="16">
        <v>10359</v>
      </c>
      <c r="L428" s="17">
        <f t="shared" si="30"/>
        <v>0.15037593984962405</v>
      </c>
      <c r="M428" s="17">
        <f t="shared" si="30"/>
        <v>0.21052631578947367</v>
      </c>
      <c r="N428" s="18">
        <f t="shared" si="31"/>
        <v>7.8348684210526311</v>
      </c>
      <c r="O428" s="18">
        <f t="shared" si="32"/>
        <v>37.215625000000003</v>
      </c>
      <c r="P428" s="17">
        <f t="shared" si="33"/>
        <v>2.0607371517563591</v>
      </c>
      <c r="Q428" s="17">
        <f t="shared" si="34"/>
        <v>0.86984633470484507</v>
      </c>
      <c r="R428" s="10" t="s">
        <v>888</v>
      </c>
      <c r="S428" s="14" t="s">
        <v>45</v>
      </c>
      <c r="T428" s="14" t="s">
        <v>55</v>
      </c>
      <c r="U428" s="13">
        <v>11909</v>
      </c>
      <c r="V428" s="15">
        <v>5</v>
      </c>
      <c r="W428" s="9" t="str">
        <f>IF(Table1[[#This Row],[Satisfaction Rating]]&lt;2, "Low", IF(Table1[[#This Row],[Satisfaction Rating]]&lt;4, "Medium", "High"))</f>
        <v>High</v>
      </c>
    </row>
    <row r="429" spans="1:23" ht="14" x14ac:dyDescent="0.2">
      <c r="A429" s="10" t="s">
        <v>889</v>
      </c>
      <c r="B429" s="11">
        <v>45417.772974537038</v>
      </c>
      <c r="C429" s="11">
        <v>45488.369699074072</v>
      </c>
      <c r="D429" s="11" t="str">
        <f>IF(Table1[[#This Row],[Duration of Campaign]]=0, "Ongoing","Completed")</f>
        <v>Completed</v>
      </c>
      <c r="E429" s="12">
        <f>Table1[[#This Row],[End Date]]-Table1[[#This Row],[Start Date]]</f>
        <v>70.596724537033879</v>
      </c>
      <c r="F429" s="13">
        <v>8027</v>
      </c>
      <c r="G429" s="14" t="s">
        <v>47</v>
      </c>
      <c r="H429" s="15">
        <v>11224</v>
      </c>
      <c r="I429" s="15">
        <v>343</v>
      </c>
      <c r="J429" s="15">
        <v>285</v>
      </c>
      <c r="K429" s="16">
        <v>12267</v>
      </c>
      <c r="L429" s="17">
        <f t="shared" si="30"/>
        <v>3.0559515324305061E-2</v>
      </c>
      <c r="M429" s="17">
        <f t="shared" si="30"/>
        <v>0.83090379008746351</v>
      </c>
      <c r="N429" s="18">
        <f t="shared" si="31"/>
        <v>37.895043731778422</v>
      </c>
      <c r="O429" s="18">
        <f t="shared" si="32"/>
        <v>45.607017543859648</v>
      </c>
      <c r="P429" s="17">
        <f t="shared" si="33"/>
        <v>1.6192849134172169</v>
      </c>
      <c r="Q429" s="17">
        <f t="shared" si="34"/>
        <v>0.94376057855054629</v>
      </c>
      <c r="R429" s="10" t="s">
        <v>890</v>
      </c>
      <c r="S429" s="14" t="s">
        <v>31</v>
      </c>
      <c r="T429" s="14" t="s">
        <v>55</v>
      </c>
      <c r="U429" s="13">
        <v>12998</v>
      </c>
      <c r="V429" s="15">
        <v>5</v>
      </c>
      <c r="W429" s="9" t="str">
        <f>IF(Table1[[#This Row],[Satisfaction Rating]]&lt;2, "Low", IF(Table1[[#This Row],[Satisfaction Rating]]&lt;4, "Medium", "High"))</f>
        <v>High</v>
      </c>
    </row>
    <row r="430" spans="1:23" ht="14" x14ac:dyDescent="0.2">
      <c r="A430" s="10" t="s">
        <v>891</v>
      </c>
      <c r="B430" s="11">
        <v>44977.784120370372</v>
      </c>
      <c r="C430" s="11">
        <v>45312.536597222221</v>
      </c>
      <c r="D430" s="11" t="str">
        <f>IF(Table1[[#This Row],[Duration of Campaign]]=0, "Ongoing","Completed")</f>
        <v>Completed</v>
      </c>
      <c r="E430" s="12">
        <f>Table1[[#This Row],[End Date]]-Table1[[#This Row],[Start Date]]</f>
        <v>334.75247685184877</v>
      </c>
      <c r="F430" s="13">
        <v>1550</v>
      </c>
      <c r="G430" s="14" t="s">
        <v>29</v>
      </c>
      <c r="H430" s="15">
        <v>19280</v>
      </c>
      <c r="I430" s="15">
        <v>1234</v>
      </c>
      <c r="J430" s="15">
        <v>301</v>
      </c>
      <c r="K430" s="16">
        <v>9835</v>
      </c>
      <c r="L430" s="17">
        <f t="shared" si="30"/>
        <v>6.4004149377593356E-2</v>
      </c>
      <c r="M430" s="17">
        <f t="shared" si="30"/>
        <v>0.2439222042139384</v>
      </c>
      <c r="N430" s="18">
        <f t="shared" si="31"/>
        <v>6.8727714748784443</v>
      </c>
      <c r="O430" s="18">
        <f t="shared" si="32"/>
        <v>28.176079734219268</v>
      </c>
      <c r="P430" s="17">
        <f t="shared" si="33"/>
        <v>5.4716129032258065</v>
      </c>
      <c r="Q430" s="17">
        <f t="shared" si="34"/>
        <v>1.1596509845537082</v>
      </c>
      <c r="R430" s="10" t="s">
        <v>892</v>
      </c>
      <c r="S430" s="14" t="s">
        <v>26</v>
      </c>
      <c r="T430" s="14" t="s">
        <v>27</v>
      </c>
      <c r="U430" s="13">
        <v>8481</v>
      </c>
      <c r="V430" s="15">
        <v>5</v>
      </c>
      <c r="W430" s="9" t="str">
        <f>IF(Table1[[#This Row],[Satisfaction Rating]]&lt;2, "Low", IF(Table1[[#This Row],[Satisfaction Rating]]&lt;4, "Medium", "High"))</f>
        <v>High</v>
      </c>
    </row>
    <row r="431" spans="1:23" ht="14" x14ac:dyDescent="0.2">
      <c r="A431" s="10" t="s">
        <v>893</v>
      </c>
      <c r="B431" s="11">
        <v>45058.421851851854</v>
      </c>
      <c r="C431" s="11">
        <v>45610.531608796293</v>
      </c>
      <c r="D431" s="11" t="str">
        <f>IF(Table1[[#This Row],[Duration of Campaign]]=0, "Ongoing","Completed")</f>
        <v>Completed</v>
      </c>
      <c r="E431" s="12">
        <f>Table1[[#This Row],[End Date]]-Table1[[#This Row],[Start Date]]</f>
        <v>552.10975694443914</v>
      </c>
      <c r="F431" s="13">
        <v>8114</v>
      </c>
      <c r="G431" s="14" t="s">
        <v>63</v>
      </c>
      <c r="H431" s="15">
        <v>6964</v>
      </c>
      <c r="I431" s="15">
        <v>526</v>
      </c>
      <c r="J431" s="15">
        <v>208</v>
      </c>
      <c r="K431" s="16">
        <v>13836</v>
      </c>
      <c r="L431" s="17">
        <f t="shared" si="30"/>
        <v>7.5531303848363013E-2</v>
      </c>
      <c r="M431" s="17">
        <f t="shared" si="30"/>
        <v>0.39543726235741444</v>
      </c>
      <c r="N431" s="18">
        <f t="shared" si="31"/>
        <v>1.0722433460076046</v>
      </c>
      <c r="O431" s="18">
        <f t="shared" si="32"/>
        <v>2.7115384615384617</v>
      </c>
      <c r="P431" s="17">
        <f t="shared" si="33"/>
        <v>6.9509489770766583E-2</v>
      </c>
      <c r="Q431" s="17">
        <f t="shared" si="34"/>
        <v>24.531914893617021</v>
      </c>
      <c r="R431" s="10" t="s">
        <v>894</v>
      </c>
      <c r="S431" s="14" t="s">
        <v>26</v>
      </c>
      <c r="T431" s="14" t="s">
        <v>37</v>
      </c>
      <c r="U431" s="13">
        <v>564</v>
      </c>
      <c r="V431" s="15">
        <v>2</v>
      </c>
      <c r="W431" s="9" t="str">
        <f>IF(Table1[[#This Row],[Satisfaction Rating]]&lt;2, "Low", IF(Table1[[#This Row],[Satisfaction Rating]]&lt;4, "Medium", "High"))</f>
        <v>Medium</v>
      </c>
    </row>
    <row r="432" spans="1:23" ht="14" x14ac:dyDescent="0.2">
      <c r="A432" s="10" t="s">
        <v>895</v>
      </c>
      <c r="B432" s="11">
        <v>44947.217245370368</v>
      </c>
      <c r="C432" s="11">
        <v>45580.755127314813</v>
      </c>
      <c r="D432" s="11" t="str">
        <f>IF(Table1[[#This Row],[Duration of Campaign]]=0, "Ongoing","Completed")</f>
        <v>Completed</v>
      </c>
      <c r="E432" s="12">
        <f>Table1[[#This Row],[End Date]]-Table1[[#This Row],[Start Date]]</f>
        <v>633.53788194444496</v>
      </c>
      <c r="F432" s="13">
        <v>3919</v>
      </c>
      <c r="G432" s="14" t="s">
        <v>29</v>
      </c>
      <c r="H432" s="15">
        <v>16035</v>
      </c>
      <c r="I432" s="15">
        <v>925</v>
      </c>
      <c r="J432" s="15">
        <v>97</v>
      </c>
      <c r="K432" s="16">
        <v>14747</v>
      </c>
      <c r="L432" s="17">
        <f t="shared" si="30"/>
        <v>5.7686311194262548E-2</v>
      </c>
      <c r="M432" s="17">
        <f t="shared" si="30"/>
        <v>0.10486486486486486</v>
      </c>
      <c r="N432" s="18">
        <f t="shared" si="31"/>
        <v>2.4367567567567567</v>
      </c>
      <c r="O432" s="18">
        <f t="shared" si="32"/>
        <v>23.237113402061855</v>
      </c>
      <c r="P432" s="17">
        <f t="shared" si="33"/>
        <v>0.57514672110232201</v>
      </c>
      <c r="Q432" s="17">
        <f t="shared" si="34"/>
        <v>6.5425909494232473</v>
      </c>
      <c r="R432" s="10" t="s">
        <v>896</v>
      </c>
      <c r="S432" s="14" t="s">
        <v>34</v>
      </c>
      <c r="T432" s="14" t="s">
        <v>27</v>
      </c>
      <c r="U432" s="13">
        <v>2254</v>
      </c>
      <c r="V432" s="15">
        <v>3</v>
      </c>
      <c r="W432" s="9" t="str">
        <f>IF(Table1[[#This Row],[Satisfaction Rating]]&lt;2, "Low", IF(Table1[[#This Row],[Satisfaction Rating]]&lt;4, "Medium", "High"))</f>
        <v>Medium</v>
      </c>
    </row>
    <row r="433" spans="1:23" ht="14" x14ac:dyDescent="0.2">
      <c r="A433" s="10" t="s">
        <v>897</v>
      </c>
      <c r="B433" s="11">
        <v>45395.530925925923</v>
      </c>
      <c r="C433" s="11">
        <v>45395.530925925923</v>
      </c>
      <c r="D433" s="11" t="str">
        <f>IF(Table1[[#This Row],[Duration of Campaign]]=0, "Ongoing","Completed")</f>
        <v>Ongoing</v>
      </c>
      <c r="E433" s="12">
        <f>Table1[[#This Row],[End Date]]-Table1[[#This Row],[Start Date]]</f>
        <v>0</v>
      </c>
      <c r="F433" s="13">
        <v>8655</v>
      </c>
      <c r="G433" s="14" t="s">
        <v>63</v>
      </c>
      <c r="H433" s="15">
        <v>4770</v>
      </c>
      <c r="I433" s="15">
        <v>1268</v>
      </c>
      <c r="J433" s="15">
        <v>142</v>
      </c>
      <c r="K433" s="16">
        <v>774</v>
      </c>
      <c r="L433" s="17">
        <f t="shared" si="30"/>
        <v>0.2658280922431866</v>
      </c>
      <c r="M433" s="17">
        <f t="shared" si="30"/>
        <v>0.11198738170347003</v>
      </c>
      <c r="N433" s="18">
        <f t="shared" si="31"/>
        <v>8.7168769716088335</v>
      </c>
      <c r="O433" s="18">
        <f t="shared" si="32"/>
        <v>77.838028169014081</v>
      </c>
      <c r="P433" s="17">
        <f t="shared" si="33"/>
        <v>1.2770652801848643</v>
      </c>
      <c r="Q433" s="17">
        <f t="shared" si="34"/>
        <v>7.0026237220664075E-2</v>
      </c>
      <c r="R433" s="10" t="s">
        <v>898</v>
      </c>
      <c r="S433" s="14" t="s">
        <v>26</v>
      </c>
      <c r="T433" s="14" t="s">
        <v>37</v>
      </c>
      <c r="U433" s="13">
        <v>11053</v>
      </c>
      <c r="V433" s="15">
        <v>3</v>
      </c>
      <c r="W433" s="9" t="str">
        <f>IF(Table1[[#This Row],[Satisfaction Rating]]&lt;2, "Low", IF(Table1[[#This Row],[Satisfaction Rating]]&lt;4, "Medium", "High"))</f>
        <v>Medium</v>
      </c>
    </row>
    <row r="434" spans="1:23" ht="14" x14ac:dyDescent="0.2">
      <c r="A434" s="10" t="s">
        <v>899</v>
      </c>
      <c r="B434" s="11">
        <v>45281.002812500003</v>
      </c>
      <c r="C434" s="11">
        <v>45333.505196759259</v>
      </c>
      <c r="D434" s="11" t="str">
        <f>IF(Table1[[#This Row],[Duration of Campaign]]=0, "Ongoing","Completed")</f>
        <v>Completed</v>
      </c>
      <c r="E434" s="12">
        <f>Table1[[#This Row],[End Date]]-Table1[[#This Row],[Start Date]]</f>
        <v>52.50238425925636</v>
      </c>
      <c r="F434" s="13">
        <v>7806</v>
      </c>
      <c r="G434" s="14" t="s">
        <v>47</v>
      </c>
      <c r="H434" s="15">
        <v>4961</v>
      </c>
      <c r="I434" s="15">
        <v>1295</v>
      </c>
      <c r="J434" s="15">
        <v>294</v>
      </c>
      <c r="K434" s="16">
        <v>14583</v>
      </c>
      <c r="L434" s="17">
        <f t="shared" si="30"/>
        <v>0.26103608143519452</v>
      </c>
      <c r="M434" s="17">
        <f t="shared" si="30"/>
        <v>0.22702702702702704</v>
      </c>
      <c r="N434" s="18">
        <f t="shared" si="31"/>
        <v>5.3111969111969115</v>
      </c>
      <c r="O434" s="18">
        <f t="shared" si="32"/>
        <v>23.394557823129251</v>
      </c>
      <c r="P434" s="17">
        <f t="shared" si="33"/>
        <v>0.88111708941839606</v>
      </c>
      <c r="Q434" s="17">
        <f t="shared" si="34"/>
        <v>2.1202384414073858</v>
      </c>
      <c r="R434" s="10" t="s">
        <v>900</v>
      </c>
      <c r="S434" s="14" t="s">
        <v>34</v>
      </c>
      <c r="T434" s="14" t="s">
        <v>55</v>
      </c>
      <c r="U434" s="13">
        <v>6878</v>
      </c>
      <c r="V434" s="15">
        <v>1</v>
      </c>
      <c r="W434" s="9" t="str">
        <f>IF(Table1[[#This Row],[Satisfaction Rating]]&lt;2, "Low", IF(Table1[[#This Row],[Satisfaction Rating]]&lt;4, "Medium", "High"))</f>
        <v>Low</v>
      </c>
    </row>
    <row r="435" spans="1:23" ht="14" x14ac:dyDescent="0.2">
      <c r="A435" s="10" t="s">
        <v>901</v>
      </c>
      <c r="B435" s="11">
        <v>45315.280289351853</v>
      </c>
      <c r="C435" s="11">
        <v>45315.280289351853</v>
      </c>
      <c r="D435" s="11" t="str">
        <f>IF(Table1[[#This Row],[Duration of Campaign]]=0, "Ongoing","Completed")</f>
        <v>Ongoing</v>
      </c>
      <c r="E435" s="12">
        <f>Table1[[#This Row],[End Date]]-Table1[[#This Row],[Start Date]]</f>
        <v>0</v>
      </c>
      <c r="F435" s="13">
        <v>7451</v>
      </c>
      <c r="G435" s="14" t="s">
        <v>29</v>
      </c>
      <c r="H435" s="15">
        <v>7670</v>
      </c>
      <c r="I435" s="15">
        <v>1880</v>
      </c>
      <c r="J435" s="15">
        <v>118</v>
      </c>
      <c r="K435" s="16">
        <v>7190</v>
      </c>
      <c r="L435" s="17">
        <f t="shared" si="30"/>
        <v>0.24511082138200782</v>
      </c>
      <c r="M435" s="17">
        <f t="shared" si="30"/>
        <v>6.2765957446808504E-2</v>
      </c>
      <c r="N435" s="18">
        <f t="shared" si="31"/>
        <v>8.4095744680851059</v>
      </c>
      <c r="O435" s="18">
        <f t="shared" si="32"/>
        <v>133.98305084745763</v>
      </c>
      <c r="P435" s="17">
        <f t="shared" si="33"/>
        <v>2.1218628372030599</v>
      </c>
      <c r="Q435" s="17">
        <f t="shared" si="34"/>
        <v>0.45477545857052498</v>
      </c>
      <c r="R435" s="10" t="s">
        <v>902</v>
      </c>
      <c r="S435" s="14" t="s">
        <v>31</v>
      </c>
      <c r="T435" s="14" t="s">
        <v>27</v>
      </c>
      <c r="U435" s="13">
        <v>15810</v>
      </c>
      <c r="V435" s="15">
        <v>5</v>
      </c>
      <c r="W435" s="9" t="str">
        <f>IF(Table1[[#This Row],[Satisfaction Rating]]&lt;2, "Low", IF(Table1[[#This Row],[Satisfaction Rating]]&lt;4, "Medium", "High"))</f>
        <v>High</v>
      </c>
    </row>
    <row r="436" spans="1:23" ht="14" x14ac:dyDescent="0.2">
      <c r="A436" s="10" t="s">
        <v>903</v>
      </c>
      <c r="B436" s="11">
        <v>45144.603206018517</v>
      </c>
      <c r="C436" s="11">
        <v>45578.000416666669</v>
      </c>
      <c r="D436" s="11" t="str">
        <f>IF(Table1[[#This Row],[Duration of Campaign]]=0, "Ongoing","Completed")</f>
        <v>Completed</v>
      </c>
      <c r="E436" s="12">
        <f>Table1[[#This Row],[End Date]]-Table1[[#This Row],[Start Date]]</f>
        <v>433.3972106481524</v>
      </c>
      <c r="F436" s="13">
        <v>6639</v>
      </c>
      <c r="G436" s="14" t="s">
        <v>24</v>
      </c>
      <c r="H436" s="15">
        <v>6989</v>
      </c>
      <c r="I436" s="15">
        <v>311</v>
      </c>
      <c r="J436" s="15">
        <v>73</v>
      </c>
      <c r="K436" s="16">
        <v>11310</v>
      </c>
      <c r="L436" s="17">
        <f t="shared" si="30"/>
        <v>4.4498497639147233E-2</v>
      </c>
      <c r="M436" s="17">
        <f t="shared" si="30"/>
        <v>0.2347266881028939</v>
      </c>
      <c r="N436" s="18">
        <f t="shared" si="31"/>
        <v>7.321543408360129</v>
      </c>
      <c r="O436" s="18">
        <f t="shared" si="32"/>
        <v>31.19178082191781</v>
      </c>
      <c r="P436" s="17">
        <f t="shared" si="33"/>
        <v>0.34297333935833713</v>
      </c>
      <c r="Q436" s="17">
        <f t="shared" si="34"/>
        <v>4.9670619235836631</v>
      </c>
      <c r="R436" s="10" t="s">
        <v>904</v>
      </c>
      <c r="S436" s="14" t="s">
        <v>31</v>
      </c>
      <c r="T436" s="14" t="s">
        <v>37</v>
      </c>
      <c r="U436" s="13">
        <v>2277</v>
      </c>
      <c r="V436" s="15">
        <v>1</v>
      </c>
      <c r="W436" s="9" t="str">
        <f>IF(Table1[[#This Row],[Satisfaction Rating]]&lt;2, "Low", IF(Table1[[#This Row],[Satisfaction Rating]]&lt;4, "Medium", "High"))</f>
        <v>Low</v>
      </c>
    </row>
    <row r="437" spans="1:23" ht="14" x14ac:dyDescent="0.2">
      <c r="A437" s="10" t="s">
        <v>905</v>
      </c>
      <c r="B437" s="11">
        <v>45455.526990740742</v>
      </c>
      <c r="C437" s="11">
        <v>45455.526990740742</v>
      </c>
      <c r="D437" s="11" t="str">
        <f>IF(Table1[[#This Row],[Duration of Campaign]]=0, "Ongoing","Completed")</f>
        <v>Ongoing</v>
      </c>
      <c r="E437" s="12">
        <f>Table1[[#This Row],[End Date]]-Table1[[#This Row],[Start Date]]</f>
        <v>0</v>
      </c>
      <c r="F437" s="13">
        <v>4870</v>
      </c>
      <c r="G437" s="14" t="s">
        <v>47</v>
      </c>
      <c r="H437" s="15">
        <v>7372</v>
      </c>
      <c r="I437" s="15">
        <v>892</v>
      </c>
      <c r="J437" s="15">
        <v>360</v>
      </c>
      <c r="K437" s="16">
        <v>7410</v>
      </c>
      <c r="L437" s="17">
        <f t="shared" si="30"/>
        <v>0.12099837221920781</v>
      </c>
      <c r="M437" s="17">
        <f t="shared" si="30"/>
        <v>0.40358744394618834</v>
      </c>
      <c r="N437" s="18">
        <f t="shared" si="31"/>
        <v>12.414798206278027</v>
      </c>
      <c r="O437" s="18">
        <f t="shared" si="32"/>
        <v>30.761111111111113</v>
      </c>
      <c r="P437" s="17">
        <f t="shared" si="33"/>
        <v>2.2739219712525669</v>
      </c>
      <c r="Q437" s="17">
        <f t="shared" si="34"/>
        <v>0.66913491060140873</v>
      </c>
      <c r="R437" s="10" t="s">
        <v>906</v>
      </c>
      <c r="S437" s="14" t="s">
        <v>31</v>
      </c>
      <c r="T437" s="14" t="s">
        <v>27</v>
      </c>
      <c r="U437" s="13">
        <v>11074</v>
      </c>
      <c r="V437" s="15">
        <v>2</v>
      </c>
      <c r="W437" s="9" t="str">
        <f>IF(Table1[[#This Row],[Satisfaction Rating]]&lt;2, "Low", IF(Table1[[#This Row],[Satisfaction Rating]]&lt;4, "Medium", "High"))</f>
        <v>Medium</v>
      </c>
    </row>
    <row r="438" spans="1:23" ht="14" x14ac:dyDescent="0.2">
      <c r="A438" s="10" t="s">
        <v>907</v>
      </c>
      <c r="B438" s="11">
        <v>45370.427118055559</v>
      </c>
      <c r="C438" s="11">
        <v>45370.427118055559</v>
      </c>
      <c r="D438" s="11" t="str">
        <f>IF(Table1[[#This Row],[Duration of Campaign]]=0, "Ongoing","Completed")</f>
        <v>Ongoing</v>
      </c>
      <c r="E438" s="12">
        <f>Table1[[#This Row],[End Date]]-Table1[[#This Row],[Start Date]]</f>
        <v>0</v>
      </c>
      <c r="F438" s="13">
        <v>1521</v>
      </c>
      <c r="G438" s="14" t="s">
        <v>63</v>
      </c>
      <c r="H438" s="15">
        <v>15203</v>
      </c>
      <c r="I438" s="15">
        <v>603</v>
      </c>
      <c r="J438" s="15">
        <v>255</v>
      </c>
      <c r="K438" s="16">
        <v>2854</v>
      </c>
      <c r="L438" s="17">
        <f t="shared" si="30"/>
        <v>3.9663224363612443E-2</v>
      </c>
      <c r="M438" s="17">
        <f t="shared" si="30"/>
        <v>0.4228855721393035</v>
      </c>
      <c r="N438" s="18">
        <f t="shared" si="31"/>
        <v>25.384742951907132</v>
      </c>
      <c r="O438" s="18">
        <f t="shared" si="32"/>
        <v>60.02745098039216</v>
      </c>
      <c r="P438" s="17">
        <f t="shared" si="33"/>
        <v>10.063773833004602</v>
      </c>
      <c r="Q438" s="17">
        <f t="shared" si="34"/>
        <v>0.18645064349643953</v>
      </c>
      <c r="R438" s="10" t="s">
        <v>908</v>
      </c>
      <c r="S438" s="14" t="s">
        <v>40</v>
      </c>
      <c r="T438" s="14" t="s">
        <v>55</v>
      </c>
      <c r="U438" s="13">
        <v>15307</v>
      </c>
      <c r="V438" s="15">
        <v>2</v>
      </c>
      <c r="W438" s="9" t="str">
        <f>IF(Table1[[#This Row],[Satisfaction Rating]]&lt;2, "Low", IF(Table1[[#This Row],[Satisfaction Rating]]&lt;4, "Medium", "High"))</f>
        <v>Medium</v>
      </c>
    </row>
    <row r="439" spans="1:23" ht="14" x14ac:dyDescent="0.2">
      <c r="A439" s="10" t="s">
        <v>909</v>
      </c>
      <c r="B439" s="11">
        <v>45250.578912037039</v>
      </c>
      <c r="C439" s="11">
        <v>45482.640393518515</v>
      </c>
      <c r="D439" s="11" t="str">
        <f>IF(Table1[[#This Row],[Duration of Campaign]]=0, "Ongoing","Completed")</f>
        <v>Completed</v>
      </c>
      <c r="E439" s="12">
        <f>Table1[[#This Row],[End Date]]-Table1[[#This Row],[Start Date]]</f>
        <v>232.06148148147622</v>
      </c>
      <c r="F439" s="13">
        <v>1306</v>
      </c>
      <c r="G439" s="14" t="s">
        <v>24</v>
      </c>
      <c r="H439" s="15">
        <v>7355</v>
      </c>
      <c r="I439" s="15">
        <v>1272</v>
      </c>
      <c r="J439" s="15">
        <v>26</v>
      </c>
      <c r="K439" s="16">
        <v>3853</v>
      </c>
      <c r="L439" s="17">
        <f t="shared" si="30"/>
        <v>0.17294357579877634</v>
      </c>
      <c r="M439" s="17">
        <f t="shared" si="30"/>
        <v>2.0440251572327043E-2</v>
      </c>
      <c r="N439" s="18">
        <f t="shared" si="31"/>
        <v>2.0534591194968552</v>
      </c>
      <c r="O439" s="18">
        <f t="shared" si="32"/>
        <v>100.46153846153847</v>
      </c>
      <c r="P439" s="17">
        <f t="shared" si="33"/>
        <v>2</v>
      </c>
      <c r="Q439" s="17">
        <f t="shared" si="34"/>
        <v>1.4751148545176109</v>
      </c>
      <c r="R439" s="10" t="s">
        <v>910</v>
      </c>
      <c r="S439" s="14" t="s">
        <v>31</v>
      </c>
      <c r="T439" s="14" t="s">
        <v>27</v>
      </c>
      <c r="U439" s="13">
        <v>2612</v>
      </c>
      <c r="V439" s="15">
        <v>2</v>
      </c>
      <c r="W439" s="9" t="str">
        <f>IF(Table1[[#This Row],[Satisfaction Rating]]&lt;2, "Low", IF(Table1[[#This Row],[Satisfaction Rating]]&lt;4, "Medium", "High"))</f>
        <v>Medium</v>
      </c>
    </row>
    <row r="440" spans="1:23" ht="14" x14ac:dyDescent="0.2">
      <c r="A440" s="10" t="s">
        <v>911</v>
      </c>
      <c r="B440" s="11">
        <v>45555.474537037036</v>
      </c>
      <c r="C440" s="11">
        <v>45555.474537037036</v>
      </c>
      <c r="D440" s="11" t="str">
        <f>IF(Table1[[#This Row],[Duration of Campaign]]=0, "Ongoing","Completed")</f>
        <v>Ongoing</v>
      </c>
      <c r="E440" s="12">
        <f>Table1[[#This Row],[End Date]]-Table1[[#This Row],[Start Date]]</f>
        <v>0</v>
      </c>
      <c r="F440" s="13">
        <v>8706</v>
      </c>
      <c r="G440" s="14" t="s">
        <v>47</v>
      </c>
      <c r="H440" s="15">
        <v>19396</v>
      </c>
      <c r="I440" s="15">
        <v>1444</v>
      </c>
      <c r="J440" s="15">
        <v>372</v>
      </c>
      <c r="K440" s="16">
        <v>4445</v>
      </c>
      <c r="L440" s="17">
        <f t="shared" si="30"/>
        <v>7.4448339863889462E-2</v>
      </c>
      <c r="M440" s="17">
        <f t="shared" si="30"/>
        <v>0.25761772853185594</v>
      </c>
      <c r="N440" s="18">
        <f t="shared" si="31"/>
        <v>7.7583102493074794</v>
      </c>
      <c r="O440" s="18">
        <f t="shared" si="32"/>
        <v>30.115591397849464</v>
      </c>
      <c r="P440" s="17">
        <f t="shared" si="33"/>
        <v>1.2868136917068689</v>
      </c>
      <c r="Q440" s="17">
        <f t="shared" si="34"/>
        <v>0.39676872266357227</v>
      </c>
      <c r="R440" s="10" t="s">
        <v>912</v>
      </c>
      <c r="S440" s="14" t="s">
        <v>45</v>
      </c>
      <c r="T440" s="14" t="s">
        <v>27</v>
      </c>
      <c r="U440" s="13">
        <v>11203</v>
      </c>
      <c r="V440" s="15">
        <v>2</v>
      </c>
      <c r="W440" s="9" t="str">
        <f>IF(Table1[[#This Row],[Satisfaction Rating]]&lt;2, "Low", IF(Table1[[#This Row],[Satisfaction Rating]]&lt;4, "Medium", "High"))</f>
        <v>Medium</v>
      </c>
    </row>
    <row r="441" spans="1:23" ht="14" x14ac:dyDescent="0.2">
      <c r="A441" s="10" t="s">
        <v>913</v>
      </c>
      <c r="B441" s="11">
        <v>45326.044502314813</v>
      </c>
      <c r="C441" s="11">
        <v>45391.311921296299</v>
      </c>
      <c r="D441" s="11" t="str">
        <f>IF(Table1[[#This Row],[Duration of Campaign]]=0, "Ongoing","Completed")</f>
        <v>Completed</v>
      </c>
      <c r="E441" s="12">
        <f>Table1[[#This Row],[End Date]]-Table1[[#This Row],[Start Date]]</f>
        <v>65.267418981486117</v>
      </c>
      <c r="F441" s="13">
        <v>7073</v>
      </c>
      <c r="G441" s="14" t="s">
        <v>63</v>
      </c>
      <c r="H441" s="15">
        <v>8727</v>
      </c>
      <c r="I441" s="15">
        <v>1663</v>
      </c>
      <c r="J441" s="15">
        <v>40</v>
      </c>
      <c r="K441" s="16">
        <v>7968</v>
      </c>
      <c r="L441" s="17">
        <f t="shared" si="30"/>
        <v>0.19055803827202933</v>
      </c>
      <c r="M441" s="17">
        <f t="shared" si="30"/>
        <v>2.4052916416115455E-2</v>
      </c>
      <c r="N441" s="18">
        <f t="shared" si="31"/>
        <v>9.1076368009621174</v>
      </c>
      <c r="O441" s="18">
        <f t="shared" si="32"/>
        <v>378.65</v>
      </c>
      <c r="P441" s="17">
        <f t="shared" si="33"/>
        <v>2.1413827230312457</v>
      </c>
      <c r="Q441" s="17">
        <f t="shared" si="34"/>
        <v>0.52607949293542855</v>
      </c>
      <c r="R441" s="10" t="s">
        <v>914</v>
      </c>
      <c r="S441" s="14" t="s">
        <v>45</v>
      </c>
      <c r="T441" s="14" t="s">
        <v>37</v>
      </c>
      <c r="U441" s="13">
        <v>15146</v>
      </c>
      <c r="V441" s="15">
        <v>5</v>
      </c>
      <c r="W441" s="9" t="str">
        <f>IF(Table1[[#This Row],[Satisfaction Rating]]&lt;2, "Low", IF(Table1[[#This Row],[Satisfaction Rating]]&lt;4, "Medium", "High"))</f>
        <v>High</v>
      </c>
    </row>
    <row r="442" spans="1:23" ht="14" x14ac:dyDescent="0.2">
      <c r="A442" s="10" t="s">
        <v>915</v>
      </c>
      <c r="B442" s="11">
        <v>45513.266747685186</v>
      </c>
      <c r="C442" s="11">
        <v>45513.266747685186</v>
      </c>
      <c r="D442" s="11" t="str">
        <f>IF(Table1[[#This Row],[Duration of Campaign]]=0, "Ongoing","Completed")</f>
        <v>Ongoing</v>
      </c>
      <c r="E442" s="12">
        <f>Table1[[#This Row],[End Date]]-Table1[[#This Row],[Start Date]]</f>
        <v>0</v>
      </c>
      <c r="F442" s="13">
        <v>4673</v>
      </c>
      <c r="G442" s="14" t="s">
        <v>63</v>
      </c>
      <c r="H442" s="15">
        <v>19276</v>
      </c>
      <c r="I442" s="15">
        <v>1017</v>
      </c>
      <c r="J442" s="15">
        <v>196</v>
      </c>
      <c r="K442" s="16">
        <v>655</v>
      </c>
      <c r="L442" s="17">
        <f t="shared" si="30"/>
        <v>5.2759908694749946E-2</v>
      </c>
      <c r="M442" s="17">
        <f t="shared" si="30"/>
        <v>0.1927236971484759</v>
      </c>
      <c r="N442" s="18">
        <f t="shared" si="31"/>
        <v>1.2713864306784661</v>
      </c>
      <c r="O442" s="18">
        <f t="shared" si="32"/>
        <v>6.5969387755102042</v>
      </c>
      <c r="P442" s="17">
        <f t="shared" si="33"/>
        <v>0.27669591268992083</v>
      </c>
      <c r="Q442" s="17">
        <f t="shared" si="34"/>
        <v>0.50657385924207265</v>
      </c>
      <c r="R442" s="10" t="s">
        <v>916</v>
      </c>
      <c r="S442" s="14" t="s">
        <v>31</v>
      </c>
      <c r="T442" s="14" t="s">
        <v>55</v>
      </c>
      <c r="U442" s="13">
        <v>1293</v>
      </c>
      <c r="V442" s="15">
        <v>1</v>
      </c>
      <c r="W442" s="9" t="str">
        <f>IF(Table1[[#This Row],[Satisfaction Rating]]&lt;2, "Low", IF(Table1[[#This Row],[Satisfaction Rating]]&lt;4, "Medium", "High"))</f>
        <v>Low</v>
      </c>
    </row>
    <row r="443" spans="1:23" ht="14" x14ac:dyDescent="0.2">
      <c r="A443" s="10" t="s">
        <v>917</v>
      </c>
      <c r="B443" s="11">
        <v>45375.504988425928</v>
      </c>
      <c r="C443" s="11">
        <v>45504.703877314816</v>
      </c>
      <c r="D443" s="11" t="str">
        <f>IF(Table1[[#This Row],[Duration of Campaign]]=0, "Ongoing","Completed")</f>
        <v>Completed</v>
      </c>
      <c r="E443" s="12">
        <f>Table1[[#This Row],[End Date]]-Table1[[#This Row],[Start Date]]</f>
        <v>129.19888888888818</v>
      </c>
      <c r="F443" s="13">
        <v>4653</v>
      </c>
      <c r="G443" s="14" t="s">
        <v>63</v>
      </c>
      <c r="H443" s="15">
        <v>16758</v>
      </c>
      <c r="I443" s="15">
        <v>996</v>
      </c>
      <c r="J443" s="15">
        <v>262</v>
      </c>
      <c r="K443" s="16">
        <v>1275</v>
      </c>
      <c r="L443" s="17">
        <f t="shared" si="30"/>
        <v>5.9434300035803793E-2</v>
      </c>
      <c r="M443" s="17">
        <f t="shared" si="30"/>
        <v>0.26305220883534136</v>
      </c>
      <c r="N443" s="18">
        <f t="shared" si="31"/>
        <v>1.072289156626506</v>
      </c>
      <c r="O443" s="18">
        <f t="shared" si="32"/>
        <v>4.0763358778625953</v>
      </c>
      <c r="P443" s="17">
        <f t="shared" si="33"/>
        <v>0.22952933591231464</v>
      </c>
      <c r="Q443" s="17">
        <f t="shared" si="34"/>
        <v>1.1938202247191012</v>
      </c>
      <c r="R443" s="10" t="s">
        <v>918</v>
      </c>
      <c r="S443" s="14" t="s">
        <v>45</v>
      </c>
      <c r="T443" s="14" t="s">
        <v>37</v>
      </c>
      <c r="U443" s="13">
        <v>1068</v>
      </c>
      <c r="V443" s="15">
        <v>4</v>
      </c>
      <c r="W443" s="9" t="str">
        <f>IF(Table1[[#This Row],[Satisfaction Rating]]&lt;2, "Low", IF(Table1[[#This Row],[Satisfaction Rating]]&lt;4, "Medium", "High"))</f>
        <v>High</v>
      </c>
    </row>
    <row r="444" spans="1:23" ht="14" x14ac:dyDescent="0.2">
      <c r="A444" s="10" t="s">
        <v>919</v>
      </c>
      <c r="B444" s="11">
        <v>45139.221643518518</v>
      </c>
      <c r="C444" s="11">
        <v>45241.391967592594</v>
      </c>
      <c r="D444" s="11" t="str">
        <f>IF(Table1[[#This Row],[Duration of Campaign]]=0, "Ongoing","Completed")</f>
        <v>Completed</v>
      </c>
      <c r="E444" s="12">
        <f>Table1[[#This Row],[End Date]]-Table1[[#This Row],[Start Date]]</f>
        <v>102.17032407407532</v>
      </c>
      <c r="F444" s="13">
        <v>6620</v>
      </c>
      <c r="G444" s="14" t="s">
        <v>47</v>
      </c>
      <c r="H444" s="15">
        <v>15455</v>
      </c>
      <c r="I444" s="15">
        <v>982</v>
      </c>
      <c r="J444" s="15">
        <v>76</v>
      </c>
      <c r="K444" s="16">
        <v>2345</v>
      </c>
      <c r="L444" s="17">
        <f t="shared" si="30"/>
        <v>6.3539307667421552E-2</v>
      </c>
      <c r="M444" s="17">
        <f t="shared" si="30"/>
        <v>7.7393075356415472E-2</v>
      </c>
      <c r="N444" s="18">
        <f t="shared" si="31"/>
        <v>3.718940936863544</v>
      </c>
      <c r="O444" s="18">
        <f t="shared" si="32"/>
        <v>48.05263157894737</v>
      </c>
      <c r="P444" s="17">
        <f t="shared" si="33"/>
        <v>0.55166163141993962</v>
      </c>
      <c r="Q444" s="17">
        <f t="shared" si="34"/>
        <v>0.64211391018619934</v>
      </c>
      <c r="R444" s="10" t="s">
        <v>920</v>
      </c>
      <c r="S444" s="14" t="s">
        <v>26</v>
      </c>
      <c r="T444" s="14" t="s">
        <v>27</v>
      </c>
      <c r="U444" s="13">
        <v>3652</v>
      </c>
      <c r="V444" s="15">
        <v>2</v>
      </c>
      <c r="W444" s="9" t="str">
        <f>IF(Table1[[#This Row],[Satisfaction Rating]]&lt;2, "Low", IF(Table1[[#This Row],[Satisfaction Rating]]&lt;4, "Medium", "High"))</f>
        <v>Medium</v>
      </c>
    </row>
    <row r="445" spans="1:23" ht="14" x14ac:dyDescent="0.2">
      <c r="A445" s="10" t="s">
        <v>921</v>
      </c>
      <c r="B445" s="11">
        <v>44961.087476851855</v>
      </c>
      <c r="C445" s="11">
        <v>45426.29859953704</v>
      </c>
      <c r="D445" s="11" t="str">
        <f>IF(Table1[[#This Row],[Duration of Campaign]]=0, "Ongoing","Completed")</f>
        <v>Completed</v>
      </c>
      <c r="E445" s="12">
        <f>Table1[[#This Row],[End Date]]-Table1[[#This Row],[Start Date]]</f>
        <v>465.21112268518482</v>
      </c>
      <c r="F445" s="13">
        <v>1105</v>
      </c>
      <c r="G445" s="14" t="s">
        <v>29</v>
      </c>
      <c r="H445" s="15">
        <v>10272</v>
      </c>
      <c r="I445" s="15">
        <v>1740</v>
      </c>
      <c r="J445" s="15">
        <v>33</v>
      </c>
      <c r="K445" s="16">
        <v>13700</v>
      </c>
      <c r="L445" s="17">
        <f t="shared" si="30"/>
        <v>0.16939252336448599</v>
      </c>
      <c r="M445" s="17">
        <f t="shared" si="30"/>
        <v>1.896551724137931E-2</v>
      </c>
      <c r="N445" s="18">
        <f t="shared" si="31"/>
        <v>8.1919540229885062</v>
      </c>
      <c r="O445" s="18">
        <f t="shared" si="32"/>
        <v>431.93939393939394</v>
      </c>
      <c r="P445" s="17">
        <f t="shared" si="33"/>
        <v>12.899547511312218</v>
      </c>
      <c r="Q445" s="17">
        <f t="shared" si="34"/>
        <v>0.96113371685141014</v>
      </c>
      <c r="R445" s="10" t="s">
        <v>922</v>
      </c>
      <c r="S445" s="14" t="s">
        <v>34</v>
      </c>
      <c r="T445" s="14" t="s">
        <v>55</v>
      </c>
      <c r="U445" s="13">
        <v>14254</v>
      </c>
      <c r="V445" s="15">
        <v>5</v>
      </c>
      <c r="W445" s="9" t="str">
        <f>IF(Table1[[#This Row],[Satisfaction Rating]]&lt;2, "Low", IF(Table1[[#This Row],[Satisfaction Rating]]&lt;4, "Medium", "High"))</f>
        <v>High</v>
      </c>
    </row>
    <row r="446" spans="1:23" ht="14" x14ac:dyDescent="0.2">
      <c r="A446" s="10" t="s">
        <v>923</v>
      </c>
      <c r="B446" s="11">
        <v>45532.435682870368</v>
      </c>
      <c r="C446" s="11">
        <v>45608.937557870369</v>
      </c>
      <c r="D446" s="11" t="str">
        <f>IF(Table1[[#This Row],[Duration of Campaign]]=0, "Ongoing","Completed")</f>
        <v>Completed</v>
      </c>
      <c r="E446" s="12">
        <f>Table1[[#This Row],[End Date]]-Table1[[#This Row],[Start Date]]</f>
        <v>76.501875000001746</v>
      </c>
      <c r="F446" s="13">
        <v>1155</v>
      </c>
      <c r="G446" s="14" t="s">
        <v>47</v>
      </c>
      <c r="H446" s="15">
        <v>6308</v>
      </c>
      <c r="I446" s="15">
        <v>930</v>
      </c>
      <c r="J446" s="15">
        <v>234</v>
      </c>
      <c r="K446" s="16">
        <v>7894</v>
      </c>
      <c r="L446" s="17">
        <f t="shared" si="30"/>
        <v>0.14743183259353201</v>
      </c>
      <c r="M446" s="17">
        <f t="shared" si="30"/>
        <v>0.25161290322580643</v>
      </c>
      <c r="N446" s="18">
        <f t="shared" si="31"/>
        <v>12.316129032258065</v>
      </c>
      <c r="O446" s="18">
        <f t="shared" si="32"/>
        <v>48.948717948717949</v>
      </c>
      <c r="P446" s="17">
        <f t="shared" si="33"/>
        <v>9.9168831168831169</v>
      </c>
      <c r="Q446" s="17">
        <f t="shared" si="34"/>
        <v>0.68919154880391131</v>
      </c>
      <c r="R446" s="10" t="s">
        <v>924</v>
      </c>
      <c r="S446" s="14" t="s">
        <v>40</v>
      </c>
      <c r="T446" s="14" t="s">
        <v>55</v>
      </c>
      <c r="U446" s="13">
        <v>11454</v>
      </c>
      <c r="V446" s="15">
        <v>5</v>
      </c>
      <c r="W446" s="9" t="str">
        <f>IF(Table1[[#This Row],[Satisfaction Rating]]&lt;2, "Low", IF(Table1[[#This Row],[Satisfaction Rating]]&lt;4, "Medium", "High"))</f>
        <v>High</v>
      </c>
    </row>
    <row r="447" spans="1:23" ht="14" x14ac:dyDescent="0.2">
      <c r="A447" s="10" t="s">
        <v>925</v>
      </c>
      <c r="B447" s="11">
        <v>45478.305601851855</v>
      </c>
      <c r="C447" s="11">
        <v>45478.305601851855</v>
      </c>
      <c r="D447" s="11" t="str">
        <f>IF(Table1[[#This Row],[Duration of Campaign]]=0, "Ongoing","Completed")</f>
        <v>Ongoing</v>
      </c>
      <c r="E447" s="12">
        <f>Table1[[#This Row],[End Date]]-Table1[[#This Row],[Start Date]]</f>
        <v>0</v>
      </c>
      <c r="F447" s="13">
        <v>9362</v>
      </c>
      <c r="G447" s="14" t="s">
        <v>24</v>
      </c>
      <c r="H447" s="15">
        <v>15866</v>
      </c>
      <c r="I447" s="15">
        <v>335</v>
      </c>
      <c r="J447" s="15">
        <v>133</v>
      </c>
      <c r="K447" s="16">
        <v>9491</v>
      </c>
      <c r="L447" s="17">
        <f t="shared" si="30"/>
        <v>2.1114332534980462E-2</v>
      </c>
      <c r="M447" s="17">
        <f t="shared" si="30"/>
        <v>0.39701492537313432</v>
      </c>
      <c r="N447" s="18">
        <f t="shared" si="31"/>
        <v>29.220895522388059</v>
      </c>
      <c r="O447" s="18">
        <f t="shared" si="32"/>
        <v>73.601503759398497</v>
      </c>
      <c r="P447" s="17">
        <f t="shared" si="33"/>
        <v>1.0456099124118778</v>
      </c>
      <c r="Q447" s="17">
        <f t="shared" si="34"/>
        <v>0.96955766676882216</v>
      </c>
      <c r="R447" s="10" t="s">
        <v>926</v>
      </c>
      <c r="S447" s="14" t="s">
        <v>31</v>
      </c>
      <c r="T447" s="14" t="s">
        <v>55</v>
      </c>
      <c r="U447" s="13">
        <v>9789</v>
      </c>
      <c r="V447" s="15">
        <v>3</v>
      </c>
      <c r="W447" s="9" t="str">
        <f>IF(Table1[[#This Row],[Satisfaction Rating]]&lt;2, "Low", IF(Table1[[#This Row],[Satisfaction Rating]]&lt;4, "Medium", "High"))</f>
        <v>Medium</v>
      </c>
    </row>
    <row r="448" spans="1:23" ht="14" x14ac:dyDescent="0.2">
      <c r="A448" s="10" t="s">
        <v>927</v>
      </c>
      <c r="B448" s="11">
        <v>45649.099039351851</v>
      </c>
      <c r="C448" s="11">
        <v>45649.099039351851</v>
      </c>
      <c r="D448" s="11" t="str">
        <f>IF(Table1[[#This Row],[Duration of Campaign]]=0, "Ongoing","Completed")</f>
        <v>Ongoing</v>
      </c>
      <c r="E448" s="12">
        <f>Table1[[#This Row],[End Date]]-Table1[[#This Row],[Start Date]]</f>
        <v>0</v>
      </c>
      <c r="F448" s="13">
        <v>2847</v>
      </c>
      <c r="G448" s="14" t="s">
        <v>47</v>
      </c>
      <c r="H448" s="15">
        <v>7767</v>
      </c>
      <c r="I448" s="15">
        <v>462</v>
      </c>
      <c r="J448" s="15">
        <v>323</v>
      </c>
      <c r="K448" s="16">
        <v>6640</v>
      </c>
      <c r="L448" s="17">
        <f t="shared" si="30"/>
        <v>5.9482425646967943E-2</v>
      </c>
      <c r="M448" s="17">
        <f t="shared" si="30"/>
        <v>0.69913419913419916</v>
      </c>
      <c r="N448" s="18">
        <f t="shared" si="31"/>
        <v>26.666666666666668</v>
      </c>
      <c r="O448" s="18">
        <f t="shared" si="32"/>
        <v>38.142414860681114</v>
      </c>
      <c r="P448" s="17">
        <f t="shared" si="33"/>
        <v>4.3273621355813141</v>
      </c>
      <c r="Q448" s="17">
        <f t="shared" si="34"/>
        <v>0.53896103896103897</v>
      </c>
      <c r="R448" s="10" t="s">
        <v>928</v>
      </c>
      <c r="S448" s="14" t="s">
        <v>26</v>
      </c>
      <c r="T448" s="14" t="s">
        <v>55</v>
      </c>
      <c r="U448" s="13">
        <v>12320</v>
      </c>
      <c r="V448" s="15">
        <v>5</v>
      </c>
      <c r="W448" s="9" t="str">
        <f>IF(Table1[[#This Row],[Satisfaction Rating]]&lt;2, "Low", IF(Table1[[#This Row],[Satisfaction Rating]]&lt;4, "Medium", "High"))</f>
        <v>High</v>
      </c>
    </row>
    <row r="449" spans="1:23" ht="14" x14ac:dyDescent="0.2">
      <c r="A449" s="10" t="s">
        <v>929</v>
      </c>
      <c r="B449" s="11">
        <v>45009.091423611113</v>
      </c>
      <c r="C449" s="11">
        <v>45476.899942129632</v>
      </c>
      <c r="D449" s="11" t="str">
        <f>IF(Table1[[#This Row],[Duration of Campaign]]=0, "Ongoing","Completed")</f>
        <v>Completed</v>
      </c>
      <c r="E449" s="12">
        <f>Table1[[#This Row],[End Date]]-Table1[[#This Row],[Start Date]]</f>
        <v>467.80851851851912</v>
      </c>
      <c r="F449" s="13">
        <v>9669</v>
      </c>
      <c r="G449" s="14" t="s">
        <v>24</v>
      </c>
      <c r="H449" s="15">
        <v>16212</v>
      </c>
      <c r="I449" s="15">
        <v>482</v>
      </c>
      <c r="J449" s="15">
        <v>316</v>
      </c>
      <c r="K449" s="16">
        <v>3472</v>
      </c>
      <c r="L449" s="17">
        <f t="shared" si="30"/>
        <v>2.9731063409819885E-2</v>
      </c>
      <c r="M449" s="17">
        <f t="shared" si="30"/>
        <v>0.65560165975103735</v>
      </c>
      <c r="N449" s="18">
        <f t="shared" si="31"/>
        <v>8.8443983402489632</v>
      </c>
      <c r="O449" s="18">
        <f t="shared" si="32"/>
        <v>13.490506329113924</v>
      </c>
      <c r="P449" s="17">
        <f t="shared" si="33"/>
        <v>0.44089357741234875</v>
      </c>
      <c r="Q449" s="17">
        <f t="shared" si="34"/>
        <v>0.81444991789819376</v>
      </c>
      <c r="R449" s="10" t="s">
        <v>930</v>
      </c>
      <c r="S449" s="14" t="s">
        <v>26</v>
      </c>
      <c r="T449" s="14" t="s">
        <v>37</v>
      </c>
      <c r="U449" s="13">
        <v>4263</v>
      </c>
      <c r="V449" s="15">
        <v>2</v>
      </c>
      <c r="W449" s="9" t="str">
        <f>IF(Table1[[#This Row],[Satisfaction Rating]]&lt;2, "Low", IF(Table1[[#This Row],[Satisfaction Rating]]&lt;4, "Medium", "High"))</f>
        <v>Medium</v>
      </c>
    </row>
    <row r="450" spans="1:23" ht="14" x14ac:dyDescent="0.2">
      <c r="A450" s="10" t="s">
        <v>931</v>
      </c>
      <c r="B450" s="11">
        <v>45021.602106481485</v>
      </c>
      <c r="C450" s="11">
        <v>45250.398900462962</v>
      </c>
      <c r="D450" s="11" t="str">
        <f>IF(Table1[[#This Row],[Duration of Campaign]]=0, "Ongoing","Completed")</f>
        <v>Completed</v>
      </c>
      <c r="E450" s="12">
        <f>Table1[[#This Row],[End Date]]-Table1[[#This Row],[Start Date]]</f>
        <v>228.79679398147709</v>
      </c>
      <c r="F450" s="13">
        <v>8935</v>
      </c>
      <c r="G450" s="14" t="s">
        <v>24</v>
      </c>
      <c r="H450" s="15">
        <v>7211</v>
      </c>
      <c r="I450" s="15">
        <v>1739</v>
      </c>
      <c r="J450" s="15">
        <v>119</v>
      </c>
      <c r="K450" s="16">
        <v>13906</v>
      </c>
      <c r="L450" s="17">
        <f t="shared" si="30"/>
        <v>0.241159339897379</v>
      </c>
      <c r="M450" s="17">
        <f t="shared" si="30"/>
        <v>6.8430132259919493E-2</v>
      </c>
      <c r="N450" s="18">
        <f t="shared" si="31"/>
        <v>0.71132834962622193</v>
      </c>
      <c r="O450" s="18">
        <f t="shared" si="32"/>
        <v>10.394957983193278</v>
      </c>
      <c r="P450" s="17">
        <f t="shared" si="33"/>
        <v>0.13844432008953553</v>
      </c>
      <c r="Q450" s="17">
        <f t="shared" si="34"/>
        <v>11.241713823767178</v>
      </c>
      <c r="R450" s="10" t="s">
        <v>932</v>
      </c>
      <c r="S450" s="14" t="s">
        <v>31</v>
      </c>
      <c r="T450" s="14" t="s">
        <v>37</v>
      </c>
      <c r="U450" s="13">
        <v>1237</v>
      </c>
      <c r="V450" s="15">
        <v>1</v>
      </c>
      <c r="W450" s="9" t="str">
        <f>IF(Table1[[#This Row],[Satisfaction Rating]]&lt;2, "Low", IF(Table1[[#This Row],[Satisfaction Rating]]&lt;4, "Medium", "High"))</f>
        <v>Low</v>
      </c>
    </row>
    <row r="451" spans="1:23" ht="14" x14ac:dyDescent="0.2">
      <c r="A451" s="10" t="s">
        <v>933</v>
      </c>
      <c r="B451" s="11">
        <v>45199.961898148147</v>
      </c>
      <c r="C451" s="11">
        <v>45476.044641203705</v>
      </c>
      <c r="D451" s="11" t="str">
        <f>IF(Table1[[#This Row],[Duration of Campaign]]=0, "Ongoing","Completed")</f>
        <v>Completed</v>
      </c>
      <c r="E451" s="12">
        <f>Table1[[#This Row],[End Date]]-Table1[[#This Row],[Start Date]]</f>
        <v>276.08274305555824</v>
      </c>
      <c r="F451" s="13">
        <v>6769</v>
      </c>
      <c r="G451" s="14" t="s">
        <v>24</v>
      </c>
      <c r="H451" s="15">
        <v>10377</v>
      </c>
      <c r="I451" s="15">
        <v>836</v>
      </c>
      <c r="J451" s="15">
        <v>247</v>
      </c>
      <c r="K451" s="16">
        <v>13953</v>
      </c>
      <c r="L451" s="17">
        <f t="shared" ref="L451:M514" si="35">I451/H451</f>
        <v>8.0562783077960873E-2</v>
      </c>
      <c r="M451" s="17">
        <f t="shared" si="35"/>
        <v>0.29545454545454547</v>
      </c>
      <c r="N451" s="18">
        <f t="shared" ref="N451:N514" si="36">U451/I451</f>
        <v>15.088516746411484</v>
      </c>
      <c r="O451" s="18">
        <f t="shared" ref="O451:O514" si="37">U451/J451</f>
        <v>51.068825910931174</v>
      </c>
      <c r="P451" s="17">
        <f t="shared" ref="P451:P514" si="38">U451/F451</f>
        <v>1.8634953464322648</v>
      </c>
      <c r="Q451" s="17">
        <f t="shared" ref="Q451:Q514" si="39">K451/U451</f>
        <v>1.1061518947201523</v>
      </c>
      <c r="R451" s="10" t="s">
        <v>934</v>
      </c>
      <c r="S451" s="14" t="s">
        <v>45</v>
      </c>
      <c r="T451" s="14" t="s">
        <v>55</v>
      </c>
      <c r="U451" s="13">
        <v>12614</v>
      </c>
      <c r="V451" s="15">
        <v>2</v>
      </c>
      <c r="W451" s="9" t="str">
        <f>IF(Table1[[#This Row],[Satisfaction Rating]]&lt;2, "Low", IF(Table1[[#This Row],[Satisfaction Rating]]&lt;4, "Medium", "High"))</f>
        <v>Medium</v>
      </c>
    </row>
    <row r="452" spans="1:23" ht="14" x14ac:dyDescent="0.2">
      <c r="A452" s="10" t="s">
        <v>935</v>
      </c>
      <c r="B452" s="11">
        <v>45026.617662037039</v>
      </c>
      <c r="C452" s="11">
        <v>45026.617662037039</v>
      </c>
      <c r="D452" s="11" t="str">
        <f>IF(Table1[[#This Row],[Duration of Campaign]]=0, "Ongoing","Completed")</f>
        <v>Ongoing</v>
      </c>
      <c r="E452" s="12">
        <f>Table1[[#This Row],[End Date]]-Table1[[#This Row],[Start Date]]</f>
        <v>0</v>
      </c>
      <c r="F452" s="13">
        <v>3197</v>
      </c>
      <c r="G452" s="14" t="s">
        <v>63</v>
      </c>
      <c r="H452" s="15">
        <v>17617</v>
      </c>
      <c r="I452" s="15">
        <v>844</v>
      </c>
      <c r="J452" s="15">
        <v>491</v>
      </c>
      <c r="K452" s="16">
        <v>9626</v>
      </c>
      <c r="L452" s="17">
        <f t="shared" si="35"/>
        <v>4.7908270420616447E-2</v>
      </c>
      <c r="M452" s="17">
        <f t="shared" si="35"/>
        <v>0.58175355450236965</v>
      </c>
      <c r="N452" s="18">
        <f t="shared" si="36"/>
        <v>12.548578199052132</v>
      </c>
      <c r="O452" s="18">
        <f t="shared" si="37"/>
        <v>21.570264765784113</v>
      </c>
      <c r="P452" s="17">
        <f t="shared" si="38"/>
        <v>3.3127932436659369</v>
      </c>
      <c r="Q452" s="17">
        <f t="shared" si="39"/>
        <v>0.90888490227551699</v>
      </c>
      <c r="R452" s="10" t="s">
        <v>936</v>
      </c>
      <c r="S452" s="14" t="s">
        <v>26</v>
      </c>
      <c r="T452" s="14" t="s">
        <v>27</v>
      </c>
      <c r="U452" s="13">
        <v>10591</v>
      </c>
      <c r="V452" s="15">
        <v>1</v>
      </c>
      <c r="W452" s="9" t="str">
        <f>IF(Table1[[#This Row],[Satisfaction Rating]]&lt;2, "Low", IF(Table1[[#This Row],[Satisfaction Rating]]&lt;4, "Medium", "High"))</f>
        <v>Low</v>
      </c>
    </row>
    <row r="453" spans="1:23" ht="14" x14ac:dyDescent="0.2">
      <c r="A453" s="10" t="s">
        <v>937</v>
      </c>
      <c r="B453" s="11">
        <v>45475.284120370372</v>
      </c>
      <c r="C453" s="11">
        <v>45475.284120370372</v>
      </c>
      <c r="D453" s="11" t="str">
        <f>IF(Table1[[#This Row],[Duration of Campaign]]=0, "Ongoing","Completed")</f>
        <v>Ongoing</v>
      </c>
      <c r="E453" s="12">
        <f>Table1[[#This Row],[End Date]]-Table1[[#This Row],[Start Date]]</f>
        <v>0</v>
      </c>
      <c r="F453" s="13">
        <v>3690</v>
      </c>
      <c r="G453" s="14" t="s">
        <v>24</v>
      </c>
      <c r="H453" s="15">
        <v>1710</v>
      </c>
      <c r="I453" s="15">
        <v>875</v>
      </c>
      <c r="J453" s="15">
        <v>197</v>
      </c>
      <c r="K453" s="16">
        <v>969</v>
      </c>
      <c r="L453" s="17">
        <f t="shared" si="35"/>
        <v>0.51169590643274854</v>
      </c>
      <c r="M453" s="17">
        <f t="shared" si="35"/>
        <v>0.22514285714285714</v>
      </c>
      <c r="N453" s="18">
        <f t="shared" si="36"/>
        <v>13.922285714285714</v>
      </c>
      <c r="O453" s="18">
        <f t="shared" si="37"/>
        <v>61.837563451776653</v>
      </c>
      <c r="P453" s="17">
        <f t="shared" si="38"/>
        <v>3.3013550135501357</v>
      </c>
      <c r="Q453" s="17">
        <f t="shared" si="39"/>
        <v>7.9543588901658191E-2</v>
      </c>
      <c r="R453" s="10" t="s">
        <v>938</v>
      </c>
      <c r="S453" s="14" t="s">
        <v>40</v>
      </c>
      <c r="T453" s="14" t="s">
        <v>27</v>
      </c>
      <c r="U453" s="13">
        <v>12182</v>
      </c>
      <c r="V453" s="15">
        <v>4</v>
      </c>
      <c r="W453" s="9" t="str">
        <f>IF(Table1[[#This Row],[Satisfaction Rating]]&lt;2, "Low", IF(Table1[[#This Row],[Satisfaction Rating]]&lt;4, "Medium", "High"))</f>
        <v>High</v>
      </c>
    </row>
    <row r="454" spans="1:23" ht="14" x14ac:dyDescent="0.2">
      <c r="A454" s="10" t="s">
        <v>939</v>
      </c>
      <c r="B454" s="11">
        <v>45158.786574074074</v>
      </c>
      <c r="C454" s="11">
        <v>45266.464768518519</v>
      </c>
      <c r="D454" s="11" t="str">
        <f>IF(Table1[[#This Row],[Duration of Campaign]]=0, "Ongoing","Completed")</f>
        <v>Completed</v>
      </c>
      <c r="E454" s="12">
        <f>Table1[[#This Row],[End Date]]-Table1[[#This Row],[Start Date]]</f>
        <v>107.67819444444467</v>
      </c>
      <c r="F454" s="13">
        <v>9098</v>
      </c>
      <c r="G454" s="14" t="s">
        <v>24</v>
      </c>
      <c r="H454" s="15">
        <v>15596</v>
      </c>
      <c r="I454" s="15">
        <v>1097</v>
      </c>
      <c r="J454" s="15">
        <v>418</v>
      </c>
      <c r="K454" s="16">
        <v>10166</v>
      </c>
      <c r="L454" s="17">
        <f t="shared" si="35"/>
        <v>7.0338548345729668E-2</v>
      </c>
      <c r="M454" s="17">
        <f t="shared" si="35"/>
        <v>0.38103919781221512</v>
      </c>
      <c r="N454" s="18">
        <f t="shared" si="36"/>
        <v>15.263445761166819</v>
      </c>
      <c r="O454" s="18">
        <f t="shared" si="37"/>
        <v>40.057416267942585</v>
      </c>
      <c r="P454" s="17">
        <f t="shared" si="38"/>
        <v>1.8404044845020884</v>
      </c>
      <c r="Q454" s="17">
        <f t="shared" si="39"/>
        <v>0.6071428571428571</v>
      </c>
      <c r="R454" s="10" t="s">
        <v>940</v>
      </c>
      <c r="S454" s="14" t="s">
        <v>34</v>
      </c>
      <c r="T454" s="14" t="s">
        <v>55</v>
      </c>
      <c r="U454" s="13">
        <v>16744</v>
      </c>
      <c r="V454" s="15">
        <v>1</v>
      </c>
      <c r="W454" s="9" t="str">
        <f>IF(Table1[[#This Row],[Satisfaction Rating]]&lt;2, "Low", IF(Table1[[#This Row],[Satisfaction Rating]]&lt;4, "Medium", "High"))</f>
        <v>Low</v>
      </c>
    </row>
    <row r="455" spans="1:23" ht="14" x14ac:dyDescent="0.2">
      <c r="A455" s="10" t="s">
        <v>941</v>
      </c>
      <c r="B455" s="11">
        <v>45601.163124999999</v>
      </c>
      <c r="C455" s="11">
        <v>45601.163124999999</v>
      </c>
      <c r="D455" s="11" t="str">
        <f>IF(Table1[[#This Row],[Duration of Campaign]]=0, "Ongoing","Completed")</f>
        <v>Ongoing</v>
      </c>
      <c r="E455" s="12">
        <f>Table1[[#This Row],[End Date]]-Table1[[#This Row],[Start Date]]</f>
        <v>0</v>
      </c>
      <c r="F455" s="13">
        <v>5380</v>
      </c>
      <c r="G455" s="14" t="s">
        <v>29</v>
      </c>
      <c r="H455" s="15">
        <v>19743</v>
      </c>
      <c r="I455" s="15">
        <v>1807</v>
      </c>
      <c r="J455" s="15">
        <v>108</v>
      </c>
      <c r="K455" s="16">
        <v>7842</v>
      </c>
      <c r="L455" s="17">
        <f t="shared" si="35"/>
        <v>9.1526110520184376E-2</v>
      </c>
      <c r="M455" s="17">
        <f t="shared" si="35"/>
        <v>5.9767570558937465E-2</v>
      </c>
      <c r="N455" s="18">
        <f t="shared" si="36"/>
        <v>0.98505810736026567</v>
      </c>
      <c r="O455" s="18">
        <f t="shared" si="37"/>
        <v>16.481481481481481</v>
      </c>
      <c r="P455" s="17">
        <f t="shared" si="38"/>
        <v>0.33085501858736061</v>
      </c>
      <c r="Q455" s="17">
        <f t="shared" si="39"/>
        <v>4.4056179775280899</v>
      </c>
      <c r="R455" s="10" t="s">
        <v>942</v>
      </c>
      <c r="S455" s="14" t="s">
        <v>45</v>
      </c>
      <c r="T455" s="14" t="s">
        <v>37</v>
      </c>
      <c r="U455" s="13">
        <v>1780</v>
      </c>
      <c r="V455" s="15">
        <v>4</v>
      </c>
      <c r="W455" s="9" t="str">
        <f>IF(Table1[[#This Row],[Satisfaction Rating]]&lt;2, "Low", IF(Table1[[#This Row],[Satisfaction Rating]]&lt;4, "Medium", "High"))</f>
        <v>High</v>
      </c>
    </row>
    <row r="456" spans="1:23" ht="14" x14ac:dyDescent="0.2">
      <c r="A456" s="10" t="s">
        <v>943</v>
      </c>
      <c r="B456" s="11">
        <v>45149.684317129628</v>
      </c>
      <c r="C456" s="11">
        <v>45149.684317129628</v>
      </c>
      <c r="D456" s="11" t="str">
        <f>IF(Table1[[#This Row],[Duration of Campaign]]=0, "Ongoing","Completed")</f>
        <v>Ongoing</v>
      </c>
      <c r="E456" s="12">
        <f>Table1[[#This Row],[End Date]]-Table1[[#This Row],[Start Date]]</f>
        <v>0</v>
      </c>
      <c r="F456" s="13">
        <v>4545</v>
      </c>
      <c r="G456" s="14" t="s">
        <v>24</v>
      </c>
      <c r="H456" s="15">
        <v>5818</v>
      </c>
      <c r="I456" s="15">
        <v>1390</v>
      </c>
      <c r="J456" s="15">
        <v>227</v>
      </c>
      <c r="K456" s="16">
        <v>11523</v>
      </c>
      <c r="L456" s="17">
        <f t="shared" si="35"/>
        <v>0.23891371605362668</v>
      </c>
      <c r="M456" s="17">
        <f t="shared" si="35"/>
        <v>0.16330935251798562</v>
      </c>
      <c r="N456" s="18">
        <f t="shared" si="36"/>
        <v>12.496402877697841</v>
      </c>
      <c r="O456" s="18">
        <f t="shared" si="37"/>
        <v>76.519823788546262</v>
      </c>
      <c r="P456" s="17">
        <f t="shared" si="38"/>
        <v>3.8217821782178216</v>
      </c>
      <c r="Q456" s="17">
        <f t="shared" si="39"/>
        <v>0.66338514680483596</v>
      </c>
      <c r="R456" s="10" t="s">
        <v>944</v>
      </c>
      <c r="S456" s="14" t="s">
        <v>45</v>
      </c>
      <c r="T456" s="14" t="s">
        <v>37</v>
      </c>
      <c r="U456" s="13">
        <v>17370</v>
      </c>
      <c r="V456" s="15">
        <v>5</v>
      </c>
      <c r="W456" s="9" t="str">
        <f>IF(Table1[[#This Row],[Satisfaction Rating]]&lt;2, "Low", IF(Table1[[#This Row],[Satisfaction Rating]]&lt;4, "Medium", "High"))</f>
        <v>High</v>
      </c>
    </row>
    <row r="457" spans="1:23" ht="14" x14ac:dyDescent="0.2">
      <c r="A457" s="10" t="s">
        <v>945</v>
      </c>
      <c r="B457" s="11">
        <v>45023.178379629629</v>
      </c>
      <c r="C457" s="11">
        <v>45431.013437499998</v>
      </c>
      <c r="D457" s="11" t="str">
        <f>IF(Table1[[#This Row],[Duration of Campaign]]=0, "Ongoing","Completed")</f>
        <v>Completed</v>
      </c>
      <c r="E457" s="12">
        <f>Table1[[#This Row],[End Date]]-Table1[[#This Row],[Start Date]]</f>
        <v>407.83505787036847</v>
      </c>
      <c r="F457" s="13">
        <v>5719</v>
      </c>
      <c r="G457" s="14" t="s">
        <v>63</v>
      </c>
      <c r="H457" s="15">
        <v>1528</v>
      </c>
      <c r="I457" s="15">
        <v>1896</v>
      </c>
      <c r="J457" s="15">
        <v>281</v>
      </c>
      <c r="K457" s="16">
        <v>3912</v>
      </c>
      <c r="L457" s="17">
        <f t="shared" si="35"/>
        <v>1.2408376963350785</v>
      </c>
      <c r="M457" s="17">
        <f t="shared" si="35"/>
        <v>0.14820675105485231</v>
      </c>
      <c r="N457" s="18">
        <f t="shared" si="36"/>
        <v>7.0421940928270041</v>
      </c>
      <c r="O457" s="18">
        <f t="shared" si="37"/>
        <v>47.516014234875442</v>
      </c>
      <c r="P457" s="17">
        <f t="shared" si="38"/>
        <v>2.3346738940374192</v>
      </c>
      <c r="Q457" s="17">
        <f t="shared" si="39"/>
        <v>0.29298981426003595</v>
      </c>
      <c r="R457" s="10" t="s">
        <v>946</v>
      </c>
      <c r="S457" s="14" t="s">
        <v>26</v>
      </c>
      <c r="T457" s="14" t="s">
        <v>55</v>
      </c>
      <c r="U457" s="13">
        <v>13352</v>
      </c>
      <c r="V457" s="15">
        <v>4</v>
      </c>
      <c r="W457" s="9" t="str">
        <f>IF(Table1[[#This Row],[Satisfaction Rating]]&lt;2, "Low", IF(Table1[[#This Row],[Satisfaction Rating]]&lt;4, "Medium", "High"))</f>
        <v>High</v>
      </c>
    </row>
    <row r="458" spans="1:23" ht="14" x14ac:dyDescent="0.2">
      <c r="A458" s="10" t="s">
        <v>947</v>
      </c>
      <c r="B458" s="11">
        <v>45348.452511574076</v>
      </c>
      <c r="C458" s="11">
        <v>45419.053587962961</v>
      </c>
      <c r="D458" s="11" t="str">
        <f>IF(Table1[[#This Row],[Duration of Campaign]]=0, "Ongoing","Completed")</f>
        <v>Completed</v>
      </c>
      <c r="E458" s="12">
        <f>Table1[[#This Row],[End Date]]-Table1[[#This Row],[Start Date]]</f>
        <v>70.601076388884394</v>
      </c>
      <c r="F458" s="13">
        <v>5000</v>
      </c>
      <c r="G458" s="14" t="s">
        <v>63</v>
      </c>
      <c r="H458" s="15">
        <v>16684</v>
      </c>
      <c r="I458" s="15">
        <v>1395</v>
      </c>
      <c r="J458" s="15">
        <v>414</v>
      </c>
      <c r="K458" s="16">
        <v>9107</v>
      </c>
      <c r="L458" s="17">
        <f t="shared" si="35"/>
        <v>8.3613042435866702E-2</v>
      </c>
      <c r="M458" s="17">
        <f t="shared" si="35"/>
        <v>0.29677419354838708</v>
      </c>
      <c r="N458" s="18">
        <f t="shared" si="36"/>
        <v>7.268817204301075</v>
      </c>
      <c r="O458" s="18">
        <f t="shared" si="37"/>
        <v>24.492753623188406</v>
      </c>
      <c r="P458" s="17">
        <f t="shared" si="38"/>
        <v>2.028</v>
      </c>
      <c r="Q458" s="17">
        <f t="shared" si="39"/>
        <v>0.8981262327416174</v>
      </c>
      <c r="R458" s="10" t="s">
        <v>948</v>
      </c>
      <c r="S458" s="14" t="s">
        <v>34</v>
      </c>
      <c r="T458" s="14" t="s">
        <v>37</v>
      </c>
      <c r="U458" s="13">
        <v>10140</v>
      </c>
      <c r="V458" s="15">
        <v>3</v>
      </c>
      <c r="W458" s="9" t="str">
        <f>IF(Table1[[#This Row],[Satisfaction Rating]]&lt;2, "Low", IF(Table1[[#This Row],[Satisfaction Rating]]&lt;4, "Medium", "High"))</f>
        <v>Medium</v>
      </c>
    </row>
    <row r="459" spans="1:23" ht="14" x14ac:dyDescent="0.2">
      <c r="A459" s="10" t="s">
        <v>949</v>
      </c>
      <c r="B459" s="11">
        <v>45550.114062499997</v>
      </c>
      <c r="C459" s="11">
        <v>45550.114062499997</v>
      </c>
      <c r="D459" s="11" t="str">
        <f>IF(Table1[[#This Row],[Duration of Campaign]]=0, "Ongoing","Completed")</f>
        <v>Ongoing</v>
      </c>
      <c r="E459" s="12">
        <f>Table1[[#This Row],[End Date]]-Table1[[#This Row],[Start Date]]</f>
        <v>0</v>
      </c>
      <c r="F459" s="13">
        <v>5352</v>
      </c>
      <c r="G459" s="14" t="s">
        <v>63</v>
      </c>
      <c r="H459" s="15">
        <v>13353</v>
      </c>
      <c r="I459" s="15">
        <v>1427</v>
      </c>
      <c r="J459" s="15">
        <v>216</v>
      </c>
      <c r="K459" s="16">
        <v>13510</v>
      </c>
      <c r="L459" s="17">
        <f t="shared" si="35"/>
        <v>0.10686737062832323</v>
      </c>
      <c r="M459" s="17">
        <f t="shared" si="35"/>
        <v>0.15136650315346881</v>
      </c>
      <c r="N459" s="18">
        <f t="shared" si="36"/>
        <v>5.4519971969166079</v>
      </c>
      <c r="O459" s="18">
        <f t="shared" si="37"/>
        <v>36.018518518518519</v>
      </c>
      <c r="P459" s="17">
        <f t="shared" si="38"/>
        <v>1.4536621823617339</v>
      </c>
      <c r="Q459" s="17">
        <f t="shared" si="39"/>
        <v>1.736503856041131</v>
      </c>
      <c r="R459" s="10" t="s">
        <v>950</v>
      </c>
      <c r="S459" s="14" t="s">
        <v>45</v>
      </c>
      <c r="T459" s="14" t="s">
        <v>55</v>
      </c>
      <c r="U459" s="13">
        <v>7780</v>
      </c>
      <c r="V459" s="15">
        <v>5</v>
      </c>
      <c r="W459" s="9" t="str">
        <f>IF(Table1[[#This Row],[Satisfaction Rating]]&lt;2, "Low", IF(Table1[[#This Row],[Satisfaction Rating]]&lt;4, "Medium", "High"))</f>
        <v>High</v>
      </c>
    </row>
    <row r="460" spans="1:23" ht="14" x14ac:dyDescent="0.2">
      <c r="A460" s="10" t="s">
        <v>951</v>
      </c>
      <c r="B460" s="11">
        <v>45042.14025462963</v>
      </c>
      <c r="C460" s="11">
        <v>45042.14025462963</v>
      </c>
      <c r="D460" s="11" t="str">
        <f>IF(Table1[[#This Row],[Duration of Campaign]]=0, "Ongoing","Completed")</f>
        <v>Ongoing</v>
      </c>
      <c r="E460" s="12">
        <f>Table1[[#This Row],[End Date]]-Table1[[#This Row],[Start Date]]</f>
        <v>0</v>
      </c>
      <c r="F460" s="13">
        <v>1904</v>
      </c>
      <c r="G460" s="14" t="s">
        <v>47</v>
      </c>
      <c r="H460" s="15">
        <v>12681</v>
      </c>
      <c r="I460" s="15">
        <v>1433</v>
      </c>
      <c r="J460" s="15">
        <v>499</v>
      </c>
      <c r="K460" s="16">
        <v>11315</v>
      </c>
      <c r="L460" s="17">
        <f t="shared" si="35"/>
        <v>0.11300370633230818</v>
      </c>
      <c r="M460" s="17">
        <f t="shared" si="35"/>
        <v>0.34822051639916257</v>
      </c>
      <c r="N460" s="18">
        <f t="shared" si="36"/>
        <v>9.9441730635031398</v>
      </c>
      <c r="O460" s="18">
        <f t="shared" si="37"/>
        <v>28.557114228456914</v>
      </c>
      <c r="P460" s="17">
        <f t="shared" si="38"/>
        <v>7.4842436974789912</v>
      </c>
      <c r="Q460" s="17">
        <f t="shared" si="39"/>
        <v>0.7940350877192982</v>
      </c>
      <c r="R460" s="10" t="s">
        <v>952</v>
      </c>
      <c r="S460" s="14" t="s">
        <v>34</v>
      </c>
      <c r="T460" s="14" t="s">
        <v>27</v>
      </c>
      <c r="U460" s="13">
        <v>14250</v>
      </c>
      <c r="V460" s="15">
        <v>4</v>
      </c>
      <c r="W460" s="9" t="str">
        <f>IF(Table1[[#This Row],[Satisfaction Rating]]&lt;2, "Low", IF(Table1[[#This Row],[Satisfaction Rating]]&lt;4, "Medium", "High"))</f>
        <v>High</v>
      </c>
    </row>
    <row r="461" spans="1:23" ht="14" x14ac:dyDescent="0.2">
      <c r="A461" s="10" t="s">
        <v>953</v>
      </c>
      <c r="B461" s="11">
        <v>45462.740937499999</v>
      </c>
      <c r="C461" s="11">
        <v>45462.740937499999</v>
      </c>
      <c r="D461" s="11" t="str">
        <f>IF(Table1[[#This Row],[Duration of Campaign]]=0, "Ongoing","Completed")</f>
        <v>Ongoing</v>
      </c>
      <c r="E461" s="12">
        <f>Table1[[#This Row],[End Date]]-Table1[[#This Row],[Start Date]]</f>
        <v>0</v>
      </c>
      <c r="F461" s="13">
        <v>4754</v>
      </c>
      <c r="G461" s="14" t="s">
        <v>47</v>
      </c>
      <c r="H461" s="15">
        <v>13740</v>
      </c>
      <c r="I461" s="15">
        <v>1339</v>
      </c>
      <c r="J461" s="15">
        <v>102</v>
      </c>
      <c r="K461" s="16">
        <v>8743</v>
      </c>
      <c r="L461" s="17">
        <f t="shared" si="35"/>
        <v>9.7452692867540033E-2</v>
      </c>
      <c r="M461" s="17">
        <f t="shared" si="35"/>
        <v>7.6176250933532488E-2</v>
      </c>
      <c r="N461" s="18">
        <f t="shared" si="36"/>
        <v>6.5810306198655715</v>
      </c>
      <c r="O461" s="18">
        <f t="shared" si="37"/>
        <v>86.392156862745097</v>
      </c>
      <c r="P461" s="17">
        <f t="shared" si="38"/>
        <v>1.8535969709718132</v>
      </c>
      <c r="Q461" s="17">
        <f t="shared" si="39"/>
        <v>0.99216976849750338</v>
      </c>
      <c r="R461" s="10" t="s">
        <v>954</v>
      </c>
      <c r="S461" s="14" t="s">
        <v>31</v>
      </c>
      <c r="T461" s="14" t="s">
        <v>27</v>
      </c>
      <c r="U461" s="13">
        <v>8812</v>
      </c>
      <c r="V461" s="15">
        <v>4</v>
      </c>
      <c r="W461" s="9" t="str">
        <f>IF(Table1[[#This Row],[Satisfaction Rating]]&lt;2, "Low", IF(Table1[[#This Row],[Satisfaction Rating]]&lt;4, "Medium", "High"))</f>
        <v>High</v>
      </c>
    </row>
    <row r="462" spans="1:23" ht="14" x14ac:dyDescent="0.2">
      <c r="A462" s="10" t="s">
        <v>955</v>
      </c>
      <c r="B462" s="11">
        <v>45093.292245370372</v>
      </c>
      <c r="C462" s="11">
        <v>45510.062094907407</v>
      </c>
      <c r="D462" s="11" t="str">
        <f>IF(Table1[[#This Row],[Duration of Campaign]]=0, "Ongoing","Completed")</f>
        <v>Completed</v>
      </c>
      <c r="E462" s="12">
        <f>Table1[[#This Row],[End Date]]-Table1[[#This Row],[Start Date]]</f>
        <v>416.76984953703504</v>
      </c>
      <c r="F462" s="13">
        <v>7742</v>
      </c>
      <c r="G462" s="14" t="s">
        <v>47</v>
      </c>
      <c r="H462" s="15">
        <v>11872</v>
      </c>
      <c r="I462" s="15">
        <v>255</v>
      </c>
      <c r="J462" s="15">
        <v>169</v>
      </c>
      <c r="K462" s="16">
        <v>5483</v>
      </c>
      <c r="L462" s="17">
        <f t="shared" si="35"/>
        <v>2.147911051212938E-2</v>
      </c>
      <c r="M462" s="17">
        <f t="shared" si="35"/>
        <v>0.66274509803921566</v>
      </c>
      <c r="N462" s="18">
        <f t="shared" si="36"/>
        <v>59.505882352941178</v>
      </c>
      <c r="O462" s="18">
        <f t="shared" si="37"/>
        <v>89.786982248520715</v>
      </c>
      <c r="P462" s="17">
        <f t="shared" si="38"/>
        <v>1.9599586670111082</v>
      </c>
      <c r="Q462" s="17">
        <f t="shared" si="39"/>
        <v>0.3613417688150784</v>
      </c>
      <c r="R462" s="10" t="s">
        <v>956</v>
      </c>
      <c r="S462" s="14" t="s">
        <v>40</v>
      </c>
      <c r="T462" s="14" t="s">
        <v>27</v>
      </c>
      <c r="U462" s="13">
        <v>15174</v>
      </c>
      <c r="V462" s="15">
        <v>2</v>
      </c>
      <c r="W462" s="9" t="str">
        <f>IF(Table1[[#This Row],[Satisfaction Rating]]&lt;2, "Low", IF(Table1[[#This Row],[Satisfaction Rating]]&lt;4, "Medium", "High"))</f>
        <v>Medium</v>
      </c>
    </row>
    <row r="463" spans="1:23" ht="14" x14ac:dyDescent="0.2">
      <c r="A463" s="10" t="s">
        <v>957</v>
      </c>
      <c r="B463" s="11">
        <v>44959.374155092592</v>
      </c>
      <c r="C463" s="11">
        <v>45575.949930555558</v>
      </c>
      <c r="D463" s="11" t="str">
        <f>IF(Table1[[#This Row],[Duration of Campaign]]=0, "Ongoing","Completed")</f>
        <v>Completed</v>
      </c>
      <c r="E463" s="12">
        <f>Table1[[#This Row],[End Date]]-Table1[[#This Row],[Start Date]]</f>
        <v>616.5757754629667</v>
      </c>
      <c r="F463" s="13">
        <v>8604</v>
      </c>
      <c r="G463" s="14" t="s">
        <v>29</v>
      </c>
      <c r="H463" s="15">
        <v>4277</v>
      </c>
      <c r="I463" s="15">
        <v>1010</v>
      </c>
      <c r="J463" s="15">
        <v>381</v>
      </c>
      <c r="K463" s="16">
        <v>13221</v>
      </c>
      <c r="L463" s="17">
        <f t="shared" si="35"/>
        <v>0.23614683189151275</v>
      </c>
      <c r="M463" s="17">
        <f t="shared" si="35"/>
        <v>0.37722772277227723</v>
      </c>
      <c r="N463" s="18">
        <f t="shared" si="36"/>
        <v>16.136633663366336</v>
      </c>
      <c r="O463" s="18">
        <f t="shared" si="37"/>
        <v>42.776902887139109</v>
      </c>
      <c r="P463" s="17">
        <f t="shared" si="38"/>
        <v>1.894235239423524</v>
      </c>
      <c r="Q463" s="17">
        <f t="shared" si="39"/>
        <v>0.8112038286906369</v>
      </c>
      <c r="R463" s="10" t="s">
        <v>958</v>
      </c>
      <c r="S463" s="14" t="s">
        <v>34</v>
      </c>
      <c r="T463" s="14" t="s">
        <v>55</v>
      </c>
      <c r="U463" s="13">
        <v>16298</v>
      </c>
      <c r="V463" s="15">
        <v>1</v>
      </c>
      <c r="W463" s="9" t="str">
        <f>IF(Table1[[#This Row],[Satisfaction Rating]]&lt;2, "Low", IF(Table1[[#This Row],[Satisfaction Rating]]&lt;4, "Medium", "High"))</f>
        <v>Low</v>
      </c>
    </row>
    <row r="464" spans="1:23" ht="14" x14ac:dyDescent="0.2">
      <c r="A464" s="10" t="s">
        <v>959</v>
      </c>
      <c r="B464" s="11">
        <v>45334.716909722221</v>
      </c>
      <c r="C464" s="11">
        <v>45334.716909722221</v>
      </c>
      <c r="D464" s="11" t="str">
        <f>IF(Table1[[#This Row],[Duration of Campaign]]=0, "Ongoing","Completed")</f>
        <v>Ongoing</v>
      </c>
      <c r="E464" s="12">
        <f>Table1[[#This Row],[End Date]]-Table1[[#This Row],[Start Date]]</f>
        <v>0</v>
      </c>
      <c r="F464" s="13">
        <v>5104</v>
      </c>
      <c r="G464" s="14" t="s">
        <v>63</v>
      </c>
      <c r="H464" s="15">
        <v>12723</v>
      </c>
      <c r="I464" s="15">
        <v>167</v>
      </c>
      <c r="J464" s="15">
        <v>37</v>
      </c>
      <c r="K464" s="16">
        <v>7221</v>
      </c>
      <c r="L464" s="17">
        <f t="shared" si="35"/>
        <v>1.312583510178417E-2</v>
      </c>
      <c r="M464" s="17">
        <f t="shared" si="35"/>
        <v>0.22155688622754491</v>
      </c>
      <c r="N464" s="18">
        <f t="shared" si="36"/>
        <v>64.844311377245504</v>
      </c>
      <c r="O464" s="18">
        <f t="shared" si="37"/>
        <v>292.67567567567568</v>
      </c>
      <c r="P464" s="17">
        <f t="shared" si="38"/>
        <v>2.1216692789968654</v>
      </c>
      <c r="Q464" s="17">
        <f t="shared" si="39"/>
        <v>0.66682057438359954</v>
      </c>
      <c r="R464" s="10" t="s">
        <v>960</v>
      </c>
      <c r="S464" s="14" t="s">
        <v>34</v>
      </c>
      <c r="T464" s="14" t="s">
        <v>55</v>
      </c>
      <c r="U464" s="13">
        <v>10829</v>
      </c>
      <c r="V464" s="15">
        <v>5</v>
      </c>
      <c r="W464" s="9" t="str">
        <f>IF(Table1[[#This Row],[Satisfaction Rating]]&lt;2, "Low", IF(Table1[[#This Row],[Satisfaction Rating]]&lt;4, "Medium", "High"))</f>
        <v>High</v>
      </c>
    </row>
    <row r="465" spans="1:23" ht="14" x14ac:dyDescent="0.2">
      <c r="A465" s="10" t="s">
        <v>961</v>
      </c>
      <c r="B465" s="11">
        <v>45531.93378472222</v>
      </c>
      <c r="C465" s="11">
        <v>45531.93378472222</v>
      </c>
      <c r="D465" s="11" t="str">
        <f>IF(Table1[[#This Row],[Duration of Campaign]]=0, "Ongoing","Completed")</f>
        <v>Ongoing</v>
      </c>
      <c r="E465" s="12">
        <f>Table1[[#This Row],[End Date]]-Table1[[#This Row],[Start Date]]</f>
        <v>0</v>
      </c>
      <c r="F465" s="13">
        <v>4883</v>
      </c>
      <c r="G465" s="14" t="s">
        <v>24</v>
      </c>
      <c r="H465" s="15">
        <v>6129</v>
      </c>
      <c r="I465" s="15">
        <v>848</v>
      </c>
      <c r="J465" s="15">
        <v>298</v>
      </c>
      <c r="K465" s="16">
        <v>4256</v>
      </c>
      <c r="L465" s="17">
        <f t="shared" si="35"/>
        <v>0.13835862294012075</v>
      </c>
      <c r="M465" s="17">
        <f t="shared" si="35"/>
        <v>0.35141509433962265</v>
      </c>
      <c r="N465" s="18">
        <f t="shared" si="36"/>
        <v>8.8761792452830193</v>
      </c>
      <c r="O465" s="18">
        <f t="shared" si="37"/>
        <v>25.258389261744966</v>
      </c>
      <c r="P465" s="17">
        <f t="shared" si="38"/>
        <v>1.5414704075363506</v>
      </c>
      <c r="Q465" s="17">
        <f t="shared" si="39"/>
        <v>0.5654311146539126</v>
      </c>
      <c r="R465" s="10" t="s">
        <v>962</v>
      </c>
      <c r="S465" s="14" t="s">
        <v>26</v>
      </c>
      <c r="T465" s="14" t="s">
        <v>37</v>
      </c>
      <c r="U465" s="13">
        <v>7527</v>
      </c>
      <c r="V465" s="15">
        <v>5</v>
      </c>
      <c r="W465" s="9" t="str">
        <f>IF(Table1[[#This Row],[Satisfaction Rating]]&lt;2, "Low", IF(Table1[[#This Row],[Satisfaction Rating]]&lt;4, "Medium", "High"))</f>
        <v>High</v>
      </c>
    </row>
    <row r="466" spans="1:23" ht="14" x14ac:dyDescent="0.2">
      <c r="A466" s="10" t="s">
        <v>963</v>
      </c>
      <c r="B466" s="11">
        <v>45307.13653935185</v>
      </c>
      <c r="C466" s="11">
        <v>45307.13653935185</v>
      </c>
      <c r="D466" s="11" t="str">
        <f>IF(Table1[[#This Row],[Duration of Campaign]]=0, "Ongoing","Completed")</f>
        <v>Ongoing</v>
      </c>
      <c r="E466" s="12">
        <f>Table1[[#This Row],[End Date]]-Table1[[#This Row],[Start Date]]</f>
        <v>0</v>
      </c>
      <c r="F466" s="13">
        <v>6978</v>
      </c>
      <c r="G466" s="14" t="s">
        <v>29</v>
      </c>
      <c r="H466" s="15">
        <v>12166</v>
      </c>
      <c r="I466" s="15">
        <v>1030</v>
      </c>
      <c r="J466" s="15">
        <v>470</v>
      </c>
      <c r="K466" s="16">
        <v>11755</v>
      </c>
      <c r="L466" s="17">
        <f t="shared" si="35"/>
        <v>8.4662173269768201E-2</v>
      </c>
      <c r="M466" s="17">
        <f t="shared" si="35"/>
        <v>0.4563106796116505</v>
      </c>
      <c r="N466" s="18">
        <f t="shared" si="36"/>
        <v>2.4747572815533982</v>
      </c>
      <c r="O466" s="18">
        <f t="shared" si="37"/>
        <v>5.4234042553191486</v>
      </c>
      <c r="P466" s="17">
        <f t="shared" si="38"/>
        <v>0.36529091430209232</v>
      </c>
      <c r="Q466" s="17">
        <f t="shared" si="39"/>
        <v>4.6116123970184386</v>
      </c>
      <c r="R466" s="10" t="s">
        <v>964</v>
      </c>
      <c r="S466" s="14" t="s">
        <v>34</v>
      </c>
      <c r="T466" s="14" t="s">
        <v>55</v>
      </c>
      <c r="U466" s="13">
        <v>2549</v>
      </c>
      <c r="V466" s="15">
        <v>3</v>
      </c>
      <c r="W466" s="9" t="str">
        <f>IF(Table1[[#This Row],[Satisfaction Rating]]&lt;2, "Low", IF(Table1[[#This Row],[Satisfaction Rating]]&lt;4, "Medium", "High"))</f>
        <v>Medium</v>
      </c>
    </row>
    <row r="467" spans="1:23" ht="14" x14ac:dyDescent="0.2">
      <c r="A467" s="10" t="s">
        <v>965</v>
      </c>
      <c r="B467" s="11">
        <v>45023.977696759262</v>
      </c>
      <c r="C467" s="11">
        <v>45427.47084490741</v>
      </c>
      <c r="D467" s="11" t="str">
        <f>IF(Table1[[#This Row],[Duration of Campaign]]=0, "Ongoing","Completed")</f>
        <v>Completed</v>
      </c>
      <c r="E467" s="12">
        <f>Table1[[#This Row],[End Date]]-Table1[[#This Row],[Start Date]]</f>
        <v>403.49314814814716</v>
      </c>
      <c r="F467" s="13">
        <v>6151</v>
      </c>
      <c r="G467" s="14" t="s">
        <v>29</v>
      </c>
      <c r="H467" s="15">
        <v>16649</v>
      </c>
      <c r="I467" s="15">
        <v>1376</v>
      </c>
      <c r="J467" s="15">
        <v>482</v>
      </c>
      <c r="K467" s="16">
        <v>10396</v>
      </c>
      <c r="L467" s="17">
        <f t="shared" si="35"/>
        <v>8.2647606462850617E-2</v>
      </c>
      <c r="M467" s="17">
        <f t="shared" si="35"/>
        <v>0.35029069767441862</v>
      </c>
      <c r="N467" s="18">
        <f t="shared" si="36"/>
        <v>1.9861918604651163</v>
      </c>
      <c r="O467" s="18">
        <f t="shared" si="37"/>
        <v>5.6701244813278011</v>
      </c>
      <c r="P467" s="17">
        <f t="shared" si="38"/>
        <v>0.44431799707364655</v>
      </c>
      <c r="Q467" s="17">
        <f t="shared" si="39"/>
        <v>3.8038785217709479</v>
      </c>
      <c r="R467" s="10" t="s">
        <v>966</v>
      </c>
      <c r="S467" s="14" t="s">
        <v>34</v>
      </c>
      <c r="T467" s="14" t="s">
        <v>27</v>
      </c>
      <c r="U467" s="13">
        <v>2733</v>
      </c>
      <c r="V467" s="15">
        <v>2</v>
      </c>
      <c r="W467" s="9" t="str">
        <f>IF(Table1[[#This Row],[Satisfaction Rating]]&lt;2, "Low", IF(Table1[[#This Row],[Satisfaction Rating]]&lt;4, "Medium", "High"))</f>
        <v>Medium</v>
      </c>
    </row>
    <row r="468" spans="1:23" ht="14" x14ac:dyDescent="0.2">
      <c r="A468" s="10" t="s">
        <v>967</v>
      </c>
      <c r="B468" s="11">
        <v>45634.451249999998</v>
      </c>
      <c r="C468" s="11">
        <v>45634.451249999998</v>
      </c>
      <c r="D468" s="11" t="str">
        <f>IF(Table1[[#This Row],[Duration of Campaign]]=0, "Ongoing","Completed")</f>
        <v>Ongoing</v>
      </c>
      <c r="E468" s="12">
        <f>Table1[[#This Row],[End Date]]-Table1[[#This Row],[Start Date]]</f>
        <v>0</v>
      </c>
      <c r="F468" s="13">
        <v>8372</v>
      </c>
      <c r="G468" s="14" t="s">
        <v>47</v>
      </c>
      <c r="H468" s="15">
        <v>17962</v>
      </c>
      <c r="I468" s="15">
        <v>750</v>
      </c>
      <c r="J468" s="15">
        <v>38</v>
      </c>
      <c r="K468" s="16">
        <v>4106</v>
      </c>
      <c r="L468" s="17">
        <f t="shared" si="35"/>
        <v>4.1754815722079945E-2</v>
      </c>
      <c r="M468" s="17">
        <f t="shared" si="35"/>
        <v>5.0666666666666665E-2</v>
      </c>
      <c r="N468" s="18">
        <f t="shared" si="36"/>
        <v>20.588000000000001</v>
      </c>
      <c r="O468" s="18">
        <f t="shared" si="37"/>
        <v>406.34210526315792</v>
      </c>
      <c r="P468" s="17">
        <f t="shared" si="38"/>
        <v>1.844362159579551</v>
      </c>
      <c r="Q468" s="17">
        <f t="shared" si="39"/>
        <v>0.26591541998575224</v>
      </c>
      <c r="R468" s="10" t="s">
        <v>968</v>
      </c>
      <c r="S468" s="14" t="s">
        <v>26</v>
      </c>
      <c r="T468" s="14" t="s">
        <v>37</v>
      </c>
      <c r="U468" s="13">
        <v>15441</v>
      </c>
      <c r="V468" s="15">
        <v>5</v>
      </c>
      <c r="W468" s="9" t="str">
        <f>IF(Table1[[#This Row],[Satisfaction Rating]]&lt;2, "Low", IF(Table1[[#This Row],[Satisfaction Rating]]&lt;4, "Medium", "High"))</f>
        <v>High</v>
      </c>
    </row>
    <row r="469" spans="1:23" ht="14" x14ac:dyDescent="0.2">
      <c r="A469" s="10" t="s">
        <v>969</v>
      </c>
      <c r="B469" s="11">
        <v>45487.832152777781</v>
      </c>
      <c r="C469" s="11">
        <v>45487.832152777781</v>
      </c>
      <c r="D469" s="11" t="str">
        <f>IF(Table1[[#This Row],[Duration of Campaign]]=0, "Ongoing","Completed")</f>
        <v>Ongoing</v>
      </c>
      <c r="E469" s="12">
        <f>Table1[[#This Row],[End Date]]-Table1[[#This Row],[Start Date]]</f>
        <v>0</v>
      </c>
      <c r="F469" s="13">
        <v>6912</v>
      </c>
      <c r="G469" s="14" t="s">
        <v>47</v>
      </c>
      <c r="H469" s="15">
        <v>6878</v>
      </c>
      <c r="I469" s="15">
        <v>1814</v>
      </c>
      <c r="J469" s="15">
        <v>240</v>
      </c>
      <c r="K469" s="16">
        <v>9531</v>
      </c>
      <c r="L469" s="17">
        <f t="shared" si="35"/>
        <v>0.26373945914510033</v>
      </c>
      <c r="M469" s="17">
        <f t="shared" si="35"/>
        <v>0.13230429988974643</v>
      </c>
      <c r="N469" s="18">
        <f t="shared" si="36"/>
        <v>3.4079382579933846</v>
      </c>
      <c r="O469" s="18">
        <f t="shared" si="37"/>
        <v>25.758333333333333</v>
      </c>
      <c r="P469" s="17">
        <f t="shared" si="38"/>
        <v>0.89438657407407407</v>
      </c>
      <c r="Q469" s="17">
        <f t="shared" si="39"/>
        <v>1.5417340666450987</v>
      </c>
      <c r="R469" s="10" t="s">
        <v>970</v>
      </c>
      <c r="S469" s="14" t="s">
        <v>40</v>
      </c>
      <c r="T469" s="14" t="s">
        <v>55</v>
      </c>
      <c r="U469" s="13">
        <v>6182</v>
      </c>
      <c r="V469" s="15">
        <v>2</v>
      </c>
      <c r="W469" s="9" t="str">
        <f>IF(Table1[[#This Row],[Satisfaction Rating]]&lt;2, "Low", IF(Table1[[#This Row],[Satisfaction Rating]]&lt;4, "Medium", "High"))</f>
        <v>Medium</v>
      </c>
    </row>
    <row r="470" spans="1:23" ht="14" x14ac:dyDescent="0.2">
      <c r="A470" s="10" t="s">
        <v>971</v>
      </c>
      <c r="B470" s="11">
        <v>45465.576828703706</v>
      </c>
      <c r="C470" s="11">
        <v>45465.576828703706</v>
      </c>
      <c r="D470" s="11" t="str">
        <f>IF(Table1[[#This Row],[Duration of Campaign]]=0, "Ongoing","Completed")</f>
        <v>Ongoing</v>
      </c>
      <c r="E470" s="12">
        <f>Table1[[#This Row],[End Date]]-Table1[[#This Row],[Start Date]]</f>
        <v>0</v>
      </c>
      <c r="F470" s="13">
        <v>3578</v>
      </c>
      <c r="G470" s="14" t="s">
        <v>29</v>
      </c>
      <c r="H470" s="15">
        <v>7549</v>
      </c>
      <c r="I470" s="15">
        <v>819</v>
      </c>
      <c r="J470" s="15">
        <v>67</v>
      </c>
      <c r="K470" s="16">
        <v>11008</v>
      </c>
      <c r="L470" s="17">
        <f t="shared" si="35"/>
        <v>0.10849119088621009</v>
      </c>
      <c r="M470" s="17">
        <f t="shared" si="35"/>
        <v>8.1807081807081808E-2</v>
      </c>
      <c r="N470" s="18">
        <f t="shared" si="36"/>
        <v>2.9133089133089132</v>
      </c>
      <c r="O470" s="18">
        <f t="shared" si="37"/>
        <v>35.611940298507463</v>
      </c>
      <c r="P470" s="17">
        <f t="shared" si="38"/>
        <v>0.66685299049748459</v>
      </c>
      <c r="Q470" s="17">
        <f t="shared" si="39"/>
        <v>4.6135792120704107</v>
      </c>
      <c r="R470" s="10" t="s">
        <v>972</v>
      </c>
      <c r="S470" s="14" t="s">
        <v>26</v>
      </c>
      <c r="T470" s="14" t="s">
        <v>27</v>
      </c>
      <c r="U470" s="13">
        <v>2386</v>
      </c>
      <c r="V470" s="15">
        <v>3</v>
      </c>
      <c r="W470" s="9" t="str">
        <f>IF(Table1[[#This Row],[Satisfaction Rating]]&lt;2, "Low", IF(Table1[[#This Row],[Satisfaction Rating]]&lt;4, "Medium", "High"))</f>
        <v>Medium</v>
      </c>
    </row>
    <row r="471" spans="1:23" ht="14" x14ac:dyDescent="0.2">
      <c r="A471" s="10" t="s">
        <v>973</v>
      </c>
      <c r="B471" s="11">
        <v>45365.749907407408</v>
      </c>
      <c r="C471" s="11">
        <v>45538.780671296299</v>
      </c>
      <c r="D471" s="11" t="str">
        <f>IF(Table1[[#This Row],[Duration of Campaign]]=0, "Ongoing","Completed")</f>
        <v>Completed</v>
      </c>
      <c r="E471" s="12">
        <f>Table1[[#This Row],[End Date]]-Table1[[#This Row],[Start Date]]</f>
        <v>173.03076388889167</v>
      </c>
      <c r="F471" s="13">
        <v>5057</v>
      </c>
      <c r="G471" s="14" t="s">
        <v>47</v>
      </c>
      <c r="H471" s="15">
        <v>4503</v>
      </c>
      <c r="I471" s="15">
        <v>1827</v>
      </c>
      <c r="J471" s="15">
        <v>369</v>
      </c>
      <c r="K471" s="16">
        <v>14118</v>
      </c>
      <c r="L471" s="17">
        <f t="shared" si="35"/>
        <v>0.4057295136575616</v>
      </c>
      <c r="M471" s="17">
        <f t="shared" si="35"/>
        <v>0.2019704433497537</v>
      </c>
      <c r="N471" s="18">
        <f t="shared" si="36"/>
        <v>6.1702244116037219</v>
      </c>
      <c r="O471" s="18">
        <f t="shared" si="37"/>
        <v>30.550135501355015</v>
      </c>
      <c r="P471" s="17">
        <f t="shared" si="38"/>
        <v>2.2291872651769822</v>
      </c>
      <c r="Q471" s="17">
        <f t="shared" si="39"/>
        <v>1.2523729264614565</v>
      </c>
      <c r="R471" s="10" t="s">
        <v>974</v>
      </c>
      <c r="S471" s="14" t="s">
        <v>34</v>
      </c>
      <c r="T471" s="14" t="s">
        <v>55</v>
      </c>
      <c r="U471" s="13">
        <v>11273</v>
      </c>
      <c r="V471" s="15">
        <v>4</v>
      </c>
      <c r="W471" s="9" t="str">
        <f>IF(Table1[[#This Row],[Satisfaction Rating]]&lt;2, "Low", IF(Table1[[#This Row],[Satisfaction Rating]]&lt;4, "Medium", "High"))</f>
        <v>High</v>
      </c>
    </row>
    <row r="472" spans="1:23" ht="14" x14ac:dyDescent="0.2">
      <c r="A472" s="10" t="s">
        <v>975</v>
      </c>
      <c r="B472" s="11">
        <v>45028.079583333332</v>
      </c>
      <c r="C472" s="11">
        <v>45490.493217592593</v>
      </c>
      <c r="D472" s="11" t="str">
        <f>IF(Table1[[#This Row],[Duration of Campaign]]=0, "Ongoing","Completed")</f>
        <v>Completed</v>
      </c>
      <c r="E472" s="12">
        <f>Table1[[#This Row],[End Date]]-Table1[[#This Row],[Start Date]]</f>
        <v>462.41363425926102</v>
      </c>
      <c r="F472" s="13">
        <v>1289</v>
      </c>
      <c r="G472" s="14" t="s">
        <v>63</v>
      </c>
      <c r="H472" s="15">
        <v>12269</v>
      </c>
      <c r="I472" s="15">
        <v>1648</v>
      </c>
      <c r="J472" s="15">
        <v>254</v>
      </c>
      <c r="K472" s="16">
        <v>13598</v>
      </c>
      <c r="L472" s="17">
        <f t="shared" si="35"/>
        <v>0.13432227565408753</v>
      </c>
      <c r="M472" s="17">
        <f t="shared" si="35"/>
        <v>0.154126213592233</v>
      </c>
      <c r="N472" s="18">
        <f t="shared" si="36"/>
        <v>1.004247572815534</v>
      </c>
      <c r="O472" s="18">
        <f t="shared" si="37"/>
        <v>6.515748031496063</v>
      </c>
      <c r="P472" s="17">
        <f t="shared" si="38"/>
        <v>1.2839410395655546</v>
      </c>
      <c r="Q472" s="17">
        <f t="shared" si="39"/>
        <v>8.2163141993957698</v>
      </c>
      <c r="R472" s="10" t="s">
        <v>976</v>
      </c>
      <c r="S472" s="14" t="s">
        <v>26</v>
      </c>
      <c r="T472" s="14" t="s">
        <v>37</v>
      </c>
      <c r="U472" s="13">
        <v>1655</v>
      </c>
      <c r="V472" s="15">
        <v>5</v>
      </c>
      <c r="W472" s="9" t="str">
        <f>IF(Table1[[#This Row],[Satisfaction Rating]]&lt;2, "Low", IF(Table1[[#This Row],[Satisfaction Rating]]&lt;4, "Medium", "High"))</f>
        <v>High</v>
      </c>
    </row>
    <row r="473" spans="1:23" ht="14" x14ac:dyDescent="0.2">
      <c r="A473" s="10" t="s">
        <v>977</v>
      </c>
      <c r="B473" s="11">
        <v>45573.310266203705</v>
      </c>
      <c r="C473" s="11">
        <v>45573.310266203705</v>
      </c>
      <c r="D473" s="11" t="str">
        <f>IF(Table1[[#This Row],[Duration of Campaign]]=0, "Ongoing","Completed")</f>
        <v>Ongoing</v>
      </c>
      <c r="E473" s="12">
        <f>Table1[[#This Row],[End Date]]-Table1[[#This Row],[Start Date]]</f>
        <v>0</v>
      </c>
      <c r="F473" s="13">
        <v>6846</v>
      </c>
      <c r="G473" s="14" t="s">
        <v>63</v>
      </c>
      <c r="H473" s="15">
        <v>9128</v>
      </c>
      <c r="I473" s="15">
        <v>617</v>
      </c>
      <c r="J473" s="15">
        <v>318</v>
      </c>
      <c r="K473" s="16">
        <v>7949</v>
      </c>
      <c r="L473" s="17">
        <f t="shared" si="35"/>
        <v>6.7594215600350574E-2</v>
      </c>
      <c r="M473" s="17">
        <f t="shared" si="35"/>
        <v>0.51539708265802264</v>
      </c>
      <c r="N473" s="18">
        <f t="shared" si="36"/>
        <v>4.3095623987034033</v>
      </c>
      <c r="O473" s="18">
        <f t="shared" si="37"/>
        <v>8.3616352201257858</v>
      </c>
      <c r="P473" s="17">
        <f t="shared" si="38"/>
        <v>0.38840198656149577</v>
      </c>
      <c r="Q473" s="17">
        <f t="shared" si="39"/>
        <v>2.9894697254606997</v>
      </c>
      <c r="R473" s="10" t="s">
        <v>978</v>
      </c>
      <c r="S473" s="14" t="s">
        <v>40</v>
      </c>
      <c r="T473" s="14" t="s">
        <v>55</v>
      </c>
      <c r="U473" s="13">
        <v>2659</v>
      </c>
      <c r="V473" s="15">
        <v>1</v>
      </c>
      <c r="W473" s="9" t="str">
        <f>IF(Table1[[#This Row],[Satisfaction Rating]]&lt;2, "Low", IF(Table1[[#This Row],[Satisfaction Rating]]&lt;4, "Medium", "High"))</f>
        <v>Low</v>
      </c>
    </row>
    <row r="474" spans="1:23" ht="14" x14ac:dyDescent="0.2">
      <c r="A474" s="10" t="s">
        <v>979</v>
      </c>
      <c r="B474" s="11">
        <v>45091.985601851855</v>
      </c>
      <c r="C474" s="11">
        <v>45220.191458333335</v>
      </c>
      <c r="D474" s="11" t="str">
        <f>IF(Table1[[#This Row],[Duration of Campaign]]=0, "Ongoing","Completed")</f>
        <v>Completed</v>
      </c>
      <c r="E474" s="12">
        <f>Table1[[#This Row],[End Date]]-Table1[[#This Row],[Start Date]]</f>
        <v>128.20585648147971</v>
      </c>
      <c r="F474" s="13">
        <v>7737</v>
      </c>
      <c r="G474" s="14" t="s">
        <v>24</v>
      </c>
      <c r="H474" s="15">
        <v>14512</v>
      </c>
      <c r="I474" s="15">
        <v>1572</v>
      </c>
      <c r="J474" s="15">
        <v>40</v>
      </c>
      <c r="K474" s="16">
        <v>10190</v>
      </c>
      <c r="L474" s="17">
        <f t="shared" si="35"/>
        <v>0.10832414553472988</v>
      </c>
      <c r="M474" s="17">
        <f t="shared" si="35"/>
        <v>2.5445292620865138E-2</v>
      </c>
      <c r="N474" s="18">
        <f t="shared" si="36"/>
        <v>5.9669211195928753</v>
      </c>
      <c r="O474" s="18">
        <f t="shared" si="37"/>
        <v>234.5</v>
      </c>
      <c r="P474" s="17">
        <f t="shared" si="38"/>
        <v>1.2123562104174745</v>
      </c>
      <c r="Q474" s="17">
        <f t="shared" si="39"/>
        <v>1.0863539445628998</v>
      </c>
      <c r="R474" s="10" t="s">
        <v>980</v>
      </c>
      <c r="S474" s="14" t="s">
        <v>26</v>
      </c>
      <c r="T474" s="14" t="s">
        <v>27</v>
      </c>
      <c r="U474" s="13">
        <v>9380</v>
      </c>
      <c r="V474" s="15">
        <v>1</v>
      </c>
      <c r="W474" s="9" t="str">
        <f>IF(Table1[[#This Row],[Satisfaction Rating]]&lt;2, "Low", IF(Table1[[#This Row],[Satisfaction Rating]]&lt;4, "Medium", "High"))</f>
        <v>Low</v>
      </c>
    </row>
    <row r="475" spans="1:23" ht="14" x14ac:dyDescent="0.2">
      <c r="A475" s="10" t="s">
        <v>981</v>
      </c>
      <c r="B475" s="11">
        <v>45216.071863425925</v>
      </c>
      <c r="C475" s="11">
        <v>45322.947187500002</v>
      </c>
      <c r="D475" s="11" t="str">
        <f>IF(Table1[[#This Row],[Duration of Campaign]]=0, "Ongoing","Completed")</f>
        <v>Completed</v>
      </c>
      <c r="E475" s="12">
        <f>Table1[[#This Row],[End Date]]-Table1[[#This Row],[Start Date]]</f>
        <v>106.87532407407707</v>
      </c>
      <c r="F475" s="13">
        <v>1805</v>
      </c>
      <c r="G475" s="14" t="s">
        <v>47</v>
      </c>
      <c r="H475" s="15">
        <v>18683</v>
      </c>
      <c r="I475" s="15">
        <v>220</v>
      </c>
      <c r="J475" s="15">
        <v>51</v>
      </c>
      <c r="K475" s="16">
        <v>12151</v>
      </c>
      <c r="L475" s="17">
        <f t="shared" si="35"/>
        <v>1.1775410801263181E-2</v>
      </c>
      <c r="M475" s="17">
        <f t="shared" si="35"/>
        <v>0.23181818181818181</v>
      </c>
      <c r="N475" s="18">
        <f t="shared" si="36"/>
        <v>78.627272727272725</v>
      </c>
      <c r="O475" s="18">
        <f t="shared" si="37"/>
        <v>339.1764705882353</v>
      </c>
      <c r="P475" s="17">
        <f t="shared" si="38"/>
        <v>9.5833795013850409</v>
      </c>
      <c r="Q475" s="17">
        <f t="shared" si="39"/>
        <v>0.70245115042201411</v>
      </c>
      <c r="R475" s="10" t="s">
        <v>982</v>
      </c>
      <c r="S475" s="14" t="s">
        <v>26</v>
      </c>
      <c r="T475" s="14" t="s">
        <v>55</v>
      </c>
      <c r="U475" s="13">
        <v>17298</v>
      </c>
      <c r="V475" s="15">
        <v>3</v>
      </c>
      <c r="W475" s="9" t="str">
        <f>IF(Table1[[#This Row],[Satisfaction Rating]]&lt;2, "Low", IF(Table1[[#This Row],[Satisfaction Rating]]&lt;4, "Medium", "High"))</f>
        <v>Medium</v>
      </c>
    </row>
    <row r="476" spans="1:23" ht="14" x14ac:dyDescent="0.2">
      <c r="A476" s="10" t="s">
        <v>983</v>
      </c>
      <c r="B476" s="11">
        <v>45481.535949074074</v>
      </c>
      <c r="C476" s="11">
        <v>45481.535949074074</v>
      </c>
      <c r="D476" s="11" t="str">
        <f>IF(Table1[[#This Row],[Duration of Campaign]]=0, "Ongoing","Completed")</f>
        <v>Ongoing</v>
      </c>
      <c r="E476" s="12">
        <f>Table1[[#This Row],[End Date]]-Table1[[#This Row],[Start Date]]</f>
        <v>0</v>
      </c>
      <c r="F476" s="13">
        <v>7852</v>
      </c>
      <c r="G476" s="14" t="s">
        <v>29</v>
      </c>
      <c r="H476" s="15">
        <v>16513</v>
      </c>
      <c r="I476" s="15">
        <v>1936</v>
      </c>
      <c r="J476" s="15">
        <v>189</v>
      </c>
      <c r="K476" s="16">
        <v>11106</v>
      </c>
      <c r="L476" s="17">
        <f t="shared" si="35"/>
        <v>0.11724096166656574</v>
      </c>
      <c r="M476" s="17">
        <f t="shared" si="35"/>
        <v>9.7623966942148754E-2</v>
      </c>
      <c r="N476" s="18">
        <f t="shared" si="36"/>
        <v>8.2128099173553721</v>
      </c>
      <c r="O476" s="18">
        <f t="shared" si="37"/>
        <v>84.126984126984127</v>
      </c>
      <c r="P476" s="17">
        <f t="shared" si="38"/>
        <v>2.0249617931737136</v>
      </c>
      <c r="Q476" s="17">
        <f t="shared" si="39"/>
        <v>0.69849056603773585</v>
      </c>
      <c r="R476" s="10" t="s">
        <v>984</v>
      </c>
      <c r="S476" s="14" t="s">
        <v>31</v>
      </c>
      <c r="T476" s="14" t="s">
        <v>37</v>
      </c>
      <c r="U476" s="13">
        <v>15900</v>
      </c>
      <c r="V476" s="15">
        <v>2</v>
      </c>
      <c r="W476" s="9" t="str">
        <f>IF(Table1[[#This Row],[Satisfaction Rating]]&lt;2, "Low", IF(Table1[[#This Row],[Satisfaction Rating]]&lt;4, "Medium", "High"))</f>
        <v>Medium</v>
      </c>
    </row>
    <row r="477" spans="1:23" ht="14" x14ac:dyDescent="0.2">
      <c r="A477" s="10" t="s">
        <v>985</v>
      </c>
      <c r="B477" s="11">
        <v>45614.340381944443</v>
      </c>
      <c r="C477" s="11">
        <v>45614.340381944443</v>
      </c>
      <c r="D477" s="11" t="str">
        <f>IF(Table1[[#This Row],[Duration of Campaign]]=0, "Ongoing","Completed")</f>
        <v>Ongoing</v>
      </c>
      <c r="E477" s="12">
        <f>Table1[[#This Row],[End Date]]-Table1[[#This Row],[Start Date]]</f>
        <v>0</v>
      </c>
      <c r="F477" s="13">
        <v>8187</v>
      </c>
      <c r="G477" s="14" t="s">
        <v>29</v>
      </c>
      <c r="H477" s="15">
        <v>18559</v>
      </c>
      <c r="I477" s="15">
        <v>1621</v>
      </c>
      <c r="J477" s="15">
        <v>283</v>
      </c>
      <c r="K477" s="16">
        <v>6199</v>
      </c>
      <c r="L477" s="17">
        <f t="shared" si="35"/>
        <v>8.734306805323562E-2</v>
      </c>
      <c r="M477" s="17">
        <f t="shared" si="35"/>
        <v>0.17458359037631091</v>
      </c>
      <c r="N477" s="18">
        <f t="shared" si="36"/>
        <v>11.814312152991981</v>
      </c>
      <c r="O477" s="18">
        <f t="shared" si="37"/>
        <v>67.671378091872796</v>
      </c>
      <c r="P477" s="17">
        <f t="shared" si="38"/>
        <v>2.33919628679614</v>
      </c>
      <c r="Q477" s="17">
        <f t="shared" si="39"/>
        <v>0.32369066889457471</v>
      </c>
      <c r="R477" s="10" t="s">
        <v>986</v>
      </c>
      <c r="S477" s="14" t="s">
        <v>40</v>
      </c>
      <c r="T477" s="14" t="s">
        <v>27</v>
      </c>
      <c r="U477" s="13">
        <v>19151</v>
      </c>
      <c r="V477" s="15">
        <v>1</v>
      </c>
      <c r="W477" s="9" t="str">
        <f>IF(Table1[[#This Row],[Satisfaction Rating]]&lt;2, "Low", IF(Table1[[#This Row],[Satisfaction Rating]]&lt;4, "Medium", "High"))</f>
        <v>Low</v>
      </c>
    </row>
    <row r="478" spans="1:23" ht="14" x14ac:dyDescent="0.2">
      <c r="A478" s="10" t="s">
        <v>987</v>
      </c>
      <c r="B478" s="11">
        <v>45009.757870370369</v>
      </c>
      <c r="C478" s="11">
        <v>45579.922407407408</v>
      </c>
      <c r="D478" s="11" t="str">
        <f>IF(Table1[[#This Row],[Duration of Campaign]]=0, "Ongoing","Completed")</f>
        <v>Completed</v>
      </c>
      <c r="E478" s="12">
        <f>Table1[[#This Row],[End Date]]-Table1[[#This Row],[Start Date]]</f>
        <v>570.16453703703883</v>
      </c>
      <c r="F478" s="13">
        <v>8363</v>
      </c>
      <c r="G478" s="14" t="s">
        <v>63</v>
      </c>
      <c r="H478" s="15">
        <v>12024</v>
      </c>
      <c r="I478" s="15">
        <v>1022</v>
      </c>
      <c r="J478" s="15">
        <v>354</v>
      </c>
      <c r="K478" s="16">
        <v>7903</v>
      </c>
      <c r="L478" s="17">
        <f t="shared" si="35"/>
        <v>8.4996673320026611E-2</v>
      </c>
      <c r="M478" s="17">
        <f t="shared" si="35"/>
        <v>0.34637964774951074</v>
      </c>
      <c r="N478" s="18">
        <f t="shared" si="36"/>
        <v>13.153620352250488</v>
      </c>
      <c r="O478" s="18">
        <f t="shared" si="37"/>
        <v>37.974576271186443</v>
      </c>
      <c r="P478" s="17">
        <f t="shared" si="38"/>
        <v>1.6074375224201842</v>
      </c>
      <c r="Q478" s="17">
        <f t="shared" si="39"/>
        <v>0.58788960797441048</v>
      </c>
      <c r="R478" s="10" t="s">
        <v>988</v>
      </c>
      <c r="S478" s="14" t="s">
        <v>40</v>
      </c>
      <c r="T478" s="14" t="s">
        <v>37</v>
      </c>
      <c r="U478" s="13">
        <v>13443</v>
      </c>
      <c r="V478" s="15">
        <v>1</v>
      </c>
      <c r="W478" s="9" t="str">
        <f>IF(Table1[[#This Row],[Satisfaction Rating]]&lt;2, "Low", IF(Table1[[#This Row],[Satisfaction Rating]]&lt;4, "Medium", "High"))</f>
        <v>Low</v>
      </c>
    </row>
    <row r="479" spans="1:23" ht="14" x14ac:dyDescent="0.2">
      <c r="A479" s="10" t="s">
        <v>989</v>
      </c>
      <c r="B479" s="11">
        <v>45092.38013888889</v>
      </c>
      <c r="C479" s="11">
        <v>45200.457037037035</v>
      </c>
      <c r="D479" s="11" t="str">
        <f>IF(Table1[[#This Row],[Duration of Campaign]]=0, "Ongoing","Completed")</f>
        <v>Completed</v>
      </c>
      <c r="E479" s="12">
        <f>Table1[[#This Row],[End Date]]-Table1[[#This Row],[Start Date]]</f>
        <v>108.07689814814512</v>
      </c>
      <c r="F479" s="13">
        <v>9725</v>
      </c>
      <c r="G479" s="14" t="s">
        <v>24</v>
      </c>
      <c r="H479" s="15">
        <v>3449</v>
      </c>
      <c r="I479" s="15">
        <v>402</v>
      </c>
      <c r="J479" s="15">
        <v>96</v>
      </c>
      <c r="K479" s="16">
        <v>11124</v>
      </c>
      <c r="L479" s="17">
        <f t="shared" si="35"/>
        <v>0.11655552334009858</v>
      </c>
      <c r="M479" s="17">
        <f t="shared" si="35"/>
        <v>0.23880597014925373</v>
      </c>
      <c r="N479" s="18">
        <f t="shared" si="36"/>
        <v>36.4228855721393</v>
      </c>
      <c r="O479" s="18">
        <f t="shared" si="37"/>
        <v>152.52083333333334</v>
      </c>
      <c r="P479" s="17">
        <f t="shared" si="38"/>
        <v>1.5056041131105398</v>
      </c>
      <c r="Q479" s="17">
        <f t="shared" si="39"/>
        <v>0.75973227701133728</v>
      </c>
      <c r="R479" s="10" t="s">
        <v>990</v>
      </c>
      <c r="S479" s="14" t="s">
        <v>26</v>
      </c>
      <c r="T479" s="14" t="s">
        <v>37</v>
      </c>
      <c r="U479" s="13">
        <v>14642</v>
      </c>
      <c r="V479" s="15">
        <v>4</v>
      </c>
      <c r="W479" s="9" t="str">
        <f>IF(Table1[[#This Row],[Satisfaction Rating]]&lt;2, "Low", IF(Table1[[#This Row],[Satisfaction Rating]]&lt;4, "Medium", "High"))</f>
        <v>High</v>
      </c>
    </row>
    <row r="480" spans="1:23" ht="14" x14ac:dyDescent="0.2">
      <c r="A480" s="10" t="s">
        <v>991</v>
      </c>
      <c r="B480" s="11">
        <v>45010.33797453704</v>
      </c>
      <c r="C480" s="11">
        <v>45553.145590277774</v>
      </c>
      <c r="D480" s="11" t="str">
        <f>IF(Table1[[#This Row],[Duration of Campaign]]=0, "Ongoing","Completed")</f>
        <v>Completed</v>
      </c>
      <c r="E480" s="12">
        <f>Table1[[#This Row],[End Date]]-Table1[[#This Row],[Start Date]]</f>
        <v>542.80761574073404</v>
      </c>
      <c r="F480" s="13">
        <v>3631</v>
      </c>
      <c r="G480" s="14" t="s">
        <v>47</v>
      </c>
      <c r="H480" s="15">
        <v>2482</v>
      </c>
      <c r="I480" s="15">
        <v>504</v>
      </c>
      <c r="J480" s="15">
        <v>59</v>
      </c>
      <c r="K480" s="16">
        <v>11296</v>
      </c>
      <c r="L480" s="17">
        <f t="shared" si="35"/>
        <v>0.20306204673650283</v>
      </c>
      <c r="M480" s="17">
        <f t="shared" si="35"/>
        <v>0.11706349206349206</v>
      </c>
      <c r="N480" s="18">
        <f t="shared" si="36"/>
        <v>27.253968253968253</v>
      </c>
      <c r="O480" s="18">
        <f t="shared" si="37"/>
        <v>232.81355932203391</v>
      </c>
      <c r="P480" s="17">
        <f t="shared" si="38"/>
        <v>3.7829798953456346</v>
      </c>
      <c r="Q480" s="17">
        <f t="shared" si="39"/>
        <v>0.82236458940011647</v>
      </c>
      <c r="R480" s="10" t="s">
        <v>992</v>
      </c>
      <c r="S480" s="14" t="s">
        <v>31</v>
      </c>
      <c r="T480" s="14" t="s">
        <v>27</v>
      </c>
      <c r="U480" s="13">
        <v>13736</v>
      </c>
      <c r="V480" s="15">
        <v>5</v>
      </c>
      <c r="W480" s="9" t="str">
        <f>IF(Table1[[#This Row],[Satisfaction Rating]]&lt;2, "Low", IF(Table1[[#This Row],[Satisfaction Rating]]&lt;4, "Medium", "High"))</f>
        <v>High</v>
      </c>
    </row>
    <row r="481" spans="1:23" ht="14" x14ac:dyDescent="0.2">
      <c r="A481" s="10" t="s">
        <v>993</v>
      </c>
      <c r="B481" s="11">
        <v>45191.392094907409</v>
      </c>
      <c r="C481" s="11">
        <v>45355.446493055555</v>
      </c>
      <c r="D481" s="11" t="str">
        <f>IF(Table1[[#This Row],[Duration of Campaign]]=0, "Ongoing","Completed")</f>
        <v>Completed</v>
      </c>
      <c r="E481" s="12">
        <f>Table1[[#This Row],[End Date]]-Table1[[#This Row],[Start Date]]</f>
        <v>164.05439814814599</v>
      </c>
      <c r="F481" s="13">
        <v>7871</v>
      </c>
      <c r="G481" s="14" t="s">
        <v>24</v>
      </c>
      <c r="H481" s="15">
        <v>3443</v>
      </c>
      <c r="I481" s="15">
        <v>1241</v>
      </c>
      <c r="J481" s="15">
        <v>352</v>
      </c>
      <c r="K481" s="16">
        <v>9718</v>
      </c>
      <c r="L481" s="17">
        <f t="shared" si="35"/>
        <v>0.36044147545744992</v>
      </c>
      <c r="M481" s="17">
        <f t="shared" si="35"/>
        <v>0.28364222401289285</v>
      </c>
      <c r="N481" s="18">
        <f t="shared" si="36"/>
        <v>12.882352941176471</v>
      </c>
      <c r="O481" s="18">
        <f t="shared" si="37"/>
        <v>45.417613636363633</v>
      </c>
      <c r="P481" s="17">
        <f t="shared" si="38"/>
        <v>2.0311269216109769</v>
      </c>
      <c r="Q481" s="17">
        <f t="shared" si="39"/>
        <v>0.60786889347594919</v>
      </c>
      <c r="R481" s="10" t="s">
        <v>994</v>
      </c>
      <c r="S481" s="14" t="s">
        <v>40</v>
      </c>
      <c r="T481" s="14" t="s">
        <v>27</v>
      </c>
      <c r="U481" s="13">
        <v>15987</v>
      </c>
      <c r="V481" s="15">
        <v>4</v>
      </c>
      <c r="W481" s="9" t="str">
        <f>IF(Table1[[#This Row],[Satisfaction Rating]]&lt;2, "Low", IF(Table1[[#This Row],[Satisfaction Rating]]&lt;4, "Medium", "High"))</f>
        <v>High</v>
      </c>
    </row>
    <row r="482" spans="1:23" ht="14" x14ac:dyDescent="0.2">
      <c r="A482" s="10" t="s">
        <v>995</v>
      </c>
      <c r="B482" s="11">
        <v>45208.266041666669</v>
      </c>
      <c r="C482" s="11">
        <v>45399.711886574078</v>
      </c>
      <c r="D482" s="11" t="str">
        <f>IF(Table1[[#This Row],[Duration of Campaign]]=0, "Ongoing","Completed")</f>
        <v>Completed</v>
      </c>
      <c r="E482" s="12">
        <f>Table1[[#This Row],[End Date]]-Table1[[#This Row],[Start Date]]</f>
        <v>191.44584490740817</v>
      </c>
      <c r="F482" s="13">
        <v>7531</v>
      </c>
      <c r="G482" s="14" t="s">
        <v>29</v>
      </c>
      <c r="H482" s="15">
        <v>7428</v>
      </c>
      <c r="I482" s="15">
        <v>397</v>
      </c>
      <c r="J482" s="15">
        <v>469</v>
      </c>
      <c r="K482" s="16">
        <v>7956</v>
      </c>
      <c r="L482" s="17">
        <f t="shared" si="35"/>
        <v>5.3446418955304255E-2</v>
      </c>
      <c r="M482" s="17">
        <f t="shared" si="35"/>
        <v>1.1813602015113349</v>
      </c>
      <c r="N482" s="18">
        <f t="shared" si="36"/>
        <v>26.397984886649873</v>
      </c>
      <c r="O482" s="18">
        <f t="shared" si="37"/>
        <v>22.345415778251599</v>
      </c>
      <c r="P482" s="17">
        <f t="shared" si="38"/>
        <v>1.3915814632850882</v>
      </c>
      <c r="Q482" s="17">
        <f t="shared" si="39"/>
        <v>0.75916030534351142</v>
      </c>
      <c r="R482" s="10" t="s">
        <v>996</v>
      </c>
      <c r="S482" s="14" t="s">
        <v>34</v>
      </c>
      <c r="T482" s="14" t="s">
        <v>27</v>
      </c>
      <c r="U482" s="13">
        <v>10480</v>
      </c>
      <c r="V482" s="15">
        <v>4</v>
      </c>
      <c r="W482" s="9" t="str">
        <f>IF(Table1[[#This Row],[Satisfaction Rating]]&lt;2, "Low", IF(Table1[[#This Row],[Satisfaction Rating]]&lt;4, "Medium", "High"))</f>
        <v>High</v>
      </c>
    </row>
    <row r="483" spans="1:23" ht="14" x14ac:dyDescent="0.2">
      <c r="A483" s="10" t="s">
        <v>997</v>
      </c>
      <c r="B483" s="11">
        <v>45384.061469907407</v>
      </c>
      <c r="C483" s="11">
        <v>45384.061469907407</v>
      </c>
      <c r="D483" s="11" t="str">
        <f>IF(Table1[[#This Row],[Duration of Campaign]]=0, "Ongoing","Completed")</f>
        <v>Ongoing</v>
      </c>
      <c r="E483" s="12">
        <f>Table1[[#This Row],[End Date]]-Table1[[#This Row],[Start Date]]</f>
        <v>0</v>
      </c>
      <c r="F483" s="13">
        <v>2399</v>
      </c>
      <c r="G483" s="14" t="s">
        <v>63</v>
      </c>
      <c r="H483" s="15">
        <v>2779</v>
      </c>
      <c r="I483" s="15">
        <v>1066</v>
      </c>
      <c r="J483" s="15">
        <v>271</v>
      </c>
      <c r="K483" s="16">
        <v>6041</v>
      </c>
      <c r="L483" s="17">
        <f t="shared" si="35"/>
        <v>0.38359121986326017</v>
      </c>
      <c r="M483" s="17">
        <f t="shared" si="35"/>
        <v>0.25422138836772984</v>
      </c>
      <c r="N483" s="18">
        <f t="shared" si="36"/>
        <v>1.8789868667917449</v>
      </c>
      <c r="O483" s="18">
        <f t="shared" si="37"/>
        <v>7.391143911439114</v>
      </c>
      <c r="P483" s="17">
        <f t="shared" si="38"/>
        <v>0.83493122134222597</v>
      </c>
      <c r="Q483" s="17">
        <f t="shared" si="39"/>
        <v>3.015976035946081</v>
      </c>
      <c r="R483" s="10" t="s">
        <v>998</v>
      </c>
      <c r="S483" s="14" t="s">
        <v>31</v>
      </c>
      <c r="T483" s="14" t="s">
        <v>37</v>
      </c>
      <c r="U483" s="13">
        <v>2003</v>
      </c>
      <c r="V483" s="15">
        <v>1</v>
      </c>
      <c r="W483" s="9" t="str">
        <f>IF(Table1[[#This Row],[Satisfaction Rating]]&lt;2, "Low", IF(Table1[[#This Row],[Satisfaction Rating]]&lt;4, "Medium", "High"))</f>
        <v>Low</v>
      </c>
    </row>
    <row r="484" spans="1:23" ht="14" x14ac:dyDescent="0.2">
      <c r="A484" s="10" t="s">
        <v>999</v>
      </c>
      <c r="B484" s="11">
        <v>45378.616018518522</v>
      </c>
      <c r="C484" s="11">
        <v>45378.616018518522</v>
      </c>
      <c r="D484" s="11" t="str">
        <f>IF(Table1[[#This Row],[Duration of Campaign]]=0, "Ongoing","Completed")</f>
        <v>Ongoing</v>
      </c>
      <c r="E484" s="12">
        <f>Table1[[#This Row],[End Date]]-Table1[[#This Row],[Start Date]]</f>
        <v>0</v>
      </c>
      <c r="F484" s="13">
        <v>5029</v>
      </c>
      <c r="G484" s="14" t="s">
        <v>47</v>
      </c>
      <c r="H484" s="15">
        <v>18865</v>
      </c>
      <c r="I484" s="15">
        <v>135</v>
      </c>
      <c r="J484" s="15">
        <v>467</v>
      </c>
      <c r="K484" s="16">
        <v>6024</v>
      </c>
      <c r="L484" s="17">
        <f t="shared" si="35"/>
        <v>7.1561091969255235E-3</v>
      </c>
      <c r="M484" s="17">
        <f t="shared" si="35"/>
        <v>3.4592592592592593</v>
      </c>
      <c r="N484" s="18">
        <f t="shared" si="36"/>
        <v>60.555555555555557</v>
      </c>
      <c r="O484" s="18">
        <f t="shared" si="37"/>
        <v>17.505353319057814</v>
      </c>
      <c r="P484" s="17">
        <f t="shared" si="38"/>
        <v>1.6255716842314576</v>
      </c>
      <c r="Q484" s="17">
        <f t="shared" si="39"/>
        <v>0.73688073394495412</v>
      </c>
      <c r="R484" s="10" t="s">
        <v>1000</v>
      </c>
      <c r="S484" s="14" t="s">
        <v>26</v>
      </c>
      <c r="T484" s="14" t="s">
        <v>55</v>
      </c>
      <c r="U484" s="13">
        <v>8175</v>
      </c>
      <c r="V484" s="15">
        <v>2</v>
      </c>
      <c r="W484" s="9" t="str">
        <f>IF(Table1[[#This Row],[Satisfaction Rating]]&lt;2, "Low", IF(Table1[[#This Row],[Satisfaction Rating]]&lt;4, "Medium", "High"))</f>
        <v>Medium</v>
      </c>
    </row>
    <row r="485" spans="1:23" ht="14" x14ac:dyDescent="0.2">
      <c r="A485" s="10" t="s">
        <v>1001</v>
      </c>
      <c r="B485" s="11">
        <v>45023.417581018519</v>
      </c>
      <c r="C485" s="11">
        <v>45095.169108796297</v>
      </c>
      <c r="D485" s="11" t="str">
        <f>IF(Table1[[#This Row],[Duration of Campaign]]=0, "Ongoing","Completed")</f>
        <v>Completed</v>
      </c>
      <c r="E485" s="12">
        <f>Table1[[#This Row],[End Date]]-Table1[[#This Row],[Start Date]]</f>
        <v>71.751527777778392</v>
      </c>
      <c r="F485" s="13">
        <v>4671</v>
      </c>
      <c r="G485" s="14" t="s">
        <v>63</v>
      </c>
      <c r="H485" s="15">
        <v>10275</v>
      </c>
      <c r="I485" s="15">
        <v>1773</v>
      </c>
      <c r="J485" s="15">
        <v>443</v>
      </c>
      <c r="K485" s="16">
        <v>9537</v>
      </c>
      <c r="L485" s="17">
        <f t="shared" si="35"/>
        <v>0.17255474452554745</v>
      </c>
      <c r="M485" s="17">
        <f t="shared" si="35"/>
        <v>0.24985899605188946</v>
      </c>
      <c r="N485" s="18">
        <f t="shared" si="36"/>
        <v>6.0699379582628312</v>
      </c>
      <c r="O485" s="18">
        <f t="shared" si="37"/>
        <v>24.293453724604966</v>
      </c>
      <c r="P485" s="17">
        <f t="shared" si="38"/>
        <v>2.3040034253907087</v>
      </c>
      <c r="Q485" s="17">
        <f t="shared" si="39"/>
        <v>0.88617357368518868</v>
      </c>
      <c r="R485" s="10" t="s">
        <v>1002</v>
      </c>
      <c r="S485" s="14" t="s">
        <v>40</v>
      </c>
      <c r="T485" s="14" t="s">
        <v>55</v>
      </c>
      <c r="U485" s="13">
        <v>10762</v>
      </c>
      <c r="V485" s="15">
        <v>1</v>
      </c>
      <c r="W485" s="9" t="str">
        <f>IF(Table1[[#This Row],[Satisfaction Rating]]&lt;2, "Low", IF(Table1[[#This Row],[Satisfaction Rating]]&lt;4, "Medium", "High"))</f>
        <v>Low</v>
      </c>
    </row>
    <row r="486" spans="1:23" ht="14" x14ac:dyDescent="0.2">
      <c r="A486" s="10" t="s">
        <v>1003</v>
      </c>
      <c r="B486" s="11">
        <v>45593.867256944446</v>
      </c>
      <c r="C486" s="11">
        <v>45593.867256944446</v>
      </c>
      <c r="D486" s="11" t="str">
        <f>IF(Table1[[#This Row],[Duration of Campaign]]=0, "Ongoing","Completed")</f>
        <v>Ongoing</v>
      </c>
      <c r="E486" s="12">
        <f>Table1[[#This Row],[End Date]]-Table1[[#This Row],[Start Date]]</f>
        <v>0</v>
      </c>
      <c r="F486" s="13">
        <v>7815</v>
      </c>
      <c r="G486" s="14" t="s">
        <v>63</v>
      </c>
      <c r="H486" s="15">
        <v>12281</v>
      </c>
      <c r="I486" s="15">
        <v>1603</v>
      </c>
      <c r="J486" s="15">
        <v>15</v>
      </c>
      <c r="K486" s="16">
        <v>6488</v>
      </c>
      <c r="L486" s="17">
        <f t="shared" si="35"/>
        <v>0.13052683006269847</v>
      </c>
      <c r="M486" s="17">
        <f t="shared" si="35"/>
        <v>9.3574547723019336E-3</v>
      </c>
      <c r="N486" s="18">
        <f t="shared" si="36"/>
        <v>2.4741110417966312</v>
      </c>
      <c r="O486" s="18">
        <f t="shared" si="37"/>
        <v>264.39999999999998</v>
      </c>
      <c r="P486" s="17">
        <f t="shared" si="38"/>
        <v>0.50748560460652592</v>
      </c>
      <c r="Q486" s="17">
        <f t="shared" si="39"/>
        <v>1.6359051941502774</v>
      </c>
      <c r="R486" s="10" t="s">
        <v>1004</v>
      </c>
      <c r="S486" s="14" t="s">
        <v>40</v>
      </c>
      <c r="T486" s="14" t="s">
        <v>37</v>
      </c>
      <c r="U486" s="13">
        <v>3966</v>
      </c>
      <c r="V486" s="15">
        <v>1</v>
      </c>
      <c r="W486" s="9" t="str">
        <f>IF(Table1[[#This Row],[Satisfaction Rating]]&lt;2, "Low", IF(Table1[[#This Row],[Satisfaction Rating]]&lt;4, "Medium", "High"))</f>
        <v>Low</v>
      </c>
    </row>
    <row r="487" spans="1:23" ht="14" x14ac:dyDescent="0.2">
      <c r="A487" s="10" t="s">
        <v>1005</v>
      </c>
      <c r="B487" s="11">
        <v>45201.316087962965</v>
      </c>
      <c r="C487" s="11">
        <v>45201.316087962965</v>
      </c>
      <c r="D487" s="11" t="str">
        <f>IF(Table1[[#This Row],[Duration of Campaign]]=0, "Ongoing","Completed")</f>
        <v>Ongoing</v>
      </c>
      <c r="E487" s="12">
        <f>Table1[[#This Row],[End Date]]-Table1[[#This Row],[Start Date]]</f>
        <v>0</v>
      </c>
      <c r="F487" s="13">
        <v>5754</v>
      </c>
      <c r="G487" s="14" t="s">
        <v>24</v>
      </c>
      <c r="H487" s="15">
        <v>8264</v>
      </c>
      <c r="I487" s="15">
        <v>195</v>
      </c>
      <c r="J487" s="15">
        <v>307</v>
      </c>
      <c r="K487" s="16">
        <v>6075</v>
      </c>
      <c r="L487" s="17">
        <f t="shared" si="35"/>
        <v>2.3596321393998063E-2</v>
      </c>
      <c r="M487" s="17">
        <f t="shared" si="35"/>
        <v>1.5743589743589743</v>
      </c>
      <c r="N487" s="18">
        <f t="shared" si="36"/>
        <v>57.051282051282051</v>
      </c>
      <c r="O487" s="18">
        <f t="shared" si="37"/>
        <v>36.237785016286644</v>
      </c>
      <c r="P487" s="17">
        <f t="shared" si="38"/>
        <v>1.9334376086200904</v>
      </c>
      <c r="Q487" s="17">
        <f t="shared" si="39"/>
        <v>0.54606741573033712</v>
      </c>
      <c r="R487" s="10" t="s">
        <v>1006</v>
      </c>
      <c r="S487" s="14" t="s">
        <v>26</v>
      </c>
      <c r="T487" s="14" t="s">
        <v>27</v>
      </c>
      <c r="U487" s="13">
        <v>11125</v>
      </c>
      <c r="V487" s="15">
        <v>4</v>
      </c>
      <c r="W487" s="9" t="str">
        <f>IF(Table1[[#This Row],[Satisfaction Rating]]&lt;2, "Low", IF(Table1[[#This Row],[Satisfaction Rating]]&lt;4, "Medium", "High"))</f>
        <v>High</v>
      </c>
    </row>
    <row r="488" spans="1:23" ht="14" x14ac:dyDescent="0.2">
      <c r="A488" s="10" t="s">
        <v>1007</v>
      </c>
      <c r="B488" s="11">
        <v>45380.235011574077</v>
      </c>
      <c r="C488" s="11">
        <v>45380.235011574077</v>
      </c>
      <c r="D488" s="11" t="str">
        <f>IF(Table1[[#This Row],[Duration of Campaign]]=0, "Ongoing","Completed")</f>
        <v>Ongoing</v>
      </c>
      <c r="E488" s="12">
        <f>Table1[[#This Row],[End Date]]-Table1[[#This Row],[Start Date]]</f>
        <v>0</v>
      </c>
      <c r="F488" s="13">
        <v>3008</v>
      </c>
      <c r="G488" s="14" t="s">
        <v>63</v>
      </c>
      <c r="H488" s="15">
        <v>14837</v>
      </c>
      <c r="I488" s="15">
        <v>1018</v>
      </c>
      <c r="J488" s="15">
        <v>395</v>
      </c>
      <c r="K488" s="16">
        <v>8765</v>
      </c>
      <c r="L488" s="17">
        <f t="shared" si="35"/>
        <v>6.8612253150906521E-2</v>
      </c>
      <c r="M488" s="17">
        <f t="shared" si="35"/>
        <v>0.3880157170923379</v>
      </c>
      <c r="N488" s="18">
        <f t="shared" si="36"/>
        <v>13.055992141453832</v>
      </c>
      <c r="O488" s="18">
        <f t="shared" si="37"/>
        <v>33.648101265822788</v>
      </c>
      <c r="P488" s="17">
        <f t="shared" si="38"/>
        <v>4.4185505319148932</v>
      </c>
      <c r="Q488" s="17">
        <f t="shared" si="39"/>
        <v>0.65946881348280795</v>
      </c>
      <c r="R488" s="10" t="s">
        <v>1008</v>
      </c>
      <c r="S488" s="14" t="s">
        <v>31</v>
      </c>
      <c r="T488" s="14" t="s">
        <v>27</v>
      </c>
      <c r="U488" s="13">
        <v>13291</v>
      </c>
      <c r="V488" s="15">
        <v>2</v>
      </c>
      <c r="W488" s="9" t="str">
        <f>IF(Table1[[#This Row],[Satisfaction Rating]]&lt;2, "Low", IF(Table1[[#This Row],[Satisfaction Rating]]&lt;4, "Medium", "High"))</f>
        <v>Medium</v>
      </c>
    </row>
    <row r="489" spans="1:23" ht="14" x14ac:dyDescent="0.2">
      <c r="A489" s="10" t="s">
        <v>1009</v>
      </c>
      <c r="B489" s="11">
        <v>45304.583657407406</v>
      </c>
      <c r="C489" s="11">
        <v>45356.865763888891</v>
      </c>
      <c r="D489" s="11" t="str">
        <f>IF(Table1[[#This Row],[Duration of Campaign]]=0, "Ongoing","Completed")</f>
        <v>Completed</v>
      </c>
      <c r="E489" s="12">
        <f>Table1[[#This Row],[End Date]]-Table1[[#This Row],[Start Date]]</f>
        <v>52.282106481485243</v>
      </c>
      <c r="F489" s="13">
        <v>2872</v>
      </c>
      <c r="G489" s="14" t="s">
        <v>29</v>
      </c>
      <c r="H489" s="15">
        <v>10995</v>
      </c>
      <c r="I489" s="15">
        <v>1082</v>
      </c>
      <c r="J489" s="15">
        <v>226</v>
      </c>
      <c r="K489" s="16">
        <v>1581</v>
      </c>
      <c r="L489" s="17">
        <f t="shared" si="35"/>
        <v>9.8408367439745334E-2</v>
      </c>
      <c r="M489" s="17">
        <f t="shared" si="35"/>
        <v>0.20887245841035121</v>
      </c>
      <c r="N489" s="18">
        <f t="shared" si="36"/>
        <v>10.577634011090574</v>
      </c>
      <c r="O489" s="18">
        <f t="shared" si="37"/>
        <v>50.641592920353979</v>
      </c>
      <c r="P489" s="17">
        <f t="shared" si="38"/>
        <v>3.9850278551532035</v>
      </c>
      <c r="Q489" s="17">
        <f t="shared" si="39"/>
        <v>0.13813892529488861</v>
      </c>
      <c r="R489" s="10" t="s">
        <v>1010</v>
      </c>
      <c r="S489" s="14" t="s">
        <v>31</v>
      </c>
      <c r="T489" s="14" t="s">
        <v>27</v>
      </c>
      <c r="U489" s="13">
        <v>11445</v>
      </c>
      <c r="V489" s="15">
        <v>5</v>
      </c>
      <c r="W489" s="9" t="str">
        <f>IF(Table1[[#This Row],[Satisfaction Rating]]&lt;2, "Low", IF(Table1[[#This Row],[Satisfaction Rating]]&lt;4, "Medium", "High"))</f>
        <v>High</v>
      </c>
    </row>
    <row r="490" spans="1:23" ht="14" x14ac:dyDescent="0.2">
      <c r="A490" s="10" t="s">
        <v>1011</v>
      </c>
      <c r="B490" s="11">
        <v>44950.62672453704</v>
      </c>
      <c r="C490" s="11">
        <v>45300.035578703704</v>
      </c>
      <c r="D490" s="11" t="str">
        <f>IF(Table1[[#This Row],[Duration of Campaign]]=0, "Ongoing","Completed")</f>
        <v>Completed</v>
      </c>
      <c r="E490" s="12">
        <f>Table1[[#This Row],[End Date]]-Table1[[#This Row],[Start Date]]</f>
        <v>349.40885416666424</v>
      </c>
      <c r="F490" s="13">
        <v>4741</v>
      </c>
      <c r="G490" s="14" t="s">
        <v>29</v>
      </c>
      <c r="H490" s="15">
        <v>18555</v>
      </c>
      <c r="I490" s="15">
        <v>293</v>
      </c>
      <c r="J490" s="15">
        <v>317</v>
      </c>
      <c r="K490" s="16">
        <v>6126</v>
      </c>
      <c r="L490" s="17">
        <f t="shared" si="35"/>
        <v>1.5790891942872542E-2</v>
      </c>
      <c r="M490" s="17">
        <f t="shared" si="35"/>
        <v>1.0819112627986349</v>
      </c>
      <c r="N490" s="18">
        <f t="shared" si="36"/>
        <v>22.56655290102389</v>
      </c>
      <c r="O490" s="18">
        <f t="shared" si="37"/>
        <v>20.858044164037857</v>
      </c>
      <c r="P490" s="17">
        <f t="shared" si="38"/>
        <v>1.3946424804893482</v>
      </c>
      <c r="Q490" s="17">
        <f t="shared" si="39"/>
        <v>0.926497277676951</v>
      </c>
      <c r="R490" s="10" t="s">
        <v>1012</v>
      </c>
      <c r="S490" s="14" t="s">
        <v>45</v>
      </c>
      <c r="T490" s="14" t="s">
        <v>27</v>
      </c>
      <c r="U490" s="13">
        <v>6612</v>
      </c>
      <c r="V490" s="15">
        <v>2</v>
      </c>
      <c r="W490" s="9" t="str">
        <f>IF(Table1[[#This Row],[Satisfaction Rating]]&lt;2, "Low", IF(Table1[[#This Row],[Satisfaction Rating]]&lt;4, "Medium", "High"))</f>
        <v>Medium</v>
      </c>
    </row>
    <row r="491" spans="1:23" ht="14" x14ac:dyDescent="0.2">
      <c r="A491" s="10" t="s">
        <v>1013</v>
      </c>
      <c r="B491" s="11">
        <v>45277.273472222223</v>
      </c>
      <c r="C491" s="11">
        <v>45277.273472222223</v>
      </c>
      <c r="D491" s="11" t="str">
        <f>IF(Table1[[#This Row],[Duration of Campaign]]=0, "Ongoing","Completed")</f>
        <v>Ongoing</v>
      </c>
      <c r="E491" s="12">
        <f>Table1[[#This Row],[End Date]]-Table1[[#This Row],[Start Date]]</f>
        <v>0</v>
      </c>
      <c r="F491" s="13">
        <v>6221</v>
      </c>
      <c r="G491" s="14" t="s">
        <v>24</v>
      </c>
      <c r="H491" s="15">
        <v>19917</v>
      </c>
      <c r="I491" s="15">
        <v>952</v>
      </c>
      <c r="J491" s="15">
        <v>413</v>
      </c>
      <c r="K491" s="16">
        <v>3316</v>
      </c>
      <c r="L491" s="17">
        <f t="shared" si="35"/>
        <v>4.7798363207310339E-2</v>
      </c>
      <c r="M491" s="17">
        <f t="shared" si="35"/>
        <v>0.43382352941176472</v>
      </c>
      <c r="N491" s="18">
        <f t="shared" si="36"/>
        <v>20.134453781512605</v>
      </c>
      <c r="O491" s="18">
        <f t="shared" si="37"/>
        <v>46.411622276029057</v>
      </c>
      <c r="P491" s="17">
        <f t="shared" si="38"/>
        <v>3.0811766597010126</v>
      </c>
      <c r="Q491" s="17">
        <f t="shared" si="39"/>
        <v>0.1729966611018364</v>
      </c>
      <c r="R491" s="10" t="s">
        <v>1014</v>
      </c>
      <c r="S491" s="14" t="s">
        <v>31</v>
      </c>
      <c r="T491" s="14" t="s">
        <v>55</v>
      </c>
      <c r="U491" s="13">
        <v>19168</v>
      </c>
      <c r="V491" s="15">
        <v>2</v>
      </c>
      <c r="W491" s="9" t="str">
        <f>IF(Table1[[#This Row],[Satisfaction Rating]]&lt;2, "Low", IF(Table1[[#This Row],[Satisfaction Rating]]&lt;4, "Medium", "High"))</f>
        <v>Medium</v>
      </c>
    </row>
    <row r="492" spans="1:23" ht="14" x14ac:dyDescent="0.2">
      <c r="A492" s="10" t="s">
        <v>1015</v>
      </c>
      <c r="B492" s="11">
        <v>45120.420868055553</v>
      </c>
      <c r="C492" s="11">
        <v>45628.675335648149</v>
      </c>
      <c r="D492" s="11" t="str">
        <f>IF(Table1[[#This Row],[Duration of Campaign]]=0, "Ongoing","Completed")</f>
        <v>Completed</v>
      </c>
      <c r="E492" s="12">
        <f>Table1[[#This Row],[End Date]]-Table1[[#This Row],[Start Date]]</f>
        <v>508.25446759259648</v>
      </c>
      <c r="F492" s="13">
        <v>3942</v>
      </c>
      <c r="G492" s="14" t="s">
        <v>24</v>
      </c>
      <c r="H492" s="15">
        <v>4407</v>
      </c>
      <c r="I492" s="15">
        <v>1168</v>
      </c>
      <c r="J492" s="15">
        <v>277</v>
      </c>
      <c r="K492" s="16">
        <v>14179</v>
      </c>
      <c r="L492" s="17">
        <f t="shared" si="35"/>
        <v>0.26503290220104381</v>
      </c>
      <c r="M492" s="17">
        <f t="shared" si="35"/>
        <v>0.23715753424657535</v>
      </c>
      <c r="N492" s="18">
        <f t="shared" si="36"/>
        <v>15.637842465753424</v>
      </c>
      <c r="O492" s="18">
        <f t="shared" si="37"/>
        <v>65.938628158844764</v>
      </c>
      <c r="P492" s="17">
        <f t="shared" si="38"/>
        <v>4.6334348046676812</v>
      </c>
      <c r="Q492" s="17">
        <f t="shared" si="39"/>
        <v>0.77629345743224742</v>
      </c>
      <c r="R492" s="10" t="s">
        <v>1016</v>
      </c>
      <c r="S492" s="14" t="s">
        <v>45</v>
      </c>
      <c r="T492" s="14" t="s">
        <v>27</v>
      </c>
      <c r="U492" s="13">
        <v>18265</v>
      </c>
      <c r="V492" s="15">
        <v>2</v>
      </c>
      <c r="W492" s="9" t="str">
        <f>IF(Table1[[#This Row],[Satisfaction Rating]]&lt;2, "Low", IF(Table1[[#This Row],[Satisfaction Rating]]&lt;4, "Medium", "High"))</f>
        <v>Medium</v>
      </c>
    </row>
    <row r="493" spans="1:23" ht="14" x14ac:dyDescent="0.2">
      <c r="A493" s="10" t="s">
        <v>1017</v>
      </c>
      <c r="B493" s="11">
        <v>45516.625648148147</v>
      </c>
      <c r="C493" s="11">
        <v>45516.625648148147</v>
      </c>
      <c r="D493" s="11" t="str">
        <f>IF(Table1[[#This Row],[Duration of Campaign]]=0, "Ongoing","Completed")</f>
        <v>Ongoing</v>
      </c>
      <c r="E493" s="12">
        <f>Table1[[#This Row],[End Date]]-Table1[[#This Row],[Start Date]]</f>
        <v>0</v>
      </c>
      <c r="F493" s="13">
        <v>1556</v>
      </c>
      <c r="G493" s="14" t="s">
        <v>24</v>
      </c>
      <c r="H493" s="15">
        <v>10582</v>
      </c>
      <c r="I493" s="15">
        <v>650</v>
      </c>
      <c r="J493" s="15">
        <v>41</v>
      </c>
      <c r="K493" s="16">
        <v>14081</v>
      </c>
      <c r="L493" s="17">
        <f t="shared" si="35"/>
        <v>6.1425061425061427E-2</v>
      </c>
      <c r="M493" s="17">
        <f t="shared" si="35"/>
        <v>6.3076923076923072E-2</v>
      </c>
      <c r="N493" s="18">
        <f t="shared" si="36"/>
        <v>27.995384615384616</v>
      </c>
      <c r="O493" s="18">
        <f t="shared" si="37"/>
        <v>443.82926829268291</v>
      </c>
      <c r="P493" s="17">
        <f t="shared" si="38"/>
        <v>11.694730077120823</v>
      </c>
      <c r="Q493" s="17">
        <f t="shared" si="39"/>
        <v>0.77380886959388906</v>
      </c>
      <c r="R493" s="10" t="s">
        <v>1018</v>
      </c>
      <c r="S493" s="14" t="s">
        <v>45</v>
      </c>
      <c r="T493" s="14" t="s">
        <v>55</v>
      </c>
      <c r="U493" s="13">
        <v>18197</v>
      </c>
      <c r="V493" s="15">
        <v>2</v>
      </c>
      <c r="W493" s="9" t="str">
        <f>IF(Table1[[#This Row],[Satisfaction Rating]]&lt;2, "Low", IF(Table1[[#This Row],[Satisfaction Rating]]&lt;4, "Medium", "High"))</f>
        <v>Medium</v>
      </c>
    </row>
    <row r="494" spans="1:23" ht="14" x14ac:dyDescent="0.2">
      <c r="A494" s="10" t="s">
        <v>1019</v>
      </c>
      <c r="B494" s="11">
        <v>45136.752581018518</v>
      </c>
      <c r="C494" s="11">
        <v>45415.950902777775</v>
      </c>
      <c r="D494" s="11" t="str">
        <f>IF(Table1[[#This Row],[Duration of Campaign]]=0, "Ongoing","Completed")</f>
        <v>Completed</v>
      </c>
      <c r="E494" s="12">
        <f>Table1[[#This Row],[End Date]]-Table1[[#This Row],[Start Date]]</f>
        <v>279.19832175925694</v>
      </c>
      <c r="F494" s="13">
        <v>6457</v>
      </c>
      <c r="G494" s="14" t="s">
        <v>29</v>
      </c>
      <c r="H494" s="15">
        <v>11756</v>
      </c>
      <c r="I494" s="15">
        <v>445</v>
      </c>
      <c r="J494" s="15">
        <v>176</v>
      </c>
      <c r="K494" s="16">
        <v>12819</v>
      </c>
      <c r="L494" s="17">
        <f t="shared" si="35"/>
        <v>3.7853011228308947E-2</v>
      </c>
      <c r="M494" s="17">
        <f t="shared" si="35"/>
        <v>0.39550561797752809</v>
      </c>
      <c r="N494" s="18">
        <f t="shared" si="36"/>
        <v>17.265168539325842</v>
      </c>
      <c r="O494" s="18">
        <f t="shared" si="37"/>
        <v>43.653409090909093</v>
      </c>
      <c r="P494" s="17">
        <f t="shared" si="38"/>
        <v>1.1898714573331268</v>
      </c>
      <c r="Q494" s="17">
        <f t="shared" si="39"/>
        <v>1.6684888715345567</v>
      </c>
      <c r="R494" s="10" t="s">
        <v>1020</v>
      </c>
      <c r="S494" s="14" t="s">
        <v>26</v>
      </c>
      <c r="T494" s="14" t="s">
        <v>37</v>
      </c>
      <c r="U494" s="13">
        <v>7683</v>
      </c>
      <c r="V494" s="15">
        <v>3</v>
      </c>
      <c r="W494" s="9" t="str">
        <f>IF(Table1[[#This Row],[Satisfaction Rating]]&lt;2, "Low", IF(Table1[[#This Row],[Satisfaction Rating]]&lt;4, "Medium", "High"))</f>
        <v>Medium</v>
      </c>
    </row>
    <row r="495" spans="1:23" ht="14" x14ac:dyDescent="0.2">
      <c r="A495" s="10" t="s">
        <v>1021</v>
      </c>
      <c r="B495" s="11">
        <v>45501.856608796297</v>
      </c>
      <c r="C495" s="11">
        <v>45501.856608796297</v>
      </c>
      <c r="D495" s="11" t="str">
        <f>IF(Table1[[#This Row],[Duration of Campaign]]=0, "Ongoing","Completed")</f>
        <v>Ongoing</v>
      </c>
      <c r="E495" s="12">
        <f>Table1[[#This Row],[End Date]]-Table1[[#This Row],[Start Date]]</f>
        <v>0</v>
      </c>
      <c r="F495" s="13">
        <v>1007</v>
      </c>
      <c r="G495" s="14" t="s">
        <v>29</v>
      </c>
      <c r="H495" s="15">
        <v>18899</v>
      </c>
      <c r="I495" s="15">
        <v>763</v>
      </c>
      <c r="J495" s="15">
        <v>206</v>
      </c>
      <c r="K495" s="16">
        <v>2310</v>
      </c>
      <c r="L495" s="17">
        <f t="shared" si="35"/>
        <v>4.0372506481824437E-2</v>
      </c>
      <c r="M495" s="17">
        <f t="shared" si="35"/>
        <v>0.26998689384010482</v>
      </c>
      <c r="N495" s="18">
        <f t="shared" si="36"/>
        <v>12.330275229357799</v>
      </c>
      <c r="O495" s="18">
        <f t="shared" si="37"/>
        <v>45.66990291262136</v>
      </c>
      <c r="P495" s="17">
        <f t="shared" si="38"/>
        <v>9.3426017874875864</v>
      </c>
      <c r="Q495" s="17">
        <f t="shared" si="39"/>
        <v>0.24553571428571427</v>
      </c>
      <c r="R495" s="10" t="s">
        <v>1022</v>
      </c>
      <c r="S495" s="14" t="s">
        <v>26</v>
      </c>
      <c r="T495" s="14" t="s">
        <v>37</v>
      </c>
      <c r="U495" s="13">
        <v>9408</v>
      </c>
      <c r="V495" s="15">
        <v>3</v>
      </c>
      <c r="W495" s="9" t="str">
        <f>IF(Table1[[#This Row],[Satisfaction Rating]]&lt;2, "Low", IF(Table1[[#This Row],[Satisfaction Rating]]&lt;4, "Medium", "High"))</f>
        <v>Medium</v>
      </c>
    </row>
    <row r="496" spans="1:23" ht="14" x14ac:dyDescent="0.2">
      <c r="A496" s="10" t="s">
        <v>1023</v>
      </c>
      <c r="B496" s="11">
        <v>45467.683159722219</v>
      </c>
      <c r="C496" s="11">
        <v>45533.542002314818</v>
      </c>
      <c r="D496" s="11" t="str">
        <f>IF(Table1[[#This Row],[Duration of Campaign]]=0, "Ongoing","Completed")</f>
        <v>Completed</v>
      </c>
      <c r="E496" s="12">
        <f>Table1[[#This Row],[End Date]]-Table1[[#This Row],[Start Date]]</f>
        <v>65.858842592599103</v>
      </c>
      <c r="F496" s="13">
        <v>6025</v>
      </c>
      <c r="G496" s="14" t="s">
        <v>63</v>
      </c>
      <c r="H496" s="15">
        <v>6060</v>
      </c>
      <c r="I496" s="15">
        <v>1661</v>
      </c>
      <c r="J496" s="15">
        <v>357</v>
      </c>
      <c r="K496" s="16">
        <v>3817</v>
      </c>
      <c r="L496" s="17">
        <f t="shared" si="35"/>
        <v>0.2740924092409241</v>
      </c>
      <c r="M496" s="17">
        <f t="shared" si="35"/>
        <v>0.21493076459963878</v>
      </c>
      <c r="N496" s="18">
        <f t="shared" si="36"/>
        <v>5.9819385912101142</v>
      </c>
      <c r="O496" s="18">
        <f t="shared" si="37"/>
        <v>27.831932773109244</v>
      </c>
      <c r="P496" s="17">
        <f t="shared" si="38"/>
        <v>1.6491286307053943</v>
      </c>
      <c r="Q496" s="17">
        <f t="shared" si="39"/>
        <v>0.38415861513687599</v>
      </c>
      <c r="R496" s="10" t="s">
        <v>1024</v>
      </c>
      <c r="S496" s="14" t="s">
        <v>40</v>
      </c>
      <c r="T496" s="14" t="s">
        <v>55</v>
      </c>
      <c r="U496" s="13">
        <v>9936</v>
      </c>
      <c r="V496" s="15">
        <v>2</v>
      </c>
      <c r="W496" s="9" t="str">
        <f>IF(Table1[[#This Row],[Satisfaction Rating]]&lt;2, "Low", IF(Table1[[#This Row],[Satisfaction Rating]]&lt;4, "Medium", "High"))</f>
        <v>Medium</v>
      </c>
    </row>
    <row r="497" spans="1:23" ht="14" x14ac:dyDescent="0.2">
      <c r="A497" s="10" t="s">
        <v>1025</v>
      </c>
      <c r="B497" s="11">
        <v>45222.155011574076</v>
      </c>
      <c r="C497" s="11">
        <v>45222.155011574076</v>
      </c>
      <c r="D497" s="11" t="str">
        <f>IF(Table1[[#This Row],[Duration of Campaign]]=0, "Ongoing","Completed")</f>
        <v>Ongoing</v>
      </c>
      <c r="E497" s="12">
        <f>Table1[[#This Row],[End Date]]-Table1[[#This Row],[Start Date]]</f>
        <v>0</v>
      </c>
      <c r="F497" s="13">
        <v>8300</v>
      </c>
      <c r="G497" s="14" t="s">
        <v>63</v>
      </c>
      <c r="H497" s="15">
        <v>9577</v>
      </c>
      <c r="I497" s="15">
        <v>1023</v>
      </c>
      <c r="J497" s="15">
        <v>74</v>
      </c>
      <c r="K497" s="16">
        <v>10778</v>
      </c>
      <c r="L497" s="17">
        <f t="shared" si="35"/>
        <v>0.10681841912916362</v>
      </c>
      <c r="M497" s="17">
        <f t="shared" si="35"/>
        <v>7.2336265884652987E-2</v>
      </c>
      <c r="N497" s="18">
        <f t="shared" si="36"/>
        <v>4.021505376344086</v>
      </c>
      <c r="O497" s="18">
        <f t="shared" si="37"/>
        <v>55.594594594594597</v>
      </c>
      <c r="P497" s="17">
        <f t="shared" si="38"/>
        <v>0.49566265060240966</v>
      </c>
      <c r="Q497" s="17">
        <f t="shared" si="39"/>
        <v>2.6198347107438016</v>
      </c>
      <c r="R497" s="10" t="s">
        <v>1026</v>
      </c>
      <c r="S497" s="14" t="s">
        <v>40</v>
      </c>
      <c r="T497" s="14" t="s">
        <v>55</v>
      </c>
      <c r="U497" s="13">
        <v>4114</v>
      </c>
      <c r="V497" s="15">
        <v>1</v>
      </c>
      <c r="W497" s="9" t="str">
        <f>IF(Table1[[#This Row],[Satisfaction Rating]]&lt;2, "Low", IF(Table1[[#This Row],[Satisfaction Rating]]&lt;4, "Medium", "High"))</f>
        <v>Low</v>
      </c>
    </row>
    <row r="498" spans="1:23" ht="14" x14ac:dyDescent="0.2">
      <c r="A498" s="10" t="s">
        <v>1027</v>
      </c>
      <c r="B498" s="11">
        <v>45053.451053240744</v>
      </c>
      <c r="C498" s="11">
        <v>45291.504861111112</v>
      </c>
      <c r="D498" s="11" t="str">
        <f>IF(Table1[[#This Row],[Duration of Campaign]]=0, "Ongoing","Completed")</f>
        <v>Completed</v>
      </c>
      <c r="E498" s="12">
        <f>Table1[[#This Row],[End Date]]-Table1[[#This Row],[Start Date]]</f>
        <v>238.05380787036847</v>
      </c>
      <c r="F498" s="13">
        <v>3253</v>
      </c>
      <c r="G498" s="14" t="s">
        <v>24</v>
      </c>
      <c r="H498" s="15">
        <v>17667</v>
      </c>
      <c r="I498" s="15">
        <v>1885</v>
      </c>
      <c r="J498" s="15">
        <v>171</v>
      </c>
      <c r="K498" s="16">
        <v>1123</v>
      </c>
      <c r="L498" s="17">
        <f t="shared" si="35"/>
        <v>0.10669610007358352</v>
      </c>
      <c r="M498" s="17">
        <f t="shared" si="35"/>
        <v>9.0716180371352789E-2</v>
      </c>
      <c r="N498" s="18">
        <f t="shared" si="36"/>
        <v>10.508753315649868</v>
      </c>
      <c r="O498" s="18">
        <f t="shared" si="37"/>
        <v>115.84210526315789</v>
      </c>
      <c r="P498" s="17">
        <f t="shared" si="38"/>
        <v>6.0894558868736555</v>
      </c>
      <c r="Q498" s="17">
        <f t="shared" si="39"/>
        <v>5.6691402897672778E-2</v>
      </c>
      <c r="R498" s="10" t="s">
        <v>1028</v>
      </c>
      <c r="S498" s="14" t="s">
        <v>40</v>
      </c>
      <c r="T498" s="14" t="s">
        <v>55</v>
      </c>
      <c r="U498" s="13">
        <v>19809</v>
      </c>
      <c r="V498" s="15">
        <v>3</v>
      </c>
      <c r="W498" s="9" t="str">
        <f>IF(Table1[[#This Row],[Satisfaction Rating]]&lt;2, "Low", IF(Table1[[#This Row],[Satisfaction Rating]]&lt;4, "Medium", "High"))</f>
        <v>Medium</v>
      </c>
    </row>
    <row r="499" spans="1:23" ht="14" x14ac:dyDescent="0.2">
      <c r="A499" s="10" t="s">
        <v>1029</v>
      </c>
      <c r="B499" s="11">
        <v>45223.817569444444</v>
      </c>
      <c r="C499" s="11">
        <v>45381.009166666663</v>
      </c>
      <c r="D499" s="11" t="str">
        <f>IF(Table1[[#This Row],[Duration of Campaign]]=0, "Ongoing","Completed")</f>
        <v>Completed</v>
      </c>
      <c r="E499" s="12">
        <f>Table1[[#This Row],[End Date]]-Table1[[#This Row],[Start Date]]</f>
        <v>157.19159722221957</v>
      </c>
      <c r="F499" s="13">
        <v>1009</v>
      </c>
      <c r="G499" s="14" t="s">
        <v>63</v>
      </c>
      <c r="H499" s="15">
        <v>5575</v>
      </c>
      <c r="I499" s="15">
        <v>1821</v>
      </c>
      <c r="J499" s="15">
        <v>471</v>
      </c>
      <c r="K499" s="16">
        <v>5890</v>
      </c>
      <c r="L499" s="17">
        <f t="shared" si="35"/>
        <v>0.32663677130044844</v>
      </c>
      <c r="M499" s="17">
        <f t="shared" si="35"/>
        <v>0.25864909390444812</v>
      </c>
      <c r="N499" s="18">
        <f t="shared" si="36"/>
        <v>3.4695222405271831</v>
      </c>
      <c r="O499" s="18">
        <f t="shared" si="37"/>
        <v>13.414012738853502</v>
      </c>
      <c r="P499" s="17">
        <f t="shared" si="38"/>
        <v>6.2616451932606543</v>
      </c>
      <c r="Q499" s="17">
        <f t="shared" si="39"/>
        <v>0.93225704336815451</v>
      </c>
      <c r="R499" s="10" t="s">
        <v>1030</v>
      </c>
      <c r="S499" s="14" t="s">
        <v>45</v>
      </c>
      <c r="T499" s="14" t="s">
        <v>27</v>
      </c>
      <c r="U499" s="13">
        <v>6318</v>
      </c>
      <c r="V499" s="15">
        <v>3</v>
      </c>
      <c r="W499" s="9" t="str">
        <f>IF(Table1[[#This Row],[Satisfaction Rating]]&lt;2, "Low", IF(Table1[[#This Row],[Satisfaction Rating]]&lt;4, "Medium", "High"))</f>
        <v>Medium</v>
      </c>
    </row>
    <row r="500" spans="1:23" ht="14" x14ac:dyDescent="0.2">
      <c r="A500" s="10" t="s">
        <v>1031</v>
      </c>
      <c r="B500" s="11">
        <v>45535.577002314814</v>
      </c>
      <c r="C500" s="11">
        <v>45535.577002314814</v>
      </c>
      <c r="D500" s="11" t="str">
        <f>IF(Table1[[#This Row],[Duration of Campaign]]=0, "Ongoing","Completed")</f>
        <v>Ongoing</v>
      </c>
      <c r="E500" s="12">
        <f>Table1[[#This Row],[End Date]]-Table1[[#This Row],[Start Date]]</f>
        <v>0</v>
      </c>
      <c r="F500" s="13">
        <v>6814</v>
      </c>
      <c r="G500" s="14" t="s">
        <v>24</v>
      </c>
      <c r="H500" s="15">
        <v>10040</v>
      </c>
      <c r="I500" s="15">
        <v>1601</v>
      </c>
      <c r="J500" s="15">
        <v>329</v>
      </c>
      <c r="K500" s="16">
        <v>13398</v>
      </c>
      <c r="L500" s="17">
        <f t="shared" si="35"/>
        <v>0.15946215139442232</v>
      </c>
      <c r="M500" s="17">
        <f t="shared" si="35"/>
        <v>0.20549656464709556</v>
      </c>
      <c r="N500" s="18">
        <f t="shared" si="36"/>
        <v>9.872579637726421</v>
      </c>
      <c r="O500" s="18">
        <f t="shared" si="37"/>
        <v>48.042553191489361</v>
      </c>
      <c r="P500" s="17">
        <f t="shared" si="38"/>
        <v>2.3196360434399765</v>
      </c>
      <c r="Q500" s="17">
        <f t="shared" si="39"/>
        <v>0.84765279007971661</v>
      </c>
      <c r="R500" s="10" t="s">
        <v>1032</v>
      </c>
      <c r="S500" s="14" t="s">
        <v>26</v>
      </c>
      <c r="T500" s="14" t="s">
        <v>27</v>
      </c>
      <c r="U500" s="13">
        <v>15806</v>
      </c>
      <c r="V500" s="15">
        <v>2</v>
      </c>
      <c r="W500" s="9" t="str">
        <f>IF(Table1[[#This Row],[Satisfaction Rating]]&lt;2, "Low", IF(Table1[[#This Row],[Satisfaction Rating]]&lt;4, "Medium", "High"))</f>
        <v>Medium</v>
      </c>
    </row>
    <row r="501" spans="1:23" ht="14" x14ac:dyDescent="0.2">
      <c r="A501" s="10" t="s">
        <v>1033</v>
      </c>
      <c r="B501" s="11">
        <v>45107.965567129628</v>
      </c>
      <c r="C501" s="11">
        <v>45637.8984375</v>
      </c>
      <c r="D501" s="11" t="str">
        <f>IF(Table1[[#This Row],[Duration of Campaign]]=0, "Ongoing","Completed")</f>
        <v>Completed</v>
      </c>
      <c r="E501" s="12">
        <f>Table1[[#This Row],[End Date]]-Table1[[#This Row],[Start Date]]</f>
        <v>529.93287037037226</v>
      </c>
      <c r="F501" s="13">
        <v>6018</v>
      </c>
      <c r="G501" s="14" t="s">
        <v>63</v>
      </c>
      <c r="H501" s="15">
        <v>14252</v>
      </c>
      <c r="I501" s="15">
        <v>159</v>
      </c>
      <c r="J501" s="15">
        <v>244</v>
      </c>
      <c r="K501" s="16">
        <v>6141</v>
      </c>
      <c r="L501" s="17">
        <f t="shared" si="35"/>
        <v>1.1156328936289643E-2</v>
      </c>
      <c r="M501" s="17">
        <f t="shared" si="35"/>
        <v>1.5345911949685536</v>
      </c>
      <c r="N501" s="18">
        <f t="shared" si="36"/>
        <v>113.57232704402516</v>
      </c>
      <c r="O501" s="18">
        <f t="shared" si="37"/>
        <v>74.008196721311478</v>
      </c>
      <c r="P501" s="17">
        <f t="shared" si="38"/>
        <v>3.0006646726487207</v>
      </c>
      <c r="Q501" s="17">
        <f t="shared" si="39"/>
        <v>0.34007088271126373</v>
      </c>
      <c r="R501" s="10" t="s">
        <v>1034</v>
      </c>
      <c r="S501" s="14" t="s">
        <v>34</v>
      </c>
      <c r="T501" s="14" t="s">
        <v>37</v>
      </c>
      <c r="U501" s="13">
        <v>18058</v>
      </c>
      <c r="V501" s="15">
        <v>2</v>
      </c>
      <c r="W501" s="9" t="str">
        <f>IF(Table1[[#This Row],[Satisfaction Rating]]&lt;2, "Low", IF(Table1[[#This Row],[Satisfaction Rating]]&lt;4, "Medium", "High"))</f>
        <v>Medium</v>
      </c>
    </row>
    <row r="502" spans="1:23" ht="14" x14ac:dyDescent="0.2">
      <c r="A502" s="10" t="s">
        <v>1035</v>
      </c>
      <c r="B502" s="11">
        <v>45146.511446759258</v>
      </c>
      <c r="C502" s="11">
        <v>45146.511446759258</v>
      </c>
      <c r="D502" s="11" t="str">
        <f>IF(Table1[[#This Row],[Duration of Campaign]]=0, "Ongoing","Completed")</f>
        <v>Ongoing</v>
      </c>
      <c r="E502" s="12">
        <f>Table1[[#This Row],[End Date]]-Table1[[#This Row],[Start Date]]</f>
        <v>0</v>
      </c>
      <c r="F502" s="13">
        <v>1891</v>
      </c>
      <c r="G502" s="14" t="s">
        <v>47</v>
      </c>
      <c r="H502" s="15">
        <v>2885</v>
      </c>
      <c r="I502" s="15">
        <v>191</v>
      </c>
      <c r="J502" s="15">
        <v>374</v>
      </c>
      <c r="K502" s="16">
        <v>12103</v>
      </c>
      <c r="L502" s="17">
        <f t="shared" si="35"/>
        <v>6.6204506065857885E-2</v>
      </c>
      <c r="M502" s="17">
        <f t="shared" si="35"/>
        <v>1.9581151832460733</v>
      </c>
      <c r="N502" s="18">
        <f t="shared" si="36"/>
        <v>88.8848167539267</v>
      </c>
      <c r="O502" s="18">
        <f t="shared" si="37"/>
        <v>45.393048128342244</v>
      </c>
      <c r="P502" s="17">
        <f t="shared" si="38"/>
        <v>8.9777895293495504</v>
      </c>
      <c r="Q502" s="17">
        <f t="shared" si="39"/>
        <v>0.71290569594156805</v>
      </c>
      <c r="R502" s="10" t="s">
        <v>1036</v>
      </c>
      <c r="S502" s="14" t="s">
        <v>31</v>
      </c>
      <c r="T502" s="14" t="s">
        <v>55</v>
      </c>
      <c r="U502" s="13">
        <v>16977</v>
      </c>
      <c r="V502" s="15">
        <v>2</v>
      </c>
      <c r="W502" s="9" t="str">
        <f>IF(Table1[[#This Row],[Satisfaction Rating]]&lt;2, "Low", IF(Table1[[#This Row],[Satisfaction Rating]]&lt;4, "Medium", "High"))</f>
        <v>Medium</v>
      </c>
    </row>
    <row r="503" spans="1:23" ht="14" x14ac:dyDescent="0.2">
      <c r="A503" s="10" t="s">
        <v>1037</v>
      </c>
      <c r="B503" s="11">
        <v>45418.732638888891</v>
      </c>
      <c r="C503" s="11">
        <v>45423.197812500002</v>
      </c>
      <c r="D503" s="11" t="str">
        <f>IF(Table1[[#This Row],[Duration of Campaign]]=0, "Ongoing","Completed")</f>
        <v>Completed</v>
      </c>
      <c r="E503" s="12">
        <f>Table1[[#This Row],[End Date]]-Table1[[#This Row],[Start Date]]</f>
        <v>4.4651736111118225</v>
      </c>
      <c r="F503" s="13">
        <v>8866</v>
      </c>
      <c r="G503" s="14" t="s">
        <v>29</v>
      </c>
      <c r="H503" s="15">
        <v>18338</v>
      </c>
      <c r="I503" s="15">
        <v>1112</v>
      </c>
      <c r="J503" s="15">
        <v>135</v>
      </c>
      <c r="K503" s="16">
        <v>14936</v>
      </c>
      <c r="L503" s="17">
        <f t="shared" si="35"/>
        <v>6.0639110044715894E-2</v>
      </c>
      <c r="M503" s="17">
        <f t="shared" si="35"/>
        <v>0.12140287769784172</v>
      </c>
      <c r="N503" s="18">
        <f t="shared" si="36"/>
        <v>17.855215827338128</v>
      </c>
      <c r="O503" s="18">
        <f t="shared" si="37"/>
        <v>147.07407407407408</v>
      </c>
      <c r="P503" s="17">
        <f t="shared" si="38"/>
        <v>2.2394540942928041</v>
      </c>
      <c r="Q503" s="17">
        <f t="shared" si="39"/>
        <v>0.75225384034248299</v>
      </c>
      <c r="R503" s="10" t="s">
        <v>1038</v>
      </c>
      <c r="S503" s="14" t="s">
        <v>40</v>
      </c>
      <c r="T503" s="14" t="s">
        <v>55</v>
      </c>
      <c r="U503" s="13">
        <v>19855</v>
      </c>
      <c r="V503" s="15">
        <v>1</v>
      </c>
      <c r="W503" s="9" t="str">
        <f>IF(Table1[[#This Row],[Satisfaction Rating]]&lt;2, "Low", IF(Table1[[#This Row],[Satisfaction Rating]]&lt;4, "Medium", "High"))</f>
        <v>Low</v>
      </c>
    </row>
    <row r="504" spans="1:23" ht="14" x14ac:dyDescent="0.2">
      <c r="A504" s="10" t="s">
        <v>1039</v>
      </c>
      <c r="B504" s="11">
        <v>45170.039583333331</v>
      </c>
      <c r="C504" s="11">
        <v>45522.940821759257</v>
      </c>
      <c r="D504" s="11" t="str">
        <f>IF(Table1[[#This Row],[Duration of Campaign]]=0, "Ongoing","Completed")</f>
        <v>Completed</v>
      </c>
      <c r="E504" s="12">
        <f>Table1[[#This Row],[End Date]]-Table1[[#This Row],[Start Date]]</f>
        <v>352.90123842592584</v>
      </c>
      <c r="F504" s="13">
        <v>7334</v>
      </c>
      <c r="G504" s="14" t="s">
        <v>47</v>
      </c>
      <c r="H504" s="15">
        <v>13655</v>
      </c>
      <c r="I504" s="15">
        <v>923</v>
      </c>
      <c r="J504" s="15">
        <v>141</v>
      </c>
      <c r="K504" s="16">
        <v>2130</v>
      </c>
      <c r="L504" s="17">
        <f t="shared" si="35"/>
        <v>6.7594287806664224E-2</v>
      </c>
      <c r="M504" s="17">
        <f t="shared" si="35"/>
        <v>0.15276273022751896</v>
      </c>
      <c r="N504" s="18">
        <f t="shared" si="36"/>
        <v>8.1148429035752976</v>
      </c>
      <c r="O504" s="18">
        <f t="shared" si="37"/>
        <v>53.120567375886523</v>
      </c>
      <c r="P504" s="17">
        <f t="shared" si="38"/>
        <v>1.0212707935642213</v>
      </c>
      <c r="Q504" s="17">
        <f t="shared" si="39"/>
        <v>0.28437917222963954</v>
      </c>
      <c r="R504" s="10" t="s">
        <v>1040</v>
      </c>
      <c r="S504" s="14" t="s">
        <v>40</v>
      </c>
      <c r="T504" s="14" t="s">
        <v>55</v>
      </c>
      <c r="U504" s="13">
        <v>7490</v>
      </c>
      <c r="V504" s="15">
        <v>1</v>
      </c>
      <c r="W504" s="9" t="str">
        <f>IF(Table1[[#This Row],[Satisfaction Rating]]&lt;2, "Low", IF(Table1[[#This Row],[Satisfaction Rating]]&lt;4, "Medium", "High"))</f>
        <v>Low</v>
      </c>
    </row>
    <row r="505" spans="1:23" ht="14" x14ac:dyDescent="0.2">
      <c r="A505" s="10" t="s">
        <v>1041</v>
      </c>
      <c r="B505" s="11">
        <v>44941.441099537034</v>
      </c>
      <c r="C505" s="11">
        <v>45537.281875000001</v>
      </c>
      <c r="D505" s="11" t="str">
        <f>IF(Table1[[#This Row],[Duration of Campaign]]=0, "Ongoing","Completed")</f>
        <v>Completed</v>
      </c>
      <c r="E505" s="12">
        <f>Table1[[#This Row],[End Date]]-Table1[[#This Row],[Start Date]]</f>
        <v>595.84077546296612</v>
      </c>
      <c r="F505" s="13">
        <v>6194</v>
      </c>
      <c r="G505" s="14" t="s">
        <v>29</v>
      </c>
      <c r="H505" s="15">
        <v>16206</v>
      </c>
      <c r="I505" s="15">
        <v>656</v>
      </c>
      <c r="J505" s="15">
        <v>333</v>
      </c>
      <c r="K505" s="16">
        <v>2214</v>
      </c>
      <c r="L505" s="17">
        <f t="shared" si="35"/>
        <v>4.0478834999382943E-2</v>
      </c>
      <c r="M505" s="17">
        <f t="shared" si="35"/>
        <v>0.50762195121951215</v>
      </c>
      <c r="N505" s="18">
        <f t="shared" si="36"/>
        <v>23.434451219512194</v>
      </c>
      <c r="O505" s="18">
        <f t="shared" si="37"/>
        <v>46.165165165165163</v>
      </c>
      <c r="P505" s="17">
        <f t="shared" si="38"/>
        <v>2.4819179851469162</v>
      </c>
      <c r="Q505" s="17">
        <f t="shared" si="39"/>
        <v>0.14401873414427893</v>
      </c>
      <c r="R505" s="10" t="s">
        <v>1042</v>
      </c>
      <c r="S505" s="14" t="s">
        <v>34</v>
      </c>
      <c r="T505" s="14" t="s">
        <v>37</v>
      </c>
      <c r="U505" s="13">
        <v>15373</v>
      </c>
      <c r="V505" s="15">
        <v>4</v>
      </c>
      <c r="W505" s="9" t="str">
        <f>IF(Table1[[#This Row],[Satisfaction Rating]]&lt;2, "Low", IF(Table1[[#This Row],[Satisfaction Rating]]&lt;4, "Medium", "High"))</f>
        <v>High</v>
      </c>
    </row>
    <row r="506" spans="1:23" ht="14" x14ac:dyDescent="0.2">
      <c r="A506" s="10" t="s">
        <v>1043</v>
      </c>
      <c r="B506" s="11">
        <v>45091.524178240739</v>
      </c>
      <c r="C506" s="11">
        <v>45091.524178240739</v>
      </c>
      <c r="D506" s="11" t="str">
        <f>IF(Table1[[#This Row],[Duration of Campaign]]=0, "Ongoing","Completed")</f>
        <v>Ongoing</v>
      </c>
      <c r="E506" s="12">
        <f>Table1[[#This Row],[End Date]]-Table1[[#This Row],[Start Date]]</f>
        <v>0</v>
      </c>
      <c r="F506" s="13">
        <v>5752</v>
      </c>
      <c r="G506" s="14" t="s">
        <v>47</v>
      </c>
      <c r="H506" s="15">
        <v>7246</v>
      </c>
      <c r="I506" s="15">
        <v>1473</v>
      </c>
      <c r="J506" s="15">
        <v>457</v>
      </c>
      <c r="K506" s="16">
        <v>12270</v>
      </c>
      <c r="L506" s="17">
        <f t="shared" si="35"/>
        <v>0.20328457079768147</v>
      </c>
      <c r="M506" s="17">
        <f t="shared" si="35"/>
        <v>0.31025118805159541</v>
      </c>
      <c r="N506" s="18">
        <f t="shared" si="36"/>
        <v>3.9375424304141209</v>
      </c>
      <c r="O506" s="18">
        <f t="shared" si="37"/>
        <v>12.691466083150985</v>
      </c>
      <c r="P506" s="17">
        <f t="shared" si="38"/>
        <v>1.0083449235048678</v>
      </c>
      <c r="Q506" s="17">
        <f t="shared" si="39"/>
        <v>2.1155172413793104</v>
      </c>
      <c r="R506" s="10" t="s">
        <v>1044</v>
      </c>
      <c r="S506" s="14" t="s">
        <v>45</v>
      </c>
      <c r="T506" s="14" t="s">
        <v>55</v>
      </c>
      <c r="U506" s="13">
        <v>5800</v>
      </c>
      <c r="V506" s="15">
        <v>5</v>
      </c>
      <c r="W506" s="9" t="str">
        <f>IF(Table1[[#This Row],[Satisfaction Rating]]&lt;2, "Low", IF(Table1[[#This Row],[Satisfaction Rating]]&lt;4, "Medium", "High"))</f>
        <v>High</v>
      </c>
    </row>
    <row r="507" spans="1:23" ht="14" x14ac:dyDescent="0.2">
      <c r="A507" s="10" t="s">
        <v>1045</v>
      </c>
      <c r="B507" s="11">
        <v>45627.183854166666</v>
      </c>
      <c r="C507" s="11">
        <v>45627.183854166666</v>
      </c>
      <c r="D507" s="11" t="str">
        <f>IF(Table1[[#This Row],[Duration of Campaign]]=0, "Ongoing","Completed")</f>
        <v>Ongoing</v>
      </c>
      <c r="E507" s="12">
        <f>Table1[[#This Row],[End Date]]-Table1[[#This Row],[Start Date]]</f>
        <v>0</v>
      </c>
      <c r="F507" s="13">
        <v>7455</v>
      </c>
      <c r="G507" s="14" t="s">
        <v>24</v>
      </c>
      <c r="H507" s="15">
        <v>11448</v>
      </c>
      <c r="I507" s="15">
        <v>1985</v>
      </c>
      <c r="J507" s="15">
        <v>468</v>
      </c>
      <c r="K507" s="16">
        <v>12153</v>
      </c>
      <c r="L507" s="17">
        <f t="shared" si="35"/>
        <v>0.1733927323549965</v>
      </c>
      <c r="M507" s="17">
        <f t="shared" si="35"/>
        <v>0.23576826196473552</v>
      </c>
      <c r="N507" s="18">
        <f t="shared" si="36"/>
        <v>1.8201511335012595</v>
      </c>
      <c r="O507" s="18">
        <f t="shared" si="37"/>
        <v>7.7200854700854702</v>
      </c>
      <c r="P507" s="17">
        <f t="shared" si="38"/>
        <v>0.48464118041582832</v>
      </c>
      <c r="Q507" s="17">
        <f t="shared" si="39"/>
        <v>3.3636866869637418</v>
      </c>
      <c r="R507" s="10" t="s">
        <v>1046</v>
      </c>
      <c r="S507" s="14" t="s">
        <v>26</v>
      </c>
      <c r="T507" s="14" t="s">
        <v>37</v>
      </c>
      <c r="U507" s="13">
        <v>3613</v>
      </c>
      <c r="V507" s="15">
        <v>4</v>
      </c>
      <c r="W507" s="9" t="str">
        <f>IF(Table1[[#This Row],[Satisfaction Rating]]&lt;2, "Low", IF(Table1[[#This Row],[Satisfaction Rating]]&lt;4, "Medium", "High"))</f>
        <v>High</v>
      </c>
    </row>
    <row r="508" spans="1:23" ht="14" x14ac:dyDescent="0.2">
      <c r="A508" s="10" t="s">
        <v>1047</v>
      </c>
      <c r="B508" s="11">
        <v>45628.903449074074</v>
      </c>
      <c r="C508" s="11">
        <v>45628.903449074074</v>
      </c>
      <c r="D508" s="11" t="str">
        <f>IF(Table1[[#This Row],[Duration of Campaign]]=0, "Ongoing","Completed")</f>
        <v>Ongoing</v>
      </c>
      <c r="E508" s="12">
        <f>Table1[[#This Row],[End Date]]-Table1[[#This Row],[Start Date]]</f>
        <v>0</v>
      </c>
      <c r="F508" s="13">
        <v>6534</v>
      </c>
      <c r="G508" s="14" t="s">
        <v>63</v>
      </c>
      <c r="H508" s="15">
        <v>5437</v>
      </c>
      <c r="I508" s="15">
        <v>1983</v>
      </c>
      <c r="J508" s="15">
        <v>254</v>
      </c>
      <c r="K508" s="16">
        <v>5708</v>
      </c>
      <c r="L508" s="17">
        <f t="shared" si="35"/>
        <v>0.36472319293728162</v>
      </c>
      <c r="M508" s="17">
        <f t="shared" si="35"/>
        <v>0.12808875441250631</v>
      </c>
      <c r="N508" s="18">
        <f t="shared" si="36"/>
        <v>8.0741301059001511</v>
      </c>
      <c r="O508" s="18">
        <f t="shared" si="37"/>
        <v>63.035433070866141</v>
      </c>
      <c r="P508" s="17">
        <f t="shared" si="38"/>
        <v>2.450413223140496</v>
      </c>
      <c r="Q508" s="17">
        <f t="shared" si="39"/>
        <v>0.3565049028792705</v>
      </c>
      <c r="R508" s="10" t="s">
        <v>1048</v>
      </c>
      <c r="S508" s="14" t="s">
        <v>31</v>
      </c>
      <c r="T508" s="14" t="s">
        <v>37</v>
      </c>
      <c r="U508" s="13">
        <v>16011</v>
      </c>
      <c r="V508" s="15">
        <v>3</v>
      </c>
      <c r="W508" s="9" t="str">
        <f>IF(Table1[[#This Row],[Satisfaction Rating]]&lt;2, "Low", IF(Table1[[#This Row],[Satisfaction Rating]]&lt;4, "Medium", "High"))</f>
        <v>Medium</v>
      </c>
    </row>
    <row r="509" spans="1:23" ht="14" x14ac:dyDescent="0.2">
      <c r="A509" s="10" t="s">
        <v>1049</v>
      </c>
      <c r="B509" s="11">
        <v>45166.590671296297</v>
      </c>
      <c r="C509" s="11">
        <v>45166.590671296297</v>
      </c>
      <c r="D509" s="11" t="str">
        <f>IF(Table1[[#This Row],[Duration of Campaign]]=0, "Ongoing","Completed")</f>
        <v>Ongoing</v>
      </c>
      <c r="E509" s="12">
        <f>Table1[[#This Row],[End Date]]-Table1[[#This Row],[Start Date]]</f>
        <v>0</v>
      </c>
      <c r="F509" s="13">
        <v>6970</v>
      </c>
      <c r="G509" s="14" t="s">
        <v>29</v>
      </c>
      <c r="H509" s="15">
        <v>2589</v>
      </c>
      <c r="I509" s="15">
        <v>647</v>
      </c>
      <c r="J509" s="15">
        <v>394</v>
      </c>
      <c r="K509" s="16">
        <v>13861</v>
      </c>
      <c r="L509" s="17">
        <f t="shared" si="35"/>
        <v>0.24990343762070297</v>
      </c>
      <c r="M509" s="17">
        <f t="shared" si="35"/>
        <v>0.60896445131375576</v>
      </c>
      <c r="N509" s="18">
        <f t="shared" si="36"/>
        <v>6.3493044822256568</v>
      </c>
      <c r="O509" s="18">
        <f t="shared" si="37"/>
        <v>10.426395939086294</v>
      </c>
      <c r="P509" s="17">
        <f t="shared" si="38"/>
        <v>0.58938307030129122</v>
      </c>
      <c r="Q509" s="17">
        <f t="shared" si="39"/>
        <v>3.3741480038948395</v>
      </c>
      <c r="R509" s="10" t="s">
        <v>1050</v>
      </c>
      <c r="S509" s="14" t="s">
        <v>40</v>
      </c>
      <c r="T509" s="14" t="s">
        <v>37</v>
      </c>
      <c r="U509" s="13">
        <v>4108</v>
      </c>
      <c r="V509" s="15">
        <v>3</v>
      </c>
      <c r="W509" s="9" t="str">
        <f>IF(Table1[[#This Row],[Satisfaction Rating]]&lt;2, "Low", IF(Table1[[#This Row],[Satisfaction Rating]]&lt;4, "Medium", "High"))</f>
        <v>Medium</v>
      </c>
    </row>
    <row r="510" spans="1:23" ht="14" x14ac:dyDescent="0.2">
      <c r="A510" s="10" t="s">
        <v>1051</v>
      </c>
      <c r="B510" s="11">
        <v>45297.266064814816</v>
      </c>
      <c r="C510" s="11">
        <v>45619.582094907404</v>
      </c>
      <c r="D510" s="11" t="str">
        <f>IF(Table1[[#This Row],[Duration of Campaign]]=0, "Ongoing","Completed")</f>
        <v>Completed</v>
      </c>
      <c r="E510" s="12">
        <f>Table1[[#This Row],[End Date]]-Table1[[#This Row],[Start Date]]</f>
        <v>322.31603009258833</v>
      </c>
      <c r="F510" s="13">
        <v>6373</v>
      </c>
      <c r="G510" s="14" t="s">
        <v>29</v>
      </c>
      <c r="H510" s="15">
        <v>17272</v>
      </c>
      <c r="I510" s="15">
        <v>242</v>
      </c>
      <c r="J510" s="15">
        <v>132</v>
      </c>
      <c r="K510" s="16">
        <v>3430</v>
      </c>
      <c r="L510" s="17">
        <f t="shared" si="35"/>
        <v>1.4011116257526633E-2</v>
      </c>
      <c r="M510" s="17">
        <f t="shared" si="35"/>
        <v>0.54545454545454541</v>
      </c>
      <c r="N510" s="18">
        <f t="shared" si="36"/>
        <v>46.607438016528924</v>
      </c>
      <c r="O510" s="18">
        <f t="shared" si="37"/>
        <v>85.446969696969703</v>
      </c>
      <c r="P510" s="17">
        <f t="shared" si="38"/>
        <v>1.769810136513416</v>
      </c>
      <c r="Q510" s="17">
        <f t="shared" si="39"/>
        <v>0.30410497384519902</v>
      </c>
      <c r="R510" s="10" t="s">
        <v>1052</v>
      </c>
      <c r="S510" s="14" t="s">
        <v>40</v>
      </c>
      <c r="T510" s="14" t="s">
        <v>27</v>
      </c>
      <c r="U510" s="13">
        <v>11279</v>
      </c>
      <c r="V510" s="15">
        <v>1</v>
      </c>
      <c r="W510" s="9" t="str">
        <f>IF(Table1[[#This Row],[Satisfaction Rating]]&lt;2, "Low", IF(Table1[[#This Row],[Satisfaction Rating]]&lt;4, "Medium", "High"))</f>
        <v>Low</v>
      </c>
    </row>
    <row r="511" spans="1:23" ht="14" x14ac:dyDescent="0.2">
      <c r="A511" s="10" t="s">
        <v>1053</v>
      </c>
      <c r="B511" s="11">
        <v>45130.617939814816</v>
      </c>
      <c r="C511" s="11">
        <v>45130.617939814816</v>
      </c>
      <c r="D511" s="11" t="str">
        <f>IF(Table1[[#This Row],[Duration of Campaign]]=0, "Ongoing","Completed")</f>
        <v>Ongoing</v>
      </c>
      <c r="E511" s="12">
        <f>Table1[[#This Row],[End Date]]-Table1[[#This Row],[Start Date]]</f>
        <v>0</v>
      </c>
      <c r="F511" s="13">
        <v>2513</v>
      </c>
      <c r="G511" s="14" t="s">
        <v>29</v>
      </c>
      <c r="H511" s="15">
        <v>7506</v>
      </c>
      <c r="I511" s="15">
        <v>1882</v>
      </c>
      <c r="J511" s="15">
        <v>116</v>
      </c>
      <c r="K511" s="16">
        <v>8025</v>
      </c>
      <c r="L511" s="17">
        <f t="shared" si="35"/>
        <v>0.25073274713562482</v>
      </c>
      <c r="M511" s="17">
        <f t="shared" si="35"/>
        <v>6.1636556854410204E-2</v>
      </c>
      <c r="N511" s="18">
        <f t="shared" si="36"/>
        <v>0.75823591923485656</v>
      </c>
      <c r="O511" s="18">
        <f t="shared" si="37"/>
        <v>12.301724137931034</v>
      </c>
      <c r="P511" s="17">
        <f t="shared" si="38"/>
        <v>0.5678471945881417</v>
      </c>
      <c r="Q511" s="17">
        <f t="shared" si="39"/>
        <v>5.6236860546601264</v>
      </c>
      <c r="R511" s="10" t="s">
        <v>1054</v>
      </c>
      <c r="S511" s="14" t="s">
        <v>31</v>
      </c>
      <c r="T511" s="14" t="s">
        <v>37</v>
      </c>
      <c r="U511" s="13">
        <v>1427</v>
      </c>
      <c r="V511" s="15">
        <v>2</v>
      </c>
      <c r="W511" s="9" t="str">
        <f>IF(Table1[[#This Row],[Satisfaction Rating]]&lt;2, "Low", IF(Table1[[#This Row],[Satisfaction Rating]]&lt;4, "Medium", "High"))</f>
        <v>Medium</v>
      </c>
    </row>
    <row r="512" spans="1:23" ht="14" x14ac:dyDescent="0.2">
      <c r="A512" s="10" t="s">
        <v>1055</v>
      </c>
      <c r="B512" s="11">
        <v>44988.012013888889</v>
      </c>
      <c r="C512" s="11">
        <v>45529.678622685184</v>
      </c>
      <c r="D512" s="11" t="str">
        <f>IF(Table1[[#This Row],[Duration of Campaign]]=0, "Ongoing","Completed")</f>
        <v>Completed</v>
      </c>
      <c r="E512" s="12">
        <f>Table1[[#This Row],[End Date]]-Table1[[#This Row],[Start Date]]</f>
        <v>541.6666087962949</v>
      </c>
      <c r="F512" s="13">
        <v>4832</v>
      </c>
      <c r="G512" s="14" t="s">
        <v>63</v>
      </c>
      <c r="H512" s="15">
        <v>5363</v>
      </c>
      <c r="I512" s="15">
        <v>648</v>
      </c>
      <c r="J512" s="15">
        <v>80</v>
      </c>
      <c r="K512" s="16">
        <v>3512</v>
      </c>
      <c r="L512" s="17">
        <f t="shared" si="35"/>
        <v>0.12082789483498042</v>
      </c>
      <c r="M512" s="17">
        <f t="shared" si="35"/>
        <v>0.12345679012345678</v>
      </c>
      <c r="N512" s="18">
        <f t="shared" si="36"/>
        <v>13.049382716049383</v>
      </c>
      <c r="O512" s="18">
        <f t="shared" si="37"/>
        <v>105.7</v>
      </c>
      <c r="P512" s="17">
        <f t="shared" si="38"/>
        <v>1.75</v>
      </c>
      <c r="Q512" s="17">
        <f t="shared" si="39"/>
        <v>0.41532639545884581</v>
      </c>
      <c r="R512" s="10" t="s">
        <v>1056</v>
      </c>
      <c r="S512" s="14" t="s">
        <v>31</v>
      </c>
      <c r="T512" s="14" t="s">
        <v>27</v>
      </c>
      <c r="U512" s="13">
        <v>8456</v>
      </c>
      <c r="V512" s="15">
        <v>1</v>
      </c>
      <c r="W512" s="9" t="str">
        <f>IF(Table1[[#This Row],[Satisfaction Rating]]&lt;2, "Low", IF(Table1[[#This Row],[Satisfaction Rating]]&lt;4, "Medium", "High"))</f>
        <v>Low</v>
      </c>
    </row>
    <row r="513" spans="1:23" ht="14" x14ac:dyDescent="0.2">
      <c r="A513" s="10" t="s">
        <v>1057</v>
      </c>
      <c r="B513" s="11">
        <v>45440.752581018518</v>
      </c>
      <c r="C513" s="11">
        <v>45606.099872685183</v>
      </c>
      <c r="D513" s="11" t="str">
        <f>IF(Table1[[#This Row],[Duration of Campaign]]=0, "Ongoing","Completed")</f>
        <v>Completed</v>
      </c>
      <c r="E513" s="12">
        <f>Table1[[#This Row],[End Date]]-Table1[[#This Row],[Start Date]]</f>
        <v>165.34729166666511</v>
      </c>
      <c r="F513" s="13">
        <v>1911</v>
      </c>
      <c r="G513" s="14" t="s">
        <v>29</v>
      </c>
      <c r="H513" s="15">
        <v>17644</v>
      </c>
      <c r="I513" s="15">
        <v>1070</v>
      </c>
      <c r="J513" s="15">
        <v>57</v>
      </c>
      <c r="K513" s="16">
        <v>10082</v>
      </c>
      <c r="L513" s="17">
        <f t="shared" si="35"/>
        <v>6.0643844933121742E-2</v>
      </c>
      <c r="M513" s="17">
        <f t="shared" si="35"/>
        <v>5.3271028037383178E-2</v>
      </c>
      <c r="N513" s="18">
        <f t="shared" si="36"/>
        <v>1.4233644859813084</v>
      </c>
      <c r="O513" s="18">
        <f t="shared" si="37"/>
        <v>26.719298245614034</v>
      </c>
      <c r="P513" s="17">
        <f t="shared" si="38"/>
        <v>0.79696493982208272</v>
      </c>
      <c r="Q513" s="17">
        <f t="shared" si="39"/>
        <v>6.6198292843072881</v>
      </c>
      <c r="R513" s="10" t="s">
        <v>1058</v>
      </c>
      <c r="S513" s="14" t="s">
        <v>26</v>
      </c>
      <c r="T513" s="14" t="s">
        <v>55</v>
      </c>
      <c r="U513" s="13">
        <v>1523</v>
      </c>
      <c r="V513" s="15">
        <v>4</v>
      </c>
      <c r="W513" s="9" t="str">
        <f>IF(Table1[[#This Row],[Satisfaction Rating]]&lt;2, "Low", IF(Table1[[#This Row],[Satisfaction Rating]]&lt;4, "Medium", "High"))</f>
        <v>High</v>
      </c>
    </row>
    <row r="514" spans="1:23" ht="14" x14ac:dyDescent="0.2">
      <c r="A514" s="10" t="s">
        <v>1059</v>
      </c>
      <c r="B514" s="11">
        <v>45580.866423611114</v>
      </c>
      <c r="C514" s="11">
        <v>45580.866423611114</v>
      </c>
      <c r="D514" s="11" t="str">
        <f>IF(Table1[[#This Row],[Duration of Campaign]]=0, "Ongoing","Completed")</f>
        <v>Ongoing</v>
      </c>
      <c r="E514" s="12">
        <f>Table1[[#This Row],[End Date]]-Table1[[#This Row],[Start Date]]</f>
        <v>0</v>
      </c>
      <c r="F514" s="13">
        <v>8268</v>
      </c>
      <c r="G514" s="14" t="s">
        <v>47</v>
      </c>
      <c r="H514" s="15">
        <v>3055</v>
      </c>
      <c r="I514" s="15">
        <v>1896</v>
      </c>
      <c r="J514" s="15">
        <v>370</v>
      </c>
      <c r="K514" s="16">
        <v>3497</v>
      </c>
      <c r="L514" s="17">
        <f t="shared" si="35"/>
        <v>0.62062193126022913</v>
      </c>
      <c r="M514" s="17">
        <f t="shared" si="35"/>
        <v>0.19514767932489452</v>
      </c>
      <c r="N514" s="18">
        <f t="shared" si="36"/>
        <v>7.208333333333333</v>
      </c>
      <c r="O514" s="18">
        <f t="shared" si="37"/>
        <v>36.93783783783784</v>
      </c>
      <c r="P514" s="17">
        <f t="shared" si="38"/>
        <v>1.6529995162070634</v>
      </c>
      <c r="Q514" s="17">
        <f t="shared" si="39"/>
        <v>0.25587180800468279</v>
      </c>
      <c r="R514" s="10" t="s">
        <v>1060</v>
      </c>
      <c r="S514" s="14" t="s">
        <v>26</v>
      </c>
      <c r="T514" s="14" t="s">
        <v>27</v>
      </c>
      <c r="U514" s="13">
        <v>13667</v>
      </c>
      <c r="V514" s="15">
        <v>3</v>
      </c>
      <c r="W514" s="9" t="str">
        <f>IF(Table1[[#This Row],[Satisfaction Rating]]&lt;2, "Low", IF(Table1[[#This Row],[Satisfaction Rating]]&lt;4, "Medium", "High"))</f>
        <v>Medium</v>
      </c>
    </row>
    <row r="515" spans="1:23" ht="14" x14ac:dyDescent="0.2">
      <c r="A515" s="10" t="s">
        <v>1061</v>
      </c>
      <c r="B515" s="11">
        <v>44956.662256944444</v>
      </c>
      <c r="C515" s="11">
        <v>45118.991053240738</v>
      </c>
      <c r="D515" s="11" t="str">
        <f>IF(Table1[[#This Row],[Duration of Campaign]]=0, "Ongoing","Completed")</f>
        <v>Completed</v>
      </c>
      <c r="E515" s="12">
        <f>Table1[[#This Row],[End Date]]-Table1[[#This Row],[Start Date]]</f>
        <v>162.32879629629315</v>
      </c>
      <c r="F515" s="13">
        <v>9236</v>
      </c>
      <c r="G515" s="14" t="s">
        <v>24</v>
      </c>
      <c r="H515" s="15">
        <v>10051</v>
      </c>
      <c r="I515" s="15">
        <v>470</v>
      </c>
      <c r="J515" s="15">
        <v>229</v>
      </c>
      <c r="K515" s="16">
        <v>12573</v>
      </c>
      <c r="L515" s="17">
        <f t="shared" ref="L515:M578" si="40">I515/H515</f>
        <v>4.6761516267038103E-2</v>
      </c>
      <c r="M515" s="17">
        <f t="shared" si="40"/>
        <v>0.48723404255319147</v>
      </c>
      <c r="N515" s="18">
        <f t="shared" ref="N515:N578" si="41">U515/I515</f>
        <v>7.0404255319148934</v>
      </c>
      <c r="O515" s="18">
        <f t="shared" ref="O515:O578" si="42">U515/J515</f>
        <v>14.449781659388647</v>
      </c>
      <c r="P515" s="17">
        <f t="shared" ref="P515:P578" si="43">U515/F515</f>
        <v>0.35827197921178</v>
      </c>
      <c r="Q515" s="17">
        <f t="shared" ref="Q515:Q578" si="44">K515/U515</f>
        <v>3.799637352674524</v>
      </c>
      <c r="R515" s="10" t="s">
        <v>1062</v>
      </c>
      <c r="S515" s="14" t="s">
        <v>40</v>
      </c>
      <c r="T515" s="14" t="s">
        <v>27</v>
      </c>
      <c r="U515" s="13">
        <v>3309</v>
      </c>
      <c r="V515" s="15">
        <v>1</v>
      </c>
      <c r="W515" s="9" t="str">
        <f>IF(Table1[[#This Row],[Satisfaction Rating]]&lt;2, "Low", IF(Table1[[#This Row],[Satisfaction Rating]]&lt;4, "Medium", "High"))</f>
        <v>Low</v>
      </c>
    </row>
    <row r="516" spans="1:23" ht="14" x14ac:dyDescent="0.2">
      <c r="A516" s="10" t="s">
        <v>1063</v>
      </c>
      <c r="B516" s="11">
        <v>45583.418981481482</v>
      </c>
      <c r="C516" s="11">
        <v>45583.418981481482</v>
      </c>
      <c r="D516" s="11" t="str">
        <f>IF(Table1[[#This Row],[Duration of Campaign]]=0, "Ongoing","Completed")</f>
        <v>Ongoing</v>
      </c>
      <c r="E516" s="12">
        <f>Table1[[#This Row],[End Date]]-Table1[[#This Row],[Start Date]]</f>
        <v>0</v>
      </c>
      <c r="F516" s="13">
        <v>9065</v>
      </c>
      <c r="G516" s="14" t="s">
        <v>24</v>
      </c>
      <c r="H516" s="15">
        <v>19115</v>
      </c>
      <c r="I516" s="15">
        <v>980</v>
      </c>
      <c r="J516" s="15">
        <v>133</v>
      </c>
      <c r="K516" s="16">
        <v>1826</v>
      </c>
      <c r="L516" s="17">
        <f t="shared" si="40"/>
        <v>5.1268637195919432E-2</v>
      </c>
      <c r="M516" s="17">
        <f t="shared" si="40"/>
        <v>0.1357142857142857</v>
      </c>
      <c r="N516" s="18">
        <f t="shared" si="41"/>
        <v>7.8948979591836732</v>
      </c>
      <c r="O516" s="18">
        <f t="shared" si="42"/>
        <v>58.172932330827066</v>
      </c>
      <c r="P516" s="17">
        <f t="shared" si="43"/>
        <v>0.85350248207391066</v>
      </c>
      <c r="Q516" s="17">
        <f t="shared" si="44"/>
        <v>0.23600878893628022</v>
      </c>
      <c r="R516" s="10" t="s">
        <v>1064</v>
      </c>
      <c r="S516" s="14" t="s">
        <v>26</v>
      </c>
      <c r="T516" s="14" t="s">
        <v>55</v>
      </c>
      <c r="U516" s="13">
        <v>7737</v>
      </c>
      <c r="V516" s="15">
        <v>1</v>
      </c>
      <c r="W516" s="9" t="str">
        <f>IF(Table1[[#This Row],[Satisfaction Rating]]&lt;2, "Low", IF(Table1[[#This Row],[Satisfaction Rating]]&lt;4, "Medium", "High"))</f>
        <v>Low</v>
      </c>
    </row>
    <row r="517" spans="1:23" ht="14" x14ac:dyDescent="0.2">
      <c r="A517" s="10" t="s">
        <v>1065</v>
      </c>
      <c r="B517" s="11">
        <v>45570.329745370371</v>
      </c>
      <c r="C517" s="11">
        <v>45570.329745370371</v>
      </c>
      <c r="D517" s="11" t="str">
        <f>IF(Table1[[#This Row],[Duration of Campaign]]=0, "Ongoing","Completed")</f>
        <v>Ongoing</v>
      </c>
      <c r="E517" s="12">
        <f>Table1[[#This Row],[End Date]]-Table1[[#This Row],[Start Date]]</f>
        <v>0</v>
      </c>
      <c r="F517" s="13">
        <v>1556</v>
      </c>
      <c r="G517" s="14" t="s">
        <v>24</v>
      </c>
      <c r="H517" s="15">
        <v>7051</v>
      </c>
      <c r="I517" s="15">
        <v>223</v>
      </c>
      <c r="J517" s="15">
        <v>390</v>
      </c>
      <c r="K517" s="16">
        <v>11104</v>
      </c>
      <c r="L517" s="17">
        <f t="shared" si="40"/>
        <v>3.1626719614239115E-2</v>
      </c>
      <c r="M517" s="17">
        <f t="shared" si="40"/>
        <v>1.7488789237668161</v>
      </c>
      <c r="N517" s="18">
        <f t="shared" si="41"/>
        <v>2.6188340807174888</v>
      </c>
      <c r="O517" s="18">
        <f t="shared" si="42"/>
        <v>1.4974358974358974</v>
      </c>
      <c r="P517" s="17">
        <f t="shared" si="43"/>
        <v>0.37532133676092544</v>
      </c>
      <c r="Q517" s="17">
        <f t="shared" si="44"/>
        <v>19.013698630136986</v>
      </c>
      <c r="R517" s="10" t="s">
        <v>1066</v>
      </c>
      <c r="S517" s="14" t="s">
        <v>26</v>
      </c>
      <c r="T517" s="14" t="s">
        <v>55</v>
      </c>
      <c r="U517" s="13">
        <v>584</v>
      </c>
      <c r="V517" s="15">
        <v>3</v>
      </c>
      <c r="W517" s="9" t="str">
        <f>IF(Table1[[#This Row],[Satisfaction Rating]]&lt;2, "Low", IF(Table1[[#This Row],[Satisfaction Rating]]&lt;4, "Medium", "High"))</f>
        <v>Medium</v>
      </c>
    </row>
    <row r="518" spans="1:23" ht="14" x14ac:dyDescent="0.2">
      <c r="A518" s="10" t="s">
        <v>1067</v>
      </c>
      <c r="B518" s="11">
        <v>45255.521111111113</v>
      </c>
      <c r="C518" s="11">
        <v>45382.724675925929</v>
      </c>
      <c r="D518" s="11" t="str">
        <f>IF(Table1[[#This Row],[Duration of Campaign]]=0, "Ongoing","Completed")</f>
        <v>Completed</v>
      </c>
      <c r="E518" s="12">
        <f>Table1[[#This Row],[End Date]]-Table1[[#This Row],[Start Date]]</f>
        <v>127.20356481481576</v>
      </c>
      <c r="F518" s="13">
        <v>7546</v>
      </c>
      <c r="G518" s="14" t="s">
        <v>24</v>
      </c>
      <c r="H518" s="15">
        <v>9956</v>
      </c>
      <c r="I518" s="15">
        <v>1173</v>
      </c>
      <c r="J518" s="15">
        <v>368</v>
      </c>
      <c r="K518" s="16">
        <v>11728</v>
      </c>
      <c r="L518" s="17">
        <f t="shared" si="40"/>
        <v>0.11781840096424266</v>
      </c>
      <c r="M518" s="17">
        <f t="shared" si="40"/>
        <v>0.31372549019607843</v>
      </c>
      <c r="N518" s="18">
        <f t="shared" si="41"/>
        <v>1.4407502131287298</v>
      </c>
      <c r="O518" s="18">
        <f t="shared" si="42"/>
        <v>4.5923913043478262</v>
      </c>
      <c r="P518" s="17">
        <f t="shared" si="43"/>
        <v>0.22395971375563212</v>
      </c>
      <c r="Q518" s="17">
        <f t="shared" si="44"/>
        <v>6.9396449704142009</v>
      </c>
      <c r="R518" s="10" t="s">
        <v>1068</v>
      </c>
      <c r="S518" s="14" t="s">
        <v>26</v>
      </c>
      <c r="T518" s="14" t="s">
        <v>27</v>
      </c>
      <c r="U518" s="13">
        <v>1690</v>
      </c>
      <c r="V518" s="15">
        <v>3</v>
      </c>
      <c r="W518" s="9" t="str">
        <f>IF(Table1[[#This Row],[Satisfaction Rating]]&lt;2, "Low", IF(Table1[[#This Row],[Satisfaction Rating]]&lt;4, "Medium", "High"))</f>
        <v>Medium</v>
      </c>
    </row>
    <row r="519" spans="1:23" ht="14" x14ac:dyDescent="0.2">
      <c r="A519" s="10" t="s">
        <v>1069</v>
      </c>
      <c r="B519" s="11">
        <v>45061.896770833337</v>
      </c>
      <c r="C519" s="11">
        <v>45636.872800925928</v>
      </c>
      <c r="D519" s="11" t="str">
        <f>IF(Table1[[#This Row],[Duration of Campaign]]=0, "Ongoing","Completed")</f>
        <v>Completed</v>
      </c>
      <c r="E519" s="12">
        <f>Table1[[#This Row],[End Date]]-Table1[[#This Row],[Start Date]]</f>
        <v>574.97603009259183</v>
      </c>
      <c r="F519" s="13">
        <v>6616</v>
      </c>
      <c r="G519" s="14" t="s">
        <v>47</v>
      </c>
      <c r="H519" s="15">
        <v>13223</v>
      </c>
      <c r="I519" s="15">
        <v>1132</v>
      </c>
      <c r="J519" s="15">
        <v>11</v>
      </c>
      <c r="K519" s="16">
        <v>11315</v>
      </c>
      <c r="L519" s="17">
        <f t="shared" si="40"/>
        <v>8.5608409589351883E-2</v>
      </c>
      <c r="M519" s="17">
        <f t="shared" si="40"/>
        <v>9.7173144876325085E-3</v>
      </c>
      <c r="N519" s="18">
        <f t="shared" si="41"/>
        <v>17.492049469964666</v>
      </c>
      <c r="O519" s="18">
        <f t="shared" si="42"/>
        <v>1800.090909090909</v>
      </c>
      <c r="P519" s="17">
        <f t="shared" si="43"/>
        <v>2.9928960096735189</v>
      </c>
      <c r="Q519" s="17">
        <f t="shared" si="44"/>
        <v>0.57143578607141055</v>
      </c>
      <c r="R519" s="10" t="s">
        <v>1070</v>
      </c>
      <c r="S519" s="14" t="s">
        <v>31</v>
      </c>
      <c r="T519" s="14" t="s">
        <v>27</v>
      </c>
      <c r="U519" s="13">
        <v>19801</v>
      </c>
      <c r="V519" s="15">
        <v>2</v>
      </c>
      <c r="W519" s="9" t="str">
        <f>IF(Table1[[#This Row],[Satisfaction Rating]]&lt;2, "Low", IF(Table1[[#This Row],[Satisfaction Rating]]&lt;4, "Medium", "High"))</f>
        <v>Medium</v>
      </c>
    </row>
    <row r="520" spans="1:23" ht="14" x14ac:dyDescent="0.2">
      <c r="A520" s="10" t="s">
        <v>1071</v>
      </c>
      <c r="B520" s="11">
        <v>45125.654745370368</v>
      </c>
      <c r="C520" s="11">
        <v>45509.283368055556</v>
      </c>
      <c r="D520" s="11" t="str">
        <f>IF(Table1[[#This Row],[Duration of Campaign]]=0, "Ongoing","Completed")</f>
        <v>Completed</v>
      </c>
      <c r="E520" s="12">
        <f>Table1[[#This Row],[End Date]]-Table1[[#This Row],[Start Date]]</f>
        <v>383.62862268518802</v>
      </c>
      <c r="F520" s="13">
        <v>5493</v>
      </c>
      <c r="G520" s="14" t="s">
        <v>29</v>
      </c>
      <c r="H520" s="15">
        <v>11235</v>
      </c>
      <c r="I520" s="15">
        <v>1520</v>
      </c>
      <c r="J520" s="15">
        <v>158</v>
      </c>
      <c r="K520" s="16">
        <v>9999</v>
      </c>
      <c r="L520" s="17">
        <f t="shared" si="40"/>
        <v>0.13529149977748109</v>
      </c>
      <c r="M520" s="17">
        <f t="shared" si="40"/>
        <v>0.10394736842105264</v>
      </c>
      <c r="N520" s="18">
        <f t="shared" si="41"/>
        <v>4.7710526315789474</v>
      </c>
      <c r="O520" s="18">
        <f t="shared" si="42"/>
        <v>45.898734177215189</v>
      </c>
      <c r="P520" s="17">
        <f t="shared" si="43"/>
        <v>1.3202257418532677</v>
      </c>
      <c r="Q520" s="17">
        <f t="shared" si="44"/>
        <v>1.378792057363486</v>
      </c>
      <c r="R520" s="10" t="s">
        <v>1072</v>
      </c>
      <c r="S520" s="14" t="s">
        <v>40</v>
      </c>
      <c r="T520" s="14" t="s">
        <v>27</v>
      </c>
      <c r="U520" s="13">
        <v>7252</v>
      </c>
      <c r="V520" s="15">
        <v>5</v>
      </c>
      <c r="W520" s="9" t="str">
        <f>IF(Table1[[#This Row],[Satisfaction Rating]]&lt;2, "Low", IF(Table1[[#This Row],[Satisfaction Rating]]&lt;4, "Medium", "High"))</f>
        <v>High</v>
      </c>
    </row>
    <row r="521" spans="1:23" ht="14" x14ac:dyDescent="0.2">
      <c r="A521" s="10" t="s">
        <v>1073</v>
      </c>
      <c r="B521" s="11">
        <v>45341.206180555557</v>
      </c>
      <c r="C521" s="11">
        <v>45341.206180555557</v>
      </c>
      <c r="D521" s="11" t="str">
        <f>IF(Table1[[#This Row],[Duration of Campaign]]=0, "Ongoing","Completed")</f>
        <v>Ongoing</v>
      </c>
      <c r="E521" s="12">
        <f>Table1[[#This Row],[End Date]]-Table1[[#This Row],[Start Date]]</f>
        <v>0</v>
      </c>
      <c r="F521" s="13">
        <v>3216</v>
      </c>
      <c r="G521" s="14" t="s">
        <v>47</v>
      </c>
      <c r="H521" s="15">
        <v>8239</v>
      </c>
      <c r="I521" s="15">
        <v>1538</v>
      </c>
      <c r="J521" s="15">
        <v>233</v>
      </c>
      <c r="K521" s="16">
        <v>867</v>
      </c>
      <c r="L521" s="17">
        <f t="shared" si="40"/>
        <v>0.18667313994416798</v>
      </c>
      <c r="M521" s="17">
        <f t="shared" si="40"/>
        <v>0.15149544863459039</v>
      </c>
      <c r="N521" s="18">
        <f t="shared" si="41"/>
        <v>4.1677503250975292</v>
      </c>
      <c r="O521" s="18">
        <f t="shared" si="42"/>
        <v>27.510729613733904</v>
      </c>
      <c r="P521" s="17">
        <f t="shared" si="43"/>
        <v>1.9931592039800996</v>
      </c>
      <c r="Q521" s="17">
        <f t="shared" si="44"/>
        <v>0.13525741029641186</v>
      </c>
      <c r="R521" s="10" t="s">
        <v>1074</v>
      </c>
      <c r="S521" s="14" t="s">
        <v>34</v>
      </c>
      <c r="T521" s="14" t="s">
        <v>37</v>
      </c>
      <c r="U521" s="13">
        <v>6410</v>
      </c>
      <c r="V521" s="15">
        <v>3</v>
      </c>
      <c r="W521" s="9" t="str">
        <f>IF(Table1[[#This Row],[Satisfaction Rating]]&lt;2, "Low", IF(Table1[[#This Row],[Satisfaction Rating]]&lt;4, "Medium", "High"))</f>
        <v>Medium</v>
      </c>
    </row>
    <row r="522" spans="1:23" ht="14" x14ac:dyDescent="0.2">
      <c r="A522" s="10" t="s">
        <v>1075</v>
      </c>
      <c r="B522" s="11">
        <v>45137.406539351854</v>
      </c>
      <c r="C522" s="11">
        <v>45352.090312499997</v>
      </c>
      <c r="D522" s="11" t="str">
        <f>IF(Table1[[#This Row],[Duration of Campaign]]=0, "Ongoing","Completed")</f>
        <v>Completed</v>
      </c>
      <c r="E522" s="12">
        <f>Table1[[#This Row],[End Date]]-Table1[[#This Row],[Start Date]]</f>
        <v>214.68377314814279</v>
      </c>
      <c r="F522" s="13">
        <v>9794</v>
      </c>
      <c r="G522" s="14" t="s">
        <v>29</v>
      </c>
      <c r="H522" s="15">
        <v>13890</v>
      </c>
      <c r="I522" s="15">
        <v>1113</v>
      </c>
      <c r="J522" s="15">
        <v>465</v>
      </c>
      <c r="K522" s="16">
        <v>11345</v>
      </c>
      <c r="L522" s="17">
        <f t="shared" si="40"/>
        <v>8.0129589632829373E-2</v>
      </c>
      <c r="M522" s="17">
        <f t="shared" si="40"/>
        <v>0.41778975741239893</v>
      </c>
      <c r="N522" s="18">
        <f t="shared" si="41"/>
        <v>14.177897574123989</v>
      </c>
      <c r="O522" s="18">
        <f t="shared" si="42"/>
        <v>33.935483870967744</v>
      </c>
      <c r="P522" s="17">
        <f t="shared" si="43"/>
        <v>1.6111905248111089</v>
      </c>
      <c r="Q522" s="17">
        <f t="shared" si="44"/>
        <v>0.71894803548795949</v>
      </c>
      <c r="R522" s="10" t="s">
        <v>1076</v>
      </c>
      <c r="S522" s="14" t="s">
        <v>40</v>
      </c>
      <c r="T522" s="14" t="s">
        <v>55</v>
      </c>
      <c r="U522" s="13">
        <v>15780</v>
      </c>
      <c r="V522" s="15">
        <v>3</v>
      </c>
      <c r="W522" s="9" t="str">
        <f>IF(Table1[[#This Row],[Satisfaction Rating]]&lt;2, "Low", IF(Table1[[#This Row],[Satisfaction Rating]]&lt;4, "Medium", "High"))</f>
        <v>Medium</v>
      </c>
    </row>
    <row r="523" spans="1:23" ht="14" x14ac:dyDescent="0.2">
      <c r="A523" s="10" t="s">
        <v>1077</v>
      </c>
      <c r="B523" s="11">
        <v>45635.025069444448</v>
      </c>
      <c r="C523" s="11">
        <v>45635.025069444448</v>
      </c>
      <c r="D523" s="11" t="str">
        <f>IF(Table1[[#This Row],[Duration of Campaign]]=0, "Ongoing","Completed")</f>
        <v>Ongoing</v>
      </c>
      <c r="E523" s="12">
        <f>Table1[[#This Row],[End Date]]-Table1[[#This Row],[Start Date]]</f>
        <v>0</v>
      </c>
      <c r="F523" s="13">
        <v>5499</v>
      </c>
      <c r="G523" s="14" t="s">
        <v>63</v>
      </c>
      <c r="H523" s="15">
        <v>16506</v>
      </c>
      <c r="I523" s="15">
        <v>173</v>
      </c>
      <c r="J523" s="15">
        <v>330</v>
      </c>
      <c r="K523" s="16">
        <v>8733</v>
      </c>
      <c r="L523" s="17">
        <f t="shared" si="40"/>
        <v>1.048103719859445E-2</v>
      </c>
      <c r="M523" s="17">
        <f t="shared" si="40"/>
        <v>1.9075144508670521</v>
      </c>
      <c r="N523" s="18">
        <f t="shared" si="41"/>
        <v>115.3699421965318</v>
      </c>
      <c r="O523" s="18">
        <f t="shared" si="42"/>
        <v>60.481818181818184</v>
      </c>
      <c r="P523" s="17">
        <f t="shared" si="43"/>
        <v>3.6295690125477358</v>
      </c>
      <c r="Q523" s="17">
        <f t="shared" si="44"/>
        <v>0.43754697129114684</v>
      </c>
      <c r="R523" s="10" t="s">
        <v>1078</v>
      </c>
      <c r="S523" s="14" t="s">
        <v>26</v>
      </c>
      <c r="T523" s="14" t="s">
        <v>27</v>
      </c>
      <c r="U523" s="13">
        <v>19959</v>
      </c>
      <c r="V523" s="15">
        <v>4</v>
      </c>
      <c r="W523" s="9" t="str">
        <f>IF(Table1[[#This Row],[Satisfaction Rating]]&lt;2, "Low", IF(Table1[[#This Row],[Satisfaction Rating]]&lt;4, "Medium", "High"))</f>
        <v>High</v>
      </c>
    </row>
    <row r="524" spans="1:23" ht="14" x14ac:dyDescent="0.2">
      <c r="A524" s="10" t="s">
        <v>1079</v>
      </c>
      <c r="B524" s="11">
        <v>45368.6249537037</v>
      </c>
      <c r="C524" s="11">
        <v>45368.6249537037</v>
      </c>
      <c r="D524" s="11" t="str">
        <f>IF(Table1[[#This Row],[Duration of Campaign]]=0, "Ongoing","Completed")</f>
        <v>Ongoing</v>
      </c>
      <c r="E524" s="12">
        <f>Table1[[#This Row],[End Date]]-Table1[[#This Row],[Start Date]]</f>
        <v>0</v>
      </c>
      <c r="F524" s="13">
        <v>2164</v>
      </c>
      <c r="G524" s="14" t="s">
        <v>24</v>
      </c>
      <c r="H524" s="15">
        <v>12419</v>
      </c>
      <c r="I524" s="15">
        <v>1359</v>
      </c>
      <c r="J524" s="15">
        <v>88</v>
      </c>
      <c r="K524" s="16">
        <v>10414</v>
      </c>
      <c r="L524" s="17">
        <f t="shared" si="40"/>
        <v>0.10942910057170464</v>
      </c>
      <c r="M524" s="17">
        <f t="shared" si="40"/>
        <v>6.4753495217071383E-2</v>
      </c>
      <c r="N524" s="18">
        <f t="shared" si="41"/>
        <v>14.548197203826343</v>
      </c>
      <c r="O524" s="18">
        <f t="shared" si="42"/>
        <v>224.67045454545453</v>
      </c>
      <c r="P524" s="17">
        <f t="shared" si="43"/>
        <v>9.1363216266173755</v>
      </c>
      <c r="Q524" s="17">
        <f t="shared" si="44"/>
        <v>0.52673107076020431</v>
      </c>
      <c r="R524" s="10" t="s">
        <v>1080</v>
      </c>
      <c r="S524" s="14" t="s">
        <v>31</v>
      </c>
      <c r="T524" s="14" t="s">
        <v>37</v>
      </c>
      <c r="U524" s="13">
        <v>19771</v>
      </c>
      <c r="V524" s="15">
        <v>2</v>
      </c>
      <c r="W524" s="9" t="str">
        <f>IF(Table1[[#This Row],[Satisfaction Rating]]&lt;2, "Low", IF(Table1[[#This Row],[Satisfaction Rating]]&lt;4, "Medium", "High"))</f>
        <v>Medium</v>
      </c>
    </row>
    <row r="525" spans="1:23" ht="14" x14ac:dyDescent="0.2">
      <c r="A525" s="10" t="s">
        <v>1081</v>
      </c>
      <c r="B525" s="11">
        <v>44968.559664351851</v>
      </c>
      <c r="C525" s="11">
        <v>45373.768888888888</v>
      </c>
      <c r="D525" s="11" t="str">
        <f>IF(Table1[[#This Row],[Duration of Campaign]]=0, "Ongoing","Completed")</f>
        <v>Completed</v>
      </c>
      <c r="E525" s="12">
        <f>Table1[[#This Row],[End Date]]-Table1[[#This Row],[Start Date]]</f>
        <v>405.20922453703679</v>
      </c>
      <c r="F525" s="13">
        <v>3896</v>
      </c>
      <c r="G525" s="14" t="s">
        <v>47</v>
      </c>
      <c r="H525" s="15">
        <v>1233</v>
      </c>
      <c r="I525" s="15">
        <v>1270</v>
      </c>
      <c r="J525" s="15">
        <v>120</v>
      </c>
      <c r="K525" s="16">
        <v>9344</v>
      </c>
      <c r="L525" s="17">
        <f t="shared" si="40"/>
        <v>1.0300081103000811</v>
      </c>
      <c r="M525" s="17">
        <f t="shared" si="40"/>
        <v>9.4488188976377951E-2</v>
      </c>
      <c r="N525" s="18">
        <f t="shared" si="41"/>
        <v>3.3188976377952755</v>
      </c>
      <c r="O525" s="18">
        <f t="shared" si="42"/>
        <v>35.125</v>
      </c>
      <c r="P525" s="17">
        <f t="shared" si="43"/>
        <v>1.0818788501026695</v>
      </c>
      <c r="Q525" s="17">
        <f t="shared" si="44"/>
        <v>2.216844602609727</v>
      </c>
      <c r="R525" s="10" t="s">
        <v>1082</v>
      </c>
      <c r="S525" s="14" t="s">
        <v>34</v>
      </c>
      <c r="T525" s="14" t="s">
        <v>55</v>
      </c>
      <c r="U525" s="13">
        <v>4215</v>
      </c>
      <c r="V525" s="15">
        <v>2</v>
      </c>
      <c r="W525" s="9" t="str">
        <f>IF(Table1[[#This Row],[Satisfaction Rating]]&lt;2, "Low", IF(Table1[[#This Row],[Satisfaction Rating]]&lt;4, "Medium", "High"))</f>
        <v>Medium</v>
      </c>
    </row>
    <row r="526" spans="1:23" ht="14" x14ac:dyDescent="0.2">
      <c r="A526" s="10" t="s">
        <v>1083</v>
      </c>
      <c r="B526" s="11">
        <v>44966.973634259259</v>
      </c>
      <c r="C526" s="11">
        <v>45291.232152777775</v>
      </c>
      <c r="D526" s="11" t="str">
        <f>IF(Table1[[#This Row],[Duration of Campaign]]=0, "Ongoing","Completed")</f>
        <v>Completed</v>
      </c>
      <c r="E526" s="12">
        <f>Table1[[#This Row],[End Date]]-Table1[[#This Row],[Start Date]]</f>
        <v>324.25851851851621</v>
      </c>
      <c r="F526" s="13">
        <v>9933</v>
      </c>
      <c r="G526" s="14" t="s">
        <v>24</v>
      </c>
      <c r="H526" s="15">
        <v>14301</v>
      </c>
      <c r="I526" s="15">
        <v>1650</v>
      </c>
      <c r="J526" s="15">
        <v>342</v>
      </c>
      <c r="K526" s="16">
        <v>7523</v>
      </c>
      <c r="L526" s="17">
        <f t="shared" si="40"/>
        <v>0.11537654709460878</v>
      </c>
      <c r="M526" s="17">
        <f t="shared" si="40"/>
        <v>0.20727272727272728</v>
      </c>
      <c r="N526" s="18">
        <f t="shared" si="41"/>
        <v>4.4139393939393941</v>
      </c>
      <c r="O526" s="18">
        <f t="shared" si="42"/>
        <v>21.295321637426902</v>
      </c>
      <c r="P526" s="17">
        <f t="shared" si="43"/>
        <v>0.73321252391019831</v>
      </c>
      <c r="Q526" s="17">
        <f t="shared" si="44"/>
        <v>1.0329534532472882</v>
      </c>
      <c r="R526" s="10" t="s">
        <v>1084</v>
      </c>
      <c r="S526" s="14" t="s">
        <v>40</v>
      </c>
      <c r="T526" s="14" t="s">
        <v>37</v>
      </c>
      <c r="U526" s="13">
        <v>7283</v>
      </c>
      <c r="V526" s="15">
        <v>4</v>
      </c>
      <c r="W526" s="9" t="str">
        <f>IF(Table1[[#This Row],[Satisfaction Rating]]&lt;2, "Low", IF(Table1[[#This Row],[Satisfaction Rating]]&lt;4, "Medium", "High"))</f>
        <v>High</v>
      </c>
    </row>
    <row r="527" spans="1:23" ht="14" x14ac:dyDescent="0.2">
      <c r="A527" s="10" t="s">
        <v>1085</v>
      </c>
      <c r="B527" s="11">
        <v>44997.111724537041</v>
      </c>
      <c r="C527" s="11">
        <v>45223.706574074073</v>
      </c>
      <c r="D527" s="11" t="str">
        <f>IF(Table1[[#This Row],[Duration of Campaign]]=0, "Ongoing","Completed")</f>
        <v>Completed</v>
      </c>
      <c r="E527" s="12">
        <f>Table1[[#This Row],[End Date]]-Table1[[#This Row],[Start Date]]</f>
        <v>226.59484953703213</v>
      </c>
      <c r="F527" s="13">
        <v>1670</v>
      </c>
      <c r="G527" s="14" t="s">
        <v>47</v>
      </c>
      <c r="H527" s="15">
        <v>1767</v>
      </c>
      <c r="I527" s="15">
        <v>644</v>
      </c>
      <c r="J527" s="15">
        <v>370</v>
      </c>
      <c r="K527" s="16">
        <v>1353</v>
      </c>
      <c r="L527" s="17">
        <f t="shared" si="40"/>
        <v>0.36445953593661573</v>
      </c>
      <c r="M527" s="17">
        <f t="shared" si="40"/>
        <v>0.57453416149068326</v>
      </c>
      <c r="N527" s="18">
        <f t="shared" si="41"/>
        <v>25.579192546583851</v>
      </c>
      <c r="O527" s="18">
        <f t="shared" si="42"/>
        <v>44.52162162162162</v>
      </c>
      <c r="P527" s="17">
        <f t="shared" si="43"/>
        <v>9.8640718562874259</v>
      </c>
      <c r="Q527" s="17">
        <f t="shared" si="44"/>
        <v>8.2134401748315419E-2</v>
      </c>
      <c r="R527" s="10" t="s">
        <v>1086</v>
      </c>
      <c r="S527" s="14" t="s">
        <v>40</v>
      </c>
      <c r="T527" s="14" t="s">
        <v>37</v>
      </c>
      <c r="U527" s="13">
        <v>16473</v>
      </c>
      <c r="V527" s="15">
        <v>5</v>
      </c>
      <c r="W527" s="9" t="str">
        <f>IF(Table1[[#This Row],[Satisfaction Rating]]&lt;2, "Low", IF(Table1[[#This Row],[Satisfaction Rating]]&lt;4, "Medium", "High"))</f>
        <v>High</v>
      </c>
    </row>
    <row r="528" spans="1:23" ht="14" x14ac:dyDescent="0.2">
      <c r="A528" s="10" t="s">
        <v>1087</v>
      </c>
      <c r="B528" s="11">
        <v>45263.104710648149</v>
      </c>
      <c r="C528" s="11">
        <v>45316.521354166667</v>
      </c>
      <c r="D528" s="11" t="str">
        <f>IF(Table1[[#This Row],[Duration of Campaign]]=0, "Ongoing","Completed")</f>
        <v>Completed</v>
      </c>
      <c r="E528" s="12">
        <f>Table1[[#This Row],[End Date]]-Table1[[#This Row],[Start Date]]</f>
        <v>53.416643518517958</v>
      </c>
      <c r="F528" s="13">
        <v>9979</v>
      </c>
      <c r="G528" s="14" t="s">
        <v>29</v>
      </c>
      <c r="H528" s="15">
        <v>16244</v>
      </c>
      <c r="I528" s="15">
        <v>1096</v>
      </c>
      <c r="J528" s="15">
        <v>303</v>
      </c>
      <c r="K528" s="16">
        <v>12810</v>
      </c>
      <c r="L528" s="17">
        <f t="shared" si="40"/>
        <v>6.7471066239842406E-2</v>
      </c>
      <c r="M528" s="17">
        <f t="shared" si="40"/>
        <v>0.27645985401459855</v>
      </c>
      <c r="N528" s="18">
        <f t="shared" si="41"/>
        <v>11.803832116788321</v>
      </c>
      <c r="O528" s="18">
        <f t="shared" si="42"/>
        <v>42.696369636963695</v>
      </c>
      <c r="P528" s="17">
        <f t="shared" si="43"/>
        <v>1.2964224872231687</v>
      </c>
      <c r="Q528" s="17">
        <f t="shared" si="44"/>
        <v>0.9901831954858159</v>
      </c>
      <c r="R528" s="10" t="s">
        <v>1088</v>
      </c>
      <c r="S528" s="14" t="s">
        <v>31</v>
      </c>
      <c r="T528" s="14" t="s">
        <v>37</v>
      </c>
      <c r="U528" s="13">
        <v>12937</v>
      </c>
      <c r="V528" s="15">
        <v>2</v>
      </c>
      <c r="W528" s="9" t="str">
        <f>IF(Table1[[#This Row],[Satisfaction Rating]]&lt;2, "Low", IF(Table1[[#This Row],[Satisfaction Rating]]&lt;4, "Medium", "High"))</f>
        <v>Medium</v>
      </c>
    </row>
    <row r="529" spans="1:23" ht="14" x14ac:dyDescent="0.2">
      <c r="A529" s="10" t="s">
        <v>1089</v>
      </c>
      <c r="B529" s="11">
        <v>45071.790844907409</v>
      </c>
      <c r="C529" s="11">
        <v>45550.431168981479</v>
      </c>
      <c r="D529" s="11" t="str">
        <f>IF(Table1[[#This Row],[Duration of Campaign]]=0, "Ongoing","Completed")</f>
        <v>Completed</v>
      </c>
      <c r="E529" s="12">
        <f>Table1[[#This Row],[End Date]]-Table1[[#This Row],[Start Date]]</f>
        <v>478.64032407406921</v>
      </c>
      <c r="F529" s="13">
        <v>2811</v>
      </c>
      <c r="G529" s="14" t="s">
        <v>24</v>
      </c>
      <c r="H529" s="15">
        <v>1148</v>
      </c>
      <c r="I529" s="15">
        <v>1807</v>
      </c>
      <c r="J529" s="15">
        <v>242</v>
      </c>
      <c r="K529" s="16">
        <v>2033</v>
      </c>
      <c r="L529" s="17">
        <f t="shared" si="40"/>
        <v>1.5740418118466899</v>
      </c>
      <c r="M529" s="17">
        <f t="shared" si="40"/>
        <v>0.13392363032650803</v>
      </c>
      <c r="N529" s="18">
        <f t="shared" si="41"/>
        <v>4.244050913115661</v>
      </c>
      <c r="O529" s="18">
        <f t="shared" si="42"/>
        <v>31.690082644628099</v>
      </c>
      <c r="P529" s="17">
        <f t="shared" si="43"/>
        <v>2.728210601209534</v>
      </c>
      <c r="Q529" s="17">
        <f t="shared" si="44"/>
        <v>0.26509323249445821</v>
      </c>
      <c r="R529" s="10" t="s">
        <v>1090</v>
      </c>
      <c r="S529" s="14" t="s">
        <v>34</v>
      </c>
      <c r="T529" s="14" t="s">
        <v>27</v>
      </c>
      <c r="U529" s="13">
        <v>7669</v>
      </c>
      <c r="V529" s="15">
        <v>1</v>
      </c>
      <c r="W529" s="9" t="str">
        <f>IF(Table1[[#This Row],[Satisfaction Rating]]&lt;2, "Low", IF(Table1[[#This Row],[Satisfaction Rating]]&lt;4, "Medium", "High"))</f>
        <v>Low</v>
      </c>
    </row>
    <row r="530" spans="1:23" ht="14" x14ac:dyDescent="0.2">
      <c r="A530" s="10" t="s">
        <v>1091</v>
      </c>
      <c r="B530" s="11">
        <v>45654.12259259259</v>
      </c>
      <c r="C530" s="11">
        <v>45654.12259259259</v>
      </c>
      <c r="D530" s="11" t="str">
        <f>IF(Table1[[#This Row],[Duration of Campaign]]=0, "Ongoing","Completed")</f>
        <v>Ongoing</v>
      </c>
      <c r="E530" s="12">
        <f>Table1[[#This Row],[End Date]]-Table1[[#This Row],[Start Date]]</f>
        <v>0</v>
      </c>
      <c r="F530" s="13">
        <v>2283</v>
      </c>
      <c r="G530" s="14" t="s">
        <v>24</v>
      </c>
      <c r="H530" s="15">
        <v>13584</v>
      </c>
      <c r="I530" s="15">
        <v>993</v>
      </c>
      <c r="J530" s="15">
        <v>473</v>
      </c>
      <c r="K530" s="16">
        <v>4072</v>
      </c>
      <c r="L530" s="17">
        <f t="shared" si="40"/>
        <v>7.3100706713780925E-2</v>
      </c>
      <c r="M530" s="17">
        <f t="shared" si="40"/>
        <v>0.47633434038267874</v>
      </c>
      <c r="N530" s="18">
        <f t="shared" si="41"/>
        <v>13.577039274924472</v>
      </c>
      <c r="O530" s="18">
        <f t="shared" si="42"/>
        <v>28.503171247357294</v>
      </c>
      <c r="P530" s="17">
        <f t="shared" si="43"/>
        <v>5.9053876478317999</v>
      </c>
      <c r="Q530" s="17">
        <f t="shared" si="44"/>
        <v>0.30203233941551699</v>
      </c>
      <c r="R530" s="10" t="s">
        <v>1092</v>
      </c>
      <c r="S530" s="14" t="s">
        <v>34</v>
      </c>
      <c r="T530" s="14" t="s">
        <v>37</v>
      </c>
      <c r="U530" s="13">
        <v>13482</v>
      </c>
      <c r="V530" s="15">
        <v>4</v>
      </c>
      <c r="W530" s="9" t="str">
        <f>IF(Table1[[#This Row],[Satisfaction Rating]]&lt;2, "Low", IF(Table1[[#This Row],[Satisfaction Rating]]&lt;4, "Medium", "High"))</f>
        <v>High</v>
      </c>
    </row>
    <row r="531" spans="1:23" ht="14" x14ac:dyDescent="0.2">
      <c r="A531" s="10" t="s">
        <v>1093</v>
      </c>
      <c r="B531" s="11">
        <v>45548.505381944444</v>
      </c>
      <c r="C531" s="11">
        <v>45548.505381944444</v>
      </c>
      <c r="D531" s="11" t="str">
        <f>IF(Table1[[#This Row],[Duration of Campaign]]=0, "Ongoing","Completed")</f>
        <v>Ongoing</v>
      </c>
      <c r="E531" s="12">
        <f>Table1[[#This Row],[End Date]]-Table1[[#This Row],[Start Date]]</f>
        <v>0</v>
      </c>
      <c r="F531" s="13">
        <v>9062</v>
      </c>
      <c r="G531" s="14" t="s">
        <v>29</v>
      </c>
      <c r="H531" s="15">
        <v>13546</v>
      </c>
      <c r="I531" s="15">
        <v>1206</v>
      </c>
      <c r="J531" s="15">
        <v>218</v>
      </c>
      <c r="K531" s="16">
        <v>3249</v>
      </c>
      <c r="L531" s="17">
        <f t="shared" si="40"/>
        <v>8.9029971947438363E-2</v>
      </c>
      <c r="M531" s="17">
        <f t="shared" si="40"/>
        <v>0.18076285240464346</v>
      </c>
      <c r="N531" s="18">
        <f t="shared" si="41"/>
        <v>4.9601990049751246</v>
      </c>
      <c r="O531" s="18">
        <f t="shared" si="42"/>
        <v>27.440366972477065</v>
      </c>
      <c r="P531" s="17">
        <f t="shared" si="43"/>
        <v>0.6601191789891856</v>
      </c>
      <c r="Q531" s="17">
        <f t="shared" si="44"/>
        <v>0.54312938816449352</v>
      </c>
      <c r="R531" s="10" t="s">
        <v>1094</v>
      </c>
      <c r="S531" s="14" t="s">
        <v>45</v>
      </c>
      <c r="T531" s="14" t="s">
        <v>55</v>
      </c>
      <c r="U531" s="13">
        <v>5982</v>
      </c>
      <c r="V531" s="15">
        <v>3</v>
      </c>
      <c r="W531" s="9" t="str">
        <f>IF(Table1[[#This Row],[Satisfaction Rating]]&lt;2, "Low", IF(Table1[[#This Row],[Satisfaction Rating]]&lt;4, "Medium", "High"))</f>
        <v>Medium</v>
      </c>
    </row>
    <row r="532" spans="1:23" ht="14" x14ac:dyDescent="0.2">
      <c r="A532" s="10" t="s">
        <v>1095</v>
      </c>
      <c r="B532" s="11">
        <v>45206.095451388886</v>
      </c>
      <c r="C532" s="11">
        <v>45206.095451388886</v>
      </c>
      <c r="D532" s="11" t="str">
        <f>IF(Table1[[#This Row],[Duration of Campaign]]=0, "Ongoing","Completed")</f>
        <v>Ongoing</v>
      </c>
      <c r="E532" s="12">
        <f>Table1[[#This Row],[End Date]]-Table1[[#This Row],[Start Date]]</f>
        <v>0</v>
      </c>
      <c r="F532" s="13">
        <v>3642</v>
      </c>
      <c r="G532" s="14" t="s">
        <v>47</v>
      </c>
      <c r="H532" s="15">
        <v>11976</v>
      </c>
      <c r="I532" s="15">
        <v>998</v>
      </c>
      <c r="J532" s="15">
        <v>185</v>
      </c>
      <c r="K532" s="16">
        <v>7102</v>
      </c>
      <c r="L532" s="17">
        <f t="shared" si="40"/>
        <v>8.3333333333333329E-2</v>
      </c>
      <c r="M532" s="17">
        <f t="shared" si="40"/>
        <v>0.18537074148296592</v>
      </c>
      <c r="N532" s="18">
        <f t="shared" si="41"/>
        <v>2.0210420841683367</v>
      </c>
      <c r="O532" s="18">
        <f t="shared" si="42"/>
        <v>10.902702702702703</v>
      </c>
      <c r="P532" s="17">
        <f t="shared" si="43"/>
        <v>0.55381658429434377</v>
      </c>
      <c r="Q532" s="17">
        <f t="shared" si="44"/>
        <v>3.521070897372335</v>
      </c>
      <c r="R532" s="10" t="s">
        <v>1096</v>
      </c>
      <c r="S532" s="14" t="s">
        <v>40</v>
      </c>
      <c r="T532" s="14" t="s">
        <v>27</v>
      </c>
      <c r="U532" s="13">
        <v>2017</v>
      </c>
      <c r="V532" s="15">
        <v>2</v>
      </c>
      <c r="W532" s="9" t="str">
        <f>IF(Table1[[#This Row],[Satisfaction Rating]]&lt;2, "Low", IF(Table1[[#This Row],[Satisfaction Rating]]&lt;4, "Medium", "High"))</f>
        <v>Medium</v>
      </c>
    </row>
    <row r="533" spans="1:23" ht="14" x14ac:dyDescent="0.2">
      <c r="A533" s="10" t="s">
        <v>1097</v>
      </c>
      <c r="B533" s="11">
        <v>45200.411562499998</v>
      </c>
      <c r="C533" s="11">
        <v>45566.05265046296</v>
      </c>
      <c r="D533" s="11" t="str">
        <f>IF(Table1[[#This Row],[Duration of Campaign]]=0, "Ongoing","Completed")</f>
        <v>Completed</v>
      </c>
      <c r="E533" s="12">
        <f>Table1[[#This Row],[End Date]]-Table1[[#This Row],[Start Date]]</f>
        <v>365.64108796296205</v>
      </c>
      <c r="F533" s="13">
        <v>3768</v>
      </c>
      <c r="G533" s="14" t="s">
        <v>24</v>
      </c>
      <c r="H533" s="15">
        <v>19218</v>
      </c>
      <c r="I533" s="15">
        <v>945</v>
      </c>
      <c r="J533" s="15">
        <v>125</v>
      </c>
      <c r="K533" s="16">
        <v>6328</v>
      </c>
      <c r="L533" s="17">
        <f t="shared" si="40"/>
        <v>4.9172650640024976E-2</v>
      </c>
      <c r="M533" s="17">
        <f t="shared" si="40"/>
        <v>0.13227513227513227</v>
      </c>
      <c r="N533" s="18">
        <f t="shared" si="41"/>
        <v>16.785185185185185</v>
      </c>
      <c r="O533" s="18">
        <f t="shared" si="42"/>
        <v>126.896</v>
      </c>
      <c r="P533" s="17">
        <f t="shared" si="43"/>
        <v>4.2096602972399149</v>
      </c>
      <c r="Q533" s="17">
        <f t="shared" si="44"/>
        <v>0.39894086496028242</v>
      </c>
      <c r="R533" s="10" t="s">
        <v>1098</v>
      </c>
      <c r="S533" s="14" t="s">
        <v>34</v>
      </c>
      <c r="T533" s="14" t="s">
        <v>27</v>
      </c>
      <c r="U533" s="13">
        <v>15862</v>
      </c>
      <c r="V533" s="15">
        <v>5</v>
      </c>
      <c r="W533" s="9" t="str">
        <f>IF(Table1[[#This Row],[Satisfaction Rating]]&lt;2, "Low", IF(Table1[[#This Row],[Satisfaction Rating]]&lt;4, "Medium", "High"))</f>
        <v>High</v>
      </c>
    </row>
    <row r="534" spans="1:23" ht="14" x14ac:dyDescent="0.2">
      <c r="A534" s="10" t="s">
        <v>1099</v>
      </c>
      <c r="B534" s="11">
        <v>45583.190983796296</v>
      </c>
      <c r="C534" s="11">
        <v>45583.190983796296</v>
      </c>
      <c r="D534" s="11" t="str">
        <f>IF(Table1[[#This Row],[Duration of Campaign]]=0, "Ongoing","Completed")</f>
        <v>Ongoing</v>
      </c>
      <c r="E534" s="12">
        <f>Table1[[#This Row],[End Date]]-Table1[[#This Row],[Start Date]]</f>
        <v>0</v>
      </c>
      <c r="F534" s="13">
        <v>3181</v>
      </c>
      <c r="G534" s="14" t="s">
        <v>29</v>
      </c>
      <c r="H534" s="15">
        <v>2696</v>
      </c>
      <c r="I534" s="15">
        <v>1525</v>
      </c>
      <c r="J534" s="15">
        <v>381</v>
      </c>
      <c r="K534" s="16">
        <v>9831</v>
      </c>
      <c r="L534" s="17">
        <f t="shared" si="40"/>
        <v>0.56565281899109787</v>
      </c>
      <c r="M534" s="17">
        <f t="shared" si="40"/>
        <v>0.2498360655737705</v>
      </c>
      <c r="N534" s="18">
        <f t="shared" si="41"/>
        <v>10.229508196721312</v>
      </c>
      <c r="O534" s="18">
        <f t="shared" si="42"/>
        <v>40.944881889763778</v>
      </c>
      <c r="P534" s="17">
        <f t="shared" si="43"/>
        <v>4.9041182018233256</v>
      </c>
      <c r="Q534" s="17">
        <f t="shared" si="44"/>
        <v>0.63019230769230772</v>
      </c>
      <c r="R534" s="10" t="s">
        <v>1100</v>
      </c>
      <c r="S534" s="14" t="s">
        <v>31</v>
      </c>
      <c r="T534" s="14" t="s">
        <v>27</v>
      </c>
      <c r="U534" s="13">
        <v>15600</v>
      </c>
      <c r="V534" s="15">
        <v>2</v>
      </c>
      <c r="W534" s="9" t="str">
        <f>IF(Table1[[#This Row],[Satisfaction Rating]]&lt;2, "Low", IF(Table1[[#This Row],[Satisfaction Rating]]&lt;4, "Medium", "High"))</f>
        <v>Medium</v>
      </c>
    </row>
    <row r="535" spans="1:23" ht="14" x14ac:dyDescent="0.2">
      <c r="A535" s="10" t="s">
        <v>1101</v>
      </c>
      <c r="B535" s="11">
        <v>45209.194814814815</v>
      </c>
      <c r="C535" s="11">
        <v>45639.306307870371</v>
      </c>
      <c r="D535" s="11" t="str">
        <f>IF(Table1[[#This Row],[Duration of Campaign]]=0, "Ongoing","Completed")</f>
        <v>Completed</v>
      </c>
      <c r="E535" s="12">
        <f>Table1[[#This Row],[End Date]]-Table1[[#This Row],[Start Date]]</f>
        <v>430.11149305555591</v>
      </c>
      <c r="F535" s="13">
        <v>5738</v>
      </c>
      <c r="G535" s="14" t="s">
        <v>29</v>
      </c>
      <c r="H535" s="15">
        <v>16044</v>
      </c>
      <c r="I535" s="15">
        <v>279</v>
      </c>
      <c r="J535" s="15">
        <v>397</v>
      </c>
      <c r="K535" s="16">
        <v>4760</v>
      </c>
      <c r="L535" s="17">
        <f t="shared" si="40"/>
        <v>1.7389678384442782E-2</v>
      </c>
      <c r="M535" s="17">
        <f t="shared" si="40"/>
        <v>1.4229390681003584</v>
      </c>
      <c r="N535" s="18">
        <f t="shared" si="41"/>
        <v>8.4551971326164868</v>
      </c>
      <c r="O535" s="18">
        <f t="shared" si="42"/>
        <v>5.9420654911838788</v>
      </c>
      <c r="P535" s="17">
        <f t="shared" si="43"/>
        <v>0.41111885674451026</v>
      </c>
      <c r="Q535" s="17">
        <f t="shared" si="44"/>
        <v>2.0178041543026706</v>
      </c>
      <c r="R535" s="10" t="s">
        <v>1102</v>
      </c>
      <c r="S535" s="14" t="s">
        <v>40</v>
      </c>
      <c r="T535" s="14" t="s">
        <v>37</v>
      </c>
      <c r="U535" s="13">
        <v>2359</v>
      </c>
      <c r="V535" s="15">
        <v>5</v>
      </c>
      <c r="W535" s="9" t="str">
        <f>IF(Table1[[#This Row],[Satisfaction Rating]]&lt;2, "Low", IF(Table1[[#This Row],[Satisfaction Rating]]&lt;4, "Medium", "High"))</f>
        <v>High</v>
      </c>
    </row>
    <row r="536" spans="1:23" ht="14" x14ac:dyDescent="0.2">
      <c r="A536" s="10" t="s">
        <v>1103</v>
      </c>
      <c r="B536" s="11">
        <v>45430.087893518517</v>
      </c>
      <c r="C536" s="11">
        <v>45430.087893518517</v>
      </c>
      <c r="D536" s="11" t="str">
        <f>IF(Table1[[#This Row],[Duration of Campaign]]=0, "Ongoing","Completed")</f>
        <v>Ongoing</v>
      </c>
      <c r="E536" s="12">
        <f>Table1[[#This Row],[End Date]]-Table1[[#This Row],[Start Date]]</f>
        <v>0</v>
      </c>
      <c r="F536" s="13">
        <v>7622</v>
      </c>
      <c r="G536" s="14" t="s">
        <v>29</v>
      </c>
      <c r="H536" s="15">
        <v>6194</v>
      </c>
      <c r="I536" s="15">
        <v>1895</v>
      </c>
      <c r="J536" s="15">
        <v>77</v>
      </c>
      <c r="K536" s="16">
        <v>7355</v>
      </c>
      <c r="L536" s="17">
        <f t="shared" si="40"/>
        <v>0.30594123345172747</v>
      </c>
      <c r="M536" s="17">
        <f t="shared" si="40"/>
        <v>4.0633245382585753E-2</v>
      </c>
      <c r="N536" s="18">
        <f t="shared" si="41"/>
        <v>1.4284960422163588</v>
      </c>
      <c r="O536" s="18">
        <f t="shared" si="42"/>
        <v>35.155844155844157</v>
      </c>
      <c r="P536" s="17">
        <f t="shared" si="43"/>
        <v>0.35515612700078719</v>
      </c>
      <c r="Q536" s="17">
        <f t="shared" si="44"/>
        <v>2.7170299224233467</v>
      </c>
      <c r="R536" s="10" t="s">
        <v>1104</v>
      </c>
      <c r="S536" s="14" t="s">
        <v>45</v>
      </c>
      <c r="T536" s="14" t="s">
        <v>55</v>
      </c>
      <c r="U536" s="13">
        <v>2707</v>
      </c>
      <c r="V536" s="15">
        <v>3</v>
      </c>
      <c r="W536" s="9" t="str">
        <f>IF(Table1[[#This Row],[Satisfaction Rating]]&lt;2, "Low", IF(Table1[[#This Row],[Satisfaction Rating]]&lt;4, "Medium", "High"))</f>
        <v>Medium</v>
      </c>
    </row>
    <row r="537" spans="1:23" ht="14" x14ac:dyDescent="0.2">
      <c r="A537" s="10" t="s">
        <v>1105</v>
      </c>
      <c r="B537" s="11">
        <v>45162.125462962962</v>
      </c>
      <c r="C537" s="11">
        <v>45162.125462962962</v>
      </c>
      <c r="D537" s="11" t="str">
        <f>IF(Table1[[#This Row],[Duration of Campaign]]=0, "Ongoing","Completed")</f>
        <v>Ongoing</v>
      </c>
      <c r="E537" s="12">
        <f>Table1[[#This Row],[End Date]]-Table1[[#This Row],[Start Date]]</f>
        <v>0</v>
      </c>
      <c r="F537" s="13">
        <v>5576</v>
      </c>
      <c r="G537" s="14" t="s">
        <v>47</v>
      </c>
      <c r="H537" s="15">
        <v>15309</v>
      </c>
      <c r="I537" s="15">
        <v>1379</v>
      </c>
      <c r="J537" s="15">
        <v>254</v>
      </c>
      <c r="K537" s="16">
        <v>11173</v>
      </c>
      <c r="L537" s="17">
        <f t="shared" si="40"/>
        <v>9.0077732053040691E-2</v>
      </c>
      <c r="M537" s="17">
        <f t="shared" si="40"/>
        <v>0.18419144307469182</v>
      </c>
      <c r="N537" s="18">
        <f t="shared" si="41"/>
        <v>1.0848440899202321</v>
      </c>
      <c r="O537" s="18">
        <f t="shared" si="42"/>
        <v>5.8897637795275593</v>
      </c>
      <c r="P537" s="17">
        <f t="shared" si="43"/>
        <v>0.26829268292682928</v>
      </c>
      <c r="Q537" s="17">
        <f t="shared" si="44"/>
        <v>7.4685828877005349</v>
      </c>
      <c r="R537" s="10" t="s">
        <v>1106</v>
      </c>
      <c r="S537" s="14" t="s">
        <v>40</v>
      </c>
      <c r="T537" s="14" t="s">
        <v>55</v>
      </c>
      <c r="U537" s="13">
        <v>1496</v>
      </c>
      <c r="V537" s="15">
        <v>5</v>
      </c>
      <c r="W537" s="9" t="str">
        <f>IF(Table1[[#This Row],[Satisfaction Rating]]&lt;2, "Low", IF(Table1[[#This Row],[Satisfaction Rating]]&lt;4, "Medium", "High"))</f>
        <v>High</v>
      </c>
    </row>
    <row r="538" spans="1:23" ht="14" x14ac:dyDescent="0.2">
      <c r="A538" s="10" t="s">
        <v>1107</v>
      </c>
      <c r="B538" s="11">
        <v>44988.552129629628</v>
      </c>
      <c r="C538" s="11">
        <v>45639.967291666668</v>
      </c>
      <c r="D538" s="11" t="str">
        <f>IF(Table1[[#This Row],[Duration of Campaign]]=0, "Ongoing","Completed")</f>
        <v>Completed</v>
      </c>
      <c r="E538" s="12">
        <f>Table1[[#This Row],[End Date]]-Table1[[#This Row],[Start Date]]</f>
        <v>651.41516203703941</v>
      </c>
      <c r="F538" s="13">
        <v>5204</v>
      </c>
      <c r="G538" s="14" t="s">
        <v>47</v>
      </c>
      <c r="H538" s="15">
        <v>3141</v>
      </c>
      <c r="I538" s="15">
        <v>1917</v>
      </c>
      <c r="J538" s="15">
        <v>179</v>
      </c>
      <c r="K538" s="16">
        <v>9250</v>
      </c>
      <c r="L538" s="17">
        <f t="shared" si="40"/>
        <v>0.61031518624641834</v>
      </c>
      <c r="M538" s="17">
        <f t="shared" si="40"/>
        <v>9.3375065206051128E-2</v>
      </c>
      <c r="N538" s="18">
        <f t="shared" si="41"/>
        <v>7.4517475221700575</v>
      </c>
      <c r="O538" s="18">
        <f t="shared" si="42"/>
        <v>79.80446927374301</v>
      </c>
      <c r="P538" s="17">
        <f t="shared" si="43"/>
        <v>2.7450038431975403</v>
      </c>
      <c r="Q538" s="17">
        <f t="shared" si="44"/>
        <v>0.6475323766188309</v>
      </c>
      <c r="R538" s="10" t="s">
        <v>1108</v>
      </c>
      <c r="S538" s="14" t="s">
        <v>26</v>
      </c>
      <c r="T538" s="14" t="s">
        <v>27</v>
      </c>
      <c r="U538" s="13">
        <v>14285</v>
      </c>
      <c r="V538" s="15">
        <v>2</v>
      </c>
      <c r="W538" s="9" t="str">
        <f>IF(Table1[[#This Row],[Satisfaction Rating]]&lt;2, "Low", IF(Table1[[#This Row],[Satisfaction Rating]]&lt;4, "Medium", "High"))</f>
        <v>Medium</v>
      </c>
    </row>
    <row r="539" spans="1:23" ht="14" x14ac:dyDescent="0.2">
      <c r="A539" s="10" t="s">
        <v>1109</v>
      </c>
      <c r="B539" s="11">
        <v>45197.072928240741</v>
      </c>
      <c r="C539" s="11">
        <v>45251.153252314813</v>
      </c>
      <c r="D539" s="11" t="str">
        <f>IF(Table1[[#This Row],[Duration of Campaign]]=0, "Ongoing","Completed")</f>
        <v>Completed</v>
      </c>
      <c r="E539" s="12">
        <f>Table1[[#This Row],[End Date]]-Table1[[#This Row],[Start Date]]</f>
        <v>54.080324074071541</v>
      </c>
      <c r="F539" s="13">
        <v>5636</v>
      </c>
      <c r="G539" s="14" t="s">
        <v>47</v>
      </c>
      <c r="H539" s="15">
        <v>5778</v>
      </c>
      <c r="I539" s="15">
        <v>790</v>
      </c>
      <c r="J539" s="15">
        <v>16</v>
      </c>
      <c r="K539" s="16">
        <v>6214</v>
      </c>
      <c r="L539" s="17">
        <f t="shared" si="40"/>
        <v>0.13672551055728627</v>
      </c>
      <c r="M539" s="17">
        <f t="shared" si="40"/>
        <v>2.0253164556962026E-2</v>
      </c>
      <c r="N539" s="18">
        <f t="shared" si="41"/>
        <v>15.10759493670886</v>
      </c>
      <c r="O539" s="18">
        <f t="shared" si="42"/>
        <v>745.9375</v>
      </c>
      <c r="P539" s="17">
        <f t="shared" si="43"/>
        <v>2.11763662171753</v>
      </c>
      <c r="Q539" s="17">
        <f t="shared" si="44"/>
        <v>0.52065354000837871</v>
      </c>
      <c r="R539" s="10" t="s">
        <v>1110</v>
      </c>
      <c r="S539" s="14" t="s">
        <v>34</v>
      </c>
      <c r="T539" s="14" t="s">
        <v>55</v>
      </c>
      <c r="U539" s="13">
        <v>11935</v>
      </c>
      <c r="V539" s="15">
        <v>1</v>
      </c>
      <c r="W539" s="9" t="str">
        <f>IF(Table1[[#This Row],[Satisfaction Rating]]&lt;2, "Low", IF(Table1[[#This Row],[Satisfaction Rating]]&lt;4, "Medium", "High"))</f>
        <v>Low</v>
      </c>
    </row>
    <row r="540" spans="1:23" ht="14" x14ac:dyDescent="0.2">
      <c r="A540" s="10" t="s">
        <v>1111</v>
      </c>
      <c r="B540" s="11">
        <v>45028.778182870374</v>
      </c>
      <c r="C540" s="11">
        <v>45407.634872685187</v>
      </c>
      <c r="D540" s="11" t="str">
        <f>IF(Table1[[#This Row],[Duration of Campaign]]=0, "Ongoing","Completed")</f>
        <v>Completed</v>
      </c>
      <c r="E540" s="12">
        <f>Table1[[#This Row],[End Date]]-Table1[[#This Row],[Start Date]]</f>
        <v>378.85668981481285</v>
      </c>
      <c r="F540" s="13">
        <v>9920</v>
      </c>
      <c r="G540" s="14" t="s">
        <v>29</v>
      </c>
      <c r="H540" s="15">
        <v>19592</v>
      </c>
      <c r="I540" s="15">
        <v>524</v>
      </c>
      <c r="J540" s="15">
        <v>387</v>
      </c>
      <c r="K540" s="16">
        <v>13045</v>
      </c>
      <c r="L540" s="17">
        <f t="shared" si="40"/>
        <v>2.6745610453246221E-2</v>
      </c>
      <c r="M540" s="17">
        <f t="shared" si="40"/>
        <v>0.73854961832061072</v>
      </c>
      <c r="N540" s="18">
        <f t="shared" si="41"/>
        <v>30.080152671755727</v>
      </c>
      <c r="O540" s="18">
        <f t="shared" si="42"/>
        <v>40.728682170542633</v>
      </c>
      <c r="P540" s="17">
        <f t="shared" si="43"/>
        <v>1.5889112903225806</v>
      </c>
      <c r="Q540" s="17">
        <f t="shared" si="44"/>
        <v>0.82762339804593321</v>
      </c>
      <c r="R540" s="10" t="s">
        <v>1112</v>
      </c>
      <c r="S540" s="14" t="s">
        <v>45</v>
      </c>
      <c r="T540" s="14" t="s">
        <v>27</v>
      </c>
      <c r="U540" s="13">
        <v>15762</v>
      </c>
      <c r="V540" s="15">
        <v>3</v>
      </c>
      <c r="W540" s="9" t="str">
        <f>IF(Table1[[#This Row],[Satisfaction Rating]]&lt;2, "Low", IF(Table1[[#This Row],[Satisfaction Rating]]&lt;4, "Medium", "High"))</f>
        <v>Medium</v>
      </c>
    </row>
    <row r="541" spans="1:23" ht="14" x14ac:dyDescent="0.2">
      <c r="A541" s="10" t="s">
        <v>1113</v>
      </c>
      <c r="B541" s="11">
        <v>45632.212268518517</v>
      </c>
      <c r="C541" s="11">
        <v>45632.212268518517</v>
      </c>
      <c r="D541" s="11" t="str">
        <f>IF(Table1[[#This Row],[Duration of Campaign]]=0, "Ongoing","Completed")</f>
        <v>Ongoing</v>
      </c>
      <c r="E541" s="12">
        <f>Table1[[#This Row],[End Date]]-Table1[[#This Row],[Start Date]]</f>
        <v>0</v>
      </c>
      <c r="F541" s="13">
        <v>9317</v>
      </c>
      <c r="G541" s="14" t="s">
        <v>29</v>
      </c>
      <c r="H541" s="15">
        <v>17601</v>
      </c>
      <c r="I541" s="15">
        <v>1092</v>
      </c>
      <c r="J541" s="15">
        <v>496</v>
      </c>
      <c r="K541" s="16">
        <v>14046</v>
      </c>
      <c r="L541" s="17">
        <f t="shared" si="40"/>
        <v>6.2041929435827509E-2</v>
      </c>
      <c r="M541" s="17">
        <f t="shared" si="40"/>
        <v>0.45421245421245421</v>
      </c>
      <c r="N541" s="18">
        <f t="shared" si="41"/>
        <v>17.983516483516482</v>
      </c>
      <c r="O541" s="18">
        <f t="shared" si="42"/>
        <v>39.592741935483872</v>
      </c>
      <c r="P541" s="17">
        <f t="shared" si="43"/>
        <v>2.107760008586455</v>
      </c>
      <c r="Q541" s="17">
        <f t="shared" si="44"/>
        <v>0.71524595172624506</v>
      </c>
      <c r="R541" s="10" t="s">
        <v>1114</v>
      </c>
      <c r="S541" s="14" t="s">
        <v>31</v>
      </c>
      <c r="T541" s="14" t="s">
        <v>55</v>
      </c>
      <c r="U541" s="13">
        <v>19638</v>
      </c>
      <c r="V541" s="15">
        <v>5</v>
      </c>
      <c r="W541" s="9" t="str">
        <f>IF(Table1[[#This Row],[Satisfaction Rating]]&lt;2, "Low", IF(Table1[[#This Row],[Satisfaction Rating]]&lt;4, "Medium", "High"))</f>
        <v>High</v>
      </c>
    </row>
    <row r="542" spans="1:23" ht="14" x14ac:dyDescent="0.2">
      <c r="A542" s="10" t="s">
        <v>1115</v>
      </c>
      <c r="B542" s="11">
        <v>45580.77542824074</v>
      </c>
      <c r="C542" s="11">
        <v>45580.77542824074</v>
      </c>
      <c r="D542" s="11" t="str">
        <f>IF(Table1[[#This Row],[Duration of Campaign]]=0, "Ongoing","Completed")</f>
        <v>Ongoing</v>
      </c>
      <c r="E542" s="12">
        <f>Table1[[#This Row],[End Date]]-Table1[[#This Row],[Start Date]]</f>
        <v>0</v>
      </c>
      <c r="F542" s="13">
        <v>3062</v>
      </c>
      <c r="G542" s="14" t="s">
        <v>63</v>
      </c>
      <c r="H542" s="15">
        <v>6712</v>
      </c>
      <c r="I542" s="15">
        <v>1320</v>
      </c>
      <c r="J542" s="15">
        <v>330</v>
      </c>
      <c r="K542" s="16">
        <v>13475</v>
      </c>
      <c r="L542" s="17">
        <f t="shared" si="40"/>
        <v>0.19666269368295591</v>
      </c>
      <c r="M542" s="17">
        <f t="shared" si="40"/>
        <v>0.25</v>
      </c>
      <c r="N542" s="18">
        <f t="shared" si="41"/>
        <v>9.4931818181818191</v>
      </c>
      <c r="O542" s="18">
        <f t="shared" si="42"/>
        <v>37.972727272727276</v>
      </c>
      <c r="P542" s="17">
        <f t="shared" si="43"/>
        <v>4.0924232527759639</v>
      </c>
      <c r="Q542" s="17">
        <f t="shared" si="44"/>
        <v>1.0753331737291516</v>
      </c>
      <c r="R542" s="10" t="s">
        <v>1116</v>
      </c>
      <c r="S542" s="14" t="s">
        <v>31</v>
      </c>
      <c r="T542" s="14" t="s">
        <v>27</v>
      </c>
      <c r="U542" s="13">
        <v>12531</v>
      </c>
      <c r="V542" s="15">
        <v>4</v>
      </c>
      <c r="W542" s="9" t="str">
        <f>IF(Table1[[#This Row],[Satisfaction Rating]]&lt;2, "Low", IF(Table1[[#This Row],[Satisfaction Rating]]&lt;4, "Medium", "High"))</f>
        <v>High</v>
      </c>
    </row>
    <row r="543" spans="1:23" ht="14" x14ac:dyDescent="0.2">
      <c r="A543" s="10" t="s">
        <v>1117</v>
      </c>
      <c r="B543" s="11">
        <v>45520.651273148149</v>
      </c>
      <c r="C543" s="11">
        <v>45554.126064814816</v>
      </c>
      <c r="D543" s="11" t="str">
        <f>IF(Table1[[#This Row],[Duration of Campaign]]=0, "Ongoing","Completed")</f>
        <v>Completed</v>
      </c>
      <c r="E543" s="12">
        <f>Table1[[#This Row],[End Date]]-Table1[[#This Row],[Start Date]]</f>
        <v>33.474791666667443</v>
      </c>
      <c r="F543" s="13">
        <v>3059</v>
      </c>
      <c r="G543" s="14" t="s">
        <v>47</v>
      </c>
      <c r="H543" s="15">
        <v>3335</v>
      </c>
      <c r="I543" s="15">
        <v>357</v>
      </c>
      <c r="J543" s="15">
        <v>249</v>
      </c>
      <c r="K543" s="16">
        <v>4202</v>
      </c>
      <c r="L543" s="17">
        <f t="shared" si="40"/>
        <v>0.10704647676161919</v>
      </c>
      <c r="M543" s="17">
        <f t="shared" si="40"/>
        <v>0.69747899159663862</v>
      </c>
      <c r="N543" s="18">
        <f t="shared" si="41"/>
        <v>25.016806722689076</v>
      </c>
      <c r="O543" s="18">
        <f t="shared" si="42"/>
        <v>35.867469879518069</v>
      </c>
      <c r="P543" s="17">
        <f t="shared" si="43"/>
        <v>2.9195815626021577</v>
      </c>
      <c r="Q543" s="17">
        <f t="shared" si="44"/>
        <v>0.47049602508117794</v>
      </c>
      <c r="R543" s="10" t="s">
        <v>1118</v>
      </c>
      <c r="S543" s="14" t="s">
        <v>31</v>
      </c>
      <c r="T543" s="14" t="s">
        <v>27</v>
      </c>
      <c r="U543" s="13">
        <v>8931</v>
      </c>
      <c r="V543" s="15">
        <v>3</v>
      </c>
      <c r="W543" s="9" t="str">
        <f>IF(Table1[[#This Row],[Satisfaction Rating]]&lt;2, "Low", IF(Table1[[#This Row],[Satisfaction Rating]]&lt;4, "Medium", "High"))</f>
        <v>Medium</v>
      </c>
    </row>
    <row r="544" spans="1:23" ht="14" x14ac:dyDescent="0.2">
      <c r="A544" s="10" t="s">
        <v>1119</v>
      </c>
      <c r="B544" s="11">
        <v>45303.840810185182</v>
      </c>
      <c r="C544" s="11">
        <v>45303.840810185182</v>
      </c>
      <c r="D544" s="11" t="str">
        <f>IF(Table1[[#This Row],[Duration of Campaign]]=0, "Ongoing","Completed")</f>
        <v>Ongoing</v>
      </c>
      <c r="E544" s="12">
        <f>Table1[[#This Row],[End Date]]-Table1[[#This Row],[Start Date]]</f>
        <v>0</v>
      </c>
      <c r="F544" s="13">
        <v>8266</v>
      </c>
      <c r="G544" s="14" t="s">
        <v>63</v>
      </c>
      <c r="H544" s="15">
        <v>13618</v>
      </c>
      <c r="I544" s="15">
        <v>434</v>
      </c>
      <c r="J544" s="15">
        <v>57</v>
      </c>
      <c r="K544" s="16">
        <v>8020</v>
      </c>
      <c r="L544" s="17">
        <f t="shared" si="40"/>
        <v>3.1869584373623146E-2</v>
      </c>
      <c r="M544" s="17">
        <f t="shared" si="40"/>
        <v>0.1313364055299539</v>
      </c>
      <c r="N544" s="18">
        <f t="shared" si="41"/>
        <v>4.3364055299539173</v>
      </c>
      <c r="O544" s="18">
        <f t="shared" si="42"/>
        <v>33.017543859649123</v>
      </c>
      <c r="P544" s="17">
        <f t="shared" si="43"/>
        <v>0.22767965158480521</v>
      </c>
      <c r="Q544" s="17">
        <f t="shared" si="44"/>
        <v>4.2614240170031881</v>
      </c>
      <c r="R544" s="10" t="s">
        <v>1120</v>
      </c>
      <c r="S544" s="14" t="s">
        <v>45</v>
      </c>
      <c r="T544" s="14" t="s">
        <v>37</v>
      </c>
      <c r="U544" s="13">
        <v>1882</v>
      </c>
      <c r="V544" s="15">
        <v>2</v>
      </c>
      <c r="W544" s="9" t="str">
        <f>IF(Table1[[#This Row],[Satisfaction Rating]]&lt;2, "Low", IF(Table1[[#This Row],[Satisfaction Rating]]&lt;4, "Medium", "High"))</f>
        <v>Medium</v>
      </c>
    </row>
    <row r="545" spans="1:23" ht="14" x14ac:dyDescent="0.2">
      <c r="A545" s="10" t="s">
        <v>1121</v>
      </c>
      <c r="B545" s="11">
        <v>45484.805752314816</v>
      </c>
      <c r="C545" s="11">
        <v>45551.265694444446</v>
      </c>
      <c r="D545" s="11" t="str">
        <f>IF(Table1[[#This Row],[Duration of Campaign]]=0, "Ongoing","Completed")</f>
        <v>Completed</v>
      </c>
      <c r="E545" s="12">
        <f>Table1[[#This Row],[End Date]]-Table1[[#This Row],[Start Date]]</f>
        <v>66.459942129629781</v>
      </c>
      <c r="F545" s="13">
        <v>1895</v>
      </c>
      <c r="G545" s="14" t="s">
        <v>47</v>
      </c>
      <c r="H545" s="15">
        <v>6617</v>
      </c>
      <c r="I545" s="15">
        <v>1361</v>
      </c>
      <c r="J545" s="15">
        <v>173</v>
      </c>
      <c r="K545" s="16">
        <v>2052</v>
      </c>
      <c r="L545" s="17">
        <f t="shared" si="40"/>
        <v>0.20568233338370864</v>
      </c>
      <c r="M545" s="17">
        <f t="shared" si="40"/>
        <v>0.12711241734019105</v>
      </c>
      <c r="N545" s="18">
        <f t="shared" si="41"/>
        <v>1.3497428361498898</v>
      </c>
      <c r="O545" s="18">
        <f t="shared" si="42"/>
        <v>10.61849710982659</v>
      </c>
      <c r="P545" s="17">
        <f t="shared" si="43"/>
        <v>0.96939313984168862</v>
      </c>
      <c r="Q545" s="17">
        <f t="shared" si="44"/>
        <v>1.1170386499727818</v>
      </c>
      <c r="R545" s="10" t="s">
        <v>1122</v>
      </c>
      <c r="S545" s="14" t="s">
        <v>26</v>
      </c>
      <c r="T545" s="14" t="s">
        <v>27</v>
      </c>
      <c r="U545" s="13">
        <v>1837</v>
      </c>
      <c r="V545" s="15">
        <v>4</v>
      </c>
      <c r="W545" s="9" t="str">
        <f>IF(Table1[[#This Row],[Satisfaction Rating]]&lt;2, "Low", IF(Table1[[#This Row],[Satisfaction Rating]]&lt;4, "Medium", "High"))</f>
        <v>High</v>
      </c>
    </row>
    <row r="546" spans="1:23" ht="14" x14ac:dyDescent="0.2">
      <c r="A546" s="10" t="s">
        <v>1123</v>
      </c>
      <c r="B546" s="11">
        <v>45091.893263888887</v>
      </c>
      <c r="C546" s="11">
        <v>45091.893263888887</v>
      </c>
      <c r="D546" s="11" t="str">
        <f>IF(Table1[[#This Row],[Duration of Campaign]]=0, "Ongoing","Completed")</f>
        <v>Ongoing</v>
      </c>
      <c r="E546" s="12">
        <f>Table1[[#This Row],[End Date]]-Table1[[#This Row],[Start Date]]</f>
        <v>0</v>
      </c>
      <c r="F546" s="13">
        <v>9107</v>
      </c>
      <c r="G546" s="14" t="s">
        <v>24</v>
      </c>
      <c r="H546" s="15">
        <v>2621</v>
      </c>
      <c r="I546" s="15">
        <v>1580</v>
      </c>
      <c r="J546" s="15">
        <v>263</v>
      </c>
      <c r="K546" s="16">
        <v>6738</v>
      </c>
      <c r="L546" s="17">
        <f t="shared" si="40"/>
        <v>0.60282334986646313</v>
      </c>
      <c r="M546" s="17">
        <f t="shared" si="40"/>
        <v>0.16645569620253164</v>
      </c>
      <c r="N546" s="18">
        <f t="shared" si="41"/>
        <v>10.20506329113924</v>
      </c>
      <c r="O546" s="18">
        <f t="shared" si="42"/>
        <v>61.307984790874528</v>
      </c>
      <c r="P546" s="17">
        <f t="shared" si="43"/>
        <v>1.7705062040188866</v>
      </c>
      <c r="Q546" s="17">
        <f t="shared" si="44"/>
        <v>0.41788638055073185</v>
      </c>
      <c r="R546" s="10" t="s">
        <v>1124</v>
      </c>
      <c r="S546" s="14" t="s">
        <v>31</v>
      </c>
      <c r="T546" s="14" t="s">
        <v>37</v>
      </c>
      <c r="U546" s="13">
        <v>16124</v>
      </c>
      <c r="V546" s="15">
        <v>1</v>
      </c>
      <c r="W546" s="9" t="str">
        <f>IF(Table1[[#This Row],[Satisfaction Rating]]&lt;2, "Low", IF(Table1[[#This Row],[Satisfaction Rating]]&lt;4, "Medium", "High"))</f>
        <v>Low</v>
      </c>
    </row>
    <row r="547" spans="1:23" ht="14" x14ac:dyDescent="0.2">
      <c r="A547" s="10" t="s">
        <v>1125</v>
      </c>
      <c r="B547" s="11">
        <v>45248.026354166665</v>
      </c>
      <c r="C547" s="11">
        <v>45405.583611111113</v>
      </c>
      <c r="D547" s="11" t="str">
        <f>IF(Table1[[#This Row],[Duration of Campaign]]=0, "Ongoing","Completed")</f>
        <v>Completed</v>
      </c>
      <c r="E547" s="12">
        <f>Table1[[#This Row],[End Date]]-Table1[[#This Row],[Start Date]]</f>
        <v>157.55725694444845</v>
      </c>
      <c r="F547" s="13">
        <v>6165</v>
      </c>
      <c r="G547" s="14" t="s">
        <v>24</v>
      </c>
      <c r="H547" s="15">
        <v>19647</v>
      </c>
      <c r="I547" s="15">
        <v>1867</v>
      </c>
      <c r="J547" s="15">
        <v>26</v>
      </c>
      <c r="K547" s="16">
        <v>12993</v>
      </c>
      <c r="L547" s="17">
        <f t="shared" si="40"/>
        <v>9.5027230620450959E-2</v>
      </c>
      <c r="M547" s="17">
        <f t="shared" si="40"/>
        <v>1.3926084627745045E-2</v>
      </c>
      <c r="N547" s="18">
        <f t="shared" si="41"/>
        <v>4.5115158007498657</v>
      </c>
      <c r="O547" s="18">
        <f t="shared" si="42"/>
        <v>323.96153846153845</v>
      </c>
      <c r="P547" s="17">
        <f t="shared" si="43"/>
        <v>1.3662611516626115</v>
      </c>
      <c r="Q547" s="17">
        <f t="shared" si="44"/>
        <v>1.5425620325299774</v>
      </c>
      <c r="R547" s="10" t="s">
        <v>1126</v>
      </c>
      <c r="S547" s="14" t="s">
        <v>40</v>
      </c>
      <c r="T547" s="14" t="s">
        <v>27</v>
      </c>
      <c r="U547" s="13">
        <v>8423</v>
      </c>
      <c r="V547" s="15">
        <v>3</v>
      </c>
      <c r="W547" s="9" t="str">
        <f>IF(Table1[[#This Row],[Satisfaction Rating]]&lt;2, "Low", IF(Table1[[#This Row],[Satisfaction Rating]]&lt;4, "Medium", "High"))</f>
        <v>Medium</v>
      </c>
    </row>
    <row r="548" spans="1:23" ht="14" x14ac:dyDescent="0.2">
      <c r="A548" s="10" t="s">
        <v>1127</v>
      </c>
      <c r="B548" s="11">
        <v>45503.442384259259</v>
      </c>
      <c r="C548" s="11">
        <v>45503.442384259259</v>
      </c>
      <c r="D548" s="11" t="str">
        <f>IF(Table1[[#This Row],[Duration of Campaign]]=0, "Ongoing","Completed")</f>
        <v>Ongoing</v>
      </c>
      <c r="E548" s="12">
        <f>Table1[[#This Row],[End Date]]-Table1[[#This Row],[Start Date]]</f>
        <v>0</v>
      </c>
      <c r="F548" s="13">
        <v>2096</v>
      </c>
      <c r="G548" s="14" t="s">
        <v>63</v>
      </c>
      <c r="H548" s="15">
        <v>9340</v>
      </c>
      <c r="I548" s="15">
        <v>638</v>
      </c>
      <c r="J548" s="15">
        <v>300</v>
      </c>
      <c r="K548" s="16">
        <v>9466</v>
      </c>
      <c r="L548" s="17">
        <f t="shared" si="40"/>
        <v>6.8308351177730195E-2</v>
      </c>
      <c r="M548" s="17">
        <f t="shared" si="40"/>
        <v>0.47021943573667713</v>
      </c>
      <c r="N548" s="18">
        <f t="shared" si="41"/>
        <v>5</v>
      </c>
      <c r="O548" s="18">
        <f t="shared" si="42"/>
        <v>10.633333333333333</v>
      </c>
      <c r="P548" s="17">
        <f t="shared" si="43"/>
        <v>1.5219465648854962</v>
      </c>
      <c r="Q548" s="17">
        <f t="shared" si="44"/>
        <v>2.9673981191222571</v>
      </c>
      <c r="R548" s="10" t="s">
        <v>1128</v>
      </c>
      <c r="S548" s="14" t="s">
        <v>26</v>
      </c>
      <c r="T548" s="14" t="s">
        <v>27</v>
      </c>
      <c r="U548" s="13">
        <v>3190</v>
      </c>
      <c r="V548" s="15">
        <v>3</v>
      </c>
      <c r="W548" s="9" t="str">
        <f>IF(Table1[[#This Row],[Satisfaction Rating]]&lt;2, "Low", IF(Table1[[#This Row],[Satisfaction Rating]]&lt;4, "Medium", "High"))</f>
        <v>Medium</v>
      </c>
    </row>
    <row r="549" spans="1:23" ht="14" x14ac:dyDescent="0.2">
      <c r="A549" s="10" t="s">
        <v>1129</v>
      </c>
      <c r="B549" s="11">
        <v>45631.215798611112</v>
      </c>
      <c r="C549" s="11">
        <v>45631.215798611112</v>
      </c>
      <c r="D549" s="11" t="str">
        <f>IF(Table1[[#This Row],[Duration of Campaign]]=0, "Ongoing","Completed")</f>
        <v>Ongoing</v>
      </c>
      <c r="E549" s="12">
        <f>Table1[[#This Row],[End Date]]-Table1[[#This Row],[Start Date]]</f>
        <v>0</v>
      </c>
      <c r="F549" s="13">
        <v>2509</v>
      </c>
      <c r="G549" s="14" t="s">
        <v>63</v>
      </c>
      <c r="H549" s="15">
        <v>2156</v>
      </c>
      <c r="I549" s="15">
        <v>541</v>
      </c>
      <c r="J549" s="15">
        <v>255</v>
      </c>
      <c r="K549" s="16">
        <v>14349</v>
      </c>
      <c r="L549" s="17">
        <f t="shared" si="40"/>
        <v>0.25092764378478666</v>
      </c>
      <c r="M549" s="17">
        <f t="shared" si="40"/>
        <v>0.4713493530499076</v>
      </c>
      <c r="N549" s="18">
        <f t="shared" si="41"/>
        <v>17.536044362292053</v>
      </c>
      <c r="O549" s="18">
        <f t="shared" si="42"/>
        <v>37.20392156862745</v>
      </c>
      <c r="P549" s="17">
        <f t="shared" si="43"/>
        <v>3.7811877241929057</v>
      </c>
      <c r="Q549" s="17">
        <f t="shared" si="44"/>
        <v>1.5124907768525351</v>
      </c>
      <c r="R549" s="10" t="s">
        <v>1130</v>
      </c>
      <c r="S549" s="14" t="s">
        <v>26</v>
      </c>
      <c r="T549" s="14" t="s">
        <v>37</v>
      </c>
      <c r="U549" s="13">
        <v>9487</v>
      </c>
      <c r="V549" s="15">
        <v>5</v>
      </c>
      <c r="W549" s="9" t="str">
        <f>IF(Table1[[#This Row],[Satisfaction Rating]]&lt;2, "Low", IF(Table1[[#This Row],[Satisfaction Rating]]&lt;4, "Medium", "High"))</f>
        <v>High</v>
      </c>
    </row>
    <row r="550" spans="1:23" ht="14" x14ac:dyDescent="0.2">
      <c r="A550" s="10" t="s">
        <v>1131</v>
      </c>
      <c r="B550" s="11">
        <v>45028.594097222223</v>
      </c>
      <c r="C550" s="11">
        <v>45461.611655092594</v>
      </c>
      <c r="D550" s="11" t="str">
        <f>IF(Table1[[#This Row],[Duration of Campaign]]=0, "Ongoing","Completed")</f>
        <v>Completed</v>
      </c>
      <c r="E550" s="12">
        <f>Table1[[#This Row],[End Date]]-Table1[[#This Row],[Start Date]]</f>
        <v>433.01755787037109</v>
      </c>
      <c r="F550" s="13">
        <v>5331</v>
      </c>
      <c r="G550" s="14" t="s">
        <v>63</v>
      </c>
      <c r="H550" s="15">
        <v>12152</v>
      </c>
      <c r="I550" s="15">
        <v>1520</v>
      </c>
      <c r="J550" s="15">
        <v>469</v>
      </c>
      <c r="K550" s="16">
        <v>10246</v>
      </c>
      <c r="L550" s="17">
        <f t="shared" si="40"/>
        <v>0.12508229098090851</v>
      </c>
      <c r="M550" s="17">
        <f t="shared" si="40"/>
        <v>0.30855263157894736</v>
      </c>
      <c r="N550" s="18">
        <f t="shared" si="41"/>
        <v>6.6138157894736844</v>
      </c>
      <c r="O550" s="18">
        <f t="shared" si="42"/>
        <v>21.434968017057571</v>
      </c>
      <c r="P550" s="17">
        <f t="shared" si="43"/>
        <v>1.8857625211029825</v>
      </c>
      <c r="Q550" s="17">
        <f t="shared" si="44"/>
        <v>1.0191982492788223</v>
      </c>
      <c r="R550" s="10" t="s">
        <v>1132</v>
      </c>
      <c r="S550" s="14" t="s">
        <v>45</v>
      </c>
      <c r="T550" s="14" t="s">
        <v>37</v>
      </c>
      <c r="U550" s="13">
        <v>10053</v>
      </c>
      <c r="V550" s="15">
        <v>5</v>
      </c>
      <c r="W550" s="9" t="str">
        <f>IF(Table1[[#This Row],[Satisfaction Rating]]&lt;2, "Low", IF(Table1[[#This Row],[Satisfaction Rating]]&lt;4, "Medium", "High"))</f>
        <v>High</v>
      </c>
    </row>
    <row r="551" spans="1:23" ht="14" x14ac:dyDescent="0.2">
      <c r="A551" s="10" t="s">
        <v>1133</v>
      </c>
      <c r="B551" s="11">
        <v>45263.413263888891</v>
      </c>
      <c r="C551" s="11">
        <v>45364.160173611112</v>
      </c>
      <c r="D551" s="11" t="str">
        <f>IF(Table1[[#This Row],[Duration of Campaign]]=0, "Ongoing","Completed")</f>
        <v>Completed</v>
      </c>
      <c r="E551" s="12">
        <f>Table1[[#This Row],[End Date]]-Table1[[#This Row],[Start Date]]</f>
        <v>100.74690972222015</v>
      </c>
      <c r="F551" s="13">
        <v>2960</v>
      </c>
      <c r="G551" s="14" t="s">
        <v>47</v>
      </c>
      <c r="H551" s="15">
        <v>13113</v>
      </c>
      <c r="I551" s="15">
        <v>1125</v>
      </c>
      <c r="J551" s="15">
        <v>111</v>
      </c>
      <c r="K551" s="16">
        <v>1306</v>
      </c>
      <c r="L551" s="17">
        <f t="shared" si="40"/>
        <v>8.5792724776938917E-2</v>
      </c>
      <c r="M551" s="17">
        <f t="shared" si="40"/>
        <v>9.8666666666666666E-2</v>
      </c>
      <c r="N551" s="18">
        <f t="shared" si="41"/>
        <v>0.74311111111111106</v>
      </c>
      <c r="O551" s="18">
        <f t="shared" si="42"/>
        <v>7.5315315315315319</v>
      </c>
      <c r="P551" s="17">
        <f t="shared" si="43"/>
        <v>0.28243243243243243</v>
      </c>
      <c r="Q551" s="17">
        <f t="shared" si="44"/>
        <v>1.562200956937799</v>
      </c>
      <c r="R551" s="10" t="s">
        <v>1134</v>
      </c>
      <c r="S551" s="14" t="s">
        <v>40</v>
      </c>
      <c r="T551" s="14" t="s">
        <v>27</v>
      </c>
      <c r="U551" s="13">
        <v>836</v>
      </c>
      <c r="V551" s="15">
        <v>3</v>
      </c>
      <c r="W551" s="9" t="str">
        <f>IF(Table1[[#This Row],[Satisfaction Rating]]&lt;2, "Low", IF(Table1[[#This Row],[Satisfaction Rating]]&lt;4, "Medium", "High"))</f>
        <v>Medium</v>
      </c>
    </row>
    <row r="552" spans="1:23" ht="14" x14ac:dyDescent="0.2">
      <c r="A552" s="10" t="s">
        <v>1135</v>
      </c>
      <c r="B552" s="11">
        <v>45168.817615740743</v>
      </c>
      <c r="C552" s="11">
        <v>45646.36141203704</v>
      </c>
      <c r="D552" s="11" t="str">
        <f>IF(Table1[[#This Row],[Duration of Campaign]]=0, "Ongoing","Completed")</f>
        <v>Completed</v>
      </c>
      <c r="E552" s="12">
        <f>Table1[[#This Row],[End Date]]-Table1[[#This Row],[Start Date]]</f>
        <v>477.54379629629693</v>
      </c>
      <c r="F552" s="13">
        <v>6829</v>
      </c>
      <c r="G552" s="14" t="s">
        <v>47</v>
      </c>
      <c r="H552" s="15">
        <v>4928</v>
      </c>
      <c r="I552" s="15">
        <v>143</v>
      </c>
      <c r="J552" s="15">
        <v>208</v>
      </c>
      <c r="K552" s="16">
        <v>7724</v>
      </c>
      <c r="L552" s="17">
        <f t="shared" si="40"/>
        <v>2.9017857142857144E-2</v>
      </c>
      <c r="M552" s="17">
        <f t="shared" si="40"/>
        <v>1.4545454545454546</v>
      </c>
      <c r="N552" s="18">
        <f t="shared" si="41"/>
        <v>116.25874125874125</v>
      </c>
      <c r="O552" s="18">
        <f t="shared" si="42"/>
        <v>79.927884615384613</v>
      </c>
      <c r="P552" s="17">
        <f t="shared" si="43"/>
        <v>2.4344706399179969</v>
      </c>
      <c r="Q552" s="17">
        <f t="shared" si="44"/>
        <v>0.46460150375939852</v>
      </c>
      <c r="R552" s="10" t="s">
        <v>1136</v>
      </c>
      <c r="S552" s="14" t="s">
        <v>40</v>
      </c>
      <c r="T552" s="14" t="s">
        <v>27</v>
      </c>
      <c r="U552" s="13">
        <v>16625</v>
      </c>
      <c r="V552" s="15">
        <v>1</v>
      </c>
      <c r="W552" s="9" t="str">
        <f>IF(Table1[[#This Row],[Satisfaction Rating]]&lt;2, "Low", IF(Table1[[#This Row],[Satisfaction Rating]]&lt;4, "Medium", "High"))</f>
        <v>Low</v>
      </c>
    </row>
    <row r="553" spans="1:23" ht="14" x14ac:dyDescent="0.2">
      <c r="A553" s="10" t="s">
        <v>1137</v>
      </c>
      <c r="B553" s="11">
        <v>45079.102500000001</v>
      </c>
      <c r="C553" s="11">
        <v>45421.490671296298</v>
      </c>
      <c r="D553" s="11" t="str">
        <f>IF(Table1[[#This Row],[Duration of Campaign]]=0, "Ongoing","Completed")</f>
        <v>Completed</v>
      </c>
      <c r="E553" s="12">
        <f>Table1[[#This Row],[End Date]]-Table1[[#This Row],[Start Date]]</f>
        <v>342.38817129629751</v>
      </c>
      <c r="F553" s="13">
        <v>2433</v>
      </c>
      <c r="G553" s="14" t="s">
        <v>24</v>
      </c>
      <c r="H553" s="15">
        <v>8028</v>
      </c>
      <c r="I553" s="15">
        <v>1993</v>
      </c>
      <c r="J553" s="15">
        <v>187</v>
      </c>
      <c r="K553" s="16">
        <v>8897</v>
      </c>
      <c r="L553" s="17">
        <f t="shared" si="40"/>
        <v>0.24825610363726955</v>
      </c>
      <c r="M553" s="17">
        <f t="shared" si="40"/>
        <v>9.3828399397892628E-2</v>
      </c>
      <c r="N553" s="18">
        <f t="shared" si="41"/>
        <v>6.7270446562970401</v>
      </c>
      <c r="O553" s="18">
        <f t="shared" si="42"/>
        <v>71.695187165775394</v>
      </c>
      <c r="P553" s="17">
        <f t="shared" si="43"/>
        <v>5.5104808877928484</v>
      </c>
      <c r="Q553" s="17">
        <f t="shared" si="44"/>
        <v>0.66360856269113155</v>
      </c>
      <c r="R553" s="10" t="s">
        <v>1138</v>
      </c>
      <c r="S553" s="14" t="s">
        <v>26</v>
      </c>
      <c r="T553" s="14" t="s">
        <v>27</v>
      </c>
      <c r="U553" s="13">
        <v>13407</v>
      </c>
      <c r="V553" s="15">
        <v>5</v>
      </c>
      <c r="W553" s="9" t="str">
        <f>IF(Table1[[#This Row],[Satisfaction Rating]]&lt;2, "Low", IF(Table1[[#This Row],[Satisfaction Rating]]&lt;4, "Medium", "High"))</f>
        <v>High</v>
      </c>
    </row>
    <row r="554" spans="1:23" ht="14" x14ac:dyDescent="0.2">
      <c r="A554" s="10" t="s">
        <v>1139</v>
      </c>
      <c r="B554" s="11">
        <v>45089.875960648147</v>
      </c>
      <c r="C554" s="11">
        <v>45334.400358796294</v>
      </c>
      <c r="D554" s="11" t="str">
        <f>IF(Table1[[#This Row],[Duration of Campaign]]=0, "Ongoing","Completed")</f>
        <v>Completed</v>
      </c>
      <c r="E554" s="12">
        <f>Table1[[#This Row],[End Date]]-Table1[[#This Row],[Start Date]]</f>
        <v>244.52439814814716</v>
      </c>
      <c r="F554" s="13">
        <v>1716</v>
      </c>
      <c r="G554" s="14" t="s">
        <v>29</v>
      </c>
      <c r="H554" s="15">
        <v>14025</v>
      </c>
      <c r="I554" s="15">
        <v>698</v>
      </c>
      <c r="J554" s="15">
        <v>493</v>
      </c>
      <c r="K554" s="16">
        <v>5012</v>
      </c>
      <c r="L554" s="17">
        <f t="shared" si="40"/>
        <v>4.9768270944741531E-2</v>
      </c>
      <c r="M554" s="17">
        <f t="shared" si="40"/>
        <v>0.70630372492836679</v>
      </c>
      <c r="N554" s="18">
        <f t="shared" si="41"/>
        <v>21.095988538681947</v>
      </c>
      <c r="O554" s="18">
        <f t="shared" si="42"/>
        <v>29.86815415821501</v>
      </c>
      <c r="P554" s="17">
        <f t="shared" si="43"/>
        <v>8.5810023310023311</v>
      </c>
      <c r="Q554" s="17">
        <f t="shared" si="44"/>
        <v>0.34037351443123937</v>
      </c>
      <c r="R554" s="10" t="s">
        <v>1140</v>
      </c>
      <c r="S554" s="14" t="s">
        <v>40</v>
      </c>
      <c r="T554" s="14" t="s">
        <v>37</v>
      </c>
      <c r="U554" s="13">
        <v>14725</v>
      </c>
      <c r="V554" s="15">
        <v>1</v>
      </c>
      <c r="W554" s="9" t="str">
        <f>IF(Table1[[#This Row],[Satisfaction Rating]]&lt;2, "Low", IF(Table1[[#This Row],[Satisfaction Rating]]&lt;4, "Medium", "High"))</f>
        <v>Low</v>
      </c>
    </row>
    <row r="555" spans="1:23" ht="14" x14ac:dyDescent="0.2">
      <c r="A555" s="10" t="s">
        <v>1141</v>
      </c>
      <c r="B555" s="11">
        <v>45104.964884259258</v>
      </c>
      <c r="C555" s="11">
        <v>45104.964884259258</v>
      </c>
      <c r="D555" s="11" t="str">
        <f>IF(Table1[[#This Row],[Duration of Campaign]]=0, "Ongoing","Completed")</f>
        <v>Ongoing</v>
      </c>
      <c r="E555" s="12">
        <f>Table1[[#This Row],[End Date]]-Table1[[#This Row],[Start Date]]</f>
        <v>0</v>
      </c>
      <c r="F555" s="13">
        <v>9411</v>
      </c>
      <c r="G555" s="14" t="s">
        <v>63</v>
      </c>
      <c r="H555" s="15">
        <v>9125</v>
      </c>
      <c r="I555" s="15">
        <v>504</v>
      </c>
      <c r="J555" s="15">
        <v>58</v>
      </c>
      <c r="K555" s="16">
        <v>1006</v>
      </c>
      <c r="L555" s="17">
        <f t="shared" si="40"/>
        <v>5.5232876712328766E-2</v>
      </c>
      <c r="M555" s="17">
        <f t="shared" si="40"/>
        <v>0.11507936507936507</v>
      </c>
      <c r="N555" s="18">
        <f t="shared" si="41"/>
        <v>25.863095238095237</v>
      </c>
      <c r="O555" s="18">
        <f t="shared" si="42"/>
        <v>224.74137931034483</v>
      </c>
      <c r="P555" s="17">
        <f t="shared" si="43"/>
        <v>1.3850812878546381</v>
      </c>
      <c r="Q555" s="17">
        <f t="shared" si="44"/>
        <v>7.7176831607211352E-2</v>
      </c>
      <c r="R555" s="10" t="s">
        <v>1142</v>
      </c>
      <c r="S555" s="14" t="s">
        <v>40</v>
      </c>
      <c r="T555" s="14" t="s">
        <v>37</v>
      </c>
      <c r="U555" s="13">
        <v>13035</v>
      </c>
      <c r="V555" s="15">
        <v>3</v>
      </c>
      <c r="W555" s="9" t="str">
        <f>IF(Table1[[#This Row],[Satisfaction Rating]]&lt;2, "Low", IF(Table1[[#This Row],[Satisfaction Rating]]&lt;4, "Medium", "High"))</f>
        <v>Medium</v>
      </c>
    </row>
    <row r="556" spans="1:23" ht="14" x14ac:dyDescent="0.2">
      <c r="A556" s="10" t="s">
        <v>1143</v>
      </c>
      <c r="B556" s="11">
        <v>45341.249907407408</v>
      </c>
      <c r="C556" s="11">
        <v>45341.249907407408</v>
      </c>
      <c r="D556" s="11" t="str">
        <f>IF(Table1[[#This Row],[Duration of Campaign]]=0, "Ongoing","Completed")</f>
        <v>Ongoing</v>
      </c>
      <c r="E556" s="12">
        <f>Table1[[#This Row],[End Date]]-Table1[[#This Row],[Start Date]]</f>
        <v>0</v>
      </c>
      <c r="F556" s="13">
        <v>3323</v>
      </c>
      <c r="G556" s="14" t="s">
        <v>29</v>
      </c>
      <c r="H556" s="15">
        <v>10585</v>
      </c>
      <c r="I556" s="15">
        <v>1923</v>
      </c>
      <c r="J556" s="15">
        <v>176</v>
      </c>
      <c r="K556" s="16">
        <v>5306</v>
      </c>
      <c r="L556" s="17">
        <f t="shared" si="40"/>
        <v>0.18167217760982524</v>
      </c>
      <c r="M556" s="17">
        <f t="shared" si="40"/>
        <v>9.1523660946437851E-2</v>
      </c>
      <c r="N556" s="18">
        <f t="shared" si="41"/>
        <v>6.3099323972958921</v>
      </c>
      <c r="O556" s="18">
        <f t="shared" si="42"/>
        <v>68.943181818181813</v>
      </c>
      <c r="P556" s="17">
        <f t="shared" si="43"/>
        <v>3.6515197111044237</v>
      </c>
      <c r="Q556" s="17">
        <f t="shared" si="44"/>
        <v>0.43728366573265204</v>
      </c>
      <c r="R556" s="10" t="s">
        <v>1144</v>
      </c>
      <c r="S556" s="14" t="s">
        <v>31</v>
      </c>
      <c r="T556" s="14" t="s">
        <v>27</v>
      </c>
      <c r="U556" s="13">
        <v>12134</v>
      </c>
      <c r="V556" s="15">
        <v>1</v>
      </c>
      <c r="W556" s="9" t="str">
        <f>IF(Table1[[#This Row],[Satisfaction Rating]]&lt;2, "Low", IF(Table1[[#This Row],[Satisfaction Rating]]&lt;4, "Medium", "High"))</f>
        <v>Low</v>
      </c>
    </row>
    <row r="557" spans="1:23" ht="14" x14ac:dyDescent="0.2">
      <c r="A557" s="10" t="s">
        <v>1145</v>
      </c>
      <c r="B557" s="11">
        <v>44960.340416666666</v>
      </c>
      <c r="C557" s="11">
        <v>45628.792210648149</v>
      </c>
      <c r="D557" s="11" t="str">
        <f>IF(Table1[[#This Row],[Duration of Campaign]]=0, "Ongoing","Completed")</f>
        <v>Completed</v>
      </c>
      <c r="E557" s="12">
        <f>Table1[[#This Row],[End Date]]-Table1[[#This Row],[Start Date]]</f>
        <v>668.45179398148321</v>
      </c>
      <c r="F557" s="13">
        <v>4870</v>
      </c>
      <c r="G557" s="14" t="s">
        <v>29</v>
      </c>
      <c r="H557" s="15">
        <v>10362</v>
      </c>
      <c r="I557" s="15">
        <v>1226</v>
      </c>
      <c r="J557" s="15">
        <v>50</v>
      </c>
      <c r="K557" s="16">
        <v>7622</v>
      </c>
      <c r="L557" s="17">
        <f t="shared" si="40"/>
        <v>0.11831692723412468</v>
      </c>
      <c r="M557" s="17">
        <f t="shared" si="40"/>
        <v>4.0783034257748776E-2</v>
      </c>
      <c r="N557" s="18">
        <f t="shared" si="41"/>
        <v>3.1786296900489397</v>
      </c>
      <c r="O557" s="18">
        <f t="shared" si="42"/>
        <v>77.94</v>
      </c>
      <c r="P557" s="17">
        <f t="shared" si="43"/>
        <v>0.80020533880903488</v>
      </c>
      <c r="Q557" s="17">
        <f t="shared" si="44"/>
        <v>1.955863484731845</v>
      </c>
      <c r="R557" s="10" t="s">
        <v>1146</v>
      </c>
      <c r="S557" s="14" t="s">
        <v>34</v>
      </c>
      <c r="T557" s="14" t="s">
        <v>27</v>
      </c>
      <c r="U557" s="13">
        <v>3897</v>
      </c>
      <c r="V557" s="15">
        <v>2</v>
      </c>
      <c r="W557" s="9" t="str">
        <f>IF(Table1[[#This Row],[Satisfaction Rating]]&lt;2, "Low", IF(Table1[[#This Row],[Satisfaction Rating]]&lt;4, "Medium", "High"))</f>
        <v>Medium</v>
      </c>
    </row>
    <row r="558" spans="1:23" ht="14" x14ac:dyDescent="0.2">
      <c r="A558" s="10" t="s">
        <v>1147</v>
      </c>
      <c r="B558" s="11">
        <v>45197.581666666665</v>
      </c>
      <c r="C558" s="11">
        <v>45197.581666666665</v>
      </c>
      <c r="D558" s="11" t="str">
        <f>IF(Table1[[#This Row],[Duration of Campaign]]=0, "Ongoing","Completed")</f>
        <v>Ongoing</v>
      </c>
      <c r="E558" s="12">
        <f>Table1[[#This Row],[End Date]]-Table1[[#This Row],[Start Date]]</f>
        <v>0</v>
      </c>
      <c r="F558" s="13">
        <v>3022</v>
      </c>
      <c r="G558" s="14" t="s">
        <v>24</v>
      </c>
      <c r="H558" s="15">
        <v>1335</v>
      </c>
      <c r="I558" s="15">
        <v>637</v>
      </c>
      <c r="J558" s="15">
        <v>98</v>
      </c>
      <c r="K558" s="16">
        <v>2334</v>
      </c>
      <c r="L558" s="17">
        <f t="shared" si="40"/>
        <v>0.47715355805243448</v>
      </c>
      <c r="M558" s="17">
        <f t="shared" si="40"/>
        <v>0.15384615384615385</v>
      </c>
      <c r="N558" s="18">
        <f t="shared" si="41"/>
        <v>31.125588697017267</v>
      </c>
      <c r="O558" s="18">
        <f t="shared" si="42"/>
        <v>202.31632653061226</v>
      </c>
      <c r="P558" s="17">
        <f t="shared" si="43"/>
        <v>6.5608868299139642</v>
      </c>
      <c r="Q558" s="17">
        <f t="shared" si="44"/>
        <v>0.11771826297473142</v>
      </c>
      <c r="R558" s="10" t="s">
        <v>1148</v>
      </c>
      <c r="S558" s="14" t="s">
        <v>34</v>
      </c>
      <c r="T558" s="14" t="s">
        <v>27</v>
      </c>
      <c r="U558" s="13">
        <v>19827</v>
      </c>
      <c r="V558" s="15">
        <v>2</v>
      </c>
      <c r="W558" s="9" t="str">
        <f>IF(Table1[[#This Row],[Satisfaction Rating]]&lt;2, "Low", IF(Table1[[#This Row],[Satisfaction Rating]]&lt;4, "Medium", "High"))</f>
        <v>Medium</v>
      </c>
    </row>
    <row r="559" spans="1:23" ht="14" x14ac:dyDescent="0.2">
      <c r="A559" s="10" t="s">
        <v>1149</v>
      </c>
      <c r="B559" s="11">
        <v>45308.868854166663</v>
      </c>
      <c r="C559" s="11">
        <v>45308.868854166663</v>
      </c>
      <c r="D559" s="11" t="str">
        <f>IF(Table1[[#This Row],[Duration of Campaign]]=0, "Ongoing","Completed")</f>
        <v>Ongoing</v>
      </c>
      <c r="E559" s="12">
        <f>Table1[[#This Row],[End Date]]-Table1[[#This Row],[Start Date]]</f>
        <v>0</v>
      </c>
      <c r="F559" s="13">
        <v>1049</v>
      </c>
      <c r="G559" s="14" t="s">
        <v>47</v>
      </c>
      <c r="H559" s="15">
        <v>16422</v>
      </c>
      <c r="I559" s="15">
        <v>1935</v>
      </c>
      <c r="J559" s="15">
        <v>179</v>
      </c>
      <c r="K559" s="16">
        <v>13367</v>
      </c>
      <c r="L559" s="17">
        <f t="shared" si="40"/>
        <v>0.11782974059188893</v>
      </c>
      <c r="M559" s="17">
        <f t="shared" si="40"/>
        <v>9.2506459948320408E-2</v>
      </c>
      <c r="N559" s="18">
        <f t="shared" si="41"/>
        <v>7.7829457364341081</v>
      </c>
      <c r="O559" s="18">
        <f t="shared" si="42"/>
        <v>84.134078212290504</v>
      </c>
      <c r="P559" s="17">
        <f t="shared" si="43"/>
        <v>14.356530028598666</v>
      </c>
      <c r="Q559" s="17">
        <f t="shared" si="44"/>
        <v>0.88758300132802126</v>
      </c>
      <c r="R559" s="10" t="s">
        <v>1150</v>
      </c>
      <c r="S559" s="14" t="s">
        <v>40</v>
      </c>
      <c r="T559" s="14" t="s">
        <v>27</v>
      </c>
      <c r="U559" s="13">
        <v>15060</v>
      </c>
      <c r="V559" s="15">
        <v>2</v>
      </c>
      <c r="W559" s="9" t="str">
        <f>IF(Table1[[#This Row],[Satisfaction Rating]]&lt;2, "Low", IF(Table1[[#This Row],[Satisfaction Rating]]&lt;4, "Medium", "High"))</f>
        <v>Medium</v>
      </c>
    </row>
    <row r="560" spans="1:23" ht="14" x14ac:dyDescent="0.2">
      <c r="A560" s="10" t="s">
        <v>1151</v>
      </c>
      <c r="B560" s="11">
        <v>45085.408541666664</v>
      </c>
      <c r="C560" s="11">
        <v>45177.11273148148</v>
      </c>
      <c r="D560" s="11" t="str">
        <f>IF(Table1[[#This Row],[Duration of Campaign]]=0, "Ongoing","Completed")</f>
        <v>Completed</v>
      </c>
      <c r="E560" s="12">
        <f>Table1[[#This Row],[End Date]]-Table1[[#This Row],[Start Date]]</f>
        <v>91.704189814816345</v>
      </c>
      <c r="F560" s="13">
        <v>5089</v>
      </c>
      <c r="G560" s="14" t="s">
        <v>24</v>
      </c>
      <c r="H560" s="15">
        <v>11083</v>
      </c>
      <c r="I560" s="15">
        <v>1696</v>
      </c>
      <c r="J560" s="15">
        <v>372</v>
      </c>
      <c r="K560" s="16">
        <v>8010</v>
      </c>
      <c r="L560" s="17">
        <f t="shared" si="40"/>
        <v>0.15302715871154018</v>
      </c>
      <c r="M560" s="17">
        <f t="shared" si="40"/>
        <v>0.21933962264150944</v>
      </c>
      <c r="N560" s="18">
        <f t="shared" si="41"/>
        <v>8.7676886792452837</v>
      </c>
      <c r="O560" s="18">
        <f t="shared" si="42"/>
        <v>39.973118279569896</v>
      </c>
      <c r="P560" s="17">
        <f t="shared" si="43"/>
        <v>2.9219886028689328</v>
      </c>
      <c r="Q560" s="17">
        <f t="shared" si="44"/>
        <v>0.53866845998655011</v>
      </c>
      <c r="R560" s="10" t="s">
        <v>1152</v>
      </c>
      <c r="S560" s="14" t="s">
        <v>34</v>
      </c>
      <c r="T560" s="14" t="s">
        <v>37</v>
      </c>
      <c r="U560" s="13">
        <v>14870</v>
      </c>
      <c r="V560" s="15">
        <v>3</v>
      </c>
      <c r="W560" s="9" t="str">
        <f>IF(Table1[[#This Row],[Satisfaction Rating]]&lt;2, "Low", IF(Table1[[#This Row],[Satisfaction Rating]]&lt;4, "Medium", "High"))</f>
        <v>Medium</v>
      </c>
    </row>
    <row r="561" spans="1:23" ht="14" x14ac:dyDescent="0.2">
      <c r="A561" s="10" t="s">
        <v>1153</v>
      </c>
      <c r="B561" s="11">
        <v>45182.001597222225</v>
      </c>
      <c r="C561" s="11">
        <v>45182.001597222225</v>
      </c>
      <c r="D561" s="11" t="str">
        <f>IF(Table1[[#This Row],[Duration of Campaign]]=0, "Ongoing","Completed")</f>
        <v>Ongoing</v>
      </c>
      <c r="E561" s="12">
        <f>Table1[[#This Row],[End Date]]-Table1[[#This Row],[Start Date]]</f>
        <v>0</v>
      </c>
      <c r="F561" s="13">
        <v>6595</v>
      </c>
      <c r="G561" s="14" t="s">
        <v>29</v>
      </c>
      <c r="H561" s="15">
        <v>12870</v>
      </c>
      <c r="I561" s="15">
        <v>1601</v>
      </c>
      <c r="J561" s="15">
        <v>407</v>
      </c>
      <c r="K561" s="16">
        <v>7441</v>
      </c>
      <c r="L561" s="17">
        <f t="shared" si="40"/>
        <v>0.1243978243978244</v>
      </c>
      <c r="M561" s="17">
        <f t="shared" si="40"/>
        <v>0.25421611492816987</v>
      </c>
      <c r="N561" s="18">
        <f t="shared" si="41"/>
        <v>8.6495940037476569</v>
      </c>
      <c r="O561" s="18">
        <f t="shared" si="42"/>
        <v>34.024570024570025</v>
      </c>
      <c r="P561" s="17">
        <f t="shared" si="43"/>
        <v>2.0997725549658832</v>
      </c>
      <c r="Q561" s="17">
        <f t="shared" si="44"/>
        <v>0.53733391103408434</v>
      </c>
      <c r="R561" s="10" t="s">
        <v>1154</v>
      </c>
      <c r="S561" s="14" t="s">
        <v>31</v>
      </c>
      <c r="T561" s="14" t="s">
        <v>55</v>
      </c>
      <c r="U561" s="13">
        <v>13848</v>
      </c>
      <c r="V561" s="15">
        <v>3</v>
      </c>
      <c r="W561" s="9" t="str">
        <f>IF(Table1[[#This Row],[Satisfaction Rating]]&lt;2, "Low", IF(Table1[[#This Row],[Satisfaction Rating]]&lt;4, "Medium", "High"))</f>
        <v>Medium</v>
      </c>
    </row>
    <row r="562" spans="1:23" ht="14" x14ac:dyDescent="0.2">
      <c r="A562" s="10" t="s">
        <v>1155</v>
      </c>
      <c r="B562" s="11">
        <v>45064.100636574076</v>
      </c>
      <c r="C562" s="11">
        <v>45441.469618055555</v>
      </c>
      <c r="D562" s="11" t="str">
        <f>IF(Table1[[#This Row],[Duration of Campaign]]=0, "Ongoing","Completed")</f>
        <v>Completed</v>
      </c>
      <c r="E562" s="12">
        <f>Table1[[#This Row],[End Date]]-Table1[[#This Row],[Start Date]]</f>
        <v>377.36898148147884</v>
      </c>
      <c r="F562" s="13">
        <v>9006</v>
      </c>
      <c r="G562" s="14" t="s">
        <v>24</v>
      </c>
      <c r="H562" s="15">
        <v>10653</v>
      </c>
      <c r="I562" s="15">
        <v>1464</v>
      </c>
      <c r="J562" s="15">
        <v>424</v>
      </c>
      <c r="K562" s="16">
        <v>1455</v>
      </c>
      <c r="L562" s="17">
        <f t="shared" si="40"/>
        <v>0.13742607716136299</v>
      </c>
      <c r="M562" s="17">
        <f t="shared" si="40"/>
        <v>0.2896174863387978</v>
      </c>
      <c r="N562" s="18">
        <f t="shared" si="41"/>
        <v>10.05464480874317</v>
      </c>
      <c r="O562" s="18">
        <f t="shared" si="42"/>
        <v>34.716981132075475</v>
      </c>
      <c r="P562" s="17">
        <f t="shared" si="43"/>
        <v>1.6344659116144793</v>
      </c>
      <c r="Q562" s="17">
        <f t="shared" si="44"/>
        <v>9.8845108695652176E-2</v>
      </c>
      <c r="R562" s="10" t="s">
        <v>1156</v>
      </c>
      <c r="S562" s="14" t="s">
        <v>31</v>
      </c>
      <c r="T562" s="14" t="s">
        <v>55</v>
      </c>
      <c r="U562" s="13">
        <v>14720</v>
      </c>
      <c r="V562" s="15">
        <v>1</v>
      </c>
      <c r="W562" s="9" t="str">
        <f>IF(Table1[[#This Row],[Satisfaction Rating]]&lt;2, "Low", IF(Table1[[#This Row],[Satisfaction Rating]]&lt;4, "Medium", "High"))</f>
        <v>Low</v>
      </c>
    </row>
    <row r="563" spans="1:23" ht="14" x14ac:dyDescent="0.2">
      <c r="A563" s="10" t="s">
        <v>1157</v>
      </c>
      <c r="B563" s="11">
        <v>45012.40353009259</v>
      </c>
      <c r="C563" s="11">
        <v>45401.44494212963</v>
      </c>
      <c r="D563" s="11" t="str">
        <f>IF(Table1[[#This Row],[Duration of Campaign]]=0, "Ongoing","Completed")</f>
        <v>Completed</v>
      </c>
      <c r="E563" s="12">
        <f>Table1[[#This Row],[End Date]]-Table1[[#This Row],[Start Date]]</f>
        <v>389.04141203704057</v>
      </c>
      <c r="F563" s="13">
        <v>1730</v>
      </c>
      <c r="G563" s="14" t="s">
        <v>47</v>
      </c>
      <c r="H563" s="15">
        <v>7181</v>
      </c>
      <c r="I563" s="15">
        <v>1407</v>
      </c>
      <c r="J563" s="15">
        <v>168</v>
      </c>
      <c r="K563" s="16">
        <v>14568</v>
      </c>
      <c r="L563" s="17">
        <f t="shared" si="40"/>
        <v>0.19593371396741402</v>
      </c>
      <c r="M563" s="17">
        <f t="shared" si="40"/>
        <v>0.11940298507462686</v>
      </c>
      <c r="N563" s="18">
        <f t="shared" si="41"/>
        <v>4.6417910447761193</v>
      </c>
      <c r="O563" s="18">
        <f t="shared" si="42"/>
        <v>38.875</v>
      </c>
      <c r="P563" s="17">
        <f t="shared" si="43"/>
        <v>3.7751445086705204</v>
      </c>
      <c r="Q563" s="17">
        <f t="shared" si="44"/>
        <v>2.2305925585668351</v>
      </c>
      <c r="R563" s="10" t="s">
        <v>1158</v>
      </c>
      <c r="S563" s="14" t="s">
        <v>26</v>
      </c>
      <c r="T563" s="14" t="s">
        <v>27</v>
      </c>
      <c r="U563" s="13">
        <v>6531</v>
      </c>
      <c r="V563" s="15">
        <v>2</v>
      </c>
      <c r="W563" s="9" t="str">
        <f>IF(Table1[[#This Row],[Satisfaction Rating]]&lt;2, "Low", IF(Table1[[#This Row],[Satisfaction Rating]]&lt;4, "Medium", "High"))</f>
        <v>Medium</v>
      </c>
    </row>
    <row r="564" spans="1:23" ht="14" x14ac:dyDescent="0.2">
      <c r="A564" s="10" t="s">
        <v>1159</v>
      </c>
      <c r="B564" s="11">
        <v>45518.179398148146</v>
      </c>
      <c r="C564" s="11">
        <v>45518.179398148146</v>
      </c>
      <c r="D564" s="11" t="str">
        <f>IF(Table1[[#This Row],[Duration of Campaign]]=0, "Ongoing","Completed")</f>
        <v>Ongoing</v>
      </c>
      <c r="E564" s="12">
        <f>Table1[[#This Row],[End Date]]-Table1[[#This Row],[Start Date]]</f>
        <v>0</v>
      </c>
      <c r="F564" s="13">
        <v>1055</v>
      </c>
      <c r="G564" s="14" t="s">
        <v>63</v>
      </c>
      <c r="H564" s="15">
        <v>6320</v>
      </c>
      <c r="I564" s="15">
        <v>111</v>
      </c>
      <c r="J564" s="15">
        <v>393</v>
      </c>
      <c r="K564" s="16">
        <v>14538</v>
      </c>
      <c r="L564" s="17">
        <f t="shared" si="40"/>
        <v>1.7563291139240506E-2</v>
      </c>
      <c r="M564" s="17">
        <f t="shared" si="40"/>
        <v>3.5405405405405403</v>
      </c>
      <c r="N564" s="18">
        <f t="shared" si="41"/>
        <v>32.765765765765764</v>
      </c>
      <c r="O564" s="18">
        <f t="shared" si="42"/>
        <v>9.2544529262086517</v>
      </c>
      <c r="P564" s="17">
        <f t="shared" si="43"/>
        <v>3.4473933649289101</v>
      </c>
      <c r="Q564" s="17">
        <f t="shared" si="44"/>
        <v>3.9972504811657958</v>
      </c>
      <c r="R564" s="10" t="s">
        <v>1160</v>
      </c>
      <c r="S564" s="14" t="s">
        <v>40</v>
      </c>
      <c r="T564" s="14" t="s">
        <v>27</v>
      </c>
      <c r="U564" s="13">
        <v>3637</v>
      </c>
      <c r="V564" s="15">
        <v>5</v>
      </c>
      <c r="W564" s="9" t="str">
        <f>IF(Table1[[#This Row],[Satisfaction Rating]]&lt;2, "Low", IF(Table1[[#This Row],[Satisfaction Rating]]&lt;4, "Medium", "High"))</f>
        <v>High</v>
      </c>
    </row>
    <row r="565" spans="1:23" ht="14" x14ac:dyDescent="0.2">
      <c r="A565" s="10" t="s">
        <v>1161</v>
      </c>
      <c r="B565" s="11">
        <v>45328.380694444444</v>
      </c>
      <c r="C565" s="11">
        <v>45602.39916666667</v>
      </c>
      <c r="D565" s="11" t="str">
        <f>IF(Table1[[#This Row],[Duration of Campaign]]=0, "Ongoing","Completed")</f>
        <v>Completed</v>
      </c>
      <c r="E565" s="12">
        <f>Table1[[#This Row],[End Date]]-Table1[[#This Row],[Start Date]]</f>
        <v>274.01847222222568</v>
      </c>
      <c r="F565" s="13">
        <v>7912</v>
      </c>
      <c r="G565" s="14" t="s">
        <v>47</v>
      </c>
      <c r="H565" s="15">
        <v>15781</v>
      </c>
      <c r="I565" s="15">
        <v>183</v>
      </c>
      <c r="J565" s="15">
        <v>316</v>
      </c>
      <c r="K565" s="16">
        <v>11625</v>
      </c>
      <c r="L565" s="17">
        <f t="shared" si="40"/>
        <v>1.1596223306507825E-2</v>
      </c>
      <c r="M565" s="17">
        <f t="shared" si="40"/>
        <v>1.7267759562841529</v>
      </c>
      <c r="N565" s="18">
        <f t="shared" si="41"/>
        <v>71.333333333333329</v>
      </c>
      <c r="O565" s="18">
        <f t="shared" si="42"/>
        <v>41.310126582278478</v>
      </c>
      <c r="P565" s="17">
        <f t="shared" si="43"/>
        <v>1.6498988877654197</v>
      </c>
      <c r="Q565" s="17">
        <f t="shared" si="44"/>
        <v>0.89053163781216482</v>
      </c>
      <c r="R565" s="10" t="s">
        <v>1162</v>
      </c>
      <c r="S565" s="14" t="s">
        <v>34</v>
      </c>
      <c r="T565" s="14" t="s">
        <v>55</v>
      </c>
      <c r="U565" s="13">
        <v>13054</v>
      </c>
      <c r="V565" s="15">
        <v>1</v>
      </c>
      <c r="W565" s="9" t="str">
        <f>IF(Table1[[#This Row],[Satisfaction Rating]]&lt;2, "Low", IF(Table1[[#This Row],[Satisfaction Rating]]&lt;4, "Medium", "High"))</f>
        <v>Low</v>
      </c>
    </row>
    <row r="566" spans="1:23" ht="14" x14ac:dyDescent="0.2">
      <c r="A566" s="10" t="s">
        <v>1163</v>
      </c>
      <c r="B566" s="11">
        <v>45072.055694444447</v>
      </c>
      <c r="C566" s="11">
        <v>45638.951539351852</v>
      </c>
      <c r="D566" s="11" t="str">
        <f>IF(Table1[[#This Row],[Duration of Campaign]]=0, "Ongoing","Completed")</f>
        <v>Completed</v>
      </c>
      <c r="E566" s="12">
        <f>Table1[[#This Row],[End Date]]-Table1[[#This Row],[Start Date]]</f>
        <v>566.89584490740526</v>
      </c>
      <c r="F566" s="13">
        <v>6719</v>
      </c>
      <c r="G566" s="14" t="s">
        <v>47</v>
      </c>
      <c r="H566" s="15">
        <v>4626</v>
      </c>
      <c r="I566" s="15">
        <v>215</v>
      </c>
      <c r="J566" s="15">
        <v>162</v>
      </c>
      <c r="K566" s="16">
        <v>8259</v>
      </c>
      <c r="L566" s="17">
        <f t="shared" si="40"/>
        <v>4.6476437527021186E-2</v>
      </c>
      <c r="M566" s="17">
        <f t="shared" si="40"/>
        <v>0.75348837209302322</v>
      </c>
      <c r="N566" s="18">
        <f t="shared" si="41"/>
        <v>24.15813953488372</v>
      </c>
      <c r="O566" s="18">
        <f t="shared" si="42"/>
        <v>32.061728395061728</v>
      </c>
      <c r="P566" s="17">
        <f t="shared" si="43"/>
        <v>0.77303170114600384</v>
      </c>
      <c r="Q566" s="17">
        <f t="shared" si="44"/>
        <v>1.5901039661147478</v>
      </c>
      <c r="R566" s="10" t="s">
        <v>1164</v>
      </c>
      <c r="S566" s="14" t="s">
        <v>40</v>
      </c>
      <c r="T566" s="14" t="s">
        <v>27</v>
      </c>
      <c r="U566" s="13">
        <v>5194</v>
      </c>
      <c r="V566" s="15">
        <v>2</v>
      </c>
      <c r="W566" s="9" t="str">
        <f>IF(Table1[[#This Row],[Satisfaction Rating]]&lt;2, "Low", IF(Table1[[#This Row],[Satisfaction Rating]]&lt;4, "Medium", "High"))</f>
        <v>Medium</v>
      </c>
    </row>
    <row r="567" spans="1:23" ht="14" x14ac:dyDescent="0.2">
      <c r="A567" s="10" t="s">
        <v>1165</v>
      </c>
      <c r="B567" s="11">
        <v>45159.412951388891</v>
      </c>
      <c r="C567" s="11">
        <v>45214.530624999999</v>
      </c>
      <c r="D567" s="11" t="str">
        <f>IF(Table1[[#This Row],[Duration of Campaign]]=0, "Ongoing","Completed")</f>
        <v>Completed</v>
      </c>
      <c r="E567" s="12">
        <f>Table1[[#This Row],[End Date]]-Table1[[#This Row],[Start Date]]</f>
        <v>55.11767361110833</v>
      </c>
      <c r="F567" s="13">
        <v>5182</v>
      </c>
      <c r="G567" s="14" t="s">
        <v>47</v>
      </c>
      <c r="H567" s="15">
        <v>12914</v>
      </c>
      <c r="I567" s="15">
        <v>1418</v>
      </c>
      <c r="J567" s="15">
        <v>381</v>
      </c>
      <c r="K567" s="16">
        <v>4933</v>
      </c>
      <c r="L567" s="17">
        <f t="shared" si="40"/>
        <v>0.10980331423261576</v>
      </c>
      <c r="M567" s="17">
        <f t="shared" si="40"/>
        <v>0.26868829337094502</v>
      </c>
      <c r="N567" s="18">
        <f t="shared" si="41"/>
        <v>5.2150916784203103</v>
      </c>
      <c r="O567" s="18">
        <f t="shared" si="42"/>
        <v>19.409448818897637</v>
      </c>
      <c r="P567" s="17">
        <f t="shared" si="43"/>
        <v>1.4270551910459282</v>
      </c>
      <c r="Q567" s="17">
        <f t="shared" si="44"/>
        <v>0.66707234617985123</v>
      </c>
      <c r="R567" s="10" t="s">
        <v>1166</v>
      </c>
      <c r="S567" s="14" t="s">
        <v>40</v>
      </c>
      <c r="T567" s="14" t="s">
        <v>37</v>
      </c>
      <c r="U567" s="13">
        <v>7395</v>
      </c>
      <c r="V567" s="15">
        <v>5</v>
      </c>
      <c r="W567" s="9" t="str">
        <f>IF(Table1[[#This Row],[Satisfaction Rating]]&lt;2, "Low", IF(Table1[[#This Row],[Satisfaction Rating]]&lt;4, "Medium", "High"))</f>
        <v>High</v>
      </c>
    </row>
    <row r="568" spans="1:23" ht="14" x14ac:dyDescent="0.2">
      <c r="A568" s="10" t="s">
        <v>1167</v>
      </c>
      <c r="B568" s="11">
        <v>45374.72084490741</v>
      </c>
      <c r="C568" s="11">
        <v>45374.72084490741</v>
      </c>
      <c r="D568" s="11" t="str">
        <f>IF(Table1[[#This Row],[Duration of Campaign]]=0, "Ongoing","Completed")</f>
        <v>Ongoing</v>
      </c>
      <c r="E568" s="12">
        <f>Table1[[#This Row],[End Date]]-Table1[[#This Row],[Start Date]]</f>
        <v>0</v>
      </c>
      <c r="F568" s="13">
        <v>3516</v>
      </c>
      <c r="G568" s="14" t="s">
        <v>29</v>
      </c>
      <c r="H568" s="15">
        <v>16843</v>
      </c>
      <c r="I568" s="15">
        <v>608</v>
      </c>
      <c r="J568" s="15">
        <v>339</v>
      </c>
      <c r="K568" s="16">
        <v>2494</v>
      </c>
      <c r="L568" s="17">
        <f t="shared" si="40"/>
        <v>3.6098082289378379E-2</v>
      </c>
      <c r="M568" s="17">
        <f t="shared" si="40"/>
        <v>0.55756578947368418</v>
      </c>
      <c r="N568" s="18">
        <f t="shared" si="41"/>
        <v>28.518092105263158</v>
      </c>
      <c r="O568" s="18">
        <f t="shared" si="42"/>
        <v>51.147492625368734</v>
      </c>
      <c r="P568" s="17">
        <f t="shared" si="43"/>
        <v>4.9314562002275313</v>
      </c>
      <c r="Q568" s="17">
        <f t="shared" si="44"/>
        <v>0.1438375915566065</v>
      </c>
      <c r="R568" s="10" t="s">
        <v>1168</v>
      </c>
      <c r="S568" s="14" t="s">
        <v>26</v>
      </c>
      <c r="T568" s="14" t="s">
        <v>27</v>
      </c>
      <c r="U568" s="13">
        <v>17339</v>
      </c>
      <c r="V568" s="15">
        <v>5</v>
      </c>
      <c r="W568" s="9" t="str">
        <f>IF(Table1[[#This Row],[Satisfaction Rating]]&lt;2, "Low", IF(Table1[[#This Row],[Satisfaction Rating]]&lt;4, "Medium", "High"))</f>
        <v>High</v>
      </c>
    </row>
    <row r="569" spans="1:23" ht="14" x14ac:dyDescent="0.2">
      <c r="A569" s="10" t="s">
        <v>1169</v>
      </c>
      <c r="B569" s="11">
        <v>45389.923854166664</v>
      </c>
      <c r="C569" s="11">
        <v>45389.923854166664</v>
      </c>
      <c r="D569" s="11" t="str">
        <f>IF(Table1[[#This Row],[Duration of Campaign]]=0, "Ongoing","Completed")</f>
        <v>Ongoing</v>
      </c>
      <c r="E569" s="12">
        <f>Table1[[#This Row],[End Date]]-Table1[[#This Row],[Start Date]]</f>
        <v>0</v>
      </c>
      <c r="F569" s="13">
        <v>6372</v>
      </c>
      <c r="G569" s="14" t="s">
        <v>47</v>
      </c>
      <c r="H569" s="15">
        <v>12384</v>
      </c>
      <c r="I569" s="15">
        <v>965</v>
      </c>
      <c r="J569" s="15">
        <v>42</v>
      </c>
      <c r="K569" s="16">
        <v>2002</v>
      </c>
      <c r="L569" s="17">
        <f t="shared" si="40"/>
        <v>7.7923126614987084E-2</v>
      </c>
      <c r="M569" s="17">
        <f t="shared" si="40"/>
        <v>4.3523316062176166E-2</v>
      </c>
      <c r="N569" s="18">
        <f t="shared" si="41"/>
        <v>0.58341968911917097</v>
      </c>
      <c r="O569" s="18">
        <f t="shared" si="42"/>
        <v>13.404761904761905</v>
      </c>
      <c r="P569" s="17">
        <f t="shared" si="43"/>
        <v>8.8355304456999378E-2</v>
      </c>
      <c r="Q569" s="17">
        <f t="shared" si="44"/>
        <v>3.5559502664298401</v>
      </c>
      <c r="R569" s="10" t="s">
        <v>1170</v>
      </c>
      <c r="S569" s="14" t="s">
        <v>34</v>
      </c>
      <c r="T569" s="14" t="s">
        <v>55</v>
      </c>
      <c r="U569" s="13">
        <v>563</v>
      </c>
      <c r="V569" s="15">
        <v>1</v>
      </c>
      <c r="W569" s="9" t="str">
        <f>IF(Table1[[#This Row],[Satisfaction Rating]]&lt;2, "Low", IF(Table1[[#This Row],[Satisfaction Rating]]&lt;4, "Medium", "High"))</f>
        <v>Low</v>
      </c>
    </row>
    <row r="570" spans="1:23" ht="14" x14ac:dyDescent="0.2">
      <c r="A570" s="10" t="s">
        <v>1171</v>
      </c>
      <c r="B570" s="11">
        <v>45299.119444444441</v>
      </c>
      <c r="C570" s="11">
        <v>45330.427210648151</v>
      </c>
      <c r="D570" s="11" t="str">
        <f>IF(Table1[[#This Row],[Duration of Campaign]]=0, "Ongoing","Completed")</f>
        <v>Completed</v>
      </c>
      <c r="E570" s="12">
        <f>Table1[[#This Row],[End Date]]-Table1[[#This Row],[Start Date]]</f>
        <v>31.307766203710344</v>
      </c>
      <c r="F570" s="13">
        <v>8759</v>
      </c>
      <c r="G570" s="14" t="s">
        <v>24</v>
      </c>
      <c r="H570" s="15">
        <v>5348</v>
      </c>
      <c r="I570" s="15">
        <v>1137</v>
      </c>
      <c r="J570" s="15">
        <v>103</v>
      </c>
      <c r="K570" s="16">
        <v>4824</v>
      </c>
      <c r="L570" s="17">
        <f t="shared" si="40"/>
        <v>0.21260284218399403</v>
      </c>
      <c r="M570" s="17">
        <f t="shared" si="40"/>
        <v>9.0589270008795075E-2</v>
      </c>
      <c r="N570" s="18">
        <f t="shared" si="41"/>
        <v>12.685136323658751</v>
      </c>
      <c r="O570" s="18">
        <f t="shared" si="42"/>
        <v>140.02912621359224</v>
      </c>
      <c r="P570" s="17">
        <f t="shared" si="43"/>
        <v>1.6466491608631122</v>
      </c>
      <c r="Q570" s="17">
        <f t="shared" si="44"/>
        <v>0.33446578381751368</v>
      </c>
      <c r="R570" s="10" t="s">
        <v>1172</v>
      </c>
      <c r="S570" s="14" t="s">
        <v>45</v>
      </c>
      <c r="T570" s="14" t="s">
        <v>27</v>
      </c>
      <c r="U570" s="13">
        <v>14423</v>
      </c>
      <c r="V570" s="15">
        <v>3</v>
      </c>
      <c r="W570" s="9" t="str">
        <f>IF(Table1[[#This Row],[Satisfaction Rating]]&lt;2, "Low", IF(Table1[[#This Row],[Satisfaction Rating]]&lt;4, "Medium", "High"))</f>
        <v>Medium</v>
      </c>
    </row>
    <row r="571" spans="1:23" ht="14" x14ac:dyDescent="0.2">
      <c r="A571" s="10" t="s">
        <v>1173</v>
      </c>
      <c r="B571" s="11">
        <v>45415.818252314813</v>
      </c>
      <c r="C571" s="11">
        <v>45415.818252314813</v>
      </c>
      <c r="D571" s="11" t="str">
        <f>IF(Table1[[#This Row],[Duration of Campaign]]=0, "Ongoing","Completed")</f>
        <v>Ongoing</v>
      </c>
      <c r="E571" s="12">
        <f>Table1[[#This Row],[End Date]]-Table1[[#This Row],[Start Date]]</f>
        <v>0</v>
      </c>
      <c r="F571" s="13">
        <v>5911</v>
      </c>
      <c r="G571" s="14" t="s">
        <v>47</v>
      </c>
      <c r="H571" s="15">
        <v>10240</v>
      </c>
      <c r="I571" s="15">
        <v>1067</v>
      </c>
      <c r="J571" s="15">
        <v>310</v>
      </c>
      <c r="K571" s="16">
        <v>6101</v>
      </c>
      <c r="L571" s="17">
        <f t="shared" si="40"/>
        <v>0.10419921875</v>
      </c>
      <c r="M571" s="17">
        <f t="shared" si="40"/>
        <v>0.29053420805998126</v>
      </c>
      <c r="N571" s="18">
        <f t="shared" si="41"/>
        <v>6.321462043111528</v>
      </c>
      <c r="O571" s="18">
        <f t="shared" si="42"/>
        <v>21.758064516129032</v>
      </c>
      <c r="P571" s="17">
        <f t="shared" si="43"/>
        <v>1.1410928776856708</v>
      </c>
      <c r="Q571" s="17">
        <f t="shared" si="44"/>
        <v>0.90452186805040768</v>
      </c>
      <c r="R571" s="10" t="s">
        <v>1174</v>
      </c>
      <c r="S571" s="14" t="s">
        <v>45</v>
      </c>
      <c r="T571" s="14" t="s">
        <v>27</v>
      </c>
      <c r="U571" s="13">
        <v>6745</v>
      </c>
      <c r="V571" s="15">
        <v>4</v>
      </c>
      <c r="W571" s="9" t="str">
        <f>IF(Table1[[#This Row],[Satisfaction Rating]]&lt;2, "Low", IF(Table1[[#This Row],[Satisfaction Rating]]&lt;4, "Medium", "High"))</f>
        <v>High</v>
      </c>
    </row>
    <row r="572" spans="1:23" ht="14" x14ac:dyDescent="0.2">
      <c r="A572" s="10" t="s">
        <v>1175</v>
      </c>
      <c r="B572" s="11">
        <v>45500.894317129627</v>
      </c>
      <c r="C572" s="11">
        <v>45634.290520833332</v>
      </c>
      <c r="D572" s="11" t="str">
        <f>IF(Table1[[#This Row],[Duration of Campaign]]=0, "Ongoing","Completed")</f>
        <v>Completed</v>
      </c>
      <c r="E572" s="12">
        <f>Table1[[#This Row],[End Date]]-Table1[[#This Row],[Start Date]]</f>
        <v>133.3962037037054</v>
      </c>
      <c r="F572" s="13">
        <v>5884</v>
      </c>
      <c r="G572" s="14" t="s">
        <v>63</v>
      </c>
      <c r="H572" s="15">
        <v>4671</v>
      </c>
      <c r="I572" s="15">
        <v>1110</v>
      </c>
      <c r="J572" s="15">
        <v>393</v>
      </c>
      <c r="K572" s="16">
        <v>13907</v>
      </c>
      <c r="L572" s="17">
        <f t="shared" si="40"/>
        <v>0.23763648041104687</v>
      </c>
      <c r="M572" s="17">
        <f t="shared" si="40"/>
        <v>0.35405405405405405</v>
      </c>
      <c r="N572" s="18">
        <f t="shared" si="41"/>
        <v>14.27027027027027</v>
      </c>
      <c r="O572" s="18">
        <f t="shared" si="42"/>
        <v>40.305343511450381</v>
      </c>
      <c r="P572" s="17">
        <f t="shared" si="43"/>
        <v>2.6920462270564243</v>
      </c>
      <c r="Q572" s="17">
        <f t="shared" si="44"/>
        <v>0.87796717171717176</v>
      </c>
      <c r="R572" s="10" t="s">
        <v>1176</v>
      </c>
      <c r="S572" s="14" t="s">
        <v>40</v>
      </c>
      <c r="T572" s="14" t="s">
        <v>55</v>
      </c>
      <c r="U572" s="13">
        <v>15840</v>
      </c>
      <c r="V572" s="15">
        <v>4</v>
      </c>
      <c r="W572" s="9" t="str">
        <f>IF(Table1[[#This Row],[Satisfaction Rating]]&lt;2, "Low", IF(Table1[[#This Row],[Satisfaction Rating]]&lt;4, "Medium", "High"))</f>
        <v>High</v>
      </c>
    </row>
    <row r="573" spans="1:23" ht="14" x14ac:dyDescent="0.2">
      <c r="A573" s="10" t="s">
        <v>1177</v>
      </c>
      <c r="B573" s="11">
        <v>45471.782233796293</v>
      </c>
      <c r="C573" s="11">
        <v>45471.782233796293</v>
      </c>
      <c r="D573" s="11" t="str">
        <f>IF(Table1[[#This Row],[Duration of Campaign]]=0, "Ongoing","Completed")</f>
        <v>Ongoing</v>
      </c>
      <c r="E573" s="12">
        <f>Table1[[#This Row],[End Date]]-Table1[[#This Row],[Start Date]]</f>
        <v>0</v>
      </c>
      <c r="F573" s="13">
        <v>6028</v>
      </c>
      <c r="G573" s="14" t="s">
        <v>47</v>
      </c>
      <c r="H573" s="15">
        <v>19515</v>
      </c>
      <c r="I573" s="15">
        <v>293</v>
      </c>
      <c r="J573" s="15">
        <v>492</v>
      </c>
      <c r="K573" s="16">
        <v>4463</v>
      </c>
      <c r="L573" s="17">
        <f t="shared" si="40"/>
        <v>1.5014091724314629E-2</v>
      </c>
      <c r="M573" s="17">
        <f t="shared" si="40"/>
        <v>1.6791808873720135</v>
      </c>
      <c r="N573" s="18">
        <f t="shared" si="41"/>
        <v>48.74744027303754</v>
      </c>
      <c r="O573" s="18">
        <f t="shared" si="42"/>
        <v>29.030487804878049</v>
      </c>
      <c r="P573" s="17">
        <f t="shared" si="43"/>
        <v>2.3694426011944261</v>
      </c>
      <c r="Q573" s="17">
        <f t="shared" si="44"/>
        <v>0.31246936918014423</v>
      </c>
      <c r="R573" s="10" t="s">
        <v>1178</v>
      </c>
      <c r="S573" s="14" t="s">
        <v>45</v>
      </c>
      <c r="T573" s="14" t="s">
        <v>55</v>
      </c>
      <c r="U573" s="13">
        <v>14283</v>
      </c>
      <c r="V573" s="15">
        <v>1</v>
      </c>
      <c r="W573" s="9" t="str">
        <f>IF(Table1[[#This Row],[Satisfaction Rating]]&lt;2, "Low", IF(Table1[[#This Row],[Satisfaction Rating]]&lt;4, "Medium", "High"))</f>
        <v>Low</v>
      </c>
    </row>
    <row r="574" spans="1:23" ht="14" x14ac:dyDescent="0.2">
      <c r="A574" s="10" t="s">
        <v>1179</v>
      </c>
      <c r="B574" s="11">
        <v>44977.72896990741</v>
      </c>
      <c r="C574" s="11">
        <v>45388.870925925927</v>
      </c>
      <c r="D574" s="11" t="str">
        <f>IF(Table1[[#This Row],[Duration of Campaign]]=0, "Ongoing","Completed")</f>
        <v>Completed</v>
      </c>
      <c r="E574" s="12">
        <f>Table1[[#This Row],[End Date]]-Table1[[#This Row],[Start Date]]</f>
        <v>411.14195601851679</v>
      </c>
      <c r="F574" s="13">
        <v>7823</v>
      </c>
      <c r="G574" s="14" t="s">
        <v>24</v>
      </c>
      <c r="H574" s="15">
        <v>16355</v>
      </c>
      <c r="I574" s="15">
        <v>1088</v>
      </c>
      <c r="J574" s="15">
        <v>259</v>
      </c>
      <c r="K574" s="16">
        <v>10949</v>
      </c>
      <c r="L574" s="17">
        <f t="shared" si="40"/>
        <v>6.6523998777132373E-2</v>
      </c>
      <c r="M574" s="17">
        <f t="shared" si="40"/>
        <v>0.23805147058823528</v>
      </c>
      <c r="N574" s="18">
        <f t="shared" si="41"/>
        <v>14.760110294117647</v>
      </c>
      <c r="O574" s="18">
        <f t="shared" si="42"/>
        <v>62.003861003861005</v>
      </c>
      <c r="P574" s="17">
        <f t="shared" si="43"/>
        <v>2.0527930461459798</v>
      </c>
      <c r="Q574" s="17">
        <f t="shared" si="44"/>
        <v>0.68179836851609688</v>
      </c>
      <c r="R574" s="10" t="s">
        <v>1180</v>
      </c>
      <c r="S574" s="14" t="s">
        <v>40</v>
      </c>
      <c r="T574" s="14" t="s">
        <v>27</v>
      </c>
      <c r="U574" s="13">
        <v>16059</v>
      </c>
      <c r="V574" s="15">
        <v>1</v>
      </c>
      <c r="W574" s="9" t="str">
        <f>IF(Table1[[#This Row],[Satisfaction Rating]]&lt;2, "Low", IF(Table1[[#This Row],[Satisfaction Rating]]&lt;4, "Medium", "High"))</f>
        <v>Low</v>
      </c>
    </row>
    <row r="575" spans="1:23" ht="14" x14ac:dyDescent="0.2">
      <c r="A575" s="10" t="s">
        <v>1181</v>
      </c>
      <c r="B575" s="11">
        <v>45302.386041666665</v>
      </c>
      <c r="C575" s="11">
        <v>45302.386041666665</v>
      </c>
      <c r="D575" s="11" t="str">
        <f>IF(Table1[[#This Row],[Duration of Campaign]]=0, "Ongoing","Completed")</f>
        <v>Ongoing</v>
      </c>
      <c r="E575" s="12">
        <f>Table1[[#This Row],[End Date]]-Table1[[#This Row],[Start Date]]</f>
        <v>0</v>
      </c>
      <c r="F575" s="13">
        <v>9620</v>
      </c>
      <c r="G575" s="14" t="s">
        <v>47</v>
      </c>
      <c r="H575" s="15">
        <v>15376</v>
      </c>
      <c r="I575" s="15">
        <v>986</v>
      </c>
      <c r="J575" s="15">
        <v>344</v>
      </c>
      <c r="K575" s="16">
        <v>2613</v>
      </c>
      <c r="L575" s="17">
        <f t="shared" si="40"/>
        <v>6.4125910509885531E-2</v>
      </c>
      <c r="M575" s="17">
        <f t="shared" si="40"/>
        <v>0.34888438133874239</v>
      </c>
      <c r="N575" s="18">
        <f t="shared" si="41"/>
        <v>6.0182555780933065</v>
      </c>
      <c r="O575" s="18">
        <f t="shared" si="42"/>
        <v>17.25</v>
      </c>
      <c r="P575" s="17">
        <f t="shared" si="43"/>
        <v>0.61683991683991679</v>
      </c>
      <c r="Q575" s="17">
        <f t="shared" si="44"/>
        <v>0.44034378159757331</v>
      </c>
      <c r="R575" s="10" t="s">
        <v>1182</v>
      </c>
      <c r="S575" s="14" t="s">
        <v>40</v>
      </c>
      <c r="T575" s="14" t="s">
        <v>55</v>
      </c>
      <c r="U575" s="13">
        <v>5934</v>
      </c>
      <c r="V575" s="15">
        <v>4</v>
      </c>
      <c r="W575" s="9" t="str">
        <f>IF(Table1[[#This Row],[Satisfaction Rating]]&lt;2, "Low", IF(Table1[[#This Row],[Satisfaction Rating]]&lt;4, "Medium", "High"))</f>
        <v>High</v>
      </c>
    </row>
    <row r="576" spans="1:23" ht="14" x14ac:dyDescent="0.2">
      <c r="A576" s="10" t="s">
        <v>1183</v>
      </c>
      <c r="B576" s="11">
        <v>45262.120474537034</v>
      </c>
      <c r="C576" s="11">
        <v>45571.896828703706</v>
      </c>
      <c r="D576" s="11" t="str">
        <f>IF(Table1[[#This Row],[Duration of Campaign]]=0, "Ongoing","Completed")</f>
        <v>Completed</v>
      </c>
      <c r="E576" s="12">
        <f>Table1[[#This Row],[End Date]]-Table1[[#This Row],[Start Date]]</f>
        <v>309.77635416667181</v>
      </c>
      <c r="F576" s="13">
        <v>2862</v>
      </c>
      <c r="G576" s="14" t="s">
        <v>29</v>
      </c>
      <c r="H576" s="15">
        <v>8407</v>
      </c>
      <c r="I576" s="15">
        <v>1426</v>
      </c>
      <c r="J576" s="15">
        <v>333</v>
      </c>
      <c r="K576" s="16">
        <v>6039</v>
      </c>
      <c r="L576" s="17">
        <f t="shared" si="40"/>
        <v>0.1696205542999881</v>
      </c>
      <c r="M576" s="17">
        <f t="shared" si="40"/>
        <v>0.23352033660589061</v>
      </c>
      <c r="N576" s="18">
        <f t="shared" si="41"/>
        <v>6.0385694249649369</v>
      </c>
      <c r="O576" s="18">
        <f t="shared" si="42"/>
        <v>25.858858858858859</v>
      </c>
      <c r="P576" s="17">
        <f t="shared" si="43"/>
        <v>3.008735150244584</v>
      </c>
      <c r="Q576" s="17">
        <f t="shared" si="44"/>
        <v>0.7013122749970967</v>
      </c>
      <c r="R576" s="10" t="s">
        <v>1184</v>
      </c>
      <c r="S576" s="14" t="s">
        <v>45</v>
      </c>
      <c r="T576" s="14" t="s">
        <v>37</v>
      </c>
      <c r="U576" s="13">
        <v>8611</v>
      </c>
      <c r="V576" s="15">
        <v>2</v>
      </c>
      <c r="W576" s="9" t="str">
        <f>IF(Table1[[#This Row],[Satisfaction Rating]]&lt;2, "Low", IF(Table1[[#This Row],[Satisfaction Rating]]&lt;4, "Medium", "High"))</f>
        <v>Medium</v>
      </c>
    </row>
    <row r="577" spans="1:23" ht="14" x14ac:dyDescent="0.2">
      <c r="A577" s="10" t="s">
        <v>1185</v>
      </c>
      <c r="B577" s="11">
        <v>45470.446504629632</v>
      </c>
      <c r="C577" s="11">
        <v>45562.661979166667</v>
      </c>
      <c r="D577" s="11" t="str">
        <f>IF(Table1[[#This Row],[Duration of Campaign]]=0, "Ongoing","Completed")</f>
        <v>Completed</v>
      </c>
      <c r="E577" s="12">
        <f>Table1[[#This Row],[End Date]]-Table1[[#This Row],[Start Date]]</f>
        <v>92.215474537035334</v>
      </c>
      <c r="F577" s="13">
        <v>6573</v>
      </c>
      <c r="G577" s="14" t="s">
        <v>29</v>
      </c>
      <c r="H577" s="15">
        <v>16776</v>
      </c>
      <c r="I577" s="15">
        <v>558</v>
      </c>
      <c r="J577" s="15">
        <v>111</v>
      </c>
      <c r="K577" s="16">
        <v>10002</v>
      </c>
      <c r="L577" s="17">
        <f t="shared" si="40"/>
        <v>3.3261802575107295E-2</v>
      </c>
      <c r="M577" s="17">
        <f t="shared" si="40"/>
        <v>0.19892473118279569</v>
      </c>
      <c r="N577" s="18">
        <f t="shared" si="41"/>
        <v>5.1738351254480284</v>
      </c>
      <c r="O577" s="18">
        <f t="shared" si="42"/>
        <v>26.009009009009009</v>
      </c>
      <c r="P577" s="17">
        <f t="shared" si="43"/>
        <v>0.43922105583447435</v>
      </c>
      <c r="Q577" s="17">
        <f t="shared" si="44"/>
        <v>3.4644960166262555</v>
      </c>
      <c r="R577" s="10" t="s">
        <v>1186</v>
      </c>
      <c r="S577" s="14" t="s">
        <v>40</v>
      </c>
      <c r="T577" s="14" t="s">
        <v>55</v>
      </c>
      <c r="U577" s="13">
        <v>2887</v>
      </c>
      <c r="V577" s="15">
        <v>3</v>
      </c>
      <c r="W577" s="9" t="str">
        <f>IF(Table1[[#This Row],[Satisfaction Rating]]&lt;2, "Low", IF(Table1[[#This Row],[Satisfaction Rating]]&lt;4, "Medium", "High"))</f>
        <v>Medium</v>
      </c>
    </row>
    <row r="578" spans="1:23" ht="14" x14ac:dyDescent="0.2">
      <c r="A578" s="10" t="s">
        <v>1187</v>
      </c>
      <c r="B578" s="11">
        <v>45464.663634259261</v>
      </c>
      <c r="C578" s="11">
        <v>45464.663634259261</v>
      </c>
      <c r="D578" s="11" t="str">
        <f>IF(Table1[[#This Row],[Duration of Campaign]]=0, "Ongoing","Completed")</f>
        <v>Ongoing</v>
      </c>
      <c r="E578" s="12">
        <f>Table1[[#This Row],[End Date]]-Table1[[#This Row],[Start Date]]</f>
        <v>0</v>
      </c>
      <c r="F578" s="13">
        <v>7310</v>
      </c>
      <c r="G578" s="14" t="s">
        <v>29</v>
      </c>
      <c r="H578" s="15">
        <v>15687</v>
      </c>
      <c r="I578" s="15">
        <v>408</v>
      </c>
      <c r="J578" s="15">
        <v>397</v>
      </c>
      <c r="K578" s="16">
        <v>6762</v>
      </c>
      <c r="L578" s="17">
        <f t="shared" si="40"/>
        <v>2.6008797093134441E-2</v>
      </c>
      <c r="M578" s="17">
        <f t="shared" si="40"/>
        <v>0.97303921568627449</v>
      </c>
      <c r="N578" s="18">
        <f t="shared" si="41"/>
        <v>35.786764705882355</v>
      </c>
      <c r="O578" s="18">
        <f t="shared" si="42"/>
        <v>36.778337531486144</v>
      </c>
      <c r="P578" s="17">
        <f t="shared" si="43"/>
        <v>1.9974008207934337</v>
      </c>
      <c r="Q578" s="17">
        <f t="shared" si="44"/>
        <v>0.46311896445448941</v>
      </c>
      <c r="R578" s="10" t="s">
        <v>1188</v>
      </c>
      <c r="S578" s="14" t="s">
        <v>34</v>
      </c>
      <c r="T578" s="14" t="s">
        <v>27</v>
      </c>
      <c r="U578" s="13">
        <v>14601</v>
      </c>
      <c r="V578" s="15">
        <v>1</v>
      </c>
      <c r="W578" s="9" t="str">
        <f>IF(Table1[[#This Row],[Satisfaction Rating]]&lt;2, "Low", IF(Table1[[#This Row],[Satisfaction Rating]]&lt;4, "Medium", "High"))</f>
        <v>Low</v>
      </c>
    </row>
    <row r="579" spans="1:23" ht="14" x14ac:dyDescent="0.2">
      <c r="A579" s="10" t="s">
        <v>1189</v>
      </c>
      <c r="B579" s="11">
        <v>45132.039884259262</v>
      </c>
      <c r="C579" s="11">
        <v>45250.114398148151</v>
      </c>
      <c r="D579" s="11" t="str">
        <f>IF(Table1[[#This Row],[Duration of Campaign]]=0, "Ongoing","Completed")</f>
        <v>Completed</v>
      </c>
      <c r="E579" s="12">
        <f>Table1[[#This Row],[End Date]]-Table1[[#This Row],[Start Date]]</f>
        <v>118.07451388888876</v>
      </c>
      <c r="F579" s="13">
        <v>5283</v>
      </c>
      <c r="G579" s="14" t="s">
        <v>29</v>
      </c>
      <c r="H579" s="15">
        <v>15245</v>
      </c>
      <c r="I579" s="15">
        <v>579</v>
      </c>
      <c r="J579" s="15">
        <v>430</v>
      </c>
      <c r="K579" s="16">
        <v>5301</v>
      </c>
      <c r="L579" s="17">
        <f t="shared" ref="L579:M642" si="45">I579/H579</f>
        <v>3.7979665464086584E-2</v>
      </c>
      <c r="M579" s="17">
        <f t="shared" si="45"/>
        <v>0.7426597582037997</v>
      </c>
      <c r="N579" s="18">
        <f t="shared" ref="N579:N642" si="46">U579/I579</f>
        <v>1.1157167530224525</v>
      </c>
      <c r="O579" s="18">
        <f t="shared" ref="O579:O642" si="47">U579/J579</f>
        <v>1.5023255813953489</v>
      </c>
      <c r="P579" s="17">
        <f t="shared" ref="P579:P642" si="48">U579/F579</f>
        <v>0.12227900813931478</v>
      </c>
      <c r="Q579" s="17">
        <f t="shared" ref="Q579:Q642" si="49">K579/U579</f>
        <v>8.2058823529411757</v>
      </c>
      <c r="R579" s="10" t="s">
        <v>1190</v>
      </c>
      <c r="S579" s="14" t="s">
        <v>45</v>
      </c>
      <c r="T579" s="14" t="s">
        <v>55</v>
      </c>
      <c r="U579" s="13">
        <v>646</v>
      </c>
      <c r="V579" s="15">
        <v>1</v>
      </c>
      <c r="W579" s="9" t="str">
        <f>IF(Table1[[#This Row],[Satisfaction Rating]]&lt;2, "Low", IF(Table1[[#This Row],[Satisfaction Rating]]&lt;4, "Medium", "High"))</f>
        <v>Low</v>
      </c>
    </row>
    <row r="580" spans="1:23" ht="14" x14ac:dyDescent="0.2">
      <c r="A580" s="10" t="s">
        <v>1191</v>
      </c>
      <c r="B580" s="11">
        <v>45340.005729166667</v>
      </c>
      <c r="C580" s="11">
        <v>45597.527638888889</v>
      </c>
      <c r="D580" s="11" t="str">
        <f>IF(Table1[[#This Row],[Duration of Campaign]]=0, "Ongoing","Completed")</f>
        <v>Completed</v>
      </c>
      <c r="E580" s="12">
        <f>Table1[[#This Row],[End Date]]-Table1[[#This Row],[Start Date]]</f>
        <v>257.52190972222161</v>
      </c>
      <c r="F580" s="13">
        <v>9442</v>
      </c>
      <c r="G580" s="14" t="s">
        <v>47</v>
      </c>
      <c r="H580" s="15">
        <v>8395</v>
      </c>
      <c r="I580" s="15">
        <v>975</v>
      </c>
      <c r="J580" s="15">
        <v>339</v>
      </c>
      <c r="K580" s="16">
        <v>13899</v>
      </c>
      <c r="L580" s="17">
        <f t="shared" si="45"/>
        <v>0.11614055985705778</v>
      </c>
      <c r="M580" s="17">
        <f t="shared" si="45"/>
        <v>0.34769230769230769</v>
      </c>
      <c r="N580" s="18">
        <f t="shared" si="46"/>
        <v>18.553846153846155</v>
      </c>
      <c r="O580" s="18">
        <f t="shared" si="47"/>
        <v>53.362831858407077</v>
      </c>
      <c r="P580" s="17">
        <f t="shared" si="48"/>
        <v>1.9159076466850244</v>
      </c>
      <c r="Q580" s="17">
        <f t="shared" si="49"/>
        <v>0.76832504145936986</v>
      </c>
      <c r="R580" s="10" t="s">
        <v>1192</v>
      </c>
      <c r="S580" s="14" t="s">
        <v>40</v>
      </c>
      <c r="T580" s="14" t="s">
        <v>37</v>
      </c>
      <c r="U580" s="13">
        <v>18090</v>
      </c>
      <c r="V580" s="15">
        <v>5</v>
      </c>
      <c r="W580" s="9" t="str">
        <f>IF(Table1[[#This Row],[Satisfaction Rating]]&lt;2, "Low", IF(Table1[[#This Row],[Satisfaction Rating]]&lt;4, "Medium", "High"))</f>
        <v>High</v>
      </c>
    </row>
    <row r="581" spans="1:23" ht="14" x14ac:dyDescent="0.2">
      <c r="A581" s="10" t="s">
        <v>1193</v>
      </c>
      <c r="B581" s="11">
        <v>45033.058715277781</v>
      </c>
      <c r="C581" s="11">
        <v>45046.361840277779</v>
      </c>
      <c r="D581" s="11" t="str">
        <f>IF(Table1[[#This Row],[Duration of Campaign]]=0, "Ongoing","Completed")</f>
        <v>Completed</v>
      </c>
      <c r="E581" s="12">
        <f>Table1[[#This Row],[End Date]]-Table1[[#This Row],[Start Date]]</f>
        <v>13.303124999998545</v>
      </c>
      <c r="F581" s="13">
        <v>9040</v>
      </c>
      <c r="G581" s="14" t="s">
        <v>47</v>
      </c>
      <c r="H581" s="15">
        <v>3584</v>
      </c>
      <c r="I581" s="15">
        <v>784</v>
      </c>
      <c r="J581" s="15">
        <v>61</v>
      </c>
      <c r="K581" s="16">
        <v>9019</v>
      </c>
      <c r="L581" s="17">
        <f t="shared" si="45"/>
        <v>0.21875</v>
      </c>
      <c r="M581" s="17">
        <f t="shared" si="45"/>
        <v>7.7806122448979595E-2</v>
      </c>
      <c r="N581" s="18">
        <f t="shared" si="46"/>
        <v>3.8303571428571428</v>
      </c>
      <c r="O581" s="18">
        <f t="shared" si="47"/>
        <v>49.229508196721312</v>
      </c>
      <c r="P581" s="17">
        <f t="shared" si="48"/>
        <v>0.33219026548672564</v>
      </c>
      <c r="Q581" s="17">
        <f t="shared" si="49"/>
        <v>3.0033300033300034</v>
      </c>
      <c r="R581" s="10" t="s">
        <v>1194</v>
      </c>
      <c r="S581" s="14" t="s">
        <v>40</v>
      </c>
      <c r="T581" s="14" t="s">
        <v>55</v>
      </c>
      <c r="U581" s="13">
        <v>3003</v>
      </c>
      <c r="V581" s="15">
        <v>5</v>
      </c>
      <c r="W581" s="9" t="str">
        <f>IF(Table1[[#This Row],[Satisfaction Rating]]&lt;2, "Low", IF(Table1[[#This Row],[Satisfaction Rating]]&lt;4, "Medium", "High"))</f>
        <v>High</v>
      </c>
    </row>
    <row r="582" spans="1:23" ht="14" x14ac:dyDescent="0.2">
      <c r="A582" s="10" t="s">
        <v>1195</v>
      </c>
      <c r="B582" s="11">
        <v>45389.582835648151</v>
      </c>
      <c r="C582" s="11">
        <v>45504.383032407408</v>
      </c>
      <c r="D582" s="11" t="str">
        <f>IF(Table1[[#This Row],[Duration of Campaign]]=0, "Ongoing","Completed")</f>
        <v>Completed</v>
      </c>
      <c r="E582" s="12">
        <f>Table1[[#This Row],[End Date]]-Table1[[#This Row],[Start Date]]</f>
        <v>114.80019675925723</v>
      </c>
      <c r="F582" s="13">
        <v>4073</v>
      </c>
      <c r="G582" s="14" t="s">
        <v>29</v>
      </c>
      <c r="H582" s="15">
        <v>15962</v>
      </c>
      <c r="I582" s="15">
        <v>1887</v>
      </c>
      <c r="J582" s="15">
        <v>493</v>
      </c>
      <c r="K582" s="16">
        <v>4609</v>
      </c>
      <c r="L582" s="17">
        <f t="shared" si="45"/>
        <v>0.11821826838742013</v>
      </c>
      <c r="M582" s="17">
        <f t="shared" si="45"/>
        <v>0.26126126126126126</v>
      </c>
      <c r="N582" s="18">
        <f t="shared" si="46"/>
        <v>5.4721780604133547</v>
      </c>
      <c r="O582" s="18">
        <f t="shared" si="47"/>
        <v>20.945233265720081</v>
      </c>
      <c r="P582" s="17">
        <f t="shared" si="48"/>
        <v>2.5352320157132335</v>
      </c>
      <c r="Q582" s="17">
        <f t="shared" si="49"/>
        <v>0.44634902188650011</v>
      </c>
      <c r="R582" s="10" t="s">
        <v>1196</v>
      </c>
      <c r="S582" s="14" t="s">
        <v>34</v>
      </c>
      <c r="T582" s="14" t="s">
        <v>55</v>
      </c>
      <c r="U582" s="13">
        <v>10326</v>
      </c>
      <c r="V582" s="15">
        <v>1</v>
      </c>
      <c r="W582" s="9" t="str">
        <f>IF(Table1[[#This Row],[Satisfaction Rating]]&lt;2, "Low", IF(Table1[[#This Row],[Satisfaction Rating]]&lt;4, "Medium", "High"))</f>
        <v>Low</v>
      </c>
    </row>
    <row r="583" spans="1:23" ht="14" x14ac:dyDescent="0.2">
      <c r="A583" s="10" t="s">
        <v>1197</v>
      </c>
      <c r="B583" s="11">
        <v>45538.840011574073</v>
      </c>
      <c r="C583" s="11">
        <v>45538.840011574073</v>
      </c>
      <c r="D583" s="11" t="str">
        <f>IF(Table1[[#This Row],[Duration of Campaign]]=0, "Ongoing","Completed")</f>
        <v>Ongoing</v>
      </c>
      <c r="E583" s="12">
        <f>Table1[[#This Row],[End Date]]-Table1[[#This Row],[Start Date]]</f>
        <v>0</v>
      </c>
      <c r="F583" s="13">
        <v>9583</v>
      </c>
      <c r="G583" s="14" t="s">
        <v>63</v>
      </c>
      <c r="H583" s="15">
        <v>3353</v>
      </c>
      <c r="I583" s="15">
        <v>935</v>
      </c>
      <c r="J583" s="15">
        <v>300</v>
      </c>
      <c r="K583" s="16">
        <v>2459</v>
      </c>
      <c r="L583" s="17">
        <f t="shared" si="45"/>
        <v>0.2788547569340889</v>
      </c>
      <c r="M583" s="17">
        <f t="shared" si="45"/>
        <v>0.32085561497326204</v>
      </c>
      <c r="N583" s="18">
        <f t="shared" si="46"/>
        <v>9.8406417112299458</v>
      </c>
      <c r="O583" s="18">
        <f t="shared" si="47"/>
        <v>30.67</v>
      </c>
      <c r="P583" s="17">
        <f t="shared" si="48"/>
        <v>0.96013774392152773</v>
      </c>
      <c r="Q583" s="17">
        <f t="shared" si="49"/>
        <v>0.26725355939571788</v>
      </c>
      <c r="R583" s="10" t="s">
        <v>1198</v>
      </c>
      <c r="S583" s="14" t="s">
        <v>26</v>
      </c>
      <c r="T583" s="14" t="s">
        <v>55</v>
      </c>
      <c r="U583" s="13">
        <v>9201</v>
      </c>
      <c r="V583" s="15">
        <v>3</v>
      </c>
      <c r="W583" s="9" t="str">
        <f>IF(Table1[[#This Row],[Satisfaction Rating]]&lt;2, "Low", IF(Table1[[#This Row],[Satisfaction Rating]]&lt;4, "Medium", "High"))</f>
        <v>Medium</v>
      </c>
    </row>
    <row r="584" spans="1:23" ht="14" x14ac:dyDescent="0.2">
      <c r="A584" s="10" t="s">
        <v>1199</v>
      </c>
      <c r="B584" s="11">
        <v>45004.92863425926</v>
      </c>
      <c r="C584" s="11">
        <v>45128.659907407404</v>
      </c>
      <c r="D584" s="11" t="str">
        <f>IF(Table1[[#This Row],[Duration of Campaign]]=0, "Ongoing","Completed")</f>
        <v>Completed</v>
      </c>
      <c r="E584" s="12">
        <f>Table1[[#This Row],[End Date]]-Table1[[#This Row],[Start Date]]</f>
        <v>123.73127314814337</v>
      </c>
      <c r="F584" s="13">
        <v>8426</v>
      </c>
      <c r="G584" s="14" t="s">
        <v>47</v>
      </c>
      <c r="H584" s="15">
        <v>1845</v>
      </c>
      <c r="I584" s="15">
        <v>1544</v>
      </c>
      <c r="J584" s="15">
        <v>328</v>
      </c>
      <c r="K584" s="16">
        <v>950</v>
      </c>
      <c r="L584" s="17">
        <f t="shared" si="45"/>
        <v>0.83685636856368562</v>
      </c>
      <c r="M584" s="17">
        <f t="shared" si="45"/>
        <v>0.21243523316062177</v>
      </c>
      <c r="N584" s="18">
        <f t="shared" si="46"/>
        <v>2.2072538860103625</v>
      </c>
      <c r="O584" s="18">
        <f t="shared" si="47"/>
        <v>10.390243902439025</v>
      </c>
      <c r="P584" s="17">
        <f t="shared" si="48"/>
        <v>0.40446237835271776</v>
      </c>
      <c r="Q584" s="17">
        <f t="shared" si="49"/>
        <v>0.27875586854460094</v>
      </c>
      <c r="R584" s="10" t="s">
        <v>1200</v>
      </c>
      <c r="S584" s="14" t="s">
        <v>31</v>
      </c>
      <c r="T584" s="14" t="s">
        <v>37</v>
      </c>
      <c r="U584" s="13">
        <v>3408</v>
      </c>
      <c r="V584" s="15">
        <v>4</v>
      </c>
      <c r="W584" s="9" t="str">
        <f>IF(Table1[[#This Row],[Satisfaction Rating]]&lt;2, "Low", IF(Table1[[#This Row],[Satisfaction Rating]]&lt;4, "Medium", "High"))</f>
        <v>High</v>
      </c>
    </row>
    <row r="585" spans="1:23" ht="14" x14ac:dyDescent="0.2">
      <c r="A585" s="10" t="s">
        <v>1201</v>
      </c>
      <c r="B585" s="11">
        <v>45621.054166666669</v>
      </c>
      <c r="C585" s="11">
        <v>45621.054166666669</v>
      </c>
      <c r="D585" s="11" t="str">
        <f>IF(Table1[[#This Row],[Duration of Campaign]]=0, "Ongoing","Completed")</f>
        <v>Ongoing</v>
      </c>
      <c r="E585" s="12">
        <f>Table1[[#This Row],[End Date]]-Table1[[#This Row],[Start Date]]</f>
        <v>0</v>
      </c>
      <c r="F585" s="13">
        <v>9699</v>
      </c>
      <c r="G585" s="14" t="s">
        <v>29</v>
      </c>
      <c r="H585" s="15">
        <v>9319</v>
      </c>
      <c r="I585" s="15">
        <v>786</v>
      </c>
      <c r="J585" s="15">
        <v>349</v>
      </c>
      <c r="K585" s="16">
        <v>11036</v>
      </c>
      <c r="L585" s="17">
        <f t="shared" si="45"/>
        <v>8.4343813713917803E-2</v>
      </c>
      <c r="M585" s="17">
        <f t="shared" si="45"/>
        <v>0.44402035623409669</v>
      </c>
      <c r="N585" s="18">
        <f t="shared" si="46"/>
        <v>8.8727735368956751</v>
      </c>
      <c r="O585" s="18">
        <f t="shared" si="47"/>
        <v>19.982808022922637</v>
      </c>
      <c r="P585" s="17">
        <f t="shared" si="48"/>
        <v>0.71904320032993096</v>
      </c>
      <c r="Q585" s="17">
        <f t="shared" si="49"/>
        <v>1.5824490966446803</v>
      </c>
      <c r="R585" s="10" t="s">
        <v>1202</v>
      </c>
      <c r="S585" s="14" t="s">
        <v>45</v>
      </c>
      <c r="T585" s="14" t="s">
        <v>55</v>
      </c>
      <c r="U585" s="13">
        <v>6974</v>
      </c>
      <c r="V585" s="15">
        <v>2</v>
      </c>
      <c r="W585" s="9" t="str">
        <f>IF(Table1[[#This Row],[Satisfaction Rating]]&lt;2, "Low", IF(Table1[[#This Row],[Satisfaction Rating]]&lt;4, "Medium", "High"))</f>
        <v>Medium</v>
      </c>
    </row>
    <row r="586" spans="1:23" ht="14" x14ac:dyDescent="0.2">
      <c r="A586" s="10" t="s">
        <v>1203</v>
      </c>
      <c r="B586" s="11">
        <v>45066.058333333334</v>
      </c>
      <c r="C586" s="11">
        <v>45066.058333333334</v>
      </c>
      <c r="D586" s="11" t="str">
        <f>IF(Table1[[#This Row],[Duration of Campaign]]=0, "Ongoing","Completed")</f>
        <v>Ongoing</v>
      </c>
      <c r="E586" s="12">
        <f>Table1[[#This Row],[End Date]]-Table1[[#This Row],[Start Date]]</f>
        <v>0</v>
      </c>
      <c r="F586" s="13">
        <v>5417</v>
      </c>
      <c r="G586" s="14" t="s">
        <v>63</v>
      </c>
      <c r="H586" s="15">
        <v>17919</v>
      </c>
      <c r="I586" s="15">
        <v>420</v>
      </c>
      <c r="J586" s="15">
        <v>133</v>
      </c>
      <c r="K586" s="16">
        <v>2462</v>
      </c>
      <c r="L586" s="17">
        <f t="shared" si="45"/>
        <v>2.343880796919471E-2</v>
      </c>
      <c r="M586" s="17">
        <f t="shared" si="45"/>
        <v>0.31666666666666665</v>
      </c>
      <c r="N586" s="18">
        <f t="shared" si="46"/>
        <v>32.450000000000003</v>
      </c>
      <c r="O586" s="18">
        <f t="shared" si="47"/>
        <v>102.47368421052632</v>
      </c>
      <c r="P586" s="17">
        <f t="shared" si="48"/>
        <v>2.5159682481078089</v>
      </c>
      <c r="Q586" s="17">
        <f t="shared" si="49"/>
        <v>0.18064421454251964</v>
      </c>
      <c r="R586" s="10" t="s">
        <v>1204</v>
      </c>
      <c r="S586" s="14" t="s">
        <v>40</v>
      </c>
      <c r="T586" s="14" t="s">
        <v>27</v>
      </c>
      <c r="U586" s="13">
        <v>13629</v>
      </c>
      <c r="V586" s="15">
        <v>3</v>
      </c>
      <c r="W586" s="9" t="str">
        <f>IF(Table1[[#This Row],[Satisfaction Rating]]&lt;2, "Low", IF(Table1[[#This Row],[Satisfaction Rating]]&lt;4, "Medium", "High"))</f>
        <v>Medium</v>
      </c>
    </row>
    <row r="587" spans="1:23" ht="14" x14ac:dyDescent="0.2">
      <c r="A587" s="10" t="s">
        <v>1205</v>
      </c>
      <c r="B587" s="11">
        <v>45292.636574074073</v>
      </c>
      <c r="C587" s="11">
        <v>45292.636574074073</v>
      </c>
      <c r="D587" s="11" t="str">
        <f>IF(Table1[[#This Row],[Duration of Campaign]]=0, "Ongoing","Completed")</f>
        <v>Ongoing</v>
      </c>
      <c r="E587" s="12">
        <f>Table1[[#This Row],[End Date]]-Table1[[#This Row],[Start Date]]</f>
        <v>0</v>
      </c>
      <c r="F587" s="13">
        <v>1222</v>
      </c>
      <c r="G587" s="14" t="s">
        <v>29</v>
      </c>
      <c r="H587" s="15">
        <v>17020</v>
      </c>
      <c r="I587" s="15">
        <v>1621</v>
      </c>
      <c r="J587" s="15">
        <v>20</v>
      </c>
      <c r="K587" s="16">
        <v>10175</v>
      </c>
      <c r="L587" s="17">
        <f t="shared" si="45"/>
        <v>9.5240893066980026E-2</v>
      </c>
      <c r="M587" s="17">
        <f t="shared" si="45"/>
        <v>1.2338062924120914E-2</v>
      </c>
      <c r="N587" s="18">
        <f t="shared" si="46"/>
        <v>1.0715607649599013</v>
      </c>
      <c r="O587" s="18">
        <f t="shared" si="47"/>
        <v>86.85</v>
      </c>
      <c r="P587" s="17">
        <f t="shared" si="48"/>
        <v>1.4214402618657938</v>
      </c>
      <c r="Q587" s="17">
        <f t="shared" si="49"/>
        <v>5.8578008059873348</v>
      </c>
      <c r="R587" s="10" t="s">
        <v>1206</v>
      </c>
      <c r="S587" s="14" t="s">
        <v>40</v>
      </c>
      <c r="T587" s="14" t="s">
        <v>27</v>
      </c>
      <c r="U587" s="13">
        <v>1737</v>
      </c>
      <c r="V587" s="15">
        <v>3</v>
      </c>
      <c r="W587" s="9" t="str">
        <f>IF(Table1[[#This Row],[Satisfaction Rating]]&lt;2, "Low", IF(Table1[[#This Row],[Satisfaction Rating]]&lt;4, "Medium", "High"))</f>
        <v>Medium</v>
      </c>
    </row>
    <row r="588" spans="1:23" ht="14" x14ac:dyDescent="0.2">
      <c r="A588" s="10" t="s">
        <v>1207</v>
      </c>
      <c r="B588" s="11">
        <v>45591.550208333334</v>
      </c>
      <c r="C588" s="11">
        <v>45591.550208333334</v>
      </c>
      <c r="D588" s="11" t="str">
        <f>IF(Table1[[#This Row],[Duration of Campaign]]=0, "Ongoing","Completed")</f>
        <v>Ongoing</v>
      </c>
      <c r="E588" s="12">
        <f>Table1[[#This Row],[End Date]]-Table1[[#This Row],[Start Date]]</f>
        <v>0</v>
      </c>
      <c r="F588" s="13">
        <v>6035</v>
      </c>
      <c r="G588" s="14" t="s">
        <v>63</v>
      </c>
      <c r="H588" s="15">
        <v>15339</v>
      </c>
      <c r="I588" s="15">
        <v>1950</v>
      </c>
      <c r="J588" s="15">
        <v>226</v>
      </c>
      <c r="K588" s="16">
        <v>10595</v>
      </c>
      <c r="L588" s="17">
        <f t="shared" si="45"/>
        <v>0.12712693135145706</v>
      </c>
      <c r="M588" s="17">
        <f t="shared" si="45"/>
        <v>0.1158974358974359</v>
      </c>
      <c r="N588" s="18">
        <f t="shared" si="46"/>
        <v>8.3446153846153841</v>
      </c>
      <c r="O588" s="18">
        <f t="shared" si="47"/>
        <v>72</v>
      </c>
      <c r="P588" s="17">
        <f t="shared" si="48"/>
        <v>2.696271748135874</v>
      </c>
      <c r="Q588" s="17">
        <f t="shared" si="49"/>
        <v>0.65111848574237952</v>
      </c>
      <c r="R588" s="10" t="s">
        <v>1208</v>
      </c>
      <c r="S588" s="14" t="s">
        <v>45</v>
      </c>
      <c r="T588" s="14" t="s">
        <v>37</v>
      </c>
      <c r="U588" s="13">
        <v>16272</v>
      </c>
      <c r="V588" s="15">
        <v>2</v>
      </c>
      <c r="W588" s="9" t="str">
        <f>IF(Table1[[#This Row],[Satisfaction Rating]]&lt;2, "Low", IF(Table1[[#This Row],[Satisfaction Rating]]&lt;4, "Medium", "High"))</f>
        <v>Medium</v>
      </c>
    </row>
    <row r="589" spans="1:23" ht="14" x14ac:dyDescent="0.2">
      <c r="A589" s="10" t="s">
        <v>1209</v>
      </c>
      <c r="B589" s="11">
        <v>45532.706805555557</v>
      </c>
      <c r="C589" s="11">
        <v>45532.706805555557</v>
      </c>
      <c r="D589" s="11" t="str">
        <f>IF(Table1[[#This Row],[Duration of Campaign]]=0, "Ongoing","Completed")</f>
        <v>Ongoing</v>
      </c>
      <c r="E589" s="12">
        <f>Table1[[#This Row],[End Date]]-Table1[[#This Row],[Start Date]]</f>
        <v>0</v>
      </c>
      <c r="F589" s="13">
        <v>2321</v>
      </c>
      <c r="G589" s="14" t="s">
        <v>29</v>
      </c>
      <c r="H589" s="15">
        <v>2571</v>
      </c>
      <c r="I589" s="15">
        <v>262</v>
      </c>
      <c r="J589" s="15">
        <v>90</v>
      </c>
      <c r="K589" s="16">
        <v>10419</v>
      </c>
      <c r="L589" s="17">
        <f t="shared" si="45"/>
        <v>0.10190587320108907</v>
      </c>
      <c r="M589" s="17">
        <f t="shared" si="45"/>
        <v>0.34351145038167941</v>
      </c>
      <c r="N589" s="18">
        <f t="shared" si="46"/>
        <v>12.33969465648855</v>
      </c>
      <c r="O589" s="18">
        <f t="shared" si="47"/>
        <v>35.922222222222224</v>
      </c>
      <c r="P589" s="17">
        <f t="shared" si="48"/>
        <v>1.3929340801378716</v>
      </c>
      <c r="Q589" s="17">
        <f t="shared" si="49"/>
        <v>3.2227033714815962</v>
      </c>
      <c r="R589" s="10" t="s">
        <v>1210</v>
      </c>
      <c r="S589" s="14" t="s">
        <v>34</v>
      </c>
      <c r="T589" s="14" t="s">
        <v>55</v>
      </c>
      <c r="U589" s="13">
        <v>3233</v>
      </c>
      <c r="V589" s="15">
        <v>3</v>
      </c>
      <c r="W589" s="9" t="str">
        <f>IF(Table1[[#This Row],[Satisfaction Rating]]&lt;2, "Low", IF(Table1[[#This Row],[Satisfaction Rating]]&lt;4, "Medium", "High"))</f>
        <v>Medium</v>
      </c>
    </row>
    <row r="590" spans="1:23" ht="14" x14ac:dyDescent="0.2">
      <c r="A590" s="10" t="s">
        <v>1211</v>
      </c>
      <c r="B590" s="11">
        <v>45392.576574074075</v>
      </c>
      <c r="C590" s="11">
        <v>45392.576574074075</v>
      </c>
      <c r="D590" s="11" t="str">
        <f>IF(Table1[[#This Row],[Duration of Campaign]]=0, "Ongoing","Completed")</f>
        <v>Ongoing</v>
      </c>
      <c r="E590" s="12">
        <f>Table1[[#This Row],[End Date]]-Table1[[#This Row],[Start Date]]</f>
        <v>0</v>
      </c>
      <c r="F590" s="13">
        <v>6611</v>
      </c>
      <c r="G590" s="14" t="s">
        <v>24</v>
      </c>
      <c r="H590" s="15">
        <v>17371</v>
      </c>
      <c r="I590" s="15">
        <v>1170</v>
      </c>
      <c r="J590" s="15">
        <v>198</v>
      </c>
      <c r="K590" s="16">
        <v>12821</v>
      </c>
      <c r="L590" s="17">
        <f t="shared" si="45"/>
        <v>6.7353635369293646E-2</v>
      </c>
      <c r="M590" s="17">
        <f t="shared" si="45"/>
        <v>0.16923076923076924</v>
      </c>
      <c r="N590" s="18">
        <f t="shared" si="46"/>
        <v>10.64017094017094</v>
      </c>
      <c r="O590" s="18">
        <f t="shared" si="47"/>
        <v>62.873737373737377</v>
      </c>
      <c r="P590" s="17">
        <f t="shared" si="48"/>
        <v>1.8830736651036153</v>
      </c>
      <c r="Q590" s="17">
        <f t="shared" si="49"/>
        <v>1.0298819182263637</v>
      </c>
      <c r="R590" s="10" t="s">
        <v>1212</v>
      </c>
      <c r="S590" s="14" t="s">
        <v>26</v>
      </c>
      <c r="T590" s="14" t="s">
        <v>55</v>
      </c>
      <c r="U590" s="13">
        <v>12449</v>
      </c>
      <c r="V590" s="15">
        <v>4</v>
      </c>
      <c r="W590" s="9" t="str">
        <f>IF(Table1[[#This Row],[Satisfaction Rating]]&lt;2, "Low", IF(Table1[[#This Row],[Satisfaction Rating]]&lt;4, "Medium", "High"))</f>
        <v>High</v>
      </c>
    </row>
    <row r="591" spans="1:23" ht="14" x14ac:dyDescent="0.2">
      <c r="A591" s="10" t="s">
        <v>1213</v>
      </c>
      <c r="B591" s="11">
        <v>45441.680694444447</v>
      </c>
      <c r="C591" s="11">
        <v>45441.680694444447</v>
      </c>
      <c r="D591" s="11" t="str">
        <f>IF(Table1[[#This Row],[Duration of Campaign]]=0, "Ongoing","Completed")</f>
        <v>Ongoing</v>
      </c>
      <c r="E591" s="12">
        <f>Table1[[#This Row],[End Date]]-Table1[[#This Row],[Start Date]]</f>
        <v>0</v>
      </c>
      <c r="F591" s="13">
        <v>5341</v>
      </c>
      <c r="G591" s="14" t="s">
        <v>24</v>
      </c>
      <c r="H591" s="15">
        <v>9278</v>
      </c>
      <c r="I591" s="15">
        <v>357</v>
      </c>
      <c r="J591" s="15">
        <v>239</v>
      </c>
      <c r="K591" s="16">
        <v>1571</v>
      </c>
      <c r="L591" s="17">
        <f t="shared" si="45"/>
        <v>3.847812028454408E-2</v>
      </c>
      <c r="M591" s="17">
        <f t="shared" si="45"/>
        <v>0.66946778711484589</v>
      </c>
      <c r="N591" s="18">
        <f t="shared" si="46"/>
        <v>34.20448179271709</v>
      </c>
      <c r="O591" s="18">
        <f t="shared" si="47"/>
        <v>51.09205020920502</v>
      </c>
      <c r="P591" s="17">
        <f t="shared" si="48"/>
        <v>2.2862759782812208</v>
      </c>
      <c r="Q591" s="17">
        <f t="shared" si="49"/>
        <v>0.12865449185160921</v>
      </c>
      <c r="R591" s="10" t="s">
        <v>1214</v>
      </c>
      <c r="S591" s="14" t="s">
        <v>31</v>
      </c>
      <c r="T591" s="14" t="s">
        <v>55</v>
      </c>
      <c r="U591" s="13">
        <v>12211</v>
      </c>
      <c r="V591" s="15">
        <v>1</v>
      </c>
      <c r="W591" s="9" t="str">
        <f>IF(Table1[[#This Row],[Satisfaction Rating]]&lt;2, "Low", IF(Table1[[#This Row],[Satisfaction Rating]]&lt;4, "Medium", "High"))</f>
        <v>Low</v>
      </c>
    </row>
    <row r="592" spans="1:23" ht="14" x14ac:dyDescent="0.2">
      <c r="A592" s="10" t="s">
        <v>1215</v>
      </c>
      <c r="B592" s="11">
        <v>45121.638553240744</v>
      </c>
      <c r="C592" s="11">
        <v>45333.218240740738</v>
      </c>
      <c r="D592" s="11" t="str">
        <f>IF(Table1[[#This Row],[Duration of Campaign]]=0, "Ongoing","Completed")</f>
        <v>Completed</v>
      </c>
      <c r="E592" s="12">
        <f>Table1[[#This Row],[End Date]]-Table1[[#This Row],[Start Date]]</f>
        <v>211.57968749999418</v>
      </c>
      <c r="F592" s="13">
        <v>7341</v>
      </c>
      <c r="G592" s="14" t="s">
        <v>63</v>
      </c>
      <c r="H592" s="15">
        <v>8905</v>
      </c>
      <c r="I592" s="15">
        <v>1252</v>
      </c>
      <c r="J592" s="15">
        <v>244</v>
      </c>
      <c r="K592" s="16">
        <v>5372</v>
      </c>
      <c r="L592" s="17">
        <f t="shared" si="45"/>
        <v>0.14059517125210555</v>
      </c>
      <c r="M592" s="17">
        <f t="shared" si="45"/>
        <v>0.19488817891373802</v>
      </c>
      <c r="N592" s="18">
        <f t="shared" si="46"/>
        <v>5.4225239616613417</v>
      </c>
      <c r="O592" s="18">
        <f t="shared" si="47"/>
        <v>27.82377049180328</v>
      </c>
      <c r="P592" s="17">
        <f t="shared" si="48"/>
        <v>0.92480588475684511</v>
      </c>
      <c r="Q592" s="17">
        <f t="shared" si="49"/>
        <v>0.79128001178376783</v>
      </c>
      <c r="R592" s="10" t="s">
        <v>1216</v>
      </c>
      <c r="S592" s="14" t="s">
        <v>40</v>
      </c>
      <c r="T592" s="14" t="s">
        <v>27</v>
      </c>
      <c r="U592" s="13">
        <v>6789</v>
      </c>
      <c r="V592" s="15">
        <v>2</v>
      </c>
      <c r="W592" s="9" t="str">
        <f>IF(Table1[[#This Row],[Satisfaction Rating]]&lt;2, "Low", IF(Table1[[#This Row],[Satisfaction Rating]]&lt;4, "Medium", "High"))</f>
        <v>Medium</v>
      </c>
    </row>
    <row r="593" spans="1:23" ht="14" x14ac:dyDescent="0.2">
      <c r="A593" s="10" t="s">
        <v>1217</v>
      </c>
      <c r="B593" s="11">
        <v>45257.836574074077</v>
      </c>
      <c r="C593" s="11">
        <v>45325.119120370371</v>
      </c>
      <c r="D593" s="11" t="str">
        <f>IF(Table1[[#This Row],[Duration of Campaign]]=0, "Ongoing","Completed")</f>
        <v>Completed</v>
      </c>
      <c r="E593" s="12">
        <f>Table1[[#This Row],[End Date]]-Table1[[#This Row],[Start Date]]</f>
        <v>67.282546296293731</v>
      </c>
      <c r="F593" s="13">
        <v>8952</v>
      </c>
      <c r="G593" s="14" t="s">
        <v>24</v>
      </c>
      <c r="H593" s="15">
        <v>3856</v>
      </c>
      <c r="I593" s="15">
        <v>510</v>
      </c>
      <c r="J593" s="15">
        <v>464</v>
      </c>
      <c r="K593" s="16">
        <v>2715</v>
      </c>
      <c r="L593" s="17">
        <f t="shared" si="45"/>
        <v>0.13226141078838174</v>
      </c>
      <c r="M593" s="17">
        <f t="shared" si="45"/>
        <v>0.90980392156862744</v>
      </c>
      <c r="N593" s="18">
        <f t="shared" si="46"/>
        <v>1.0607843137254902</v>
      </c>
      <c r="O593" s="18">
        <f t="shared" si="47"/>
        <v>1.165948275862069</v>
      </c>
      <c r="P593" s="17">
        <f t="shared" si="48"/>
        <v>6.0433422698838252E-2</v>
      </c>
      <c r="Q593" s="17">
        <f t="shared" si="49"/>
        <v>5.0184842883548981</v>
      </c>
      <c r="R593" s="10" t="s">
        <v>1218</v>
      </c>
      <c r="S593" s="14" t="s">
        <v>45</v>
      </c>
      <c r="T593" s="14" t="s">
        <v>37</v>
      </c>
      <c r="U593" s="13">
        <v>541</v>
      </c>
      <c r="V593" s="15">
        <v>1</v>
      </c>
      <c r="W593" s="9" t="str">
        <f>IF(Table1[[#This Row],[Satisfaction Rating]]&lt;2, "Low", IF(Table1[[#This Row],[Satisfaction Rating]]&lt;4, "Medium", "High"))</f>
        <v>Low</v>
      </c>
    </row>
    <row r="594" spans="1:23" ht="14" x14ac:dyDescent="0.2">
      <c r="A594" s="10" t="s">
        <v>1219</v>
      </c>
      <c r="B594" s="11">
        <v>45322.602164351854</v>
      </c>
      <c r="C594" s="11">
        <v>45322.602164351854</v>
      </c>
      <c r="D594" s="11" t="str">
        <f>IF(Table1[[#This Row],[Duration of Campaign]]=0, "Ongoing","Completed")</f>
        <v>Ongoing</v>
      </c>
      <c r="E594" s="12">
        <f>Table1[[#This Row],[End Date]]-Table1[[#This Row],[Start Date]]</f>
        <v>0</v>
      </c>
      <c r="F594" s="13">
        <v>7200</v>
      </c>
      <c r="G594" s="14" t="s">
        <v>24</v>
      </c>
      <c r="H594" s="15">
        <v>1778</v>
      </c>
      <c r="I594" s="15">
        <v>1026</v>
      </c>
      <c r="J594" s="15">
        <v>18</v>
      </c>
      <c r="K594" s="16">
        <v>12874</v>
      </c>
      <c r="L594" s="17">
        <f t="shared" si="45"/>
        <v>0.57705286839145109</v>
      </c>
      <c r="M594" s="17">
        <f t="shared" si="45"/>
        <v>1.7543859649122806E-2</v>
      </c>
      <c r="N594" s="18">
        <f t="shared" si="46"/>
        <v>6.7105263157894735</v>
      </c>
      <c r="O594" s="18">
        <f t="shared" si="47"/>
        <v>382.5</v>
      </c>
      <c r="P594" s="17">
        <f t="shared" si="48"/>
        <v>0.95625000000000004</v>
      </c>
      <c r="Q594" s="17">
        <f t="shared" si="49"/>
        <v>1.8698620188816266</v>
      </c>
      <c r="R594" s="10" t="s">
        <v>1220</v>
      </c>
      <c r="S594" s="14" t="s">
        <v>40</v>
      </c>
      <c r="T594" s="14" t="s">
        <v>27</v>
      </c>
      <c r="U594" s="13">
        <v>6885</v>
      </c>
      <c r="V594" s="15">
        <v>1</v>
      </c>
      <c r="W594" s="9" t="str">
        <f>IF(Table1[[#This Row],[Satisfaction Rating]]&lt;2, "Low", IF(Table1[[#This Row],[Satisfaction Rating]]&lt;4, "Medium", "High"))</f>
        <v>Low</v>
      </c>
    </row>
    <row r="595" spans="1:23" ht="14" x14ac:dyDescent="0.2">
      <c r="A595" s="10" t="s">
        <v>1221</v>
      </c>
      <c r="B595" s="11">
        <v>45150.37599537037</v>
      </c>
      <c r="C595" s="11">
        <v>45150.37599537037</v>
      </c>
      <c r="D595" s="11" t="str">
        <f>IF(Table1[[#This Row],[Duration of Campaign]]=0, "Ongoing","Completed")</f>
        <v>Ongoing</v>
      </c>
      <c r="E595" s="12">
        <f>Table1[[#This Row],[End Date]]-Table1[[#This Row],[Start Date]]</f>
        <v>0</v>
      </c>
      <c r="F595" s="13">
        <v>9147</v>
      </c>
      <c r="G595" s="14" t="s">
        <v>29</v>
      </c>
      <c r="H595" s="15">
        <v>14663</v>
      </c>
      <c r="I595" s="15">
        <v>1885</v>
      </c>
      <c r="J595" s="15">
        <v>470</v>
      </c>
      <c r="K595" s="16">
        <v>3151</v>
      </c>
      <c r="L595" s="17">
        <f t="shared" si="45"/>
        <v>0.12855486598922458</v>
      </c>
      <c r="M595" s="17">
        <f t="shared" si="45"/>
        <v>0.24933687002652519</v>
      </c>
      <c r="N595" s="18">
        <f t="shared" si="46"/>
        <v>3.8604774535809017</v>
      </c>
      <c r="O595" s="18">
        <f t="shared" si="47"/>
        <v>15.482978723404255</v>
      </c>
      <c r="P595" s="17">
        <f t="shared" si="48"/>
        <v>0.79556138624685691</v>
      </c>
      <c r="Q595" s="17">
        <f t="shared" si="49"/>
        <v>0.43300810773670467</v>
      </c>
      <c r="R595" s="10" t="s">
        <v>1222</v>
      </c>
      <c r="S595" s="14" t="s">
        <v>40</v>
      </c>
      <c r="T595" s="14" t="s">
        <v>37</v>
      </c>
      <c r="U595" s="13">
        <v>7277</v>
      </c>
      <c r="V595" s="15">
        <v>4</v>
      </c>
      <c r="W595" s="9" t="str">
        <f>IF(Table1[[#This Row],[Satisfaction Rating]]&lt;2, "Low", IF(Table1[[#This Row],[Satisfaction Rating]]&lt;4, "Medium", "High"))</f>
        <v>High</v>
      </c>
    </row>
    <row r="596" spans="1:23" ht="14" x14ac:dyDescent="0.2">
      <c r="A596" s="10" t="s">
        <v>1223</v>
      </c>
      <c r="B596" s="11">
        <v>45243.372245370374</v>
      </c>
      <c r="C596" s="11">
        <v>45243.372245370374</v>
      </c>
      <c r="D596" s="11" t="str">
        <f>IF(Table1[[#This Row],[Duration of Campaign]]=0, "Ongoing","Completed")</f>
        <v>Ongoing</v>
      </c>
      <c r="E596" s="12">
        <f>Table1[[#This Row],[End Date]]-Table1[[#This Row],[Start Date]]</f>
        <v>0</v>
      </c>
      <c r="F596" s="13">
        <v>3820</v>
      </c>
      <c r="G596" s="14" t="s">
        <v>29</v>
      </c>
      <c r="H596" s="15">
        <v>14775</v>
      </c>
      <c r="I596" s="15">
        <v>1290</v>
      </c>
      <c r="J596" s="15">
        <v>354</v>
      </c>
      <c r="K596" s="16">
        <v>13233</v>
      </c>
      <c r="L596" s="17">
        <f t="shared" si="45"/>
        <v>8.7309644670050757E-2</v>
      </c>
      <c r="M596" s="17">
        <f t="shared" si="45"/>
        <v>0.2744186046511628</v>
      </c>
      <c r="N596" s="18">
        <f t="shared" si="46"/>
        <v>5.8139534883720927</v>
      </c>
      <c r="O596" s="18">
        <f t="shared" si="47"/>
        <v>21.1864406779661</v>
      </c>
      <c r="P596" s="17">
        <f t="shared" si="48"/>
        <v>1.963350785340314</v>
      </c>
      <c r="Q596" s="17">
        <f t="shared" si="49"/>
        <v>1.7644</v>
      </c>
      <c r="R596" s="10" t="s">
        <v>1224</v>
      </c>
      <c r="S596" s="14" t="s">
        <v>45</v>
      </c>
      <c r="T596" s="14" t="s">
        <v>37</v>
      </c>
      <c r="U596" s="13">
        <v>7500</v>
      </c>
      <c r="V596" s="15">
        <v>2</v>
      </c>
      <c r="W596" s="9" t="str">
        <f>IF(Table1[[#This Row],[Satisfaction Rating]]&lt;2, "Low", IF(Table1[[#This Row],[Satisfaction Rating]]&lt;4, "Medium", "High"))</f>
        <v>Medium</v>
      </c>
    </row>
    <row r="597" spans="1:23" ht="14" x14ac:dyDescent="0.2">
      <c r="A597" s="10" t="s">
        <v>1225</v>
      </c>
      <c r="B597" s="11">
        <v>45150.818379629629</v>
      </c>
      <c r="C597" s="11">
        <v>45486.942731481482</v>
      </c>
      <c r="D597" s="11" t="str">
        <f>IF(Table1[[#This Row],[Duration of Campaign]]=0, "Ongoing","Completed")</f>
        <v>Completed</v>
      </c>
      <c r="E597" s="12">
        <f>Table1[[#This Row],[End Date]]-Table1[[#This Row],[Start Date]]</f>
        <v>336.12435185185313</v>
      </c>
      <c r="F597" s="13">
        <v>8557</v>
      </c>
      <c r="G597" s="14" t="s">
        <v>63</v>
      </c>
      <c r="H597" s="15">
        <v>13787</v>
      </c>
      <c r="I597" s="15">
        <v>1584</v>
      </c>
      <c r="J597" s="15">
        <v>488</v>
      </c>
      <c r="K597" s="16">
        <v>3668</v>
      </c>
      <c r="L597" s="17">
        <f t="shared" si="45"/>
        <v>0.11489083919634438</v>
      </c>
      <c r="M597" s="17">
        <f t="shared" si="45"/>
        <v>0.30808080808080807</v>
      </c>
      <c r="N597" s="18">
        <f t="shared" si="46"/>
        <v>1.5928030303030303</v>
      </c>
      <c r="O597" s="18">
        <f t="shared" si="47"/>
        <v>5.1700819672131146</v>
      </c>
      <c r="P597" s="17">
        <f t="shared" si="48"/>
        <v>0.29484632464648824</v>
      </c>
      <c r="Q597" s="17">
        <f t="shared" si="49"/>
        <v>1.4538248117320649</v>
      </c>
      <c r="R597" s="10" t="s">
        <v>1226</v>
      </c>
      <c r="S597" s="14" t="s">
        <v>40</v>
      </c>
      <c r="T597" s="14" t="s">
        <v>27</v>
      </c>
      <c r="U597" s="13">
        <v>2523</v>
      </c>
      <c r="V597" s="15">
        <v>2</v>
      </c>
      <c r="W597" s="9" t="str">
        <f>IF(Table1[[#This Row],[Satisfaction Rating]]&lt;2, "Low", IF(Table1[[#This Row],[Satisfaction Rating]]&lt;4, "Medium", "High"))</f>
        <v>Medium</v>
      </c>
    </row>
    <row r="598" spans="1:23" ht="14" x14ac:dyDescent="0.2">
      <c r="A598" s="10" t="s">
        <v>1227</v>
      </c>
      <c r="B598" s="11">
        <v>45461.882002314815</v>
      </c>
      <c r="C598" s="11">
        <v>45461.882002314815</v>
      </c>
      <c r="D598" s="11" t="str">
        <f>IF(Table1[[#This Row],[Duration of Campaign]]=0, "Ongoing","Completed")</f>
        <v>Ongoing</v>
      </c>
      <c r="E598" s="12">
        <f>Table1[[#This Row],[End Date]]-Table1[[#This Row],[Start Date]]</f>
        <v>0</v>
      </c>
      <c r="F598" s="13">
        <v>5549</v>
      </c>
      <c r="G598" s="14" t="s">
        <v>24</v>
      </c>
      <c r="H598" s="15">
        <v>11706</v>
      </c>
      <c r="I598" s="15">
        <v>1540</v>
      </c>
      <c r="J598" s="15">
        <v>428</v>
      </c>
      <c r="K598" s="16">
        <v>7920</v>
      </c>
      <c r="L598" s="17">
        <f t="shared" si="45"/>
        <v>0.1315564667691782</v>
      </c>
      <c r="M598" s="17">
        <f t="shared" si="45"/>
        <v>0.2779220779220779</v>
      </c>
      <c r="N598" s="18">
        <f t="shared" si="46"/>
        <v>1.0597402597402596</v>
      </c>
      <c r="O598" s="18">
        <f t="shared" si="47"/>
        <v>3.8130841121495327</v>
      </c>
      <c r="P598" s="17">
        <f t="shared" si="48"/>
        <v>0.29410704631465129</v>
      </c>
      <c r="Q598" s="17">
        <f t="shared" si="49"/>
        <v>4.8529411764705879</v>
      </c>
      <c r="R598" s="10" t="s">
        <v>1228</v>
      </c>
      <c r="S598" s="14" t="s">
        <v>26</v>
      </c>
      <c r="T598" s="14" t="s">
        <v>55</v>
      </c>
      <c r="U598" s="13">
        <v>1632</v>
      </c>
      <c r="V598" s="15">
        <v>4</v>
      </c>
      <c r="W598" s="9" t="str">
        <f>IF(Table1[[#This Row],[Satisfaction Rating]]&lt;2, "Low", IF(Table1[[#This Row],[Satisfaction Rating]]&lt;4, "Medium", "High"))</f>
        <v>High</v>
      </c>
    </row>
    <row r="599" spans="1:23" ht="14" x14ac:dyDescent="0.2">
      <c r="A599" s="10" t="s">
        <v>1229</v>
      </c>
      <c r="B599" s="11">
        <v>45099.317013888889</v>
      </c>
      <c r="C599" s="11">
        <v>45222.067037037035</v>
      </c>
      <c r="D599" s="11" t="str">
        <f>IF(Table1[[#This Row],[Duration of Campaign]]=0, "Ongoing","Completed")</f>
        <v>Completed</v>
      </c>
      <c r="E599" s="12">
        <f>Table1[[#This Row],[End Date]]-Table1[[#This Row],[Start Date]]</f>
        <v>122.75002314814628</v>
      </c>
      <c r="F599" s="13">
        <v>5849</v>
      </c>
      <c r="G599" s="14" t="s">
        <v>29</v>
      </c>
      <c r="H599" s="15">
        <v>8173</v>
      </c>
      <c r="I599" s="15">
        <v>697</v>
      </c>
      <c r="J599" s="15">
        <v>190</v>
      </c>
      <c r="K599" s="16">
        <v>6174</v>
      </c>
      <c r="L599" s="17">
        <f t="shared" si="45"/>
        <v>8.5280802642848402E-2</v>
      </c>
      <c r="M599" s="17">
        <f t="shared" si="45"/>
        <v>0.27259684361549497</v>
      </c>
      <c r="N599" s="18">
        <f t="shared" si="46"/>
        <v>11.715925394548064</v>
      </c>
      <c r="O599" s="18">
        <f t="shared" si="47"/>
        <v>42.978947368421053</v>
      </c>
      <c r="P599" s="17">
        <f t="shared" si="48"/>
        <v>1.3961360916395966</v>
      </c>
      <c r="Q599" s="17">
        <f t="shared" si="49"/>
        <v>0.75606171932402644</v>
      </c>
      <c r="R599" s="10" t="s">
        <v>1230</v>
      </c>
      <c r="S599" s="14" t="s">
        <v>40</v>
      </c>
      <c r="T599" s="14" t="s">
        <v>37</v>
      </c>
      <c r="U599" s="13">
        <v>8166</v>
      </c>
      <c r="V599" s="15">
        <v>5</v>
      </c>
      <c r="W599" s="9" t="str">
        <f>IF(Table1[[#This Row],[Satisfaction Rating]]&lt;2, "Low", IF(Table1[[#This Row],[Satisfaction Rating]]&lt;4, "Medium", "High"))</f>
        <v>High</v>
      </c>
    </row>
    <row r="600" spans="1:23" ht="14" x14ac:dyDescent="0.2">
      <c r="A600" s="10" t="s">
        <v>1231</v>
      </c>
      <c r="B600" s="11">
        <v>45232.469895833332</v>
      </c>
      <c r="C600" s="11">
        <v>45648.358564814815</v>
      </c>
      <c r="D600" s="11" t="str">
        <f>IF(Table1[[#This Row],[Duration of Campaign]]=0, "Ongoing","Completed")</f>
        <v>Completed</v>
      </c>
      <c r="E600" s="12">
        <f>Table1[[#This Row],[End Date]]-Table1[[#This Row],[Start Date]]</f>
        <v>415.88866898148262</v>
      </c>
      <c r="F600" s="13">
        <v>8440</v>
      </c>
      <c r="G600" s="14" t="s">
        <v>29</v>
      </c>
      <c r="H600" s="15">
        <v>1695</v>
      </c>
      <c r="I600" s="15">
        <v>140</v>
      </c>
      <c r="J600" s="15">
        <v>159</v>
      </c>
      <c r="K600" s="16">
        <v>12798</v>
      </c>
      <c r="L600" s="17">
        <f t="shared" si="45"/>
        <v>8.2595870206489674E-2</v>
      </c>
      <c r="M600" s="17">
        <f t="shared" si="45"/>
        <v>1.1357142857142857</v>
      </c>
      <c r="N600" s="18">
        <f t="shared" si="46"/>
        <v>62.5</v>
      </c>
      <c r="O600" s="18">
        <f t="shared" si="47"/>
        <v>55.031446540880502</v>
      </c>
      <c r="P600" s="17">
        <f t="shared" si="48"/>
        <v>1.0367298578199051</v>
      </c>
      <c r="Q600" s="17">
        <f t="shared" si="49"/>
        <v>1.4626285714285714</v>
      </c>
      <c r="R600" s="10" t="s">
        <v>1232</v>
      </c>
      <c r="S600" s="14" t="s">
        <v>45</v>
      </c>
      <c r="T600" s="14" t="s">
        <v>27</v>
      </c>
      <c r="U600" s="13">
        <v>8750</v>
      </c>
      <c r="V600" s="15">
        <v>4</v>
      </c>
      <c r="W600" s="9" t="str">
        <f>IF(Table1[[#This Row],[Satisfaction Rating]]&lt;2, "Low", IF(Table1[[#This Row],[Satisfaction Rating]]&lt;4, "Medium", "High"))</f>
        <v>High</v>
      </c>
    </row>
    <row r="601" spans="1:23" ht="14" x14ac:dyDescent="0.2">
      <c r="A601" s="10" t="s">
        <v>1233</v>
      </c>
      <c r="B601" s="11">
        <v>45163.7419212963</v>
      </c>
      <c r="C601" s="11">
        <v>45306.914571759262</v>
      </c>
      <c r="D601" s="11" t="str">
        <f>IF(Table1[[#This Row],[Duration of Campaign]]=0, "Ongoing","Completed")</f>
        <v>Completed</v>
      </c>
      <c r="E601" s="12">
        <f>Table1[[#This Row],[End Date]]-Table1[[#This Row],[Start Date]]</f>
        <v>143.17265046296234</v>
      </c>
      <c r="F601" s="13">
        <v>9218</v>
      </c>
      <c r="G601" s="14" t="s">
        <v>29</v>
      </c>
      <c r="H601" s="15">
        <v>11089</v>
      </c>
      <c r="I601" s="15">
        <v>216</v>
      </c>
      <c r="J601" s="15">
        <v>454</v>
      </c>
      <c r="K601" s="16">
        <v>3216</v>
      </c>
      <c r="L601" s="17">
        <f t="shared" si="45"/>
        <v>1.9478762737848317E-2</v>
      </c>
      <c r="M601" s="17">
        <f t="shared" si="45"/>
        <v>2.1018518518518516</v>
      </c>
      <c r="N601" s="18">
        <f t="shared" si="46"/>
        <v>75.337962962962962</v>
      </c>
      <c r="O601" s="18">
        <f t="shared" si="47"/>
        <v>35.843612334801762</v>
      </c>
      <c r="P601" s="17">
        <f t="shared" si="48"/>
        <v>1.7653504013885875</v>
      </c>
      <c r="Q601" s="17">
        <f t="shared" si="49"/>
        <v>0.19762797271554108</v>
      </c>
      <c r="R601" s="10" t="s">
        <v>1234</v>
      </c>
      <c r="S601" s="14" t="s">
        <v>26</v>
      </c>
      <c r="T601" s="14" t="s">
        <v>27</v>
      </c>
      <c r="U601" s="13">
        <v>16273</v>
      </c>
      <c r="V601" s="15">
        <v>3</v>
      </c>
      <c r="W601" s="9" t="str">
        <f>IF(Table1[[#This Row],[Satisfaction Rating]]&lt;2, "Low", IF(Table1[[#This Row],[Satisfaction Rating]]&lt;4, "Medium", "High"))</f>
        <v>Medium</v>
      </c>
    </row>
    <row r="602" spans="1:23" ht="14" x14ac:dyDescent="0.2">
      <c r="A602" s="10" t="s">
        <v>1235</v>
      </c>
      <c r="B602" s="11">
        <v>45470.901944444442</v>
      </c>
      <c r="C602" s="11">
        <v>45470.901944444442</v>
      </c>
      <c r="D602" s="11" t="str">
        <f>IF(Table1[[#This Row],[Duration of Campaign]]=0, "Ongoing","Completed")</f>
        <v>Ongoing</v>
      </c>
      <c r="E602" s="12">
        <f>Table1[[#This Row],[End Date]]-Table1[[#This Row],[Start Date]]</f>
        <v>0</v>
      </c>
      <c r="F602" s="13">
        <v>6582</v>
      </c>
      <c r="G602" s="14" t="s">
        <v>24</v>
      </c>
      <c r="H602" s="15">
        <v>15153</v>
      </c>
      <c r="I602" s="15">
        <v>534</v>
      </c>
      <c r="J602" s="15">
        <v>433</v>
      </c>
      <c r="K602" s="16">
        <v>2216</v>
      </c>
      <c r="L602" s="17">
        <f t="shared" si="45"/>
        <v>3.5240546426450206E-2</v>
      </c>
      <c r="M602" s="17">
        <f t="shared" si="45"/>
        <v>0.81086142322097376</v>
      </c>
      <c r="N602" s="18">
        <f t="shared" si="46"/>
        <v>27.825842696629213</v>
      </c>
      <c r="O602" s="18">
        <f t="shared" si="47"/>
        <v>34.316397228637413</v>
      </c>
      <c r="P602" s="17">
        <f t="shared" si="48"/>
        <v>2.2575205104831357</v>
      </c>
      <c r="Q602" s="17">
        <f t="shared" si="49"/>
        <v>0.1491352042533145</v>
      </c>
      <c r="R602" s="10" t="s">
        <v>1236</v>
      </c>
      <c r="S602" s="14" t="s">
        <v>40</v>
      </c>
      <c r="T602" s="14" t="s">
        <v>37</v>
      </c>
      <c r="U602" s="13">
        <v>14859</v>
      </c>
      <c r="V602" s="15">
        <v>5</v>
      </c>
      <c r="W602" s="9" t="str">
        <f>IF(Table1[[#This Row],[Satisfaction Rating]]&lt;2, "Low", IF(Table1[[#This Row],[Satisfaction Rating]]&lt;4, "Medium", "High"))</f>
        <v>High</v>
      </c>
    </row>
    <row r="603" spans="1:23" ht="14" x14ac:dyDescent="0.2">
      <c r="A603" s="10" t="s">
        <v>1237</v>
      </c>
      <c r="B603" s="11">
        <v>45568.288541666669</v>
      </c>
      <c r="C603" s="11">
        <v>45568.288541666669</v>
      </c>
      <c r="D603" s="11" t="str">
        <f>IF(Table1[[#This Row],[Duration of Campaign]]=0, "Ongoing","Completed")</f>
        <v>Ongoing</v>
      </c>
      <c r="E603" s="12">
        <f>Table1[[#This Row],[End Date]]-Table1[[#This Row],[Start Date]]</f>
        <v>0</v>
      </c>
      <c r="F603" s="13">
        <v>5966</v>
      </c>
      <c r="G603" s="14" t="s">
        <v>47</v>
      </c>
      <c r="H603" s="15">
        <v>16872</v>
      </c>
      <c r="I603" s="15">
        <v>902</v>
      </c>
      <c r="J603" s="15">
        <v>436</v>
      </c>
      <c r="K603" s="16">
        <v>14571</v>
      </c>
      <c r="L603" s="17">
        <f t="shared" si="45"/>
        <v>5.3461356092935043E-2</v>
      </c>
      <c r="M603" s="17">
        <f t="shared" si="45"/>
        <v>0.48337028824833705</v>
      </c>
      <c r="N603" s="18">
        <f t="shared" si="46"/>
        <v>2.4423503325942351</v>
      </c>
      <c r="O603" s="18">
        <f t="shared" si="47"/>
        <v>5.0527522935779814</v>
      </c>
      <c r="P603" s="17">
        <f t="shared" si="48"/>
        <v>0.36925913509889374</v>
      </c>
      <c r="Q603" s="17">
        <f t="shared" si="49"/>
        <v>6.6141625056740807</v>
      </c>
      <c r="R603" s="10" t="s">
        <v>1238</v>
      </c>
      <c r="S603" s="14" t="s">
        <v>26</v>
      </c>
      <c r="T603" s="14" t="s">
        <v>55</v>
      </c>
      <c r="U603" s="13">
        <v>2203</v>
      </c>
      <c r="V603" s="15">
        <v>3</v>
      </c>
      <c r="W603" s="9" t="str">
        <f>IF(Table1[[#This Row],[Satisfaction Rating]]&lt;2, "Low", IF(Table1[[#This Row],[Satisfaction Rating]]&lt;4, "Medium", "High"))</f>
        <v>Medium</v>
      </c>
    </row>
    <row r="604" spans="1:23" ht="14" x14ac:dyDescent="0.2">
      <c r="A604" s="10" t="s">
        <v>1239</v>
      </c>
      <c r="B604" s="11">
        <v>45051.349236111113</v>
      </c>
      <c r="C604" s="11">
        <v>45154.566284722219</v>
      </c>
      <c r="D604" s="11" t="str">
        <f>IF(Table1[[#This Row],[Duration of Campaign]]=0, "Ongoing","Completed")</f>
        <v>Completed</v>
      </c>
      <c r="E604" s="12">
        <f>Table1[[#This Row],[End Date]]-Table1[[#This Row],[Start Date]]</f>
        <v>103.21704861110629</v>
      </c>
      <c r="F604" s="13">
        <v>5132</v>
      </c>
      <c r="G604" s="14" t="s">
        <v>47</v>
      </c>
      <c r="H604" s="15">
        <v>15519</v>
      </c>
      <c r="I604" s="15">
        <v>1736</v>
      </c>
      <c r="J604" s="15">
        <v>327</v>
      </c>
      <c r="K604" s="16">
        <v>10331</v>
      </c>
      <c r="L604" s="17">
        <f t="shared" si="45"/>
        <v>0.11186287776274244</v>
      </c>
      <c r="M604" s="17">
        <f t="shared" si="45"/>
        <v>0.18836405529953917</v>
      </c>
      <c r="N604" s="18">
        <f t="shared" si="46"/>
        <v>2.0996543778801842</v>
      </c>
      <c r="O604" s="18">
        <f t="shared" si="47"/>
        <v>11.146788990825687</v>
      </c>
      <c r="P604" s="17">
        <f t="shared" si="48"/>
        <v>0.71024941543257991</v>
      </c>
      <c r="Q604" s="17">
        <f t="shared" si="49"/>
        <v>2.8342935528120714</v>
      </c>
      <c r="R604" s="10" t="s">
        <v>1240</v>
      </c>
      <c r="S604" s="14" t="s">
        <v>26</v>
      </c>
      <c r="T604" s="14" t="s">
        <v>55</v>
      </c>
      <c r="U604" s="13">
        <v>3645</v>
      </c>
      <c r="V604" s="15">
        <v>5</v>
      </c>
      <c r="W604" s="9" t="str">
        <f>IF(Table1[[#This Row],[Satisfaction Rating]]&lt;2, "Low", IF(Table1[[#This Row],[Satisfaction Rating]]&lt;4, "Medium", "High"))</f>
        <v>High</v>
      </c>
    </row>
    <row r="605" spans="1:23" ht="14" x14ac:dyDescent="0.2">
      <c r="A605" s="10" t="s">
        <v>1241</v>
      </c>
      <c r="B605" s="11">
        <v>45091.156331018516</v>
      </c>
      <c r="C605" s="11">
        <v>45091.156331018516</v>
      </c>
      <c r="D605" s="11" t="str">
        <f>IF(Table1[[#This Row],[Duration of Campaign]]=0, "Ongoing","Completed")</f>
        <v>Ongoing</v>
      </c>
      <c r="E605" s="12">
        <f>Table1[[#This Row],[End Date]]-Table1[[#This Row],[Start Date]]</f>
        <v>0</v>
      </c>
      <c r="F605" s="13">
        <v>3046</v>
      </c>
      <c r="G605" s="14" t="s">
        <v>47</v>
      </c>
      <c r="H605" s="15">
        <v>15525</v>
      </c>
      <c r="I605" s="15">
        <v>963</v>
      </c>
      <c r="J605" s="15">
        <v>135</v>
      </c>
      <c r="K605" s="16">
        <v>4311</v>
      </c>
      <c r="L605" s="17">
        <f t="shared" si="45"/>
        <v>6.2028985507246379E-2</v>
      </c>
      <c r="M605" s="17">
        <f t="shared" si="45"/>
        <v>0.14018691588785046</v>
      </c>
      <c r="N605" s="18">
        <f t="shared" si="46"/>
        <v>10.383177570093459</v>
      </c>
      <c r="O605" s="18">
        <f t="shared" si="47"/>
        <v>74.066666666666663</v>
      </c>
      <c r="P605" s="17">
        <f t="shared" si="48"/>
        <v>3.282665791201576</v>
      </c>
      <c r="Q605" s="17">
        <f t="shared" si="49"/>
        <v>0.43114311431143115</v>
      </c>
      <c r="R605" s="10" t="s">
        <v>1242</v>
      </c>
      <c r="S605" s="14" t="s">
        <v>34</v>
      </c>
      <c r="T605" s="14" t="s">
        <v>37</v>
      </c>
      <c r="U605" s="13">
        <v>9999</v>
      </c>
      <c r="V605" s="15">
        <v>1</v>
      </c>
      <c r="W605" s="9" t="str">
        <f>IF(Table1[[#This Row],[Satisfaction Rating]]&lt;2, "Low", IF(Table1[[#This Row],[Satisfaction Rating]]&lt;4, "Medium", "High"))</f>
        <v>Low</v>
      </c>
    </row>
    <row r="606" spans="1:23" ht="14" x14ac:dyDescent="0.2">
      <c r="A606" s="10" t="s">
        <v>1243</v>
      </c>
      <c r="B606" s="11">
        <v>45381.350289351853</v>
      </c>
      <c r="C606" s="11">
        <v>45381.350289351853</v>
      </c>
      <c r="D606" s="11" t="str">
        <f>IF(Table1[[#This Row],[Duration of Campaign]]=0, "Ongoing","Completed")</f>
        <v>Ongoing</v>
      </c>
      <c r="E606" s="12">
        <f>Table1[[#This Row],[End Date]]-Table1[[#This Row],[Start Date]]</f>
        <v>0</v>
      </c>
      <c r="F606" s="13">
        <v>5205</v>
      </c>
      <c r="G606" s="14" t="s">
        <v>24</v>
      </c>
      <c r="H606" s="15">
        <v>10580</v>
      </c>
      <c r="I606" s="15">
        <v>959</v>
      </c>
      <c r="J606" s="15">
        <v>85</v>
      </c>
      <c r="K606" s="16">
        <v>3492</v>
      </c>
      <c r="L606" s="17">
        <f t="shared" si="45"/>
        <v>9.0642722117202271E-2</v>
      </c>
      <c r="M606" s="17">
        <f t="shared" si="45"/>
        <v>8.8633993743482797E-2</v>
      </c>
      <c r="N606" s="18">
        <f t="shared" si="46"/>
        <v>10.759124087591241</v>
      </c>
      <c r="O606" s="18">
        <f t="shared" si="47"/>
        <v>121.38823529411765</v>
      </c>
      <c r="P606" s="17">
        <f t="shared" si="48"/>
        <v>1.9823246878001921</v>
      </c>
      <c r="Q606" s="17">
        <f t="shared" si="49"/>
        <v>0.33843768172126382</v>
      </c>
      <c r="R606" s="10" t="s">
        <v>1244</v>
      </c>
      <c r="S606" s="14" t="s">
        <v>40</v>
      </c>
      <c r="T606" s="14" t="s">
        <v>27</v>
      </c>
      <c r="U606" s="13">
        <v>10318</v>
      </c>
      <c r="V606" s="15">
        <v>2</v>
      </c>
      <c r="W606" s="9" t="str">
        <f>IF(Table1[[#This Row],[Satisfaction Rating]]&lt;2, "Low", IF(Table1[[#This Row],[Satisfaction Rating]]&lt;4, "Medium", "High"))</f>
        <v>Medium</v>
      </c>
    </row>
    <row r="607" spans="1:23" ht="14" x14ac:dyDescent="0.2">
      <c r="A607" s="10" t="s">
        <v>1245</v>
      </c>
      <c r="B607" s="11">
        <v>45142.840740740743</v>
      </c>
      <c r="C607" s="11">
        <v>45575.092905092592</v>
      </c>
      <c r="D607" s="11" t="str">
        <f>IF(Table1[[#This Row],[Duration of Campaign]]=0, "Ongoing","Completed")</f>
        <v>Completed</v>
      </c>
      <c r="E607" s="12">
        <f>Table1[[#This Row],[End Date]]-Table1[[#This Row],[Start Date]]</f>
        <v>432.25216435184848</v>
      </c>
      <c r="F607" s="13">
        <v>8226</v>
      </c>
      <c r="G607" s="14" t="s">
        <v>63</v>
      </c>
      <c r="H607" s="15">
        <v>9634</v>
      </c>
      <c r="I607" s="15">
        <v>804</v>
      </c>
      <c r="J607" s="15">
        <v>194</v>
      </c>
      <c r="K607" s="16">
        <v>7009</v>
      </c>
      <c r="L607" s="17">
        <f t="shared" si="45"/>
        <v>8.3454432219223579E-2</v>
      </c>
      <c r="M607" s="17">
        <f t="shared" si="45"/>
        <v>0.24129353233830847</v>
      </c>
      <c r="N607" s="18">
        <f t="shared" si="46"/>
        <v>8.2226368159203975</v>
      </c>
      <c r="O607" s="18">
        <f t="shared" si="47"/>
        <v>34.077319587628864</v>
      </c>
      <c r="P607" s="17">
        <f t="shared" si="48"/>
        <v>0.80367128616581573</v>
      </c>
      <c r="Q607" s="17">
        <f t="shared" si="49"/>
        <v>1.0602026924822265</v>
      </c>
      <c r="R607" s="10" t="s">
        <v>1246</v>
      </c>
      <c r="S607" s="14" t="s">
        <v>26</v>
      </c>
      <c r="T607" s="14" t="s">
        <v>27</v>
      </c>
      <c r="U607" s="13">
        <v>6611</v>
      </c>
      <c r="V607" s="15">
        <v>3</v>
      </c>
      <c r="W607" s="9" t="str">
        <f>IF(Table1[[#This Row],[Satisfaction Rating]]&lt;2, "Low", IF(Table1[[#This Row],[Satisfaction Rating]]&lt;4, "Medium", "High"))</f>
        <v>Medium</v>
      </c>
    </row>
    <row r="608" spans="1:23" ht="14" x14ac:dyDescent="0.2">
      <c r="A608" s="10" t="s">
        <v>1247</v>
      </c>
      <c r="B608" s="11">
        <v>45320.241203703707</v>
      </c>
      <c r="C608" s="11">
        <v>45320.241203703707</v>
      </c>
      <c r="D608" s="11" t="str">
        <f>IF(Table1[[#This Row],[Duration of Campaign]]=0, "Ongoing","Completed")</f>
        <v>Ongoing</v>
      </c>
      <c r="E608" s="12">
        <f>Table1[[#This Row],[End Date]]-Table1[[#This Row],[Start Date]]</f>
        <v>0</v>
      </c>
      <c r="F608" s="13">
        <v>7622</v>
      </c>
      <c r="G608" s="14" t="s">
        <v>63</v>
      </c>
      <c r="H608" s="15">
        <v>16257</v>
      </c>
      <c r="I608" s="15">
        <v>1727</v>
      </c>
      <c r="J608" s="15">
        <v>292</v>
      </c>
      <c r="K608" s="16">
        <v>10639</v>
      </c>
      <c r="L608" s="17">
        <f t="shared" si="45"/>
        <v>0.10623116196100141</v>
      </c>
      <c r="M608" s="17">
        <f t="shared" si="45"/>
        <v>0.16907932831499711</v>
      </c>
      <c r="N608" s="18">
        <f t="shared" si="46"/>
        <v>9.2576722640416911</v>
      </c>
      <c r="O608" s="18">
        <f t="shared" si="47"/>
        <v>54.753424657534246</v>
      </c>
      <c r="P608" s="17">
        <f t="shared" si="48"/>
        <v>2.097612175282078</v>
      </c>
      <c r="Q608" s="17">
        <f t="shared" si="49"/>
        <v>0.66543657743307483</v>
      </c>
      <c r="R608" s="10" t="s">
        <v>1248</v>
      </c>
      <c r="S608" s="14" t="s">
        <v>26</v>
      </c>
      <c r="T608" s="14" t="s">
        <v>27</v>
      </c>
      <c r="U608" s="13">
        <v>15988</v>
      </c>
      <c r="V608" s="15">
        <v>2</v>
      </c>
      <c r="W608" s="9" t="str">
        <f>IF(Table1[[#This Row],[Satisfaction Rating]]&lt;2, "Low", IF(Table1[[#This Row],[Satisfaction Rating]]&lt;4, "Medium", "High"))</f>
        <v>Medium</v>
      </c>
    </row>
    <row r="609" spans="1:23" ht="14" x14ac:dyDescent="0.2">
      <c r="A609" s="10" t="s">
        <v>1249</v>
      </c>
      <c r="B609" s="11">
        <v>45384.768750000003</v>
      </c>
      <c r="C609" s="11">
        <v>45532.599328703705</v>
      </c>
      <c r="D609" s="11" t="str">
        <f>IF(Table1[[#This Row],[Duration of Campaign]]=0, "Ongoing","Completed")</f>
        <v>Completed</v>
      </c>
      <c r="E609" s="12">
        <f>Table1[[#This Row],[End Date]]-Table1[[#This Row],[Start Date]]</f>
        <v>147.83057870370249</v>
      </c>
      <c r="F609" s="13">
        <v>9749</v>
      </c>
      <c r="G609" s="14" t="s">
        <v>29</v>
      </c>
      <c r="H609" s="15">
        <v>18878</v>
      </c>
      <c r="I609" s="15">
        <v>1062</v>
      </c>
      <c r="J609" s="15">
        <v>457</v>
      </c>
      <c r="K609" s="16">
        <v>8204</v>
      </c>
      <c r="L609" s="17">
        <f t="shared" si="45"/>
        <v>5.6255959317724334E-2</v>
      </c>
      <c r="M609" s="17">
        <f t="shared" si="45"/>
        <v>0.4303201506591337</v>
      </c>
      <c r="N609" s="18">
        <f t="shared" si="46"/>
        <v>18.603578154425612</v>
      </c>
      <c r="O609" s="18">
        <f t="shared" si="47"/>
        <v>43.23194748358862</v>
      </c>
      <c r="P609" s="17">
        <f t="shared" si="48"/>
        <v>2.0265668273669095</v>
      </c>
      <c r="Q609" s="17">
        <f t="shared" si="49"/>
        <v>0.41524522953889759</v>
      </c>
      <c r="R609" s="10" t="s">
        <v>1250</v>
      </c>
      <c r="S609" s="14" t="s">
        <v>26</v>
      </c>
      <c r="T609" s="14" t="s">
        <v>27</v>
      </c>
      <c r="U609" s="13">
        <v>19757</v>
      </c>
      <c r="V609" s="15">
        <v>1</v>
      </c>
      <c r="W609" s="9" t="str">
        <f>IF(Table1[[#This Row],[Satisfaction Rating]]&lt;2, "Low", IF(Table1[[#This Row],[Satisfaction Rating]]&lt;4, "Medium", "High"))</f>
        <v>Low</v>
      </c>
    </row>
    <row r="610" spans="1:23" ht="14" x14ac:dyDescent="0.2">
      <c r="A610" s="10" t="s">
        <v>1251</v>
      </c>
      <c r="B610" s="11">
        <v>45498.312106481484</v>
      </c>
      <c r="C610" s="11">
        <v>45498.312106481484</v>
      </c>
      <c r="D610" s="11" t="str">
        <f>IF(Table1[[#This Row],[Duration of Campaign]]=0, "Ongoing","Completed")</f>
        <v>Ongoing</v>
      </c>
      <c r="E610" s="12">
        <f>Table1[[#This Row],[End Date]]-Table1[[#This Row],[Start Date]]</f>
        <v>0</v>
      </c>
      <c r="F610" s="13">
        <v>2401</v>
      </c>
      <c r="G610" s="14" t="s">
        <v>24</v>
      </c>
      <c r="H610" s="15">
        <v>5137</v>
      </c>
      <c r="I610" s="15">
        <v>940</v>
      </c>
      <c r="J610" s="15">
        <v>71</v>
      </c>
      <c r="K610" s="16">
        <v>879</v>
      </c>
      <c r="L610" s="17">
        <f t="shared" si="45"/>
        <v>0.18298617870352346</v>
      </c>
      <c r="M610" s="17">
        <f t="shared" si="45"/>
        <v>7.5531914893617019E-2</v>
      </c>
      <c r="N610" s="18">
        <f t="shared" si="46"/>
        <v>8.3542553191489368</v>
      </c>
      <c r="O610" s="18">
        <f t="shared" si="47"/>
        <v>110.6056338028169</v>
      </c>
      <c r="P610" s="17">
        <f t="shared" si="48"/>
        <v>3.2707205331112035</v>
      </c>
      <c r="Q610" s="17">
        <f t="shared" si="49"/>
        <v>0.11193174582961925</v>
      </c>
      <c r="R610" s="10" t="s">
        <v>1252</v>
      </c>
      <c r="S610" s="14" t="s">
        <v>34</v>
      </c>
      <c r="T610" s="14" t="s">
        <v>27</v>
      </c>
      <c r="U610" s="13">
        <v>7853</v>
      </c>
      <c r="V610" s="15">
        <v>5</v>
      </c>
      <c r="W610" s="9" t="str">
        <f>IF(Table1[[#This Row],[Satisfaction Rating]]&lt;2, "Low", IF(Table1[[#This Row],[Satisfaction Rating]]&lt;4, "Medium", "High"))</f>
        <v>High</v>
      </c>
    </row>
    <row r="611" spans="1:23" ht="14" x14ac:dyDescent="0.2">
      <c r="A611" s="10" t="s">
        <v>1253</v>
      </c>
      <c r="B611" s="11">
        <v>45655.049189814818</v>
      </c>
      <c r="C611" s="11">
        <v>45655.049189814818</v>
      </c>
      <c r="D611" s="11" t="str">
        <f>IF(Table1[[#This Row],[Duration of Campaign]]=0, "Ongoing","Completed")</f>
        <v>Ongoing</v>
      </c>
      <c r="E611" s="12">
        <f>Table1[[#This Row],[End Date]]-Table1[[#This Row],[Start Date]]</f>
        <v>0</v>
      </c>
      <c r="F611" s="13">
        <v>5487</v>
      </c>
      <c r="G611" s="14" t="s">
        <v>24</v>
      </c>
      <c r="H611" s="15">
        <v>18627</v>
      </c>
      <c r="I611" s="15">
        <v>244</v>
      </c>
      <c r="J611" s="15">
        <v>290</v>
      </c>
      <c r="K611" s="16">
        <v>1622</v>
      </c>
      <c r="L611" s="17">
        <f t="shared" si="45"/>
        <v>1.3099264508509153E-2</v>
      </c>
      <c r="M611" s="17">
        <f t="shared" si="45"/>
        <v>1.1885245901639345</v>
      </c>
      <c r="N611" s="18">
        <f t="shared" si="46"/>
        <v>32.340163934426229</v>
      </c>
      <c r="O611" s="18">
        <f t="shared" si="47"/>
        <v>27.210344827586209</v>
      </c>
      <c r="P611" s="17">
        <f t="shared" si="48"/>
        <v>1.4381264807727356</v>
      </c>
      <c r="Q611" s="17">
        <f t="shared" si="49"/>
        <v>0.20555062729692053</v>
      </c>
      <c r="R611" s="10" t="s">
        <v>1254</v>
      </c>
      <c r="S611" s="14" t="s">
        <v>31</v>
      </c>
      <c r="T611" s="14" t="s">
        <v>37</v>
      </c>
      <c r="U611" s="13">
        <v>7891</v>
      </c>
      <c r="V611" s="15">
        <v>3</v>
      </c>
      <c r="W611" s="9" t="str">
        <f>IF(Table1[[#This Row],[Satisfaction Rating]]&lt;2, "Low", IF(Table1[[#This Row],[Satisfaction Rating]]&lt;4, "Medium", "High"))</f>
        <v>Medium</v>
      </c>
    </row>
    <row r="612" spans="1:23" ht="14" x14ac:dyDescent="0.2">
      <c r="A612" s="10" t="s">
        <v>1255</v>
      </c>
      <c r="B612" s="11">
        <v>45271.266296296293</v>
      </c>
      <c r="C612" s="11">
        <v>45271.266296296293</v>
      </c>
      <c r="D612" s="11" t="str">
        <f>IF(Table1[[#This Row],[Duration of Campaign]]=0, "Ongoing","Completed")</f>
        <v>Ongoing</v>
      </c>
      <c r="E612" s="12">
        <f>Table1[[#This Row],[End Date]]-Table1[[#This Row],[Start Date]]</f>
        <v>0</v>
      </c>
      <c r="F612" s="13">
        <v>5710</v>
      </c>
      <c r="G612" s="14" t="s">
        <v>29</v>
      </c>
      <c r="H612" s="15">
        <v>3098</v>
      </c>
      <c r="I612" s="15">
        <v>1334</v>
      </c>
      <c r="J612" s="15">
        <v>435</v>
      </c>
      <c r="K612" s="16">
        <v>9959</v>
      </c>
      <c r="L612" s="17">
        <f t="shared" si="45"/>
        <v>0.43060038734667527</v>
      </c>
      <c r="M612" s="17">
        <f t="shared" si="45"/>
        <v>0.32608695652173914</v>
      </c>
      <c r="N612" s="18">
        <f t="shared" si="46"/>
        <v>2</v>
      </c>
      <c r="O612" s="18">
        <f t="shared" si="47"/>
        <v>6.1333333333333337</v>
      </c>
      <c r="P612" s="17">
        <f t="shared" si="48"/>
        <v>0.46725043782837128</v>
      </c>
      <c r="Q612" s="17">
        <f t="shared" si="49"/>
        <v>3.7327586206896552</v>
      </c>
      <c r="R612" s="10" t="s">
        <v>1256</v>
      </c>
      <c r="S612" s="14" t="s">
        <v>31</v>
      </c>
      <c r="T612" s="14" t="s">
        <v>27</v>
      </c>
      <c r="U612" s="13">
        <v>2668</v>
      </c>
      <c r="V612" s="15">
        <v>3</v>
      </c>
      <c r="W612" s="9" t="str">
        <f>IF(Table1[[#This Row],[Satisfaction Rating]]&lt;2, "Low", IF(Table1[[#This Row],[Satisfaction Rating]]&lt;4, "Medium", "High"))</f>
        <v>Medium</v>
      </c>
    </row>
    <row r="613" spans="1:23" ht="14" x14ac:dyDescent="0.2">
      <c r="A613" s="10" t="s">
        <v>1257</v>
      </c>
      <c r="B613" s="11">
        <v>45116.077939814815</v>
      </c>
      <c r="C613" s="11">
        <v>45116.077939814815</v>
      </c>
      <c r="D613" s="11" t="str">
        <f>IF(Table1[[#This Row],[Duration of Campaign]]=0, "Ongoing","Completed")</f>
        <v>Ongoing</v>
      </c>
      <c r="E613" s="12">
        <f>Table1[[#This Row],[End Date]]-Table1[[#This Row],[Start Date]]</f>
        <v>0</v>
      </c>
      <c r="F613" s="13">
        <v>4232</v>
      </c>
      <c r="G613" s="14" t="s">
        <v>47</v>
      </c>
      <c r="H613" s="15">
        <v>11975</v>
      </c>
      <c r="I613" s="15">
        <v>490</v>
      </c>
      <c r="J613" s="15">
        <v>11</v>
      </c>
      <c r="K613" s="16">
        <v>10602</v>
      </c>
      <c r="L613" s="17">
        <f t="shared" si="45"/>
        <v>4.091858037578288E-2</v>
      </c>
      <c r="M613" s="17">
        <f t="shared" si="45"/>
        <v>2.2448979591836733E-2</v>
      </c>
      <c r="N613" s="18">
        <f t="shared" si="46"/>
        <v>27.979591836734695</v>
      </c>
      <c r="O613" s="18">
        <f t="shared" si="47"/>
        <v>1246.3636363636363</v>
      </c>
      <c r="P613" s="17">
        <f t="shared" si="48"/>
        <v>3.2396030245746692</v>
      </c>
      <c r="Q613" s="17">
        <f t="shared" si="49"/>
        <v>0.77330415754923409</v>
      </c>
      <c r="R613" s="10" t="s">
        <v>1258</v>
      </c>
      <c r="S613" s="14" t="s">
        <v>34</v>
      </c>
      <c r="T613" s="14" t="s">
        <v>27</v>
      </c>
      <c r="U613" s="13">
        <v>13710</v>
      </c>
      <c r="V613" s="15">
        <v>4</v>
      </c>
      <c r="W613" s="9" t="str">
        <f>IF(Table1[[#This Row],[Satisfaction Rating]]&lt;2, "Low", IF(Table1[[#This Row],[Satisfaction Rating]]&lt;4, "Medium", "High"))</f>
        <v>High</v>
      </c>
    </row>
    <row r="614" spans="1:23" ht="14" x14ac:dyDescent="0.2">
      <c r="A614" s="10" t="s">
        <v>1259</v>
      </c>
      <c r="B614" s="11">
        <v>45608.213541666664</v>
      </c>
      <c r="C614" s="11">
        <v>45612.724340277775</v>
      </c>
      <c r="D614" s="11" t="str">
        <f>IF(Table1[[#This Row],[Duration of Campaign]]=0, "Ongoing","Completed")</f>
        <v>Completed</v>
      </c>
      <c r="E614" s="12">
        <f>Table1[[#This Row],[End Date]]-Table1[[#This Row],[Start Date]]</f>
        <v>4.5107986111106584</v>
      </c>
      <c r="F614" s="13">
        <v>1448</v>
      </c>
      <c r="G614" s="14" t="s">
        <v>29</v>
      </c>
      <c r="H614" s="15">
        <v>16614</v>
      </c>
      <c r="I614" s="15">
        <v>1419</v>
      </c>
      <c r="J614" s="15">
        <v>128</v>
      </c>
      <c r="K614" s="16">
        <v>3042</v>
      </c>
      <c r="L614" s="17">
        <f t="shared" si="45"/>
        <v>8.5409895269050198E-2</v>
      </c>
      <c r="M614" s="17">
        <f t="shared" si="45"/>
        <v>9.020436927413672E-2</v>
      </c>
      <c r="N614" s="18">
        <f t="shared" si="46"/>
        <v>4.3340380549682873</v>
      </c>
      <c r="O614" s="18">
        <f t="shared" si="47"/>
        <v>48.046875</v>
      </c>
      <c r="P614" s="17">
        <f t="shared" si="48"/>
        <v>4.2472375690607738</v>
      </c>
      <c r="Q614" s="17">
        <f t="shared" si="49"/>
        <v>0.49463414634146341</v>
      </c>
      <c r="R614" s="10" t="s">
        <v>1260</v>
      </c>
      <c r="S614" s="14" t="s">
        <v>26</v>
      </c>
      <c r="T614" s="14" t="s">
        <v>27</v>
      </c>
      <c r="U614" s="13">
        <v>6150</v>
      </c>
      <c r="V614" s="15">
        <v>1</v>
      </c>
      <c r="W614" s="9" t="str">
        <f>IF(Table1[[#This Row],[Satisfaction Rating]]&lt;2, "Low", IF(Table1[[#This Row],[Satisfaction Rating]]&lt;4, "Medium", "High"))</f>
        <v>Low</v>
      </c>
    </row>
    <row r="615" spans="1:23" ht="14" x14ac:dyDescent="0.2">
      <c r="A615" s="10" t="s">
        <v>1261</v>
      </c>
      <c r="B615" s="11">
        <v>45207.897013888891</v>
      </c>
      <c r="C615" s="11">
        <v>45521.067962962959</v>
      </c>
      <c r="D615" s="11" t="str">
        <f>IF(Table1[[#This Row],[Duration of Campaign]]=0, "Ongoing","Completed")</f>
        <v>Completed</v>
      </c>
      <c r="E615" s="12">
        <f>Table1[[#This Row],[End Date]]-Table1[[#This Row],[Start Date]]</f>
        <v>313.17094907406863</v>
      </c>
      <c r="F615" s="13">
        <v>4238</v>
      </c>
      <c r="G615" s="14" t="s">
        <v>47</v>
      </c>
      <c r="H615" s="15">
        <v>2581</v>
      </c>
      <c r="I615" s="15">
        <v>151</v>
      </c>
      <c r="J615" s="15">
        <v>255</v>
      </c>
      <c r="K615" s="16">
        <v>3083</v>
      </c>
      <c r="L615" s="17">
        <f t="shared" si="45"/>
        <v>5.8504455637349864E-2</v>
      </c>
      <c r="M615" s="17">
        <f t="shared" si="45"/>
        <v>1.6887417218543046</v>
      </c>
      <c r="N615" s="18">
        <f t="shared" si="46"/>
        <v>23.099337748344372</v>
      </c>
      <c r="O615" s="18">
        <f t="shared" si="47"/>
        <v>13.678431372549019</v>
      </c>
      <c r="P615" s="17">
        <f t="shared" si="48"/>
        <v>0.82302973100519117</v>
      </c>
      <c r="Q615" s="17">
        <f t="shared" si="49"/>
        <v>0.88388761467889909</v>
      </c>
      <c r="R615" s="10" t="s">
        <v>1262</v>
      </c>
      <c r="S615" s="14" t="s">
        <v>34</v>
      </c>
      <c r="T615" s="14" t="s">
        <v>37</v>
      </c>
      <c r="U615" s="13">
        <v>3488</v>
      </c>
      <c r="V615" s="15">
        <v>1</v>
      </c>
      <c r="W615" s="9" t="str">
        <f>IF(Table1[[#This Row],[Satisfaction Rating]]&lt;2, "Low", IF(Table1[[#This Row],[Satisfaction Rating]]&lt;4, "Medium", "High"))</f>
        <v>Low</v>
      </c>
    </row>
    <row r="616" spans="1:23" ht="14" x14ac:dyDescent="0.2">
      <c r="A616" s="10" t="s">
        <v>1263</v>
      </c>
      <c r="B616" s="11">
        <v>45047.436898148146</v>
      </c>
      <c r="C616" s="11">
        <v>45195.252800925926</v>
      </c>
      <c r="D616" s="11" t="str">
        <f>IF(Table1[[#This Row],[Duration of Campaign]]=0, "Ongoing","Completed")</f>
        <v>Completed</v>
      </c>
      <c r="E616" s="12">
        <f>Table1[[#This Row],[End Date]]-Table1[[#This Row],[Start Date]]</f>
        <v>147.81590277778014</v>
      </c>
      <c r="F616" s="13">
        <v>9952</v>
      </c>
      <c r="G616" s="14" t="s">
        <v>29</v>
      </c>
      <c r="H616" s="15">
        <v>10528</v>
      </c>
      <c r="I616" s="15">
        <v>1311</v>
      </c>
      <c r="J616" s="15">
        <v>265</v>
      </c>
      <c r="K616" s="16">
        <v>6504</v>
      </c>
      <c r="L616" s="17">
        <f t="shared" si="45"/>
        <v>0.12452507598784195</v>
      </c>
      <c r="M616" s="17">
        <f t="shared" si="45"/>
        <v>0.20213577421815407</v>
      </c>
      <c r="N616" s="18">
        <f t="shared" si="46"/>
        <v>2.1838291380625479</v>
      </c>
      <c r="O616" s="18">
        <f t="shared" si="47"/>
        <v>10.80377358490566</v>
      </c>
      <c r="P616" s="17">
        <f t="shared" si="48"/>
        <v>0.28768086816720256</v>
      </c>
      <c r="Q616" s="17">
        <f t="shared" si="49"/>
        <v>2.2717429269996505</v>
      </c>
      <c r="R616" s="10" t="s">
        <v>1264</v>
      </c>
      <c r="S616" s="14" t="s">
        <v>31</v>
      </c>
      <c r="T616" s="14" t="s">
        <v>37</v>
      </c>
      <c r="U616" s="13">
        <v>2863</v>
      </c>
      <c r="V616" s="15">
        <v>5</v>
      </c>
      <c r="W616" s="9" t="str">
        <f>IF(Table1[[#This Row],[Satisfaction Rating]]&lt;2, "Low", IF(Table1[[#This Row],[Satisfaction Rating]]&lt;4, "Medium", "High"))</f>
        <v>High</v>
      </c>
    </row>
    <row r="617" spans="1:23" ht="14" x14ac:dyDescent="0.2">
      <c r="A617" s="10" t="s">
        <v>1265</v>
      </c>
      <c r="B617" s="11">
        <v>45386.213819444441</v>
      </c>
      <c r="C617" s="11">
        <v>45599.071435185186</v>
      </c>
      <c r="D617" s="11" t="str">
        <f>IF(Table1[[#This Row],[Duration of Campaign]]=0, "Ongoing","Completed")</f>
        <v>Completed</v>
      </c>
      <c r="E617" s="12">
        <f>Table1[[#This Row],[End Date]]-Table1[[#This Row],[Start Date]]</f>
        <v>212.85761574074422</v>
      </c>
      <c r="F617" s="13">
        <v>1118</v>
      </c>
      <c r="G617" s="14" t="s">
        <v>24</v>
      </c>
      <c r="H617" s="15">
        <v>7452</v>
      </c>
      <c r="I617" s="15">
        <v>734</v>
      </c>
      <c r="J617" s="15">
        <v>268</v>
      </c>
      <c r="K617" s="16">
        <v>8431</v>
      </c>
      <c r="L617" s="17">
        <f t="shared" si="45"/>
        <v>9.8497047772410085E-2</v>
      </c>
      <c r="M617" s="17">
        <f t="shared" si="45"/>
        <v>0.36512261580381472</v>
      </c>
      <c r="N617" s="18">
        <f t="shared" si="46"/>
        <v>13.987738419618529</v>
      </c>
      <c r="O617" s="18">
        <f t="shared" si="47"/>
        <v>38.309701492537314</v>
      </c>
      <c r="P617" s="17">
        <f t="shared" si="48"/>
        <v>9.1833631484794278</v>
      </c>
      <c r="Q617" s="17">
        <f t="shared" si="49"/>
        <v>0.82117463718710426</v>
      </c>
      <c r="R617" s="10" t="s">
        <v>1266</v>
      </c>
      <c r="S617" s="14" t="s">
        <v>34</v>
      </c>
      <c r="T617" s="14" t="s">
        <v>27</v>
      </c>
      <c r="U617" s="13">
        <v>10267</v>
      </c>
      <c r="V617" s="15">
        <v>4</v>
      </c>
      <c r="W617" s="9" t="str">
        <f>IF(Table1[[#This Row],[Satisfaction Rating]]&lt;2, "Low", IF(Table1[[#This Row],[Satisfaction Rating]]&lt;4, "Medium", "High"))</f>
        <v>High</v>
      </c>
    </row>
    <row r="618" spans="1:23" ht="14" x14ac:dyDescent="0.2">
      <c r="A618" s="10" t="s">
        <v>1267</v>
      </c>
      <c r="B618" s="11">
        <v>45073.340879629628</v>
      </c>
      <c r="C618" s="11">
        <v>45585.565358796295</v>
      </c>
      <c r="D618" s="11" t="str">
        <f>IF(Table1[[#This Row],[Duration of Campaign]]=0, "Ongoing","Completed")</f>
        <v>Completed</v>
      </c>
      <c r="E618" s="12">
        <f>Table1[[#This Row],[End Date]]-Table1[[#This Row],[Start Date]]</f>
        <v>512.22447916666715</v>
      </c>
      <c r="F618" s="13">
        <v>1737</v>
      </c>
      <c r="G618" s="14" t="s">
        <v>24</v>
      </c>
      <c r="H618" s="15">
        <v>16818</v>
      </c>
      <c r="I618" s="15">
        <v>1597</v>
      </c>
      <c r="J618" s="15">
        <v>13</v>
      </c>
      <c r="K618" s="16">
        <v>10555</v>
      </c>
      <c r="L618" s="17">
        <f t="shared" si="45"/>
        <v>9.495778332738733E-2</v>
      </c>
      <c r="M618" s="17">
        <f t="shared" si="45"/>
        <v>8.1402629931120844E-3</v>
      </c>
      <c r="N618" s="18">
        <f t="shared" si="46"/>
        <v>3.6687539135879774</v>
      </c>
      <c r="O618" s="18">
        <f t="shared" si="47"/>
        <v>450.69230769230768</v>
      </c>
      <c r="P618" s="17">
        <f t="shared" si="48"/>
        <v>3.3730569948186528</v>
      </c>
      <c r="Q618" s="17">
        <f t="shared" si="49"/>
        <v>1.8015019627922855</v>
      </c>
      <c r="R618" s="10" t="s">
        <v>1268</v>
      </c>
      <c r="S618" s="14" t="s">
        <v>26</v>
      </c>
      <c r="T618" s="14" t="s">
        <v>27</v>
      </c>
      <c r="U618" s="13">
        <v>5859</v>
      </c>
      <c r="V618" s="15">
        <v>3</v>
      </c>
      <c r="W618" s="9" t="str">
        <f>IF(Table1[[#This Row],[Satisfaction Rating]]&lt;2, "Low", IF(Table1[[#This Row],[Satisfaction Rating]]&lt;4, "Medium", "High"))</f>
        <v>Medium</v>
      </c>
    </row>
    <row r="619" spans="1:23" ht="14" x14ac:dyDescent="0.2">
      <c r="A619" s="10" t="s">
        <v>1269</v>
      </c>
      <c r="B619" s="11">
        <v>45285.204664351855</v>
      </c>
      <c r="C619" s="11">
        <v>45285.204664351855</v>
      </c>
      <c r="D619" s="11" t="str">
        <f>IF(Table1[[#This Row],[Duration of Campaign]]=0, "Ongoing","Completed")</f>
        <v>Ongoing</v>
      </c>
      <c r="E619" s="12">
        <f>Table1[[#This Row],[End Date]]-Table1[[#This Row],[Start Date]]</f>
        <v>0</v>
      </c>
      <c r="F619" s="13">
        <v>4514</v>
      </c>
      <c r="G619" s="14" t="s">
        <v>63</v>
      </c>
      <c r="H619" s="15">
        <v>1374</v>
      </c>
      <c r="I619" s="15">
        <v>572</v>
      </c>
      <c r="J619" s="15">
        <v>50</v>
      </c>
      <c r="K619" s="16">
        <v>12101</v>
      </c>
      <c r="L619" s="17">
        <f t="shared" si="45"/>
        <v>0.41630276564774382</v>
      </c>
      <c r="M619" s="17">
        <f t="shared" si="45"/>
        <v>8.7412587412587409E-2</v>
      </c>
      <c r="N619" s="18">
        <f t="shared" si="46"/>
        <v>10.947552447552448</v>
      </c>
      <c r="O619" s="18">
        <f t="shared" si="47"/>
        <v>125.24</v>
      </c>
      <c r="P619" s="17">
        <f t="shared" si="48"/>
        <v>1.3872396987151085</v>
      </c>
      <c r="Q619" s="17">
        <f t="shared" si="49"/>
        <v>1.9324496965825615</v>
      </c>
      <c r="R619" s="10" t="s">
        <v>1270</v>
      </c>
      <c r="S619" s="14" t="s">
        <v>31</v>
      </c>
      <c r="T619" s="14" t="s">
        <v>55</v>
      </c>
      <c r="U619" s="13">
        <v>6262</v>
      </c>
      <c r="V619" s="15">
        <v>3</v>
      </c>
      <c r="W619" s="9" t="str">
        <f>IF(Table1[[#This Row],[Satisfaction Rating]]&lt;2, "Low", IF(Table1[[#This Row],[Satisfaction Rating]]&lt;4, "Medium", "High"))</f>
        <v>Medium</v>
      </c>
    </row>
    <row r="620" spans="1:23" ht="14" x14ac:dyDescent="0.2">
      <c r="A620" s="10" t="s">
        <v>1271</v>
      </c>
      <c r="B620" s="11">
        <v>45151.059490740743</v>
      </c>
      <c r="C620" s="11">
        <v>45421.367361111108</v>
      </c>
      <c r="D620" s="11" t="str">
        <f>IF(Table1[[#This Row],[Duration of Campaign]]=0, "Ongoing","Completed")</f>
        <v>Completed</v>
      </c>
      <c r="E620" s="12">
        <f>Table1[[#This Row],[End Date]]-Table1[[#This Row],[Start Date]]</f>
        <v>270.30787037036498</v>
      </c>
      <c r="F620" s="13">
        <v>3316</v>
      </c>
      <c r="G620" s="14" t="s">
        <v>47</v>
      </c>
      <c r="H620" s="15">
        <v>14031</v>
      </c>
      <c r="I620" s="15">
        <v>826</v>
      </c>
      <c r="J620" s="15">
        <v>84</v>
      </c>
      <c r="K620" s="16">
        <v>10293</v>
      </c>
      <c r="L620" s="17">
        <f t="shared" si="45"/>
        <v>5.8869645784334686E-2</v>
      </c>
      <c r="M620" s="17">
        <f t="shared" si="45"/>
        <v>0.10169491525423729</v>
      </c>
      <c r="N620" s="18">
        <f t="shared" si="46"/>
        <v>4.8656174334140436</v>
      </c>
      <c r="O620" s="18">
        <f t="shared" si="47"/>
        <v>47.845238095238095</v>
      </c>
      <c r="P620" s="17">
        <f t="shared" si="48"/>
        <v>1.2120024125452353</v>
      </c>
      <c r="Q620" s="17">
        <f t="shared" si="49"/>
        <v>2.5610848469768599</v>
      </c>
      <c r="R620" s="10" t="s">
        <v>1272</v>
      </c>
      <c r="S620" s="14" t="s">
        <v>34</v>
      </c>
      <c r="T620" s="14" t="s">
        <v>55</v>
      </c>
      <c r="U620" s="13">
        <v>4019</v>
      </c>
      <c r="V620" s="15">
        <v>1</v>
      </c>
      <c r="W620" s="9" t="str">
        <f>IF(Table1[[#This Row],[Satisfaction Rating]]&lt;2, "Low", IF(Table1[[#This Row],[Satisfaction Rating]]&lt;4, "Medium", "High"))</f>
        <v>Low</v>
      </c>
    </row>
    <row r="621" spans="1:23" ht="14" x14ac:dyDescent="0.2">
      <c r="A621" s="10" t="s">
        <v>1273</v>
      </c>
      <c r="B621" s="11">
        <v>45647.351585648146</v>
      </c>
      <c r="C621" s="11">
        <v>45647.351585648146</v>
      </c>
      <c r="D621" s="11" t="str">
        <f>IF(Table1[[#This Row],[Duration of Campaign]]=0, "Ongoing","Completed")</f>
        <v>Ongoing</v>
      </c>
      <c r="E621" s="12">
        <f>Table1[[#This Row],[End Date]]-Table1[[#This Row],[Start Date]]</f>
        <v>0</v>
      </c>
      <c r="F621" s="13">
        <v>3863</v>
      </c>
      <c r="G621" s="14" t="s">
        <v>24</v>
      </c>
      <c r="H621" s="15">
        <v>12284</v>
      </c>
      <c r="I621" s="15">
        <v>1697</v>
      </c>
      <c r="J621" s="15">
        <v>176</v>
      </c>
      <c r="K621" s="16">
        <v>1949</v>
      </c>
      <c r="L621" s="17">
        <f t="shared" si="45"/>
        <v>0.13814718332790621</v>
      </c>
      <c r="M621" s="17">
        <f t="shared" si="45"/>
        <v>0.10371243370654096</v>
      </c>
      <c r="N621" s="18">
        <f t="shared" si="46"/>
        <v>3.375957572186211</v>
      </c>
      <c r="O621" s="18">
        <f t="shared" si="47"/>
        <v>32.551136363636367</v>
      </c>
      <c r="P621" s="17">
        <f t="shared" si="48"/>
        <v>1.4830442661144188</v>
      </c>
      <c r="Q621" s="17">
        <f t="shared" si="49"/>
        <v>0.3401989876069122</v>
      </c>
      <c r="R621" s="10" t="s">
        <v>1274</v>
      </c>
      <c r="S621" s="14" t="s">
        <v>45</v>
      </c>
      <c r="T621" s="14" t="s">
        <v>27</v>
      </c>
      <c r="U621" s="13">
        <v>5729</v>
      </c>
      <c r="V621" s="15">
        <v>2</v>
      </c>
      <c r="W621" s="9" t="str">
        <f>IF(Table1[[#This Row],[Satisfaction Rating]]&lt;2, "Low", IF(Table1[[#This Row],[Satisfaction Rating]]&lt;4, "Medium", "High"))</f>
        <v>Medium</v>
      </c>
    </row>
    <row r="622" spans="1:23" ht="14" x14ac:dyDescent="0.2">
      <c r="A622" s="10" t="s">
        <v>1275</v>
      </c>
      <c r="B622" s="11">
        <v>45377.399178240739</v>
      </c>
      <c r="C622" s="11">
        <v>45451.376076388886</v>
      </c>
      <c r="D622" s="11" t="str">
        <f>IF(Table1[[#This Row],[Duration of Campaign]]=0, "Ongoing","Completed")</f>
        <v>Completed</v>
      </c>
      <c r="E622" s="12">
        <f>Table1[[#This Row],[End Date]]-Table1[[#This Row],[Start Date]]</f>
        <v>73.976898148146574</v>
      </c>
      <c r="F622" s="13">
        <v>8223</v>
      </c>
      <c r="G622" s="14" t="s">
        <v>29</v>
      </c>
      <c r="H622" s="15">
        <v>8536</v>
      </c>
      <c r="I622" s="15">
        <v>707</v>
      </c>
      <c r="J622" s="15">
        <v>280</v>
      </c>
      <c r="K622" s="16">
        <v>6483</v>
      </c>
      <c r="L622" s="17">
        <f t="shared" si="45"/>
        <v>8.2825679475164005E-2</v>
      </c>
      <c r="M622" s="17">
        <f t="shared" si="45"/>
        <v>0.39603960396039606</v>
      </c>
      <c r="N622" s="18">
        <f t="shared" si="46"/>
        <v>6.4879773691654883</v>
      </c>
      <c r="O622" s="18">
        <f t="shared" si="47"/>
        <v>16.382142857142856</v>
      </c>
      <c r="P622" s="17">
        <f t="shared" si="48"/>
        <v>0.55782561109084272</v>
      </c>
      <c r="Q622" s="17">
        <f t="shared" si="49"/>
        <v>1.4133420536298233</v>
      </c>
      <c r="R622" s="10" t="s">
        <v>1276</v>
      </c>
      <c r="S622" s="14" t="s">
        <v>26</v>
      </c>
      <c r="T622" s="14" t="s">
        <v>55</v>
      </c>
      <c r="U622" s="13">
        <v>4587</v>
      </c>
      <c r="V622" s="15">
        <v>1</v>
      </c>
      <c r="W622" s="9" t="str">
        <f>IF(Table1[[#This Row],[Satisfaction Rating]]&lt;2, "Low", IF(Table1[[#This Row],[Satisfaction Rating]]&lt;4, "Medium", "High"))</f>
        <v>Low</v>
      </c>
    </row>
    <row r="623" spans="1:23" ht="14" x14ac:dyDescent="0.2">
      <c r="A623" s="10" t="s">
        <v>1277</v>
      </c>
      <c r="B623" s="11">
        <v>45587.52753472222</v>
      </c>
      <c r="C623" s="11">
        <v>45587.52753472222</v>
      </c>
      <c r="D623" s="11" t="str">
        <f>IF(Table1[[#This Row],[Duration of Campaign]]=0, "Ongoing","Completed")</f>
        <v>Ongoing</v>
      </c>
      <c r="E623" s="12">
        <f>Table1[[#This Row],[End Date]]-Table1[[#This Row],[Start Date]]</f>
        <v>0</v>
      </c>
      <c r="F623" s="13">
        <v>3455</v>
      </c>
      <c r="G623" s="14" t="s">
        <v>29</v>
      </c>
      <c r="H623" s="15">
        <v>6994</v>
      </c>
      <c r="I623" s="15">
        <v>861</v>
      </c>
      <c r="J623" s="15">
        <v>416</v>
      </c>
      <c r="K623" s="16">
        <v>7617</v>
      </c>
      <c r="L623" s="17">
        <f t="shared" si="45"/>
        <v>0.12310551901629968</v>
      </c>
      <c r="M623" s="17">
        <f t="shared" si="45"/>
        <v>0.4831591173054588</v>
      </c>
      <c r="N623" s="18">
        <f t="shared" si="46"/>
        <v>7.2973286875725902</v>
      </c>
      <c r="O623" s="18">
        <f t="shared" si="47"/>
        <v>15.103365384615385</v>
      </c>
      <c r="P623" s="17">
        <f t="shared" si="48"/>
        <v>1.8185238784370477</v>
      </c>
      <c r="Q623" s="17">
        <f t="shared" si="49"/>
        <v>1.2123189559127805</v>
      </c>
      <c r="R623" s="10" t="s">
        <v>1278</v>
      </c>
      <c r="S623" s="14" t="s">
        <v>40</v>
      </c>
      <c r="T623" s="14" t="s">
        <v>55</v>
      </c>
      <c r="U623" s="13">
        <v>6283</v>
      </c>
      <c r="V623" s="15">
        <v>5</v>
      </c>
      <c r="W623" s="9" t="str">
        <f>IF(Table1[[#This Row],[Satisfaction Rating]]&lt;2, "Low", IF(Table1[[#This Row],[Satisfaction Rating]]&lt;4, "Medium", "High"))</f>
        <v>High</v>
      </c>
    </row>
    <row r="624" spans="1:23" ht="14" x14ac:dyDescent="0.2">
      <c r="A624" s="10" t="s">
        <v>1279</v>
      </c>
      <c r="B624" s="11">
        <v>45042.804930555554</v>
      </c>
      <c r="C624" s="11">
        <v>45576.47996527778</v>
      </c>
      <c r="D624" s="11" t="str">
        <f>IF(Table1[[#This Row],[Duration of Campaign]]=0, "Ongoing","Completed")</f>
        <v>Completed</v>
      </c>
      <c r="E624" s="12">
        <f>Table1[[#This Row],[End Date]]-Table1[[#This Row],[Start Date]]</f>
        <v>533.67503472222597</v>
      </c>
      <c r="F624" s="13">
        <v>7372</v>
      </c>
      <c r="G624" s="14" t="s">
        <v>24</v>
      </c>
      <c r="H624" s="15">
        <v>18710</v>
      </c>
      <c r="I624" s="15">
        <v>1879</v>
      </c>
      <c r="J624" s="15">
        <v>258</v>
      </c>
      <c r="K624" s="16">
        <v>11581</v>
      </c>
      <c r="L624" s="17">
        <f t="shared" si="45"/>
        <v>0.10042757883484768</v>
      </c>
      <c r="M624" s="17">
        <f t="shared" si="45"/>
        <v>0.1373070782331027</v>
      </c>
      <c r="N624" s="18">
        <f t="shared" si="46"/>
        <v>2.0324640766365087</v>
      </c>
      <c r="O624" s="18">
        <f t="shared" si="47"/>
        <v>14.802325581395349</v>
      </c>
      <c r="P624" s="17">
        <f t="shared" si="48"/>
        <v>0.51804123711340211</v>
      </c>
      <c r="Q624" s="17">
        <f t="shared" si="49"/>
        <v>3.032469232783451</v>
      </c>
      <c r="R624" s="10" t="s">
        <v>1280</v>
      </c>
      <c r="S624" s="14" t="s">
        <v>45</v>
      </c>
      <c r="T624" s="14" t="s">
        <v>55</v>
      </c>
      <c r="U624" s="13">
        <v>3819</v>
      </c>
      <c r="V624" s="15">
        <v>3</v>
      </c>
      <c r="W624" s="9" t="str">
        <f>IF(Table1[[#This Row],[Satisfaction Rating]]&lt;2, "Low", IF(Table1[[#This Row],[Satisfaction Rating]]&lt;4, "Medium", "High"))</f>
        <v>Medium</v>
      </c>
    </row>
    <row r="625" spans="1:23" ht="14" x14ac:dyDescent="0.2">
      <c r="A625" s="10" t="s">
        <v>1281</v>
      </c>
      <c r="B625" s="11">
        <v>45542.647129629629</v>
      </c>
      <c r="C625" s="11">
        <v>45542.647129629629</v>
      </c>
      <c r="D625" s="11" t="str">
        <f>IF(Table1[[#This Row],[Duration of Campaign]]=0, "Ongoing","Completed")</f>
        <v>Ongoing</v>
      </c>
      <c r="E625" s="12">
        <f>Table1[[#This Row],[End Date]]-Table1[[#This Row],[Start Date]]</f>
        <v>0</v>
      </c>
      <c r="F625" s="13">
        <v>8750</v>
      </c>
      <c r="G625" s="14" t="s">
        <v>47</v>
      </c>
      <c r="H625" s="15">
        <v>9198</v>
      </c>
      <c r="I625" s="15">
        <v>1554</v>
      </c>
      <c r="J625" s="15">
        <v>292</v>
      </c>
      <c r="K625" s="16">
        <v>9370</v>
      </c>
      <c r="L625" s="17">
        <f t="shared" si="45"/>
        <v>0.16894977168949771</v>
      </c>
      <c r="M625" s="17">
        <f t="shared" si="45"/>
        <v>0.18790218790218791</v>
      </c>
      <c r="N625" s="18">
        <f t="shared" si="46"/>
        <v>7.2290862290862288</v>
      </c>
      <c r="O625" s="18">
        <f t="shared" si="47"/>
        <v>38.472602739726028</v>
      </c>
      <c r="P625" s="17">
        <f t="shared" si="48"/>
        <v>1.2838857142857143</v>
      </c>
      <c r="Q625" s="17">
        <f t="shared" si="49"/>
        <v>0.83407512907245862</v>
      </c>
      <c r="R625" s="10" t="s">
        <v>1282</v>
      </c>
      <c r="S625" s="14" t="s">
        <v>34</v>
      </c>
      <c r="T625" s="14" t="s">
        <v>37</v>
      </c>
      <c r="U625" s="13">
        <v>11234</v>
      </c>
      <c r="V625" s="15">
        <v>3</v>
      </c>
      <c r="W625" s="9" t="str">
        <f>IF(Table1[[#This Row],[Satisfaction Rating]]&lt;2, "Low", IF(Table1[[#This Row],[Satisfaction Rating]]&lt;4, "Medium", "High"))</f>
        <v>Medium</v>
      </c>
    </row>
    <row r="626" spans="1:23" ht="14" x14ac:dyDescent="0.2">
      <c r="A626" s="10" t="s">
        <v>1283</v>
      </c>
      <c r="B626" s="11">
        <v>45233.066678240742</v>
      </c>
      <c r="C626" s="11">
        <v>45440.187430555554</v>
      </c>
      <c r="D626" s="11" t="str">
        <f>IF(Table1[[#This Row],[Duration of Campaign]]=0, "Ongoing","Completed")</f>
        <v>Completed</v>
      </c>
      <c r="E626" s="12">
        <f>Table1[[#This Row],[End Date]]-Table1[[#This Row],[Start Date]]</f>
        <v>207.1207523148114</v>
      </c>
      <c r="F626" s="13">
        <v>7464</v>
      </c>
      <c r="G626" s="14" t="s">
        <v>24</v>
      </c>
      <c r="H626" s="15">
        <v>6649</v>
      </c>
      <c r="I626" s="15">
        <v>819</v>
      </c>
      <c r="J626" s="15">
        <v>467</v>
      </c>
      <c r="K626" s="16">
        <v>1788</v>
      </c>
      <c r="L626" s="17">
        <f t="shared" si="45"/>
        <v>0.12317641750639194</v>
      </c>
      <c r="M626" s="17">
        <f t="shared" si="45"/>
        <v>0.57020757020757018</v>
      </c>
      <c r="N626" s="18">
        <f t="shared" si="46"/>
        <v>1.2857142857142858</v>
      </c>
      <c r="O626" s="18">
        <f t="shared" si="47"/>
        <v>2.2548179871520344</v>
      </c>
      <c r="P626" s="17">
        <f t="shared" si="48"/>
        <v>0.14107717041800644</v>
      </c>
      <c r="Q626" s="17">
        <f t="shared" si="49"/>
        <v>1.6980056980056981</v>
      </c>
      <c r="R626" s="10" t="s">
        <v>1284</v>
      </c>
      <c r="S626" s="14" t="s">
        <v>26</v>
      </c>
      <c r="T626" s="14" t="s">
        <v>37</v>
      </c>
      <c r="U626" s="13">
        <v>1053</v>
      </c>
      <c r="V626" s="15">
        <v>1</v>
      </c>
      <c r="W626" s="9" t="str">
        <f>IF(Table1[[#This Row],[Satisfaction Rating]]&lt;2, "Low", IF(Table1[[#This Row],[Satisfaction Rating]]&lt;4, "Medium", "High"))</f>
        <v>Low</v>
      </c>
    </row>
    <row r="627" spans="1:23" ht="14" x14ac:dyDescent="0.2">
      <c r="A627" s="10" t="s">
        <v>1285</v>
      </c>
      <c r="B627" s="11">
        <v>45419.99490740741</v>
      </c>
      <c r="C627" s="11">
        <v>45624.574270833335</v>
      </c>
      <c r="D627" s="11" t="str">
        <f>IF(Table1[[#This Row],[Duration of Campaign]]=0, "Ongoing","Completed")</f>
        <v>Completed</v>
      </c>
      <c r="E627" s="12">
        <f>Table1[[#This Row],[End Date]]-Table1[[#This Row],[Start Date]]</f>
        <v>204.57936342592438</v>
      </c>
      <c r="F627" s="13">
        <v>7154</v>
      </c>
      <c r="G627" s="14" t="s">
        <v>47</v>
      </c>
      <c r="H627" s="15">
        <v>11541</v>
      </c>
      <c r="I627" s="15">
        <v>199</v>
      </c>
      <c r="J627" s="15">
        <v>243</v>
      </c>
      <c r="K627" s="16">
        <v>14648</v>
      </c>
      <c r="L627" s="17">
        <f t="shared" si="45"/>
        <v>1.7242873234555065E-2</v>
      </c>
      <c r="M627" s="17">
        <f t="shared" si="45"/>
        <v>1.221105527638191</v>
      </c>
      <c r="N627" s="18">
        <f t="shared" si="46"/>
        <v>77.326633165829151</v>
      </c>
      <c r="O627" s="18">
        <f t="shared" si="47"/>
        <v>63.325102880658434</v>
      </c>
      <c r="P627" s="17">
        <f t="shared" si="48"/>
        <v>2.1509644953871958</v>
      </c>
      <c r="Q627" s="17">
        <f t="shared" si="49"/>
        <v>0.95191057967247206</v>
      </c>
      <c r="R627" s="10" t="s">
        <v>1286</v>
      </c>
      <c r="S627" s="14" t="s">
        <v>34</v>
      </c>
      <c r="T627" s="14" t="s">
        <v>27</v>
      </c>
      <c r="U627" s="13">
        <v>15388</v>
      </c>
      <c r="V627" s="15">
        <v>2</v>
      </c>
      <c r="W627" s="9" t="str">
        <f>IF(Table1[[#This Row],[Satisfaction Rating]]&lt;2, "Low", IF(Table1[[#This Row],[Satisfaction Rating]]&lt;4, "Medium", "High"))</f>
        <v>Medium</v>
      </c>
    </row>
    <row r="628" spans="1:23" ht="14" x14ac:dyDescent="0.2">
      <c r="A628" s="10" t="s">
        <v>1287</v>
      </c>
      <c r="B628" s="11">
        <v>45351.488402777781</v>
      </c>
      <c r="C628" s="11">
        <v>45587.856319444443</v>
      </c>
      <c r="D628" s="11" t="str">
        <f>IF(Table1[[#This Row],[Duration of Campaign]]=0, "Ongoing","Completed")</f>
        <v>Completed</v>
      </c>
      <c r="E628" s="12">
        <f>Table1[[#This Row],[End Date]]-Table1[[#This Row],[Start Date]]</f>
        <v>236.3679166666625</v>
      </c>
      <c r="F628" s="13">
        <v>7409</v>
      </c>
      <c r="G628" s="14" t="s">
        <v>29</v>
      </c>
      <c r="H628" s="15">
        <v>1632</v>
      </c>
      <c r="I628" s="15">
        <v>1084</v>
      </c>
      <c r="J628" s="15">
        <v>18</v>
      </c>
      <c r="K628" s="16">
        <v>5816</v>
      </c>
      <c r="L628" s="17">
        <f t="shared" si="45"/>
        <v>0.66421568627450978</v>
      </c>
      <c r="M628" s="17">
        <f t="shared" si="45"/>
        <v>1.6605166051660517E-2</v>
      </c>
      <c r="N628" s="18">
        <f t="shared" si="46"/>
        <v>2.3800738007380073</v>
      </c>
      <c r="O628" s="18">
        <f t="shared" si="47"/>
        <v>143.33333333333334</v>
      </c>
      <c r="P628" s="17">
        <f t="shared" si="48"/>
        <v>0.34822513159670671</v>
      </c>
      <c r="Q628" s="17">
        <f t="shared" si="49"/>
        <v>2.2542635658914727</v>
      </c>
      <c r="R628" s="10" t="s">
        <v>1288</v>
      </c>
      <c r="S628" s="14" t="s">
        <v>40</v>
      </c>
      <c r="T628" s="14" t="s">
        <v>55</v>
      </c>
      <c r="U628" s="13">
        <v>2580</v>
      </c>
      <c r="V628" s="15">
        <v>3</v>
      </c>
      <c r="W628" s="9" t="str">
        <f>IF(Table1[[#This Row],[Satisfaction Rating]]&lt;2, "Low", IF(Table1[[#This Row],[Satisfaction Rating]]&lt;4, "Medium", "High"))</f>
        <v>Medium</v>
      </c>
    </row>
    <row r="629" spans="1:23" ht="14" x14ac:dyDescent="0.2">
      <c r="A629" s="10" t="s">
        <v>1289</v>
      </c>
      <c r="B629" s="11">
        <v>45588.499178240738</v>
      </c>
      <c r="C629" s="11">
        <v>45615.804965277777</v>
      </c>
      <c r="D629" s="11" t="str">
        <f>IF(Table1[[#This Row],[Duration of Campaign]]=0, "Ongoing","Completed")</f>
        <v>Completed</v>
      </c>
      <c r="E629" s="12">
        <f>Table1[[#This Row],[End Date]]-Table1[[#This Row],[Start Date]]</f>
        <v>27.305787037039408</v>
      </c>
      <c r="F629" s="13">
        <v>6631</v>
      </c>
      <c r="G629" s="14" t="s">
        <v>63</v>
      </c>
      <c r="H629" s="15">
        <v>11985</v>
      </c>
      <c r="I629" s="15">
        <v>1716</v>
      </c>
      <c r="J629" s="15">
        <v>211</v>
      </c>
      <c r="K629" s="16">
        <v>7694</v>
      </c>
      <c r="L629" s="17">
        <f t="shared" si="45"/>
        <v>0.14317897371714644</v>
      </c>
      <c r="M629" s="17">
        <f t="shared" si="45"/>
        <v>0.12296037296037296</v>
      </c>
      <c r="N629" s="18">
        <f t="shared" si="46"/>
        <v>3.5979020979020979</v>
      </c>
      <c r="O629" s="18">
        <f t="shared" si="47"/>
        <v>29.260663507109005</v>
      </c>
      <c r="P629" s="17">
        <f t="shared" si="48"/>
        <v>0.93108128487407626</v>
      </c>
      <c r="Q629" s="17">
        <f t="shared" si="49"/>
        <v>1.2461937155814706</v>
      </c>
      <c r="R629" s="10" t="s">
        <v>1290</v>
      </c>
      <c r="S629" s="14" t="s">
        <v>34</v>
      </c>
      <c r="T629" s="14" t="s">
        <v>27</v>
      </c>
      <c r="U629" s="13">
        <v>6174</v>
      </c>
      <c r="V629" s="15">
        <v>5</v>
      </c>
      <c r="W629" s="9" t="str">
        <f>IF(Table1[[#This Row],[Satisfaction Rating]]&lt;2, "Low", IF(Table1[[#This Row],[Satisfaction Rating]]&lt;4, "Medium", "High"))</f>
        <v>High</v>
      </c>
    </row>
    <row r="630" spans="1:23" ht="14" x14ac:dyDescent="0.2">
      <c r="A630" s="10" t="s">
        <v>1291</v>
      </c>
      <c r="B630" s="11">
        <v>45210.663368055553</v>
      </c>
      <c r="C630" s="11">
        <v>45210.663368055553</v>
      </c>
      <c r="D630" s="11" t="str">
        <f>IF(Table1[[#This Row],[Duration of Campaign]]=0, "Ongoing","Completed")</f>
        <v>Ongoing</v>
      </c>
      <c r="E630" s="12">
        <f>Table1[[#This Row],[End Date]]-Table1[[#This Row],[Start Date]]</f>
        <v>0</v>
      </c>
      <c r="F630" s="13">
        <v>2302</v>
      </c>
      <c r="G630" s="14" t="s">
        <v>24</v>
      </c>
      <c r="H630" s="15">
        <v>15286</v>
      </c>
      <c r="I630" s="15">
        <v>1019</v>
      </c>
      <c r="J630" s="15">
        <v>240</v>
      </c>
      <c r="K630" s="16">
        <v>12785</v>
      </c>
      <c r="L630" s="17">
        <f t="shared" si="45"/>
        <v>6.6662305377469575E-2</v>
      </c>
      <c r="M630" s="17">
        <f t="shared" si="45"/>
        <v>0.23552502453385674</v>
      </c>
      <c r="N630" s="18">
        <f t="shared" si="46"/>
        <v>6.5456329735034346</v>
      </c>
      <c r="O630" s="18">
        <f t="shared" si="47"/>
        <v>27.791666666666668</v>
      </c>
      <c r="P630" s="17">
        <f t="shared" si="48"/>
        <v>2.89748045178106</v>
      </c>
      <c r="Q630" s="17">
        <f t="shared" si="49"/>
        <v>1.916791604197901</v>
      </c>
      <c r="R630" s="10" t="s">
        <v>1292</v>
      </c>
      <c r="S630" s="14" t="s">
        <v>26</v>
      </c>
      <c r="T630" s="14" t="s">
        <v>27</v>
      </c>
      <c r="U630" s="13">
        <v>6670</v>
      </c>
      <c r="V630" s="15">
        <v>1</v>
      </c>
      <c r="W630" s="9" t="str">
        <f>IF(Table1[[#This Row],[Satisfaction Rating]]&lt;2, "Low", IF(Table1[[#This Row],[Satisfaction Rating]]&lt;4, "Medium", "High"))</f>
        <v>Low</v>
      </c>
    </row>
    <row r="631" spans="1:23" ht="14" x14ac:dyDescent="0.2">
      <c r="A631" s="10" t="s">
        <v>1293</v>
      </c>
      <c r="B631" s="11">
        <v>45547.270185185182</v>
      </c>
      <c r="C631" s="11">
        <v>45547.270185185182</v>
      </c>
      <c r="D631" s="11" t="str">
        <f>IF(Table1[[#This Row],[Duration of Campaign]]=0, "Ongoing","Completed")</f>
        <v>Ongoing</v>
      </c>
      <c r="E631" s="12">
        <f>Table1[[#This Row],[End Date]]-Table1[[#This Row],[Start Date]]</f>
        <v>0</v>
      </c>
      <c r="F631" s="13">
        <v>7892</v>
      </c>
      <c r="G631" s="14" t="s">
        <v>24</v>
      </c>
      <c r="H631" s="15">
        <v>19913</v>
      </c>
      <c r="I631" s="15">
        <v>1953</v>
      </c>
      <c r="J631" s="15">
        <v>316</v>
      </c>
      <c r="K631" s="16">
        <v>7952</v>
      </c>
      <c r="L631" s="17">
        <f t="shared" si="45"/>
        <v>9.8076633355094658E-2</v>
      </c>
      <c r="M631" s="17">
        <f t="shared" si="45"/>
        <v>0.16180235535074244</v>
      </c>
      <c r="N631" s="18">
        <f t="shared" si="46"/>
        <v>2.1029185867895546</v>
      </c>
      <c r="O631" s="18">
        <f t="shared" si="47"/>
        <v>12.996835443037975</v>
      </c>
      <c r="P631" s="17">
        <f t="shared" si="48"/>
        <v>0.52040040547389765</v>
      </c>
      <c r="Q631" s="17">
        <f t="shared" si="49"/>
        <v>1.9362064767470173</v>
      </c>
      <c r="R631" s="10" t="s">
        <v>1294</v>
      </c>
      <c r="S631" s="14" t="s">
        <v>26</v>
      </c>
      <c r="T631" s="14" t="s">
        <v>37</v>
      </c>
      <c r="U631" s="13">
        <v>4107</v>
      </c>
      <c r="V631" s="15">
        <v>3</v>
      </c>
      <c r="W631" s="9" t="str">
        <f>IF(Table1[[#This Row],[Satisfaction Rating]]&lt;2, "Low", IF(Table1[[#This Row],[Satisfaction Rating]]&lt;4, "Medium", "High"))</f>
        <v>Medium</v>
      </c>
    </row>
    <row r="632" spans="1:23" ht="14" x14ac:dyDescent="0.2">
      <c r="A632" s="10" t="s">
        <v>1295</v>
      </c>
      <c r="B632" s="11">
        <v>44968.531608796293</v>
      </c>
      <c r="C632" s="11">
        <v>45061.219004629631</v>
      </c>
      <c r="D632" s="11" t="str">
        <f>IF(Table1[[#This Row],[Duration of Campaign]]=0, "Ongoing","Completed")</f>
        <v>Completed</v>
      </c>
      <c r="E632" s="12">
        <f>Table1[[#This Row],[End Date]]-Table1[[#This Row],[Start Date]]</f>
        <v>92.687395833338087</v>
      </c>
      <c r="F632" s="13">
        <v>6504</v>
      </c>
      <c r="G632" s="14" t="s">
        <v>24</v>
      </c>
      <c r="H632" s="15">
        <v>13143</v>
      </c>
      <c r="I632" s="15">
        <v>123</v>
      </c>
      <c r="J632" s="15">
        <v>289</v>
      </c>
      <c r="K632" s="16">
        <v>14878</v>
      </c>
      <c r="L632" s="17">
        <f t="shared" si="45"/>
        <v>9.3585939283268652E-3</v>
      </c>
      <c r="M632" s="17">
        <f t="shared" si="45"/>
        <v>2.3495934959349594</v>
      </c>
      <c r="N632" s="18">
        <f t="shared" si="46"/>
        <v>31.617886178861788</v>
      </c>
      <c r="O632" s="18">
        <f t="shared" si="47"/>
        <v>13.456747404844291</v>
      </c>
      <c r="P632" s="17">
        <f t="shared" si="48"/>
        <v>0.59793972939729401</v>
      </c>
      <c r="Q632" s="17">
        <f t="shared" si="49"/>
        <v>3.825662123939316</v>
      </c>
      <c r="R632" s="10" t="s">
        <v>1296</v>
      </c>
      <c r="S632" s="14" t="s">
        <v>31</v>
      </c>
      <c r="T632" s="14" t="s">
        <v>27</v>
      </c>
      <c r="U632" s="13">
        <v>3889</v>
      </c>
      <c r="V632" s="15">
        <v>5</v>
      </c>
      <c r="W632" s="9" t="str">
        <f>IF(Table1[[#This Row],[Satisfaction Rating]]&lt;2, "Low", IF(Table1[[#This Row],[Satisfaction Rating]]&lt;4, "Medium", "High"))</f>
        <v>High</v>
      </c>
    </row>
    <row r="633" spans="1:23" ht="14" x14ac:dyDescent="0.2">
      <c r="A633" s="10" t="s">
        <v>1297</v>
      </c>
      <c r="B633" s="11">
        <v>45380.674386574072</v>
      </c>
      <c r="C633" s="11">
        <v>45380.674386574072</v>
      </c>
      <c r="D633" s="11" t="str">
        <f>IF(Table1[[#This Row],[Duration of Campaign]]=0, "Ongoing","Completed")</f>
        <v>Ongoing</v>
      </c>
      <c r="E633" s="12">
        <f>Table1[[#This Row],[End Date]]-Table1[[#This Row],[Start Date]]</f>
        <v>0</v>
      </c>
      <c r="F633" s="13">
        <v>6100</v>
      </c>
      <c r="G633" s="14" t="s">
        <v>63</v>
      </c>
      <c r="H633" s="15">
        <v>18295</v>
      </c>
      <c r="I633" s="15">
        <v>323</v>
      </c>
      <c r="J633" s="15">
        <v>273</v>
      </c>
      <c r="K633" s="16">
        <v>4942</v>
      </c>
      <c r="L633" s="17">
        <f t="shared" si="45"/>
        <v>1.7655097021044001E-2</v>
      </c>
      <c r="M633" s="17">
        <f t="shared" si="45"/>
        <v>0.84520123839009287</v>
      </c>
      <c r="N633" s="18">
        <f t="shared" si="46"/>
        <v>16.58204334365325</v>
      </c>
      <c r="O633" s="18">
        <f t="shared" si="47"/>
        <v>19.61904761904762</v>
      </c>
      <c r="P633" s="17">
        <f t="shared" si="48"/>
        <v>0.87803278688524589</v>
      </c>
      <c r="Q633" s="17">
        <f t="shared" si="49"/>
        <v>0.9227035100821509</v>
      </c>
      <c r="R633" s="10" t="s">
        <v>1298</v>
      </c>
      <c r="S633" s="14" t="s">
        <v>34</v>
      </c>
      <c r="T633" s="14" t="s">
        <v>37</v>
      </c>
      <c r="U633" s="13">
        <v>5356</v>
      </c>
      <c r="V633" s="15">
        <v>1</v>
      </c>
      <c r="W633" s="9" t="str">
        <f>IF(Table1[[#This Row],[Satisfaction Rating]]&lt;2, "Low", IF(Table1[[#This Row],[Satisfaction Rating]]&lt;4, "Medium", "High"))</f>
        <v>Low</v>
      </c>
    </row>
    <row r="634" spans="1:23" ht="14" x14ac:dyDescent="0.2">
      <c r="A634" s="10" t="s">
        <v>1299</v>
      </c>
      <c r="B634" s="11">
        <v>45420.471620370372</v>
      </c>
      <c r="C634" s="11">
        <v>45624.410381944443</v>
      </c>
      <c r="D634" s="11" t="str">
        <f>IF(Table1[[#This Row],[Duration of Campaign]]=0, "Ongoing","Completed")</f>
        <v>Completed</v>
      </c>
      <c r="E634" s="12">
        <f>Table1[[#This Row],[End Date]]-Table1[[#This Row],[Start Date]]</f>
        <v>203.93876157407067</v>
      </c>
      <c r="F634" s="13">
        <v>4832</v>
      </c>
      <c r="G634" s="14" t="s">
        <v>63</v>
      </c>
      <c r="H634" s="15">
        <v>12251</v>
      </c>
      <c r="I634" s="15">
        <v>594</v>
      </c>
      <c r="J634" s="15">
        <v>83</v>
      </c>
      <c r="K634" s="16">
        <v>12636</v>
      </c>
      <c r="L634" s="17">
        <f t="shared" si="45"/>
        <v>4.8485837890784422E-2</v>
      </c>
      <c r="M634" s="17">
        <f t="shared" si="45"/>
        <v>0.13973063973063973</v>
      </c>
      <c r="N634" s="18">
        <f t="shared" si="46"/>
        <v>26.441077441077439</v>
      </c>
      <c r="O634" s="18">
        <f t="shared" si="47"/>
        <v>189.22891566265059</v>
      </c>
      <c r="P634" s="17">
        <f t="shared" si="48"/>
        <v>3.2504139072847682</v>
      </c>
      <c r="Q634" s="17">
        <f t="shared" si="49"/>
        <v>0.80453329937603468</v>
      </c>
      <c r="R634" s="10" t="s">
        <v>1300</v>
      </c>
      <c r="S634" s="14" t="s">
        <v>34</v>
      </c>
      <c r="T634" s="14" t="s">
        <v>27</v>
      </c>
      <c r="U634" s="13">
        <v>15706</v>
      </c>
      <c r="V634" s="15">
        <v>4</v>
      </c>
      <c r="W634" s="9" t="str">
        <f>IF(Table1[[#This Row],[Satisfaction Rating]]&lt;2, "Low", IF(Table1[[#This Row],[Satisfaction Rating]]&lt;4, "Medium", "High"))</f>
        <v>High</v>
      </c>
    </row>
    <row r="635" spans="1:23" ht="14" x14ac:dyDescent="0.2">
      <c r="A635" s="10" t="s">
        <v>1301</v>
      </c>
      <c r="B635" s="11">
        <v>45412.167500000003</v>
      </c>
      <c r="C635" s="11">
        <v>45526.020752314813</v>
      </c>
      <c r="D635" s="11" t="str">
        <f>IF(Table1[[#This Row],[Duration of Campaign]]=0, "Ongoing","Completed")</f>
        <v>Completed</v>
      </c>
      <c r="E635" s="12">
        <f>Table1[[#This Row],[End Date]]-Table1[[#This Row],[Start Date]]</f>
        <v>113.85325231480965</v>
      </c>
      <c r="F635" s="13">
        <v>8609</v>
      </c>
      <c r="G635" s="14" t="s">
        <v>29</v>
      </c>
      <c r="H635" s="15">
        <v>13038</v>
      </c>
      <c r="I635" s="15">
        <v>801</v>
      </c>
      <c r="J635" s="15">
        <v>138</v>
      </c>
      <c r="K635" s="16">
        <v>2189</v>
      </c>
      <c r="L635" s="17">
        <f t="shared" si="45"/>
        <v>6.1435803037275659E-2</v>
      </c>
      <c r="M635" s="17">
        <f t="shared" si="45"/>
        <v>0.17228464419475656</v>
      </c>
      <c r="N635" s="18">
        <f t="shared" si="46"/>
        <v>19.774032459425719</v>
      </c>
      <c r="O635" s="18">
        <f t="shared" si="47"/>
        <v>114.77536231884058</v>
      </c>
      <c r="P635" s="17">
        <f t="shared" si="48"/>
        <v>1.8398187942850506</v>
      </c>
      <c r="Q635" s="17">
        <f t="shared" si="49"/>
        <v>0.13820316939200708</v>
      </c>
      <c r="R635" s="10" t="s">
        <v>1302</v>
      </c>
      <c r="S635" s="14" t="s">
        <v>26</v>
      </c>
      <c r="T635" s="14" t="s">
        <v>27</v>
      </c>
      <c r="U635" s="13">
        <v>15839</v>
      </c>
      <c r="V635" s="15">
        <v>3</v>
      </c>
      <c r="W635" s="9" t="str">
        <f>IF(Table1[[#This Row],[Satisfaction Rating]]&lt;2, "Low", IF(Table1[[#This Row],[Satisfaction Rating]]&lt;4, "Medium", "High"))</f>
        <v>Medium</v>
      </c>
    </row>
    <row r="636" spans="1:23" ht="14" x14ac:dyDescent="0.2">
      <c r="A636" s="10" t="s">
        <v>1303</v>
      </c>
      <c r="B636" s="11">
        <v>45643.249548611115</v>
      </c>
      <c r="C636" s="11">
        <v>45643.249548611115</v>
      </c>
      <c r="D636" s="11" t="str">
        <f>IF(Table1[[#This Row],[Duration of Campaign]]=0, "Ongoing","Completed")</f>
        <v>Ongoing</v>
      </c>
      <c r="E636" s="12">
        <f>Table1[[#This Row],[End Date]]-Table1[[#This Row],[Start Date]]</f>
        <v>0</v>
      </c>
      <c r="F636" s="13">
        <v>8067</v>
      </c>
      <c r="G636" s="14" t="s">
        <v>63</v>
      </c>
      <c r="H636" s="15">
        <v>4671</v>
      </c>
      <c r="I636" s="15">
        <v>854</v>
      </c>
      <c r="J636" s="15">
        <v>321</v>
      </c>
      <c r="K636" s="16">
        <v>5924</v>
      </c>
      <c r="L636" s="17">
        <f t="shared" si="45"/>
        <v>0.18283022907300364</v>
      </c>
      <c r="M636" s="17">
        <f t="shared" si="45"/>
        <v>0.3758782201405152</v>
      </c>
      <c r="N636" s="18">
        <f t="shared" si="46"/>
        <v>10.511709601873536</v>
      </c>
      <c r="O636" s="18">
        <f t="shared" si="47"/>
        <v>27.965732087227416</v>
      </c>
      <c r="P636" s="17">
        <f t="shared" si="48"/>
        <v>1.1128052559811579</v>
      </c>
      <c r="Q636" s="17">
        <f t="shared" si="49"/>
        <v>0.65990865545282384</v>
      </c>
      <c r="R636" s="10" t="s">
        <v>1304</v>
      </c>
      <c r="S636" s="14" t="s">
        <v>45</v>
      </c>
      <c r="T636" s="14" t="s">
        <v>37</v>
      </c>
      <c r="U636" s="13">
        <v>8977</v>
      </c>
      <c r="V636" s="15">
        <v>1</v>
      </c>
      <c r="W636" s="9" t="str">
        <f>IF(Table1[[#This Row],[Satisfaction Rating]]&lt;2, "Low", IF(Table1[[#This Row],[Satisfaction Rating]]&lt;4, "Medium", "High"))</f>
        <v>Low</v>
      </c>
    </row>
    <row r="637" spans="1:23" ht="14" x14ac:dyDescent="0.2">
      <c r="A637" s="10" t="s">
        <v>1305</v>
      </c>
      <c r="B637" s="11">
        <v>44988.63863425926</v>
      </c>
      <c r="C637" s="11">
        <v>45194.292673611111</v>
      </c>
      <c r="D637" s="11" t="str">
        <f>IF(Table1[[#This Row],[Duration of Campaign]]=0, "Ongoing","Completed")</f>
        <v>Completed</v>
      </c>
      <c r="E637" s="12">
        <f>Table1[[#This Row],[End Date]]-Table1[[#This Row],[Start Date]]</f>
        <v>205.65403935185168</v>
      </c>
      <c r="F637" s="13">
        <v>2138</v>
      </c>
      <c r="G637" s="14" t="s">
        <v>29</v>
      </c>
      <c r="H637" s="15">
        <v>15079</v>
      </c>
      <c r="I637" s="15">
        <v>274</v>
      </c>
      <c r="J637" s="15">
        <v>35</v>
      </c>
      <c r="K637" s="16">
        <v>14780</v>
      </c>
      <c r="L637" s="17">
        <f t="shared" si="45"/>
        <v>1.8170966244445919E-2</v>
      </c>
      <c r="M637" s="17">
        <f t="shared" si="45"/>
        <v>0.12773722627737227</v>
      </c>
      <c r="N637" s="18">
        <f t="shared" si="46"/>
        <v>3.4781021897810218</v>
      </c>
      <c r="O637" s="18">
        <f t="shared" si="47"/>
        <v>27.228571428571428</v>
      </c>
      <c r="P637" s="17">
        <f t="shared" si="48"/>
        <v>0.44574368568755846</v>
      </c>
      <c r="Q637" s="17">
        <f t="shared" si="49"/>
        <v>15.508919202518364</v>
      </c>
      <c r="R637" s="10" t="s">
        <v>1306</v>
      </c>
      <c r="S637" s="14" t="s">
        <v>45</v>
      </c>
      <c r="T637" s="14" t="s">
        <v>55</v>
      </c>
      <c r="U637" s="13">
        <v>953</v>
      </c>
      <c r="V637" s="15">
        <v>3</v>
      </c>
      <c r="W637" s="9" t="str">
        <f>IF(Table1[[#This Row],[Satisfaction Rating]]&lt;2, "Low", IF(Table1[[#This Row],[Satisfaction Rating]]&lt;4, "Medium", "High"))</f>
        <v>Medium</v>
      </c>
    </row>
    <row r="638" spans="1:23" ht="14" x14ac:dyDescent="0.2">
      <c r="A638" s="10" t="s">
        <v>1307</v>
      </c>
      <c r="B638" s="11">
        <v>45335.904282407406</v>
      </c>
      <c r="C638" s="11">
        <v>45335.904282407406</v>
      </c>
      <c r="D638" s="11" t="str">
        <f>IF(Table1[[#This Row],[Duration of Campaign]]=0, "Ongoing","Completed")</f>
        <v>Ongoing</v>
      </c>
      <c r="E638" s="12">
        <f>Table1[[#This Row],[End Date]]-Table1[[#This Row],[Start Date]]</f>
        <v>0</v>
      </c>
      <c r="F638" s="13">
        <v>2613</v>
      </c>
      <c r="G638" s="14" t="s">
        <v>24</v>
      </c>
      <c r="H638" s="15">
        <v>18949</v>
      </c>
      <c r="I638" s="15">
        <v>940</v>
      </c>
      <c r="J638" s="15">
        <v>108</v>
      </c>
      <c r="K638" s="16">
        <v>1552</v>
      </c>
      <c r="L638" s="17">
        <f t="shared" si="45"/>
        <v>4.9606839411050714E-2</v>
      </c>
      <c r="M638" s="17">
        <f t="shared" si="45"/>
        <v>0.1148936170212766</v>
      </c>
      <c r="N638" s="18">
        <f t="shared" si="46"/>
        <v>3.5808510638297872</v>
      </c>
      <c r="O638" s="18">
        <f t="shared" si="47"/>
        <v>31.166666666666668</v>
      </c>
      <c r="P638" s="17">
        <f t="shared" si="48"/>
        <v>1.2881745120551091</v>
      </c>
      <c r="Q638" s="17">
        <f t="shared" si="49"/>
        <v>0.46108140225787286</v>
      </c>
      <c r="R638" s="10" t="s">
        <v>1308</v>
      </c>
      <c r="S638" s="14" t="s">
        <v>31</v>
      </c>
      <c r="T638" s="14" t="s">
        <v>37</v>
      </c>
      <c r="U638" s="13">
        <v>3366</v>
      </c>
      <c r="V638" s="15">
        <v>3</v>
      </c>
      <c r="W638" s="9" t="str">
        <f>IF(Table1[[#This Row],[Satisfaction Rating]]&lt;2, "Low", IF(Table1[[#This Row],[Satisfaction Rating]]&lt;4, "Medium", "High"))</f>
        <v>Medium</v>
      </c>
    </row>
    <row r="639" spans="1:23" ht="14" x14ac:dyDescent="0.2">
      <c r="A639" s="10" t="s">
        <v>1309</v>
      </c>
      <c r="B639" s="11">
        <v>45432.1487037037</v>
      </c>
      <c r="C639" s="11">
        <v>45432.1487037037</v>
      </c>
      <c r="D639" s="11" t="str">
        <f>IF(Table1[[#This Row],[Duration of Campaign]]=0, "Ongoing","Completed")</f>
        <v>Ongoing</v>
      </c>
      <c r="E639" s="12">
        <f>Table1[[#This Row],[End Date]]-Table1[[#This Row],[Start Date]]</f>
        <v>0</v>
      </c>
      <c r="F639" s="13">
        <v>6906</v>
      </c>
      <c r="G639" s="14" t="s">
        <v>47</v>
      </c>
      <c r="H639" s="15">
        <v>3366</v>
      </c>
      <c r="I639" s="15">
        <v>1015</v>
      </c>
      <c r="J639" s="15">
        <v>118</v>
      </c>
      <c r="K639" s="16">
        <v>4617</v>
      </c>
      <c r="L639" s="17">
        <f t="shared" si="45"/>
        <v>0.30154486036838979</v>
      </c>
      <c r="M639" s="17">
        <f t="shared" si="45"/>
        <v>0.11625615763546798</v>
      </c>
      <c r="N639" s="18">
        <f t="shared" si="46"/>
        <v>16.829556650246307</v>
      </c>
      <c r="O639" s="18">
        <f t="shared" si="47"/>
        <v>144.76271186440678</v>
      </c>
      <c r="P639" s="17">
        <f t="shared" si="48"/>
        <v>2.4735013032145958</v>
      </c>
      <c r="Q639" s="17">
        <f t="shared" si="49"/>
        <v>0.27028451001053738</v>
      </c>
      <c r="R639" s="10" t="s">
        <v>1310</v>
      </c>
      <c r="S639" s="14" t="s">
        <v>34</v>
      </c>
      <c r="T639" s="14" t="s">
        <v>55</v>
      </c>
      <c r="U639" s="13">
        <v>17082</v>
      </c>
      <c r="V639" s="15">
        <v>1</v>
      </c>
      <c r="W639" s="9" t="str">
        <f>IF(Table1[[#This Row],[Satisfaction Rating]]&lt;2, "Low", IF(Table1[[#This Row],[Satisfaction Rating]]&lt;4, "Medium", "High"))</f>
        <v>Low</v>
      </c>
    </row>
    <row r="640" spans="1:23" ht="14" x14ac:dyDescent="0.2">
      <c r="A640" s="10" t="s">
        <v>1311</v>
      </c>
      <c r="B640" s="11">
        <v>45522.986539351848</v>
      </c>
      <c r="C640" s="11">
        <v>45522.986539351848</v>
      </c>
      <c r="D640" s="11" t="str">
        <f>IF(Table1[[#This Row],[Duration of Campaign]]=0, "Ongoing","Completed")</f>
        <v>Ongoing</v>
      </c>
      <c r="E640" s="12">
        <f>Table1[[#This Row],[End Date]]-Table1[[#This Row],[Start Date]]</f>
        <v>0</v>
      </c>
      <c r="F640" s="13">
        <v>3396</v>
      </c>
      <c r="G640" s="14" t="s">
        <v>63</v>
      </c>
      <c r="H640" s="15">
        <v>16030</v>
      </c>
      <c r="I640" s="15">
        <v>483</v>
      </c>
      <c r="J640" s="15">
        <v>485</v>
      </c>
      <c r="K640" s="16">
        <v>13098</v>
      </c>
      <c r="L640" s="17">
        <f t="shared" si="45"/>
        <v>3.0131004366812226E-2</v>
      </c>
      <c r="M640" s="17">
        <f t="shared" si="45"/>
        <v>1.0041407867494825</v>
      </c>
      <c r="N640" s="18">
        <f t="shared" si="46"/>
        <v>17.697722567287784</v>
      </c>
      <c r="O640" s="18">
        <f t="shared" si="47"/>
        <v>17.624742268041238</v>
      </c>
      <c r="P640" s="17">
        <f t="shared" si="48"/>
        <v>2.5170789163722027</v>
      </c>
      <c r="Q640" s="17">
        <f t="shared" si="49"/>
        <v>1.5322882545624708</v>
      </c>
      <c r="R640" s="10" t="s">
        <v>1312</v>
      </c>
      <c r="S640" s="14" t="s">
        <v>31</v>
      </c>
      <c r="T640" s="14" t="s">
        <v>55</v>
      </c>
      <c r="U640" s="13">
        <v>8548</v>
      </c>
      <c r="V640" s="15">
        <v>3</v>
      </c>
      <c r="W640" s="9" t="str">
        <f>IF(Table1[[#This Row],[Satisfaction Rating]]&lt;2, "Low", IF(Table1[[#This Row],[Satisfaction Rating]]&lt;4, "Medium", "High"))</f>
        <v>Medium</v>
      </c>
    </row>
    <row r="641" spans="1:23" ht="14" x14ac:dyDescent="0.2">
      <c r="A641" s="10" t="s">
        <v>1313</v>
      </c>
      <c r="B641" s="11">
        <v>45167.547175925924</v>
      </c>
      <c r="C641" s="11">
        <v>45370.250775462962</v>
      </c>
      <c r="D641" s="11" t="str">
        <f>IF(Table1[[#This Row],[Duration of Campaign]]=0, "Ongoing","Completed")</f>
        <v>Completed</v>
      </c>
      <c r="E641" s="12">
        <f>Table1[[#This Row],[End Date]]-Table1[[#This Row],[Start Date]]</f>
        <v>202.70359953703883</v>
      </c>
      <c r="F641" s="13">
        <v>8545</v>
      </c>
      <c r="G641" s="14" t="s">
        <v>29</v>
      </c>
      <c r="H641" s="15">
        <v>9692</v>
      </c>
      <c r="I641" s="15">
        <v>528</v>
      </c>
      <c r="J641" s="15">
        <v>184</v>
      </c>
      <c r="K641" s="16">
        <v>923</v>
      </c>
      <c r="L641" s="17">
        <f t="shared" si="45"/>
        <v>5.4477919933966161E-2</v>
      </c>
      <c r="M641" s="17">
        <f t="shared" si="45"/>
        <v>0.34848484848484851</v>
      </c>
      <c r="N641" s="18">
        <f t="shared" si="46"/>
        <v>6.6685606060606064</v>
      </c>
      <c r="O641" s="18">
        <f t="shared" si="47"/>
        <v>19.135869565217391</v>
      </c>
      <c r="P641" s="17">
        <f t="shared" si="48"/>
        <v>0.41205383265067291</v>
      </c>
      <c r="Q641" s="17">
        <f t="shared" si="49"/>
        <v>0.26214143709173532</v>
      </c>
      <c r="R641" s="10" t="s">
        <v>1314</v>
      </c>
      <c r="S641" s="14" t="s">
        <v>40</v>
      </c>
      <c r="T641" s="14" t="s">
        <v>55</v>
      </c>
      <c r="U641" s="13">
        <v>3521</v>
      </c>
      <c r="V641" s="15">
        <v>4</v>
      </c>
      <c r="W641" s="9" t="str">
        <f>IF(Table1[[#This Row],[Satisfaction Rating]]&lt;2, "Low", IF(Table1[[#This Row],[Satisfaction Rating]]&lt;4, "Medium", "High"))</f>
        <v>High</v>
      </c>
    </row>
    <row r="642" spans="1:23" ht="14" x14ac:dyDescent="0.2">
      <c r="A642" s="10" t="s">
        <v>1315</v>
      </c>
      <c r="B642" s="11">
        <v>44949.697546296295</v>
      </c>
      <c r="C642" s="11">
        <v>45517.537881944445</v>
      </c>
      <c r="D642" s="11" t="str">
        <f>IF(Table1[[#This Row],[Duration of Campaign]]=0, "Ongoing","Completed")</f>
        <v>Completed</v>
      </c>
      <c r="E642" s="12">
        <f>Table1[[#This Row],[End Date]]-Table1[[#This Row],[Start Date]]</f>
        <v>567.84033564815036</v>
      </c>
      <c r="F642" s="13">
        <v>6924</v>
      </c>
      <c r="G642" s="14" t="s">
        <v>24</v>
      </c>
      <c r="H642" s="15">
        <v>7910</v>
      </c>
      <c r="I642" s="15">
        <v>1909</v>
      </c>
      <c r="J642" s="15">
        <v>485</v>
      </c>
      <c r="K642" s="16">
        <v>11302</v>
      </c>
      <c r="L642" s="17">
        <f t="shared" si="45"/>
        <v>0.24134007585335018</v>
      </c>
      <c r="M642" s="17">
        <f t="shared" si="45"/>
        <v>0.25405971712938713</v>
      </c>
      <c r="N642" s="18">
        <f t="shared" si="46"/>
        <v>1.5055002619172342</v>
      </c>
      <c r="O642" s="18">
        <f t="shared" si="47"/>
        <v>5.9257731958762889</v>
      </c>
      <c r="P642" s="17">
        <f t="shared" si="48"/>
        <v>0.41507798960138648</v>
      </c>
      <c r="Q642" s="17">
        <f t="shared" si="49"/>
        <v>3.9324982602644396</v>
      </c>
      <c r="R642" s="10" t="s">
        <v>1316</v>
      </c>
      <c r="S642" s="14" t="s">
        <v>40</v>
      </c>
      <c r="T642" s="14" t="s">
        <v>27</v>
      </c>
      <c r="U642" s="13">
        <v>2874</v>
      </c>
      <c r="V642" s="15">
        <v>3</v>
      </c>
      <c r="W642" s="9" t="str">
        <f>IF(Table1[[#This Row],[Satisfaction Rating]]&lt;2, "Low", IF(Table1[[#This Row],[Satisfaction Rating]]&lt;4, "Medium", "High"))</f>
        <v>Medium</v>
      </c>
    </row>
    <row r="643" spans="1:23" ht="14" x14ac:dyDescent="0.2">
      <c r="A643" s="10" t="s">
        <v>1317</v>
      </c>
      <c r="B643" s="11">
        <v>45061.539247685185</v>
      </c>
      <c r="C643" s="11">
        <v>45503.337407407409</v>
      </c>
      <c r="D643" s="11" t="str">
        <f>IF(Table1[[#This Row],[Duration of Campaign]]=0, "Ongoing","Completed")</f>
        <v>Completed</v>
      </c>
      <c r="E643" s="12">
        <f>Table1[[#This Row],[End Date]]-Table1[[#This Row],[Start Date]]</f>
        <v>441.79815972222423</v>
      </c>
      <c r="F643" s="13">
        <v>2357</v>
      </c>
      <c r="G643" s="14" t="s">
        <v>47</v>
      </c>
      <c r="H643" s="15">
        <v>19708</v>
      </c>
      <c r="I643" s="15">
        <v>897</v>
      </c>
      <c r="J643" s="15">
        <v>164</v>
      </c>
      <c r="K643" s="16">
        <v>12837</v>
      </c>
      <c r="L643" s="17">
        <f t="shared" ref="L643:M706" si="50">I643/H643</f>
        <v>4.5514511873350927E-2</v>
      </c>
      <c r="M643" s="17">
        <f t="shared" si="50"/>
        <v>0.18283166109253066</v>
      </c>
      <c r="N643" s="18">
        <f t="shared" ref="N643:N706" si="51">U643/I643</f>
        <v>4.4013377926421402</v>
      </c>
      <c r="O643" s="18">
        <f t="shared" ref="O643:O706" si="52">U643/J643</f>
        <v>24.073170731707318</v>
      </c>
      <c r="P643" s="17">
        <f t="shared" ref="P643:P706" si="53">U643/F643</f>
        <v>1.6750106067034365</v>
      </c>
      <c r="Q643" s="17">
        <f t="shared" ref="Q643:Q706" si="54">K643/U643</f>
        <v>3.2515197568389058</v>
      </c>
      <c r="R643" s="10" t="s">
        <v>1318</v>
      </c>
      <c r="S643" s="14" t="s">
        <v>31</v>
      </c>
      <c r="T643" s="14" t="s">
        <v>55</v>
      </c>
      <c r="U643" s="13">
        <v>3948</v>
      </c>
      <c r="V643" s="15">
        <v>1</v>
      </c>
      <c r="W643" s="9" t="str">
        <f>IF(Table1[[#This Row],[Satisfaction Rating]]&lt;2, "Low", IF(Table1[[#This Row],[Satisfaction Rating]]&lt;4, "Medium", "High"))</f>
        <v>Low</v>
      </c>
    </row>
    <row r="644" spans="1:23" ht="14" x14ac:dyDescent="0.2">
      <c r="A644" s="10" t="s">
        <v>1319</v>
      </c>
      <c r="B644" s="11">
        <v>45244.419479166667</v>
      </c>
      <c r="C644" s="11">
        <v>45244.419479166667</v>
      </c>
      <c r="D644" s="11" t="str">
        <f>IF(Table1[[#This Row],[Duration of Campaign]]=0, "Ongoing","Completed")</f>
        <v>Ongoing</v>
      </c>
      <c r="E644" s="12">
        <f>Table1[[#This Row],[End Date]]-Table1[[#This Row],[Start Date]]</f>
        <v>0</v>
      </c>
      <c r="F644" s="13">
        <v>8227</v>
      </c>
      <c r="G644" s="14" t="s">
        <v>29</v>
      </c>
      <c r="H644" s="15">
        <v>10124</v>
      </c>
      <c r="I644" s="15">
        <v>332</v>
      </c>
      <c r="J644" s="15">
        <v>201</v>
      </c>
      <c r="K644" s="16">
        <v>7359</v>
      </c>
      <c r="L644" s="17">
        <f t="shared" si="50"/>
        <v>3.2793362307388385E-2</v>
      </c>
      <c r="M644" s="17">
        <f t="shared" si="50"/>
        <v>0.60542168674698793</v>
      </c>
      <c r="N644" s="18">
        <f t="shared" si="51"/>
        <v>46.5210843373494</v>
      </c>
      <c r="O644" s="18">
        <f t="shared" si="52"/>
        <v>76.840796019900495</v>
      </c>
      <c r="P644" s="17">
        <f t="shared" si="53"/>
        <v>1.8773550504436611</v>
      </c>
      <c r="Q644" s="17">
        <f t="shared" si="54"/>
        <v>0.47646487536419552</v>
      </c>
      <c r="R644" s="10" t="s">
        <v>1320</v>
      </c>
      <c r="S644" s="14" t="s">
        <v>34</v>
      </c>
      <c r="T644" s="14" t="s">
        <v>37</v>
      </c>
      <c r="U644" s="13">
        <v>15445</v>
      </c>
      <c r="V644" s="15">
        <v>1</v>
      </c>
      <c r="W644" s="9" t="str">
        <f>IF(Table1[[#This Row],[Satisfaction Rating]]&lt;2, "Low", IF(Table1[[#This Row],[Satisfaction Rating]]&lt;4, "Medium", "High"))</f>
        <v>Low</v>
      </c>
    </row>
    <row r="645" spans="1:23" ht="14" x14ac:dyDescent="0.2">
      <c r="A645" s="10" t="s">
        <v>1321</v>
      </c>
      <c r="B645" s="11">
        <v>45449.725613425922</v>
      </c>
      <c r="C645" s="11">
        <v>45449.725613425922</v>
      </c>
      <c r="D645" s="11" t="str">
        <f>IF(Table1[[#This Row],[Duration of Campaign]]=0, "Ongoing","Completed")</f>
        <v>Ongoing</v>
      </c>
      <c r="E645" s="12">
        <f>Table1[[#This Row],[End Date]]-Table1[[#This Row],[Start Date]]</f>
        <v>0</v>
      </c>
      <c r="F645" s="13">
        <v>8174</v>
      </c>
      <c r="G645" s="14" t="s">
        <v>24</v>
      </c>
      <c r="H645" s="15">
        <v>19485</v>
      </c>
      <c r="I645" s="15">
        <v>497</v>
      </c>
      <c r="J645" s="15">
        <v>223</v>
      </c>
      <c r="K645" s="16">
        <v>1358</v>
      </c>
      <c r="L645" s="17">
        <f t="shared" si="50"/>
        <v>2.550680010264306E-2</v>
      </c>
      <c r="M645" s="17">
        <f t="shared" si="50"/>
        <v>0.44869215291750503</v>
      </c>
      <c r="N645" s="18">
        <f t="shared" si="51"/>
        <v>11.106639839034205</v>
      </c>
      <c r="O645" s="18">
        <f t="shared" si="52"/>
        <v>24.753363228699552</v>
      </c>
      <c r="P645" s="17">
        <f t="shared" si="53"/>
        <v>0.67531196476633226</v>
      </c>
      <c r="Q645" s="17">
        <f t="shared" si="54"/>
        <v>0.24601449275362319</v>
      </c>
      <c r="R645" s="10" t="s">
        <v>1322</v>
      </c>
      <c r="S645" s="14" t="s">
        <v>45</v>
      </c>
      <c r="T645" s="14" t="s">
        <v>37</v>
      </c>
      <c r="U645" s="13">
        <v>5520</v>
      </c>
      <c r="V645" s="15">
        <v>1</v>
      </c>
      <c r="W645" s="9" t="str">
        <f>IF(Table1[[#This Row],[Satisfaction Rating]]&lt;2, "Low", IF(Table1[[#This Row],[Satisfaction Rating]]&lt;4, "Medium", "High"))</f>
        <v>Low</v>
      </c>
    </row>
    <row r="646" spans="1:23" ht="14" x14ac:dyDescent="0.2">
      <c r="A646" s="10" t="s">
        <v>1323</v>
      </c>
      <c r="B646" s="11">
        <v>45537.127662037034</v>
      </c>
      <c r="C646" s="11">
        <v>45582.577511574076</v>
      </c>
      <c r="D646" s="11" t="str">
        <f>IF(Table1[[#This Row],[Duration of Campaign]]=0, "Ongoing","Completed")</f>
        <v>Completed</v>
      </c>
      <c r="E646" s="12">
        <f>Table1[[#This Row],[End Date]]-Table1[[#This Row],[Start Date]]</f>
        <v>45.44984953704261</v>
      </c>
      <c r="F646" s="13">
        <v>2124</v>
      </c>
      <c r="G646" s="14" t="s">
        <v>63</v>
      </c>
      <c r="H646" s="15">
        <v>5139</v>
      </c>
      <c r="I646" s="15">
        <v>892</v>
      </c>
      <c r="J646" s="15">
        <v>76</v>
      </c>
      <c r="K646" s="16">
        <v>13413</v>
      </c>
      <c r="L646" s="17">
        <f t="shared" si="50"/>
        <v>0.17357462541350457</v>
      </c>
      <c r="M646" s="17">
        <f t="shared" si="50"/>
        <v>8.520179372197309E-2</v>
      </c>
      <c r="N646" s="18">
        <f t="shared" si="51"/>
        <v>17.036995515695068</v>
      </c>
      <c r="O646" s="18">
        <f t="shared" si="52"/>
        <v>199.96052631578948</v>
      </c>
      <c r="P646" s="17">
        <f t="shared" si="53"/>
        <v>7.1548964218455744</v>
      </c>
      <c r="Q646" s="17">
        <f t="shared" si="54"/>
        <v>0.88260840955451736</v>
      </c>
      <c r="R646" s="10" t="s">
        <v>1324</v>
      </c>
      <c r="S646" s="14" t="s">
        <v>31</v>
      </c>
      <c r="T646" s="14" t="s">
        <v>27</v>
      </c>
      <c r="U646" s="13">
        <v>15197</v>
      </c>
      <c r="V646" s="15">
        <v>2</v>
      </c>
      <c r="W646" s="9" t="str">
        <f>IF(Table1[[#This Row],[Satisfaction Rating]]&lt;2, "Low", IF(Table1[[#This Row],[Satisfaction Rating]]&lt;4, "Medium", "High"))</f>
        <v>Medium</v>
      </c>
    </row>
    <row r="647" spans="1:23" ht="14" x14ac:dyDescent="0.2">
      <c r="A647" s="10" t="s">
        <v>1325</v>
      </c>
      <c r="B647" s="11">
        <v>45607.979502314818</v>
      </c>
      <c r="C647" s="11">
        <v>45607.979502314818</v>
      </c>
      <c r="D647" s="11" t="str">
        <f>IF(Table1[[#This Row],[Duration of Campaign]]=0, "Ongoing","Completed")</f>
        <v>Ongoing</v>
      </c>
      <c r="E647" s="12">
        <f>Table1[[#This Row],[End Date]]-Table1[[#This Row],[Start Date]]</f>
        <v>0</v>
      </c>
      <c r="F647" s="13">
        <v>6981</v>
      </c>
      <c r="G647" s="14" t="s">
        <v>63</v>
      </c>
      <c r="H647" s="15">
        <v>5584</v>
      </c>
      <c r="I647" s="15">
        <v>770</v>
      </c>
      <c r="J647" s="15">
        <v>19</v>
      </c>
      <c r="K647" s="16">
        <v>9526</v>
      </c>
      <c r="L647" s="17">
        <f t="shared" si="50"/>
        <v>0.13789398280802292</v>
      </c>
      <c r="M647" s="17">
        <f t="shared" si="50"/>
        <v>2.4675324675324677E-2</v>
      </c>
      <c r="N647" s="18">
        <f t="shared" si="51"/>
        <v>17.758441558441557</v>
      </c>
      <c r="O647" s="18">
        <f t="shared" si="52"/>
        <v>719.68421052631584</v>
      </c>
      <c r="P647" s="17">
        <f t="shared" si="53"/>
        <v>1.958745165449076</v>
      </c>
      <c r="Q647" s="17">
        <f t="shared" si="54"/>
        <v>0.69665057773877437</v>
      </c>
      <c r="R647" s="10" t="s">
        <v>1326</v>
      </c>
      <c r="S647" s="14" t="s">
        <v>34</v>
      </c>
      <c r="T647" s="14" t="s">
        <v>55</v>
      </c>
      <c r="U647" s="13">
        <v>13674</v>
      </c>
      <c r="V647" s="15">
        <v>4</v>
      </c>
      <c r="W647" s="9" t="str">
        <f>IF(Table1[[#This Row],[Satisfaction Rating]]&lt;2, "Low", IF(Table1[[#This Row],[Satisfaction Rating]]&lt;4, "Medium", "High"))</f>
        <v>High</v>
      </c>
    </row>
    <row r="648" spans="1:23" ht="14" x14ac:dyDescent="0.2">
      <c r="A648" s="10" t="s">
        <v>1327</v>
      </c>
      <c r="B648" s="11">
        <v>45478.334456018521</v>
      </c>
      <c r="C648" s="11">
        <v>45478.334456018521</v>
      </c>
      <c r="D648" s="11" t="str">
        <f>IF(Table1[[#This Row],[Duration of Campaign]]=0, "Ongoing","Completed")</f>
        <v>Ongoing</v>
      </c>
      <c r="E648" s="12">
        <f>Table1[[#This Row],[End Date]]-Table1[[#This Row],[Start Date]]</f>
        <v>0</v>
      </c>
      <c r="F648" s="13">
        <v>8235</v>
      </c>
      <c r="G648" s="14" t="s">
        <v>47</v>
      </c>
      <c r="H648" s="15">
        <v>11682</v>
      </c>
      <c r="I648" s="15">
        <v>1785</v>
      </c>
      <c r="J648" s="15">
        <v>125</v>
      </c>
      <c r="K648" s="16">
        <v>12942</v>
      </c>
      <c r="L648" s="17">
        <f t="shared" si="50"/>
        <v>0.15279917822290703</v>
      </c>
      <c r="M648" s="17">
        <f t="shared" si="50"/>
        <v>7.0028011204481794E-2</v>
      </c>
      <c r="N648" s="18">
        <f t="shared" si="51"/>
        <v>7.8605042016806719</v>
      </c>
      <c r="O648" s="18">
        <f t="shared" si="52"/>
        <v>112.248</v>
      </c>
      <c r="P648" s="17">
        <f t="shared" si="53"/>
        <v>1.7038251366120218</v>
      </c>
      <c r="Q648" s="17">
        <f t="shared" si="54"/>
        <v>0.92238614496472093</v>
      </c>
      <c r="R648" s="10" t="s">
        <v>1328</v>
      </c>
      <c r="S648" s="14" t="s">
        <v>31</v>
      </c>
      <c r="T648" s="14" t="s">
        <v>55</v>
      </c>
      <c r="U648" s="13">
        <v>14031</v>
      </c>
      <c r="V648" s="15">
        <v>5</v>
      </c>
      <c r="W648" s="9" t="str">
        <f>IF(Table1[[#This Row],[Satisfaction Rating]]&lt;2, "Low", IF(Table1[[#This Row],[Satisfaction Rating]]&lt;4, "Medium", "High"))</f>
        <v>High</v>
      </c>
    </row>
    <row r="649" spans="1:23" ht="14" x14ac:dyDescent="0.2">
      <c r="A649" s="10" t="s">
        <v>1329</v>
      </c>
      <c r="B649" s="11">
        <v>45207.862696759257</v>
      </c>
      <c r="C649" s="11">
        <v>45619.499155092592</v>
      </c>
      <c r="D649" s="11" t="str">
        <f>IF(Table1[[#This Row],[Duration of Campaign]]=0, "Ongoing","Completed")</f>
        <v>Completed</v>
      </c>
      <c r="E649" s="12">
        <f>Table1[[#This Row],[End Date]]-Table1[[#This Row],[Start Date]]</f>
        <v>411.6364583333343</v>
      </c>
      <c r="F649" s="13">
        <v>5892</v>
      </c>
      <c r="G649" s="14" t="s">
        <v>47</v>
      </c>
      <c r="H649" s="15">
        <v>7137</v>
      </c>
      <c r="I649" s="15">
        <v>315</v>
      </c>
      <c r="J649" s="15">
        <v>304</v>
      </c>
      <c r="K649" s="16">
        <v>3718</v>
      </c>
      <c r="L649" s="17">
        <f t="shared" si="50"/>
        <v>4.4136191677175286E-2</v>
      </c>
      <c r="M649" s="17">
        <f t="shared" si="50"/>
        <v>0.96507936507936509</v>
      </c>
      <c r="N649" s="18">
        <f t="shared" si="51"/>
        <v>24.736507936507937</v>
      </c>
      <c r="O649" s="18">
        <f t="shared" si="52"/>
        <v>25.631578947368421</v>
      </c>
      <c r="P649" s="17">
        <f t="shared" si="53"/>
        <v>1.3224711473183979</v>
      </c>
      <c r="Q649" s="17">
        <f t="shared" si="54"/>
        <v>0.4771560574948665</v>
      </c>
      <c r="R649" s="10" t="s">
        <v>1330</v>
      </c>
      <c r="S649" s="14" t="s">
        <v>45</v>
      </c>
      <c r="T649" s="14" t="s">
        <v>37</v>
      </c>
      <c r="U649" s="13">
        <v>7792</v>
      </c>
      <c r="V649" s="15">
        <v>1</v>
      </c>
      <c r="W649" s="9" t="str">
        <f>IF(Table1[[#This Row],[Satisfaction Rating]]&lt;2, "Low", IF(Table1[[#This Row],[Satisfaction Rating]]&lt;4, "Medium", "High"))</f>
        <v>Low</v>
      </c>
    </row>
    <row r="650" spans="1:23" ht="14" x14ac:dyDescent="0.2">
      <c r="A650" s="10" t="s">
        <v>1331</v>
      </c>
      <c r="B650" s="11">
        <v>45128.836562500001</v>
      </c>
      <c r="C650" s="11">
        <v>45526.01840277778</v>
      </c>
      <c r="D650" s="11" t="str">
        <f>IF(Table1[[#This Row],[Duration of Campaign]]=0, "Ongoing","Completed")</f>
        <v>Completed</v>
      </c>
      <c r="E650" s="12">
        <f>Table1[[#This Row],[End Date]]-Table1[[#This Row],[Start Date]]</f>
        <v>397.18184027777897</v>
      </c>
      <c r="F650" s="13">
        <v>1079</v>
      </c>
      <c r="G650" s="14" t="s">
        <v>63</v>
      </c>
      <c r="H650" s="15">
        <v>2308</v>
      </c>
      <c r="I650" s="15">
        <v>325</v>
      </c>
      <c r="J650" s="15">
        <v>344</v>
      </c>
      <c r="K650" s="16">
        <v>9275</v>
      </c>
      <c r="L650" s="17">
        <f t="shared" si="50"/>
        <v>0.14081455805892548</v>
      </c>
      <c r="M650" s="17">
        <f t="shared" si="50"/>
        <v>1.0584615384615386</v>
      </c>
      <c r="N650" s="18">
        <f t="shared" si="51"/>
        <v>44.307692307692307</v>
      </c>
      <c r="O650" s="18">
        <f t="shared" si="52"/>
        <v>41.860465116279073</v>
      </c>
      <c r="P650" s="17">
        <f t="shared" si="53"/>
        <v>13.345690454124188</v>
      </c>
      <c r="Q650" s="17">
        <f t="shared" si="54"/>
        <v>0.64409722222222221</v>
      </c>
      <c r="R650" s="10" t="s">
        <v>1332</v>
      </c>
      <c r="S650" s="14" t="s">
        <v>31</v>
      </c>
      <c r="T650" s="14" t="s">
        <v>55</v>
      </c>
      <c r="U650" s="13">
        <v>14400</v>
      </c>
      <c r="V650" s="15">
        <v>5</v>
      </c>
      <c r="W650" s="9" t="str">
        <f>IF(Table1[[#This Row],[Satisfaction Rating]]&lt;2, "Low", IF(Table1[[#This Row],[Satisfaction Rating]]&lt;4, "Medium", "High"))</f>
        <v>High</v>
      </c>
    </row>
    <row r="651" spans="1:23" ht="14" x14ac:dyDescent="0.2">
      <c r="A651" s="10" t="s">
        <v>1333</v>
      </c>
      <c r="B651" s="11">
        <v>45271.685810185183</v>
      </c>
      <c r="C651" s="11">
        <v>45303.571574074071</v>
      </c>
      <c r="D651" s="11" t="str">
        <f>IF(Table1[[#This Row],[Duration of Campaign]]=0, "Ongoing","Completed")</f>
        <v>Completed</v>
      </c>
      <c r="E651" s="12">
        <f>Table1[[#This Row],[End Date]]-Table1[[#This Row],[Start Date]]</f>
        <v>31.885763888887595</v>
      </c>
      <c r="F651" s="13">
        <v>6643</v>
      </c>
      <c r="G651" s="14" t="s">
        <v>29</v>
      </c>
      <c r="H651" s="15">
        <v>3312</v>
      </c>
      <c r="I651" s="15">
        <v>669</v>
      </c>
      <c r="J651" s="15">
        <v>20</v>
      </c>
      <c r="K651" s="16">
        <v>7590</v>
      </c>
      <c r="L651" s="17">
        <f t="shared" si="50"/>
        <v>0.20199275362318841</v>
      </c>
      <c r="M651" s="17">
        <f t="shared" si="50"/>
        <v>2.9895366218236172E-2</v>
      </c>
      <c r="N651" s="18">
        <f t="shared" si="51"/>
        <v>29.696562032884902</v>
      </c>
      <c r="O651" s="18">
        <f t="shared" si="52"/>
        <v>993.35</v>
      </c>
      <c r="P651" s="17">
        <f t="shared" si="53"/>
        <v>2.9906668673791961</v>
      </c>
      <c r="Q651" s="17">
        <f t="shared" si="54"/>
        <v>0.38204056978909751</v>
      </c>
      <c r="R651" s="10" t="s">
        <v>1334</v>
      </c>
      <c r="S651" s="14" t="s">
        <v>34</v>
      </c>
      <c r="T651" s="14" t="s">
        <v>55</v>
      </c>
      <c r="U651" s="13">
        <v>19867</v>
      </c>
      <c r="V651" s="15">
        <v>3</v>
      </c>
      <c r="W651" s="9" t="str">
        <f>IF(Table1[[#This Row],[Satisfaction Rating]]&lt;2, "Low", IF(Table1[[#This Row],[Satisfaction Rating]]&lt;4, "Medium", "High"))</f>
        <v>Medium</v>
      </c>
    </row>
    <row r="652" spans="1:23" ht="14" x14ac:dyDescent="0.2">
      <c r="A652" s="10" t="s">
        <v>1335</v>
      </c>
      <c r="B652" s="11">
        <v>45415.88863425926</v>
      </c>
      <c r="C652" s="11">
        <v>45415.88863425926</v>
      </c>
      <c r="D652" s="11" t="str">
        <f>IF(Table1[[#This Row],[Duration of Campaign]]=0, "Ongoing","Completed")</f>
        <v>Ongoing</v>
      </c>
      <c r="E652" s="12">
        <f>Table1[[#This Row],[End Date]]-Table1[[#This Row],[Start Date]]</f>
        <v>0</v>
      </c>
      <c r="F652" s="13">
        <v>9987</v>
      </c>
      <c r="G652" s="14" t="s">
        <v>24</v>
      </c>
      <c r="H652" s="15">
        <v>1660</v>
      </c>
      <c r="I652" s="15">
        <v>1096</v>
      </c>
      <c r="J652" s="15">
        <v>441</v>
      </c>
      <c r="K652" s="16">
        <v>14386</v>
      </c>
      <c r="L652" s="17">
        <f t="shared" si="50"/>
        <v>0.66024096385542164</v>
      </c>
      <c r="M652" s="17">
        <f t="shared" si="50"/>
        <v>0.40237226277372262</v>
      </c>
      <c r="N652" s="18">
        <f t="shared" si="51"/>
        <v>7.038321167883212</v>
      </c>
      <c r="O652" s="18">
        <f t="shared" si="52"/>
        <v>17.49206349206349</v>
      </c>
      <c r="P652" s="17">
        <f t="shared" si="53"/>
        <v>0.77240412536297187</v>
      </c>
      <c r="Q652" s="17">
        <f t="shared" si="54"/>
        <v>1.864920922997148</v>
      </c>
      <c r="R652" s="10" t="s">
        <v>1336</v>
      </c>
      <c r="S652" s="14" t="s">
        <v>31</v>
      </c>
      <c r="T652" s="14" t="s">
        <v>27</v>
      </c>
      <c r="U652" s="13">
        <v>7714</v>
      </c>
      <c r="V652" s="15">
        <v>3</v>
      </c>
      <c r="W652" s="9" t="str">
        <f>IF(Table1[[#This Row],[Satisfaction Rating]]&lt;2, "Low", IF(Table1[[#This Row],[Satisfaction Rating]]&lt;4, "Medium", "High"))</f>
        <v>Medium</v>
      </c>
    </row>
    <row r="653" spans="1:23" ht="14" x14ac:dyDescent="0.2">
      <c r="A653" s="10" t="s">
        <v>1337</v>
      </c>
      <c r="B653" s="11">
        <v>45247.527939814812</v>
      </c>
      <c r="C653" s="11">
        <v>45370.682754629626</v>
      </c>
      <c r="D653" s="11" t="str">
        <f>IF(Table1[[#This Row],[Duration of Campaign]]=0, "Ongoing","Completed")</f>
        <v>Completed</v>
      </c>
      <c r="E653" s="12">
        <f>Table1[[#This Row],[End Date]]-Table1[[#This Row],[Start Date]]</f>
        <v>123.15481481481402</v>
      </c>
      <c r="F653" s="13">
        <v>1372</v>
      </c>
      <c r="G653" s="14" t="s">
        <v>47</v>
      </c>
      <c r="H653" s="15">
        <v>16664</v>
      </c>
      <c r="I653" s="15">
        <v>1147</v>
      </c>
      <c r="J653" s="15">
        <v>96</v>
      </c>
      <c r="K653" s="16">
        <v>9286</v>
      </c>
      <c r="L653" s="17">
        <f t="shared" si="50"/>
        <v>6.8831012962073931E-2</v>
      </c>
      <c r="M653" s="17">
        <f t="shared" si="50"/>
        <v>8.3696599825632087E-2</v>
      </c>
      <c r="N653" s="18">
        <f t="shared" si="51"/>
        <v>11.238012205754142</v>
      </c>
      <c r="O653" s="18">
        <f t="shared" si="52"/>
        <v>134.27083333333334</v>
      </c>
      <c r="P653" s="17">
        <f t="shared" si="53"/>
        <v>9.3950437317784257</v>
      </c>
      <c r="Q653" s="17">
        <f t="shared" si="54"/>
        <v>0.7204034134988363</v>
      </c>
      <c r="R653" s="10" t="s">
        <v>1338</v>
      </c>
      <c r="S653" s="14" t="s">
        <v>45</v>
      </c>
      <c r="T653" s="14" t="s">
        <v>55</v>
      </c>
      <c r="U653" s="13">
        <v>12890</v>
      </c>
      <c r="V653" s="15">
        <v>2</v>
      </c>
      <c r="W653" s="9" t="str">
        <f>IF(Table1[[#This Row],[Satisfaction Rating]]&lt;2, "Low", IF(Table1[[#This Row],[Satisfaction Rating]]&lt;4, "Medium", "High"))</f>
        <v>Medium</v>
      </c>
    </row>
    <row r="654" spans="1:23" ht="14" x14ac:dyDescent="0.2">
      <c r="A654" s="10" t="s">
        <v>1339</v>
      </c>
      <c r="B654" s="11">
        <v>45624.923807870371</v>
      </c>
      <c r="C654" s="11">
        <v>45624.923807870371</v>
      </c>
      <c r="D654" s="11" t="str">
        <f>IF(Table1[[#This Row],[Duration of Campaign]]=0, "Ongoing","Completed")</f>
        <v>Ongoing</v>
      </c>
      <c r="E654" s="12">
        <f>Table1[[#This Row],[End Date]]-Table1[[#This Row],[Start Date]]</f>
        <v>0</v>
      </c>
      <c r="F654" s="13">
        <v>3055</v>
      </c>
      <c r="G654" s="14" t="s">
        <v>47</v>
      </c>
      <c r="H654" s="15">
        <v>15695</v>
      </c>
      <c r="I654" s="15">
        <v>1642</v>
      </c>
      <c r="J654" s="15">
        <v>389</v>
      </c>
      <c r="K654" s="16">
        <v>8444</v>
      </c>
      <c r="L654" s="17">
        <f t="shared" si="50"/>
        <v>0.10461930551130934</v>
      </c>
      <c r="M654" s="17">
        <f t="shared" si="50"/>
        <v>0.23690621193666261</v>
      </c>
      <c r="N654" s="18">
        <f t="shared" si="51"/>
        <v>9.3179049939098668</v>
      </c>
      <c r="O654" s="18">
        <f t="shared" si="52"/>
        <v>39.331619537275067</v>
      </c>
      <c r="P654" s="17">
        <f t="shared" si="53"/>
        <v>5.0081833060556464</v>
      </c>
      <c r="Q654" s="17">
        <f t="shared" si="54"/>
        <v>0.55189542483660126</v>
      </c>
      <c r="R654" s="10" t="s">
        <v>1340</v>
      </c>
      <c r="S654" s="14" t="s">
        <v>31</v>
      </c>
      <c r="T654" s="14" t="s">
        <v>27</v>
      </c>
      <c r="U654" s="13">
        <v>15300</v>
      </c>
      <c r="V654" s="15">
        <v>5</v>
      </c>
      <c r="W654" s="9" t="str">
        <f>IF(Table1[[#This Row],[Satisfaction Rating]]&lt;2, "Low", IF(Table1[[#This Row],[Satisfaction Rating]]&lt;4, "Medium", "High"))</f>
        <v>High</v>
      </c>
    </row>
    <row r="655" spans="1:23" ht="14" x14ac:dyDescent="0.2">
      <c r="A655" s="10" t="s">
        <v>1341</v>
      </c>
      <c r="B655" s="11">
        <v>45281.868043981478</v>
      </c>
      <c r="C655" s="11">
        <v>45281.868043981478</v>
      </c>
      <c r="D655" s="11" t="str">
        <f>IF(Table1[[#This Row],[Duration of Campaign]]=0, "Ongoing","Completed")</f>
        <v>Ongoing</v>
      </c>
      <c r="E655" s="12">
        <f>Table1[[#This Row],[End Date]]-Table1[[#This Row],[Start Date]]</f>
        <v>0</v>
      </c>
      <c r="F655" s="13">
        <v>4058</v>
      </c>
      <c r="G655" s="14" t="s">
        <v>29</v>
      </c>
      <c r="H655" s="15">
        <v>8560</v>
      </c>
      <c r="I655" s="15">
        <v>873</v>
      </c>
      <c r="J655" s="15">
        <v>494</v>
      </c>
      <c r="K655" s="16">
        <v>2025</v>
      </c>
      <c r="L655" s="17">
        <f t="shared" si="50"/>
        <v>0.10198598130841122</v>
      </c>
      <c r="M655" s="17">
        <f t="shared" si="50"/>
        <v>0.56586483390607101</v>
      </c>
      <c r="N655" s="18">
        <f t="shared" si="51"/>
        <v>6.1924398625429555</v>
      </c>
      <c r="O655" s="18">
        <f t="shared" si="52"/>
        <v>10.943319838056681</v>
      </c>
      <c r="P655" s="17">
        <f t="shared" si="53"/>
        <v>1.3321833415475604</v>
      </c>
      <c r="Q655" s="17">
        <f t="shared" si="54"/>
        <v>0.37458379578246392</v>
      </c>
      <c r="R655" s="10" t="s">
        <v>1342</v>
      </c>
      <c r="S655" s="14" t="s">
        <v>45</v>
      </c>
      <c r="T655" s="14" t="s">
        <v>37</v>
      </c>
      <c r="U655" s="13">
        <v>5406</v>
      </c>
      <c r="V655" s="15">
        <v>2</v>
      </c>
      <c r="W655" s="9" t="str">
        <f>IF(Table1[[#This Row],[Satisfaction Rating]]&lt;2, "Low", IF(Table1[[#This Row],[Satisfaction Rating]]&lt;4, "Medium", "High"))</f>
        <v>Medium</v>
      </c>
    </row>
    <row r="656" spans="1:23" ht="14" x14ac:dyDescent="0.2">
      <c r="A656" s="10" t="s">
        <v>1343</v>
      </c>
      <c r="B656" s="11">
        <v>45268.910162037035</v>
      </c>
      <c r="C656" s="11">
        <v>45268.910162037035</v>
      </c>
      <c r="D656" s="11" t="str">
        <f>IF(Table1[[#This Row],[Duration of Campaign]]=0, "Ongoing","Completed")</f>
        <v>Ongoing</v>
      </c>
      <c r="E656" s="12">
        <f>Table1[[#This Row],[End Date]]-Table1[[#This Row],[Start Date]]</f>
        <v>0</v>
      </c>
      <c r="F656" s="13">
        <v>8909</v>
      </c>
      <c r="G656" s="14" t="s">
        <v>24</v>
      </c>
      <c r="H656" s="15">
        <v>15272</v>
      </c>
      <c r="I656" s="15">
        <v>1312</v>
      </c>
      <c r="J656" s="15">
        <v>330</v>
      </c>
      <c r="K656" s="16">
        <v>8979</v>
      </c>
      <c r="L656" s="17">
        <f t="shared" si="50"/>
        <v>8.590885280251441E-2</v>
      </c>
      <c r="M656" s="17">
        <f t="shared" si="50"/>
        <v>0.25152439024390244</v>
      </c>
      <c r="N656" s="18">
        <f t="shared" si="51"/>
        <v>11.02515243902439</v>
      </c>
      <c r="O656" s="18">
        <f t="shared" si="52"/>
        <v>43.833333333333336</v>
      </c>
      <c r="P656" s="17">
        <f t="shared" si="53"/>
        <v>1.6236390167246604</v>
      </c>
      <c r="Q656" s="17">
        <f t="shared" si="54"/>
        <v>0.62073971655720706</v>
      </c>
      <c r="R656" s="10" t="s">
        <v>1344</v>
      </c>
      <c r="S656" s="14" t="s">
        <v>40</v>
      </c>
      <c r="T656" s="14" t="s">
        <v>37</v>
      </c>
      <c r="U656" s="13">
        <v>14465</v>
      </c>
      <c r="V656" s="15">
        <v>1</v>
      </c>
      <c r="W656" s="9" t="str">
        <f>IF(Table1[[#This Row],[Satisfaction Rating]]&lt;2, "Low", IF(Table1[[#This Row],[Satisfaction Rating]]&lt;4, "Medium", "High"))</f>
        <v>Low</v>
      </c>
    </row>
    <row r="657" spans="1:23" ht="14" x14ac:dyDescent="0.2">
      <c r="A657" s="10" t="s">
        <v>1345</v>
      </c>
      <c r="B657" s="11">
        <v>45385.161145833335</v>
      </c>
      <c r="C657" s="11">
        <v>45385.161145833335</v>
      </c>
      <c r="D657" s="11" t="str">
        <f>IF(Table1[[#This Row],[Duration of Campaign]]=0, "Ongoing","Completed")</f>
        <v>Ongoing</v>
      </c>
      <c r="E657" s="12">
        <f>Table1[[#This Row],[End Date]]-Table1[[#This Row],[Start Date]]</f>
        <v>0</v>
      </c>
      <c r="F657" s="13">
        <v>8145</v>
      </c>
      <c r="G657" s="14" t="s">
        <v>29</v>
      </c>
      <c r="H657" s="15">
        <v>9993</v>
      </c>
      <c r="I657" s="15">
        <v>348</v>
      </c>
      <c r="J657" s="15">
        <v>26</v>
      </c>
      <c r="K657" s="16">
        <v>10235</v>
      </c>
      <c r="L657" s="17">
        <f t="shared" si="50"/>
        <v>3.4824377063944763E-2</v>
      </c>
      <c r="M657" s="17">
        <f t="shared" si="50"/>
        <v>7.4712643678160925E-2</v>
      </c>
      <c r="N657" s="18">
        <f t="shared" si="51"/>
        <v>15.683908045977011</v>
      </c>
      <c r="O657" s="18">
        <f t="shared" si="52"/>
        <v>209.92307692307693</v>
      </c>
      <c r="P657" s="17">
        <f t="shared" si="53"/>
        <v>0.67010435850214856</v>
      </c>
      <c r="Q657" s="17">
        <f t="shared" si="54"/>
        <v>1.875229021619641</v>
      </c>
      <c r="R657" s="10" t="s">
        <v>1346</v>
      </c>
      <c r="S657" s="14" t="s">
        <v>45</v>
      </c>
      <c r="T657" s="14" t="s">
        <v>27</v>
      </c>
      <c r="U657" s="13">
        <v>5458</v>
      </c>
      <c r="V657" s="15">
        <v>1</v>
      </c>
      <c r="W657" s="9" t="str">
        <f>IF(Table1[[#This Row],[Satisfaction Rating]]&lt;2, "Low", IF(Table1[[#This Row],[Satisfaction Rating]]&lt;4, "Medium", "High"))</f>
        <v>Low</v>
      </c>
    </row>
    <row r="658" spans="1:23" ht="14" x14ac:dyDescent="0.2">
      <c r="A658" s="10" t="s">
        <v>1347</v>
      </c>
      <c r="B658" s="11">
        <v>45521.873344907406</v>
      </c>
      <c r="C658" s="11">
        <v>45521.873344907406</v>
      </c>
      <c r="D658" s="11" t="str">
        <f>IF(Table1[[#This Row],[Duration of Campaign]]=0, "Ongoing","Completed")</f>
        <v>Ongoing</v>
      </c>
      <c r="E658" s="12">
        <f>Table1[[#This Row],[End Date]]-Table1[[#This Row],[Start Date]]</f>
        <v>0</v>
      </c>
      <c r="F658" s="13">
        <v>2951</v>
      </c>
      <c r="G658" s="14" t="s">
        <v>29</v>
      </c>
      <c r="H658" s="15">
        <v>19091</v>
      </c>
      <c r="I658" s="15">
        <v>722</v>
      </c>
      <c r="J658" s="15">
        <v>269</v>
      </c>
      <c r="K658" s="16">
        <v>6835</v>
      </c>
      <c r="L658" s="17">
        <f t="shared" si="50"/>
        <v>3.7818867529202244E-2</v>
      </c>
      <c r="M658" s="17">
        <f t="shared" si="50"/>
        <v>0.37257617728531855</v>
      </c>
      <c r="N658" s="18">
        <f t="shared" si="51"/>
        <v>6.4168975069252081</v>
      </c>
      <c r="O658" s="18">
        <f t="shared" si="52"/>
        <v>17.223048327137548</v>
      </c>
      <c r="P658" s="17">
        <f t="shared" si="53"/>
        <v>1.5699762792273806</v>
      </c>
      <c r="Q658" s="17">
        <f t="shared" si="54"/>
        <v>1.475285991797971</v>
      </c>
      <c r="R658" s="10" t="s">
        <v>1348</v>
      </c>
      <c r="S658" s="14" t="s">
        <v>31</v>
      </c>
      <c r="T658" s="14" t="s">
        <v>55</v>
      </c>
      <c r="U658" s="13">
        <v>4633</v>
      </c>
      <c r="V658" s="15">
        <v>2</v>
      </c>
      <c r="W658" s="9" t="str">
        <f>IF(Table1[[#This Row],[Satisfaction Rating]]&lt;2, "Low", IF(Table1[[#This Row],[Satisfaction Rating]]&lt;4, "Medium", "High"))</f>
        <v>Medium</v>
      </c>
    </row>
    <row r="659" spans="1:23" ht="14" x14ac:dyDescent="0.2">
      <c r="A659" s="10" t="s">
        <v>1349</v>
      </c>
      <c r="B659" s="11">
        <v>44966.310590277775</v>
      </c>
      <c r="C659" s="11">
        <v>45475.523263888892</v>
      </c>
      <c r="D659" s="11" t="str">
        <f>IF(Table1[[#This Row],[Duration of Campaign]]=0, "Ongoing","Completed")</f>
        <v>Completed</v>
      </c>
      <c r="E659" s="12">
        <f>Table1[[#This Row],[End Date]]-Table1[[#This Row],[Start Date]]</f>
        <v>509.21267361111677</v>
      </c>
      <c r="F659" s="13">
        <v>8982</v>
      </c>
      <c r="G659" s="14" t="s">
        <v>47</v>
      </c>
      <c r="H659" s="15">
        <v>10727</v>
      </c>
      <c r="I659" s="15">
        <v>117</v>
      </c>
      <c r="J659" s="15">
        <v>111</v>
      </c>
      <c r="K659" s="16">
        <v>8341</v>
      </c>
      <c r="L659" s="17">
        <f t="shared" si="50"/>
        <v>1.0907056959075231E-2</v>
      </c>
      <c r="M659" s="17">
        <f t="shared" si="50"/>
        <v>0.94871794871794868</v>
      </c>
      <c r="N659" s="18">
        <f t="shared" si="51"/>
        <v>28.111111111111111</v>
      </c>
      <c r="O659" s="18">
        <f t="shared" si="52"/>
        <v>29.63063063063063</v>
      </c>
      <c r="P659" s="17">
        <f t="shared" si="53"/>
        <v>0.3661767980405255</v>
      </c>
      <c r="Q659" s="17">
        <f t="shared" si="54"/>
        <v>2.5360291882031012</v>
      </c>
      <c r="R659" s="10" t="s">
        <v>1350</v>
      </c>
      <c r="S659" s="14" t="s">
        <v>26</v>
      </c>
      <c r="T659" s="14" t="s">
        <v>55</v>
      </c>
      <c r="U659" s="13">
        <v>3289</v>
      </c>
      <c r="V659" s="15">
        <v>1</v>
      </c>
      <c r="W659" s="9" t="str">
        <f>IF(Table1[[#This Row],[Satisfaction Rating]]&lt;2, "Low", IF(Table1[[#This Row],[Satisfaction Rating]]&lt;4, "Medium", "High"))</f>
        <v>Low</v>
      </c>
    </row>
    <row r="660" spans="1:23" ht="14" x14ac:dyDescent="0.2">
      <c r="A660" s="10" t="s">
        <v>1351</v>
      </c>
      <c r="B660" s="11">
        <v>45259.760254629633</v>
      </c>
      <c r="C660" s="11">
        <v>45310.600370370368</v>
      </c>
      <c r="D660" s="11" t="str">
        <f>IF(Table1[[#This Row],[Duration of Campaign]]=0, "Ongoing","Completed")</f>
        <v>Completed</v>
      </c>
      <c r="E660" s="12">
        <f>Table1[[#This Row],[End Date]]-Table1[[#This Row],[Start Date]]</f>
        <v>50.8401157407352</v>
      </c>
      <c r="F660" s="13">
        <v>2652</v>
      </c>
      <c r="G660" s="14" t="s">
        <v>24</v>
      </c>
      <c r="H660" s="15">
        <v>16422</v>
      </c>
      <c r="I660" s="15">
        <v>1214</v>
      </c>
      <c r="J660" s="15">
        <v>165</v>
      </c>
      <c r="K660" s="16">
        <v>5194</v>
      </c>
      <c r="L660" s="17">
        <f t="shared" si="50"/>
        <v>7.3925222262818169E-2</v>
      </c>
      <c r="M660" s="17">
        <f t="shared" si="50"/>
        <v>0.13591433278418452</v>
      </c>
      <c r="N660" s="18">
        <f t="shared" si="51"/>
        <v>12.831136738056014</v>
      </c>
      <c r="O660" s="18">
        <f t="shared" si="52"/>
        <v>94.406060606060606</v>
      </c>
      <c r="P660" s="17">
        <f t="shared" si="53"/>
        <v>5.8736802413272997</v>
      </c>
      <c r="Q660" s="17">
        <f t="shared" si="54"/>
        <v>0.33344032868973489</v>
      </c>
      <c r="R660" s="10" t="s">
        <v>1352</v>
      </c>
      <c r="S660" s="14" t="s">
        <v>31</v>
      </c>
      <c r="T660" s="14" t="s">
        <v>27</v>
      </c>
      <c r="U660" s="13">
        <v>15577</v>
      </c>
      <c r="V660" s="15">
        <v>1</v>
      </c>
      <c r="W660" s="9" t="str">
        <f>IF(Table1[[#This Row],[Satisfaction Rating]]&lt;2, "Low", IF(Table1[[#This Row],[Satisfaction Rating]]&lt;4, "Medium", "High"))</f>
        <v>Low</v>
      </c>
    </row>
    <row r="661" spans="1:23" ht="14" x14ac:dyDescent="0.2">
      <c r="A661" s="10" t="s">
        <v>1353</v>
      </c>
      <c r="B661" s="11">
        <v>45343.953831018516</v>
      </c>
      <c r="C661" s="11">
        <v>45494.360983796294</v>
      </c>
      <c r="D661" s="11" t="str">
        <f>IF(Table1[[#This Row],[Duration of Campaign]]=0, "Ongoing","Completed")</f>
        <v>Completed</v>
      </c>
      <c r="E661" s="12">
        <f>Table1[[#This Row],[End Date]]-Table1[[#This Row],[Start Date]]</f>
        <v>150.40715277777781</v>
      </c>
      <c r="F661" s="13">
        <v>2920</v>
      </c>
      <c r="G661" s="14" t="s">
        <v>24</v>
      </c>
      <c r="H661" s="15">
        <v>8596</v>
      </c>
      <c r="I661" s="15">
        <v>632</v>
      </c>
      <c r="J661" s="15">
        <v>206</v>
      </c>
      <c r="K661" s="16">
        <v>7613</v>
      </c>
      <c r="L661" s="17">
        <f t="shared" si="50"/>
        <v>7.352256863657515E-2</v>
      </c>
      <c r="M661" s="17">
        <f t="shared" si="50"/>
        <v>0.32594936708860761</v>
      </c>
      <c r="N661" s="18">
        <f t="shared" si="51"/>
        <v>3.2041139240506329</v>
      </c>
      <c r="O661" s="18">
        <f t="shared" si="52"/>
        <v>9.8300970873786415</v>
      </c>
      <c r="P661" s="17">
        <f t="shared" si="53"/>
        <v>0.69349315068493156</v>
      </c>
      <c r="Q661" s="17">
        <f t="shared" si="54"/>
        <v>3.7595061728395063</v>
      </c>
      <c r="R661" s="10" t="s">
        <v>1354</v>
      </c>
      <c r="S661" s="14" t="s">
        <v>40</v>
      </c>
      <c r="T661" s="14" t="s">
        <v>55</v>
      </c>
      <c r="U661" s="13">
        <v>2025</v>
      </c>
      <c r="V661" s="15">
        <v>3</v>
      </c>
      <c r="W661" s="9" t="str">
        <f>IF(Table1[[#This Row],[Satisfaction Rating]]&lt;2, "Low", IF(Table1[[#This Row],[Satisfaction Rating]]&lt;4, "Medium", "High"))</f>
        <v>Medium</v>
      </c>
    </row>
    <row r="662" spans="1:23" ht="14" x14ac:dyDescent="0.2">
      <c r="A662" s="10" t="s">
        <v>1355</v>
      </c>
      <c r="B662" s="11">
        <v>45578.611793981479</v>
      </c>
      <c r="C662" s="11">
        <v>45578.611793981479</v>
      </c>
      <c r="D662" s="11" t="str">
        <f>IF(Table1[[#This Row],[Duration of Campaign]]=0, "Ongoing","Completed")</f>
        <v>Ongoing</v>
      </c>
      <c r="E662" s="12">
        <f>Table1[[#This Row],[End Date]]-Table1[[#This Row],[Start Date]]</f>
        <v>0</v>
      </c>
      <c r="F662" s="13">
        <v>4158</v>
      </c>
      <c r="G662" s="14" t="s">
        <v>47</v>
      </c>
      <c r="H662" s="15">
        <v>16914</v>
      </c>
      <c r="I662" s="15">
        <v>1935</v>
      </c>
      <c r="J662" s="15">
        <v>431</v>
      </c>
      <c r="K662" s="16">
        <v>1374</v>
      </c>
      <c r="L662" s="17">
        <f t="shared" si="50"/>
        <v>0.11440227030862007</v>
      </c>
      <c r="M662" s="17">
        <f t="shared" si="50"/>
        <v>0.22273901808785529</v>
      </c>
      <c r="N662" s="18">
        <f t="shared" si="51"/>
        <v>4.4661498708010337</v>
      </c>
      <c r="O662" s="18">
        <f t="shared" si="52"/>
        <v>20.051044083526683</v>
      </c>
      <c r="P662" s="17">
        <f t="shared" si="53"/>
        <v>2.0784030784030785</v>
      </c>
      <c r="Q662" s="17">
        <f t="shared" si="54"/>
        <v>0.15899097431150197</v>
      </c>
      <c r="R662" s="10" t="s">
        <v>1356</v>
      </c>
      <c r="S662" s="14" t="s">
        <v>40</v>
      </c>
      <c r="T662" s="14" t="s">
        <v>55</v>
      </c>
      <c r="U662" s="13">
        <v>8642</v>
      </c>
      <c r="V662" s="15">
        <v>3</v>
      </c>
      <c r="W662" s="9" t="str">
        <f>IF(Table1[[#This Row],[Satisfaction Rating]]&lt;2, "Low", IF(Table1[[#This Row],[Satisfaction Rating]]&lt;4, "Medium", "High"))</f>
        <v>Medium</v>
      </c>
    </row>
    <row r="663" spans="1:23" ht="14" x14ac:dyDescent="0.2">
      <c r="A663" s="10" t="s">
        <v>1357</v>
      </c>
      <c r="B663" s="11">
        <v>44936.171157407407</v>
      </c>
      <c r="C663" s="11">
        <v>45132.032256944447</v>
      </c>
      <c r="D663" s="11" t="str">
        <f>IF(Table1[[#This Row],[Duration of Campaign]]=0, "Ongoing","Completed")</f>
        <v>Completed</v>
      </c>
      <c r="E663" s="12">
        <f>Table1[[#This Row],[End Date]]-Table1[[#This Row],[Start Date]]</f>
        <v>195.86109953703999</v>
      </c>
      <c r="F663" s="13">
        <v>2767</v>
      </c>
      <c r="G663" s="14" t="s">
        <v>47</v>
      </c>
      <c r="H663" s="15">
        <v>4069</v>
      </c>
      <c r="I663" s="15">
        <v>141</v>
      </c>
      <c r="J663" s="15">
        <v>361</v>
      </c>
      <c r="K663" s="16">
        <v>1489</v>
      </c>
      <c r="L663" s="17">
        <f t="shared" si="50"/>
        <v>3.4652248709756694E-2</v>
      </c>
      <c r="M663" s="17">
        <f t="shared" si="50"/>
        <v>2.5602836879432624</v>
      </c>
      <c r="N663" s="18">
        <f t="shared" si="51"/>
        <v>60.645390070921984</v>
      </c>
      <c r="O663" s="18">
        <f t="shared" si="52"/>
        <v>23.686980609418281</v>
      </c>
      <c r="P663" s="17">
        <f t="shared" si="53"/>
        <v>3.0903505601734729</v>
      </c>
      <c r="Q663" s="17">
        <f t="shared" si="54"/>
        <v>0.17413168050520406</v>
      </c>
      <c r="R663" s="10" t="s">
        <v>1358</v>
      </c>
      <c r="S663" s="14" t="s">
        <v>34</v>
      </c>
      <c r="T663" s="14" t="s">
        <v>37</v>
      </c>
      <c r="U663" s="13">
        <v>8551</v>
      </c>
      <c r="V663" s="15">
        <v>5</v>
      </c>
      <c r="W663" s="9" t="str">
        <f>IF(Table1[[#This Row],[Satisfaction Rating]]&lt;2, "Low", IF(Table1[[#This Row],[Satisfaction Rating]]&lt;4, "Medium", "High"))</f>
        <v>High</v>
      </c>
    </row>
    <row r="664" spans="1:23" ht="14" x14ac:dyDescent="0.2">
      <c r="A664" s="10" t="s">
        <v>1359</v>
      </c>
      <c r="B664" s="11">
        <v>44963.542951388888</v>
      </c>
      <c r="C664" s="11">
        <v>45292.027488425927</v>
      </c>
      <c r="D664" s="11" t="str">
        <f>IF(Table1[[#This Row],[Duration of Campaign]]=0, "Ongoing","Completed")</f>
        <v>Completed</v>
      </c>
      <c r="E664" s="12">
        <f>Table1[[#This Row],[End Date]]-Table1[[#This Row],[Start Date]]</f>
        <v>328.48453703703854</v>
      </c>
      <c r="F664" s="13">
        <v>8998</v>
      </c>
      <c r="G664" s="14" t="s">
        <v>47</v>
      </c>
      <c r="H664" s="15">
        <v>2560</v>
      </c>
      <c r="I664" s="15">
        <v>1756</v>
      </c>
      <c r="J664" s="15">
        <v>59</v>
      </c>
      <c r="K664" s="16">
        <v>5639</v>
      </c>
      <c r="L664" s="17">
        <f t="shared" si="50"/>
        <v>0.68593749999999998</v>
      </c>
      <c r="M664" s="17">
        <f t="shared" si="50"/>
        <v>3.3599088838268794E-2</v>
      </c>
      <c r="N664" s="18">
        <f t="shared" si="51"/>
        <v>7.8268792710706148</v>
      </c>
      <c r="O664" s="18">
        <f t="shared" si="52"/>
        <v>232.94915254237287</v>
      </c>
      <c r="P664" s="17">
        <f t="shared" si="53"/>
        <v>1.5274505445654589</v>
      </c>
      <c r="Q664" s="17">
        <f t="shared" si="54"/>
        <v>0.41028812572759021</v>
      </c>
      <c r="R664" s="10" t="s">
        <v>1360</v>
      </c>
      <c r="S664" s="14" t="s">
        <v>31</v>
      </c>
      <c r="T664" s="14" t="s">
        <v>37</v>
      </c>
      <c r="U664" s="13">
        <v>13744</v>
      </c>
      <c r="V664" s="15">
        <v>1</v>
      </c>
      <c r="W664" s="9" t="str">
        <f>IF(Table1[[#This Row],[Satisfaction Rating]]&lt;2, "Low", IF(Table1[[#This Row],[Satisfaction Rating]]&lt;4, "Medium", "High"))</f>
        <v>Low</v>
      </c>
    </row>
    <row r="665" spans="1:23" ht="14" x14ac:dyDescent="0.2">
      <c r="A665" s="10" t="s">
        <v>1361</v>
      </c>
      <c r="B665" s="11">
        <v>45253.447118055556</v>
      </c>
      <c r="C665" s="11">
        <v>45447.630682870367</v>
      </c>
      <c r="D665" s="11" t="str">
        <f>IF(Table1[[#This Row],[Duration of Campaign]]=0, "Ongoing","Completed")</f>
        <v>Completed</v>
      </c>
      <c r="E665" s="12">
        <f>Table1[[#This Row],[End Date]]-Table1[[#This Row],[Start Date]]</f>
        <v>194.18356481481169</v>
      </c>
      <c r="F665" s="13">
        <v>2575</v>
      </c>
      <c r="G665" s="14" t="s">
        <v>63</v>
      </c>
      <c r="H665" s="15">
        <v>5277</v>
      </c>
      <c r="I665" s="15">
        <v>834</v>
      </c>
      <c r="J665" s="15">
        <v>143</v>
      </c>
      <c r="K665" s="16">
        <v>3636</v>
      </c>
      <c r="L665" s="17">
        <f t="shared" si="50"/>
        <v>0.15804434337691869</v>
      </c>
      <c r="M665" s="17">
        <f t="shared" si="50"/>
        <v>0.17146282973621102</v>
      </c>
      <c r="N665" s="18">
        <f t="shared" si="51"/>
        <v>4.224220623501199</v>
      </c>
      <c r="O665" s="18">
        <f t="shared" si="52"/>
        <v>24.636363636363637</v>
      </c>
      <c r="P665" s="17">
        <f t="shared" si="53"/>
        <v>1.3681553398058253</v>
      </c>
      <c r="Q665" s="17">
        <f t="shared" si="54"/>
        <v>1.0320749361339767</v>
      </c>
      <c r="R665" s="10" t="s">
        <v>1362</v>
      </c>
      <c r="S665" s="14" t="s">
        <v>34</v>
      </c>
      <c r="T665" s="14" t="s">
        <v>37</v>
      </c>
      <c r="U665" s="13">
        <v>3523</v>
      </c>
      <c r="V665" s="15">
        <v>1</v>
      </c>
      <c r="W665" s="9" t="str">
        <f>IF(Table1[[#This Row],[Satisfaction Rating]]&lt;2, "Low", IF(Table1[[#This Row],[Satisfaction Rating]]&lt;4, "Medium", "High"))</f>
        <v>Low</v>
      </c>
    </row>
    <row r="666" spans="1:23" ht="14" x14ac:dyDescent="0.2">
      <c r="A666" s="10" t="s">
        <v>1363</v>
      </c>
      <c r="B666" s="11">
        <v>45336.952604166669</v>
      </c>
      <c r="C666" s="11">
        <v>45336.952604166669</v>
      </c>
      <c r="D666" s="11" t="str">
        <f>IF(Table1[[#This Row],[Duration of Campaign]]=0, "Ongoing","Completed")</f>
        <v>Ongoing</v>
      </c>
      <c r="E666" s="12">
        <f>Table1[[#This Row],[End Date]]-Table1[[#This Row],[Start Date]]</f>
        <v>0</v>
      </c>
      <c r="F666" s="13">
        <v>4274</v>
      </c>
      <c r="G666" s="14" t="s">
        <v>47</v>
      </c>
      <c r="H666" s="15">
        <v>15615</v>
      </c>
      <c r="I666" s="15">
        <v>919</v>
      </c>
      <c r="J666" s="15">
        <v>338</v>
      </c>
      <c r="K666" s="16">
        <v>7405</v>
      </c>
      <c r="L666" s="17">
        <f t="shared" si="50"/>
        <v>5.8853666346461733E-2</v>
      </c>
      <c r="M666" s="17">
        <f t="shared" si="50"/>
        <v>0.36779107725788901</v>
      </c>
      <c r="N666" s="18">
        <f t="shared" si="51"/>
        <v>18.041349292709466</v>
      </c>
      <c r="O666" s="18">
        <f t="shared" si="52"/>
        <v>49.053254437869825</v>
      </c>
      <c r="P666" s="17">
        <f t="shared" si="53"/>
        <v>3.8792700046794573</v>
      </c>
      <c r="Q666" s="17">
        <f t="shared" si="54"/>
        <v>0.44662243667068757</v>
      </c>
      <c r="R666" s="10" t="s">
        <v>1364</v>
      </c>
      <c r="S666" s="14" t="s">
        <v>31</v>
      </c>
      <c r="T666" s="14" t="s">
        <v>37</v>
      </c>
      <c r="U666" s="13">
        <v>16580</v>
      </c>
      <c r="V666" s="15">
        <v>3</v>
      </c>
      <c r="W666" s="9" t="str">
        <f>IF(Table1[[#This Row],[Satisfaction Rating]]&lt;2, "Low", IF(Table1[[#This Row],[Satisfaction Rating]]&lt;4, "Medium", "High"))</f>
        <v>Medium</v>
      </c>
    </row>
    <row r="667" spans="1:23" ht="14" x14ac:dyDescent="0.2">
      <c r="A667" s="10" t="s">
        <v>1365</v>
      </c>
      <c r="B667" s="11">
        <v>44976.873032407406</v>
      </c>
      <c r="C667" s="11">
        <v>45193.629803240743</v>
      </c>
      <c r="D667" s="11" t="str">
        <f>IF(Table1[[#This Row],[Duration of Campaign]]=0, "Ongoing","Completed")</f>
        <v>Completed</v>
      </c>
      <c r="E667" s="12">
        <f>Table1[[#This Row],[End Date]]-Table1[[#This Row],[Start Date]]</f>
        <v>216.75677083333721</v>
      </c>
      <c r="F667" s="13">
        <v>2391</v>
      </c>
      <c r="G667" s="14" t="s">
        <v>63</v>
      </c>
      <c r="H667" s="15">
        <v>11904</v>
      </c>
      <c r="I667" s="15">
        <v>252</v>
      </c>
      <c r="J667" s="15">
        <v>198</v>
      </c>
      <c r="K667" s="16">
        <v>10748</v>
      </c>
      <c r="L667" s="17">
        <f t="shared" si="50"/>
        <v>2.1169354838709676E-2</v>
      </c>
      <c r="M667" s="17">
        <f t="shared" si="50"/>
        <v>0.7857142857142857</v>
      </c>
      <c r="N667" s="18">
        <f t="shared" si="51"/>
        <v>68.984126984126988</v>
      </c>
      <c r="O667" s="18">
        <f t="shared" si="52"/>
        <v>87.797979797979792</v>
      </c>
      <c r="P667" s="17">
        <f t="shared" si="53"/>
        <v>7.2705980761187785</v>
      </c>
      <c r="Q667" s="17">
        <f t="shared" si="54"/>
        <v>0.61826967326277038</v>
      </c>
      <c r="R667" s="10" t="s">
        <v>1366</v>
      </c>
      <c r="S667" s="14" t="s">
        <v>31</v>
      </c>
      <c r="T667" s="14" t="s">
        <v>55</v>
      </c>
      <c r="U667" s="13">
        <v>17384</v>
      </c>
      <c r="V667" s="15">
        <v>3</v>
      </c>
      <c r="W667" s="9" t="str">
        <f>IF(Table1[[#This Row],[Satisfaction Rating]]&lt;2, "Low", IF(Table1[[#This Row],[Satisfaction Rating]]&lt;4, "Medium", "High"))</f>
        <v>Medium</v>
      </c>
    </row>
    <row r="668" spans="1:23" ht="14" x14ac:dyDescent="0.2">
      <c r="A668" s="10" t="s">
        <v>1367</v>
      </c>
      <c r="B668" s="11">
        <v>45389.233182870368</v>
      </c>
      <c r="C668" s="11">
        <v>45389.233182870368</v>
      </c>
      <c r="D668" s="11" t="str">
        <f>IF(Table1[[#This Row],[Duration of Campaign]]=0, "Ongoing","Completed")</f>
        <v>Ongoing</v>
      </c>
      <c r="E668" s="12">
        <f>Table1[[#This Row],[End Date]]-Table1[[#This Row],[Start Date]]</f>
        <v>0</v>
      </c>
      <c r="F668" s="13">
        <v>1262</v>
      </c>
      <c r="G668" s="14" t="s">
        <v>47</v>
      </c>
      <c r="H668" s="15">
        <v>9374</v>
      </c>
      <c r="I668" s="15">
        <v>1399</v>
      </c>
      <c r="J668" s="15">
        <v>94</v>
      </c>
      <c r="K668" s="16">
        <v>6520</v>
      </c>
      <c r="L668" s="17">
        <f t="shared" si="50"/>
        <v>0.14924258587582676</v>
      </c>
      <c r="M668" s="17">
        <f t="shared" si="50"/>
        <v>6.7190850607576846E-2</v>
      </c>
      <c r="N668" s="18">
        <f t="shared" si="51"/>
        <v>8.9099356683345246</v>
      </c>
      <c r="O668" s="18">
        <f t="shared" si="52"/>
        <v>132.60638297872342</v>
      </c>
      <c r="P668" s="17">
        <f t="shared" si="53"/>
        <v>9.8771790808240887</v>
      </c>
      <c r="Q668" s="17">
        <f t="shared" si="54"/>
        <v>0.52306458082631369</v>
      </c>
      <c r="R668" s="10" t="s">
        <v>1368</v>
      </c>
      <c r="S668" s="14" t="s">
        <v>26</v>
      </c>
      <c r="T668" s="14" t="s">
        <v>27</v>
      </c>
      <c r="U668" s="13">
        <v>12465</v>
      </c>
      <c r="V668" s="15">
        <v>5</v>
      </c>
      <c r="W668" s="9" t="str">
        <f>IF(Table1[[#This Row],[Satisfaction Rating]]&lt;2, "Low", IF(Table1[[#This Row],[Satisfaction Rating]]&lt;4, "Medium", "High"))</f>
        <v>High</v>
      </c>
    </row>
    <row r="669" spans="1:23" ht="14" x14ac:dyDescent="0.2">
      <c r="A669" s="10" t="s">
        <v>1369</v>
      </c>
      <c r="B669" s="11">
        <v>45591.292743055557</v>
      </c>
      <c r="C669" s="11">
        <v>45591.292743055557</v>
      </c>
      <c r="D669" s="11" t="str">
        <f>IF(Table1[[#This Row],[Duration of Campaign]]=0, "Ongoing","Completed")</f>
        <v>Ongoing</v>
      </c>
      <c r="E669" s="12">
        <f>Table1[[#This Row],[End Date]]-Table1[[#This Row],[Start Date]]</f>
        <v>0</v>
      </c>
      <c r="F669" s="13">
        <v>1697</v>
      </c>
      <c r="G669" s="14" t="s">
        <v>29</v>
      </c>
      <c r="H669" s="15">
        <v>12907</v>
      </c>
      <c r="I669" s="15">
        <v>128</v>
      </c>
      <c r="J669" s="15">
        <v>126</v>
      </c>
      <c r="K669" s="16">
        <v>7134</v>
      </c>
      <c r="L669" s="17">
        <f t="shared" si="50"/>
        <v>9.9170992484698232E-3</v>
      </c>
      <c r="M669" s="17">
        <f t="shared" si="50"/>
        <v>0.984375</v>
      </c>
      <c r="N669" s="18">
        <f t="shared" si="51"/>
        <v>14.8125</v>
      </c>
      <c r="O669" s="18">
        <f t="shared" si="52"/>
        <v>15.047619047619047</v>
      </c>
      <c r="P669" s="17">
        <f t="shared" si="53"/>
        <v>1.1172657631113729</v>
      </c>
      <c r="Q669" s="17">
        <f t="shared" si="54"/>
        <v>3.7626582278481013</v>
      </c>
      <c r="R669" s="10" t="s">
        <v>1370</v>
      </c>
      <c r="S669" s="14" t="s">
        <v>40</v>
      </c>
      <c r="T669" s="14" t="s">
        <v>55</v>
      </c>
      <c r="U669" s="13">
        <v>1896</v>
      </c>
      <c r="V669" s="15">
        <v>1</v>
      </c>
      <c r="W669" s="9" t="str">
        <f>IF(Table1[[#This Row],[Satisfaction Rating]]&lt;2, "Low", IF(Table1[[#This Row],[Satisfaction Rating]]&lt;4, "Medium", "High"))</f>
        <v>Low</v>
      </c>
    </row>
    <row r="670" spans="1:23" ht="14" x14ac:dyDescent="0.2">
      <c r="A670" s="10" t="s">
        <v>1371</v>
      </c>
      <c r="B670" s="11">
        <v>45511.947245370371</v>
      </c>
      <c r="C670" s="11">
        <v>45511.947245370371</v>
      </c>
      <c r="D670" s="11" t="str">
        <f>IF(Table1[[#This Row],[Duration of Campaign]]=0, "Ongoing","Completed")</f>
        <v>Ongoing</v>
      </c>
      <c r="E670" s="12">
        <f>Table1[[#This Row],[End Date]]-Table1[[#This Row],[Start Date]]</f>
        <v>0</v>
      </c>
      <c r="F670" s="13">
        <v>9299</v>
      </c>
      <c r="G670" s="14" t="s">
        <v>63</v>
      </c>
      <c r="H670" s="15">
        <v>4550</v>
      </c>
      <c r="I670" s="15">
        <v>240</v>
      </c>
      <c r="J670" s="15">
        <v>397</v>
      </c>
      <c r="K670" s="16">
        <v>14570</v>
      </c>
      <c r="L670" s="17">
        <f t="shared" si="50"/>
        <v>5.2747252747252747E-2</v>
      </c>
      <c r="M670" s="17">
        <f t="shared" si="50"/>
        <v>1.6541666666666666</v>
      </c>
      <c r="N670" s="18">
        <f t="shared" si="51"/>
        <v>65.95</v>
      </c>
      <c r="O670" s="18">
        <f t="shared" si="52"/>
        <v>39.869017632241814</v>
      </c>
      <c r="P670" s="17">
        <f t="shared" si="53"/>
        <v>1.7021185073663836</v>
      </c>
      <c r="Q670" s="17">
        <f t="shared" si="54"/>
        <v>0.92052059641142281</v>
      </c>
      <c r="R670" s="10" t="s">
        <v>1372</v>
      </c>
      <c r="S670" s="14" t="s">
        <v>34</v>
      </c>
      <c r="T670" s="14" t="s">
        <v>27</v>
      </c>
      <c r="U670" s="13">
        <v>15828</v>
      </c>
      <c r="V670" s="15">
        <v>4</v>
      </c>
      <c r="W670" s="9" t="str">
        <f>IF(Table1[[#This Row],[Satisfaction Rating]]&lt;2, "Low", IF(Table1[[#This Row],[Satisfaction Rating]]&lt;4, "Medium", "High"))</f>
        <v>High</v>
      </c>
    </row>
    <row r="671" spans="1:23" ht="14" x14ac:dyDescent="0.2">
      <c r="A671" s="10" t="s">
        <v>1373</v>
      </c>
      <c r="B671" s="11">
        <v>44975.852673611109</v>
      </c>
      <c r="C671" s="11">
        <v>45471.388182870367</v>
      </c>
      <c r="D671" s="11" t="str">
        <f>IF(Table1[[#This Row],[Duration of Campaign]]=0, "Ongoing","Completed")</f>
        <v>Completed</v>
      </c>
      <c r="E671" s="12">
        <f>Table1[[#This Row],[End Date]]-Table1[[#This Row],[Start Date]]</f>
        <v>495.53550925925811</v>
      </c>
      <c r="F671" s="13">
        <v>7324</v>
      </c>
      <c r="G671" s="14" t="s">
        <v>47</v>
      </c>
      <c r="H671" s="15">
        <v>14931</v>
      </c>
      <c r="I671" s="15">
        <v>220</v>
      </c>
      <c r="J671" s="15">
        <v>324</v>
      </c>
      <c r="K671" s="16">
        <v>3720</v>
      </c>
      <c r="L671" s="17">
        <f t="shared" si="50"/>
        <v>1.473444511419195E-2</v>
      </c>
      <c r="M671" s="17">
        <f t="shared" si="50"/>
        <v>1.4727272727272727</v>
      </c>
      <c r="N671" s="18">
        <f t="shared" si="51"/>
        <v>15.504545454545454</v>
      </c>
      <c r="O671" s="18">
        <f t="shared" si="52"/>
        <v>10.527777777777779</v>
      </c>
      <c r="P671" s="17">
        <f t="shared" si="53"/>
        <v>0.46572910977607862</v>
      </c>
      <c r="Q671" s="17">
        <f t="shared" si="54"/>
        <v>1.0905892700087951</v>
      </c>
      <c r="R671" s="10" t="s">
        <v>1374</v>
      </c>
      <c r="S671" s="14" t="s">
        <v>31</v>
      </c>
      <c r="T671" s="14" t="s">
        <v>55</v>
      </c>
      <c r="U671" s="13">
        <v>3411</v>
      </c>
      <c r="V671" s="15">
        <v>2</v>
      </c>
      <c r="W671" s="9" t="str">
        <f>IF(Table1[[#This Row],[Satisfaction Rating]]&lt;2, "Low", IF(Table1[[#This Row],[Satisfaction Rating]]&lt;4, "Medium", "High"))</f>
        <v>Medium</v>
      </c>
    </row>
    <row r="672" spans="1:23" ht="14" x14ac:dyDescent="0.2">
      <c r="A672" s="10" t="s">
        <v>1375</v>
      </c>
      <c r="B672" s="11">
        <v>45255.283842592595</v>
      </c>
      <c r="C672" s="11">
        <v>45255.283842592595</v>
      </c>
      <c r="D672" s="11" t="str">
        <f>IF(Table1[[#This Row],[Duration of Campaign]]=0, "Ongoing","Completed")</f>
        <v>Ongoing</v>
      </c>
      <c r="E672" s="12">
        <f>Table1[[#This Row],[End Date]]-Table1[[#This Row],[Start Date]]</f>
        <v>0</v>
      </c>
      <c r="F672" s="13">
        <v>1790</v>
      </c>
      <c r="G672" s="14" t="s">
        <v>63</v>
      </c>
      <c r="H672" s="15">
        <v>3097</v>
      </c>
      <c r="I672" s="15">
        <v>982</v>
      </c>
      <c r="J672" s="15">
        <v>338</v>
      </c>
      <c r="K672" s="16">
        <v>7020</v>
      </c>
      <c r="L672" s="17">
        <f t="shared" si="50"/>
        <v>0.31708104617371652</v>
      </c>
      <c r="M672" s="17">
        <f t="shared" si="50"/>
        <v>0.34419551934826886</v>
      </c>
      <c r="N672" s="18">
        <f t="shared" si="51"/>
        <v>5.1904276985743385</v>
      </c>
      <c r="O672" s="18">
        <f t="shared" si="52"/>
        <v>15.079881656804734</v>
      </c>
      <c r="P672" s="17">
        <f t="shared" si="53"/>
        <v>2.8474860335195529</v>
      </c>
      <c r="Q672" s="17">
        <f t="shared" si="54"/>
        <v>1.3772807533843436</v>
      </c>
      <c r="R672" s="10" t="s">
        <v>1376</v>
      </c>
      <c r="S672" s="14" t="s">
        <v>26</v>
      </c>
      <c r="T672" s="14" t="s">
        <v>27</v>
      </c>
      <c r="U672" s="13">
        <v>5097</v>
      </c>
      <c r="V672" s="15">
        <v>4</v>
      </c>
      <c r="W672" s="9" t="str">
        <f>IF(Table1[[#This Row],[Satisfaction Rating]]&lt;2, "Low", IF(Table1[[#This Row],[Satisfaction Rating]]&lt;4, "Medium", "High"))</f>
        <v>High</v>
      </c>
    </row>
    <row r="673" spans="1:23" ht="14" x14ac:dyDescent="0.2">
      <c r="A673" s="10" t="s">
        <v>1377</v>
      </c>
      <c r="B673" s="11">
        <v>45042.252939814818</v>
      </c>
      <c r="C673" s="11">
        <v>45284.815266203703</v>
      </c>
      <c r="D673" s="11" t="str">
        <f>IF(Table1[[#This Row],[Duration of Campaign]]=0, "Ongoing","Completed")</f>
        <v>Completed</v>
      </c>
      <c r="E673" s="12">
        <f>Table1[[#This Row],[End Date]]-Table1[[#This Row],[Start Date]]</f>
        <v>242.56232638888469</v>
      </c>
      <c r="F673" s="13">
        <v>9736</v>
      </c>
      <c r="G673" s="14" t="s">
        <v>47</v>
      </c>
      <c r="H673" s="15">
        <v>16245</v>
      </c>
      <c r="I673" s="15">
        <v>941</v>
      </c>
      <c r="J673" s="15">
        <v>10</v>
      </c>
      <c r="K673" s="16">
        <v>12711</v>
      </c>
      <c r="L673" s="17">
        <f t="shared" si="50"/>
        <v>5.7925515543244079E-2</v>
      </c>
      <c r="M673" s="17">
        <f t="shared" si="50"/>
        <v>1.0626992561105207E-2</v>
      </c>
      <c r="N673" s="18">
        <f t="shared" si="51"/>
        <v>3.6482465462274178</v>
      </c>
      <c r="O673" s="18">
        <f t="shared" si="52"/>
        <v>343.3</v>
      </c>
      <c r="P673" s="17">
        <f t="shared" si="53"/>
        <v>0.35260887428101889</v>
      </c>
      <c r="Q673" s="17">
        <f t="shared" si="54"/>
        <v>3.7025924847072531</v>
      </c>
      <c r="R673" s="10" t="s">
        <v>1378</v>
      </c>
      <c r="S673" s="14" t="s">
        <v>34</v>
      </c>
      <c r="T673" s="14" t="s">
        <v>37</v>
      </c>
      <c r="U673" s="13">
        <v>3433</v>
      </c>
      <c r="V673" s="15">
        <v>5</v>
      </c>
      <c r="W673" s="9" t="str">
        <f>IF(Table1[[#This Row],[Satisfaction Rating]]&lt;2, "Low", IF(Table1[[#This Row],[Satisfaction Rating]]&lt;4, "Medium", "High"))</f>
        <v>High</v>
      </c>
    </row>
    <row r="674" spans="1:23" ht="14" x14ac:dyDescent="0.2">
      <c r="A674" s="10" t="s">
        <v>1379</v>
      </c>
      <c r="B674" s="11">
        <v>45242.101331018515</v>
      </c>
      <c r="C674" s="11">
        <v>45242.101331018515</v>
      </c>
      <c r="D674" s="11" t="str">
        <f>IF(Table1[[#This Row],[Duration of Campaign]]=0, "Ongoing","Completed")</f>
        <v>Ongoing</v>
      </c>
      <c r="E674" s="12">
        <f>Table1[[#This Row],[End Date]]-Table1[[#This Row],[Start Date]]</f>
        <v>0</v>
      </c>
      <c r="F674" s="13">
        <v>3314</v>
      </c>
      <c r="G674" s="14" t="s">
        <v>47</v>
      </c>
      <c r="H674" s="15">
        <v>9644</v>
      </c>
      <c r="I674" s="15">
        <v>236</v>
      </c>
      <c r="J674" s="15">
        <v>278</v>
      </c>
      <c r="K674" s="16">
        <v>6668</v>
      </c>
      <c r="L674" s="17">
        <f t="shared" si="50"/>
        <v>2.4471173786810452E-2</v>
      </c>
      <c r="M674" s="17">
        <f t="shared" si="50"/>
        <v>1.1779661016949152</v>
      </c>
      <c r="N674" s="18">
        <f t="shared" si="51"/>
        <v>69.322033898305079</v>
      </c>
      <c r="O674" s="18">
        <f t="shared" si="52"/>
        <v>58.848920863309353</v>
      </c>
      <c r="P674" s="17">
        <f t="shared" si="53"/>
        <v>4.9366324683162341</v>
      </c>
      <c r="Q674" s="17">
        <f t="shared" si="54"/>
        <v>0.40757946210268947</v>
      </c>
      <c r="R674" s="10" t="s">
        <v>1380</v>
      </c>
      <c r="S674" s="14" t="s">
        <v>34</v>
      </c>
      <c r="T674" s="14" t="s">
        <v>55</v>
      </c>
      <c r="U674" s="13">
        <v>16360</v>
      </c>
      <c r="V674" s="15">
        <v>1</v>
      </c>
      <c r="W674" s="9" t="str">
        <f>IF(Table1[[#This Row],[Satisfaction Rating]]&lt;2, "Low", IF(Table1[[#This Row],[Satisfaction Rating]]&lt;4, "Medium", "High"))</f>
        <v>Low</v>
      </c>
    </row>
    <row r="675" spans="1:23" ht="14" x14ac:dyDescent="0.2">
      <c r="A675" s="10" t="s">
        <v>1381</v>
      </c>
      <c r="B675" s="11">
        <v>45278.148032407407</v>
      </c>
      <c r="C675" s="11">
        <v>45393.395914351851</v>
      </c>
      <c r="D675" s="11" t="str">
        <f>IF(Table1[[#This Row],[Duration of Campaign]]=0, "Ongoing","Completed")</f>
        <v>Completed</v>
      </c>
      <c r="E675" s="12">
        <f>Table1[[#This Row],[End Date]]-Table1[[#This Row],[Start Date]]</f>
        <v>115.24788194444409</v>
      </c>
      <c r="F675" s="13">
        <v>7163</v>
      </c>
      <c r="G675" s="14" t="s">
        <v>29</v>
      </c>
      <c r="H675" s="15">
        <v>4096</v>
      </c>
      <c r="I675" s="15">
        <v>663</v>
      </c>
      <c r="J675" s="15">
        <v>78</v>
      </c>
      <c r="K675" s="16">
        <v>12654</v>
      </c>
      <c r="L675" s="17">
        <f t="shared" si="50"/>
        <v>0.161865234375</v>
      </c>
      <c r="M675" s="17">
        <f t="shared" si="50"/>
        <v>0.11764705882352941</v>
      </c>
      <c r="N675" s="18">
        <f t="shared" si="51"/>
        <v>10.242835595776771</v>
      </c>
      <c r="O675" s="18">
        <f t="shared" si="52"/>
        <v>87.064102564102569</v>
      </c>
      <c r="P675" s="17">
        <f t="shared" si="53"/>
        <v>0.94806645260365774</v>
      </c>
      <c r="Q675" s="17">
        <f t="shared" si="54"/>
        <v>1.8633485495508761</v>
      </c>
      <c r="R675" s="10" t="s">
        <v>1382</v>
      </c>
      <c r="S675" s="14" t="s">
        <v>45</v>
      </c>
      <c r="T675" s="14" t="s">
        <v>55</v>
      </c>
      <c r="U675" s="13">
        <v>6791</v>
      </c>
      <c r="V675" s="15">
        <v>2</v>
      </c>
      <c r="W675" s="9" t="str">
        <f>IF(Table1[[#This Row],[Satisfaction Rating]]&lt;2, "Low", IF(Table1[[#This Row],[Satisfaction Rating]]&lt;4, "Medium", "High"))</f>
        <v>Medium</v>
      </c>
    </row>
    <row r="676" spans="1:23" ht="14" x14ac:dyDescent="0.2">
      <c r="A676" s="10" t="s">
        <v>1383</v>
      </c>
      <c r="B676" s="11">
        <v>45302.786921296298</v>
      </c>
      <c r="C676" s="11">
        <v>45302.786921296298</v>
      </c>
      <c r="D676" s="11" t="str">
        <f>IF(Table1[[#This Row],[Duration of Campaign]]=0, "Ongoing","Completed")</f>
        <v>Ongoing</v>
      </c>
      <c r="E676" s="12">
        <f>Table1[[#This Row],[End Date]]-Table1[[#This Row],[Start Date]]</f>
        <v>0</v>
      </c>
      <c r="F676" s="13">
        <v>5802</v>
      </c>
      <c r="G676" s="14" t="s">
        <v>63</v>
      </c>
      <c r="H676" s="15">
        <v>2608</v>
      </c>
      <c r="I676" s="15">
        <v>1767</v>
      </c>
      <c r="J676" s="15">
        <v>437</v>
      </c>
      <c r="K676" s="16">
        <v>4558</v>
      </c>
      <c r="L676" s="17">
        <f t="shared" si="50"/>
        <v>0.67753067484662577</v>
      </c>
      <c r="M676" s="17">
        <f t="shared" si="50"/>
        <v>0.24731182795698925</v>
      </c>
      <c r="N676" s="18">
        <f t="shared" si="51"/>
        <v>1.4233163554046406</v>
      </c>
      <c r="O676" s="18">
        <f t="shared" si="52"/>
        <v>5.7551487414187639</v>
      </c>
      <c r="P676" s="17">
        <f t="shared" si="53"/>
        <v>0.43347121682178558</v>
      </c>
      <c r="Q676" s="17">
        <f t="shared" si="54"/>
        <v>1.8123260437375746</v>
      </c>
      <c r="R676" s="10" t="s">
        <v>1384</v>
      </c>
      <c r="S676" s="14" t="s">
        <v>26</v>
      </c>
      <c r="T676" s="14" t="s">
        <v>27</v>
      </c>
      <c r="U676" s="13">
        <v>2515</v>
      </c>
      <c r="V676" s="15">
        <v>5</v>
      </c>
      <c r="W676" s="9" t="str">
        <f>IF(Table1[[#This Row],[Satisfaction Rating]]&lt;2, "Low", IF(Table1[[#This Row],[Satisfaction Rating]]&lt;4, "Medium", "High"))</f>
        <v>High</v>
      </c>
    </row>
    <row r="677" spans="1:23" ht="14" x14ac:dyDescent="0.2">
      <c r="A677" s="10" t="s">
        <v>1385</v>
      </c>
      <c r="B677" s="11">
        <v>45535.733159722222</v>
      </c>
      <c r="C677" s="11">
        <v>45535.733159722222</v>
      </c>
      <c r="D677" s="11" t="str">
        <f>IF(Table1[[#This Row],[Duration of Campaign]]=0, "Ongoing","Completed")</f>
        <v>Ongoing</v>
      </c>
      <c r="E677" s="12">
        <f>Table1[[#This Row],[End Date]]-Table1[[#This Row],[Start Date]]</f>
        <v>0</v>
      </c>
      <c r="F677" s="13">
        <v>1628</v>
      </c>
      <c r="G677" s="14" t="s">
        <v>24</v>
      </c>
      <c r="H677" s="15">
        <v>3105</v>
      </c>
      <c r="I677" s="15">
        <v>1257</v>
      </c>
      <c r="J677" s="15">
        <v>344</v>
      </c>
      <c r="K677" s="16">
        <v>7507</v>
      </c>
      <c r="L677" s="17">
        <f t="shared" si="50"/>
        <v>0.40483091787439612</v>
      </c>
      <c r="M677" s="17">
        <f t="shared" si="50"/>
        <v>0.27366746221161498</v>
      </c>
      <c r="N677" s="18">
        <f t="shared" si="51"/>
        <v>13.98170246618934</v>
      </c>
      <c r="O677" s="18">
        <f t="shared" si="52"/>
        <v>51.090116279069768</v>
      </c>
      <c r="P677" s="17">
        <f t="shared" si="53"/>
        <v>10.795454545454545</v>
      </c>
      <c r="Q677" s="17">
        <f t="shared" si="54"/>
        <v>0.42714082503556189</v>
      </c>
      <c r="R677" s="10" t="s">
        <v>1386</v>
      </c>
      <c r="S677" s="14" t="s">
        <v>26</v>
      </c>
      <c r="T677" s="14" t="s">
        <v>27</v>
      </c>
      <c r="U677" s="13">
        <v>17575</v>
      </c>
      <c r="V677" s="15">
        <v>3</v>
      </c>
      <c r="W677" s="9" t="str">
        <f>IF(Table1[[#This Row],[Satisfaction Rating]]&lt;2, "Low", IF(Table1[[#This Row],[Satisfaction Rating]]&lt;4, "Medium", "High"))</f>
        <v>Medium</v>
      </c>
    </row>
    <row r="678" spans="1:23" ht="14" x14ac:dyDescent="0.2">
      <c r="A678" s="10" t="s">
        <v>1387</v>
      </c>
      <c r="B678" s="11">
        <v>45266.763761574075</v>
      </c>
      <c r="C678" s="11">
        <v>45323.525706018518</v>
      </c>
      <c r="D678" s="11" t="str">
        <f>IF(Table1[[#This Row],[Duration of Campaign]]=0, "Ongoing","Completed")</f>
        <v>Completed</v>
      </c>
      <c r="E678" s="12">
        <f>Table1[[#This Row],[End Date]]-Table1[[#This Row],[Start Date]]</f>
        <v>56.761944444442634</v>
      </c>
      <c r="F678" s="13">
        <v>8358</v>
      </c>
      <c r="G678" s="14" t="s">
        <v>47</v>
      </c>
      <c r="H678" s="15">
        <v>14995</v>
      </c>
      <c r="I678" s="15">
        <v>439</v>
      </c>
      <c r="J678" s="15">
        <v>253</v>
      </c>
      <c r="K678" s="16">
        <v>7736</v>
      </c>
      <c r="L678" s="17">
        <f t="shared" si="50"/>
        <v>2.9276425475158387E-2</v>
      </c>
      <c r="M678" s="17">
        <f t="shared" si="50"/>
        <v>0.57630979498861046</v>
      </c>
      <c r="N678" s="18">
        <f t="shared" si="51"/>
        <v>19.068337129840547</v>
      </c>
      <c r="O678" s="18">
        <f t="shared" si="52"/>
        <v>33.086956521739133</v>
      </c>
      <c r="P678" s="17">
        <f t="shared" si="53"/>
        <v>1.0015553960277579</v>
      </c>
      <c r="Q678" s="17">
        <f t="shared" si="54"/>
        <v>0.92414287420857721</v>
      </c>
      <c r="R678" s="10" t="s">
        <v>1388</v>
      </c>
      <c r="S678" s="14" t="s">
        <v>45</v>
      </c>
      <c r="T678" s="14" t="s">
        <v>27</v>
      </c>
      <c r="U678" s="13">
        <v>8371</v>
      </c>
      <c r="V678" s="15">
        <v>1</v>
      </c>
      <c r="W678" s="9" t="str">
        <f>IF(Table1[[#This Row],[Satisfaction Rating]]&lt;2, "Low", IF(Table1[[#This Row],[Satisfaction Rating]]&lt;4, "Medium", "High"))</f>
        <v>Low</v>
      </c>
    </row>
    <row r="679" spans="1:23" ht="14" x14ac:dyDescent="0.2">
      <c r="A679" s="10" t="s">
        <v>1389</v>
      </c>
      <c r="B679" s="11">
        <v>45055.667303240742</v>
      </c>
      <c r="C679" s="11">
        <v>45278.565798611111</v>
      </c>
      <c r="D679" s="11" t="str">
        <f>IF(Table1[[#This Row],[Duration of Campaign]]=0, "Ongoing","Completed")</f>
        <v>Completed</v>
      </c>
      <c r="E679" s="12">
        <f>Table1[[#This Row],[End Date]]-Table1[[#This Row],[Start Date]]</f>
        <v>222.89849537036935</v>
      </c>
      <c r="F679" s="13">
        <v>8659</v>
      </c>
      <c r="G679" s="14" t="s">
        <v>29</v>
      </c>
      <c r="H679" s="15">
        <v>1631</v>
      </c>
      <c r="I679" s="15">
        <v>1324</v>
      </c>
      <c r="J679" s="15">
        <v>233</v>
      </c>
      <c r="K679" s="16">
        <v>6064</v>
      </c>
      <c r="L679" s="17">
        <f t="shared" si="50"/>
        <v>0.81177191906805646</v>
      </c>
      <c r="M679" s="17">
        <f t="shared" si="50"/>
        <v>0.17598187311178248</v>
      </c>
      <c r="N679" s="18">
        <f t="shared" si="51"/>
        <v>3.1895770392749245</v>
      </c>
      <c r="O679" s="18">
        <f t="shared" si="52"/>
        <v>18.124463519313306</v>
      </c>
      <c r="P679" s="17">
        <f t="shared" si="53"/>
        <v>0.48770065827462755</v>
      </c>
      <c r="Q679" s="17">
        <f t="shared" si="54"/>
        <v>1.4359460099455363</v>
      </c>
      <c r="R679" s="10" t="s">
        <v>1390</v>
      </c>
      <c r="S679" s="14" t="s">
        <v>31</v>
      </c>
      <c r="T679" s="14" t="s">
        <v>37</v>
      </c>
      <c r="U679" s="13">
        <v>4223</v>
      </c>
      <c r="V679" s="15">
        <v>4</v>
      </c>
      <c r="W679" s="9" t="str">
        <f>IF(Table1[[#This Row],[Satisfaction Rating]]&lt;2, "Low", IF(Table1[[#This Row],[Satisfaction Rating]]&lt;4, "Medium", "High"))</f>
        <v>High</v>
      </c>
    </row>
    <row r="680" spans="1:23" ht="14" x14ac:dyDescent="0.2">
      <c r="A680" s="10" t="s">
        <v>1391</v>
      </c>
      <c r="B680" s="11">
        <v>45199.84915509259</v>
      </c>
      <c r="C680" s="11">
        <v>45343.538611111115</v>
      </c>
      <c r="D680" s="11" t="str">
        <f>IF(Table1[[#This Row],[Duration of Campaign]]=0, "Ongoing","Completed")</f>
        <v>Completed</v>
      </c>
      <c r="E680" s="12">
        <f>Table1[[#This Row],[End Date]]-Table1[[#This Row],[Start Date]]</f>
        <v>143.68945601852465</v>
      </c>
      <c r="F680" s="13">
        <v>7480</v>
      </c>
      <c r="G680" s="14" t="s">
        <v>47</v>
      </c>
      <c r="H680" s="15">
        <v>10728</v>
      </c>
      <c r="I680" s="15">
        <v>1375</v>
      </c>
      <c r="J680" s="15">
        <v>246</v>
      </c>
      <c r="K680" s="16">
        <v>11959</v>
      </c>
      <c r="L680" s="17">
        <f t="shared" si="50"/>
        <v>0.12816927665920955</v>
      </c>
      <c r="M680" s="17">
        <f t="shared" si="50"/>
        <v>0.17890909090909091</v>
      </c>
      <c r="N680" s="18">
        <f t="shared" si="51"/>
        <v>1.1127272727272728</v>
      </c>
      <c r="O680" s="18">
        <f t="shared" si="52"/>
        <v>6.2195121951219514</v>
      </c>
      <c r="P680" s="17">
        <f t="shared" si="53"/>
        <v>0.20454545454545456</v>
      </c>
      <c r="Q680" s="17">
        <f t="shared" si="54"/>
        <v>7.8163398692810455</v>
      </c>
      <c r="R680" s="10" t="s">
        <v>1392</v>
      </c>
      <c r="S680" s="14" t="s">
        <v>45</v>
      </c>
      <c r="T680" s="14" t="s">
        <v>27</v>
      </c>
      <c r="U680" s="13">
        <v>1530</v>
      </c>
      <c r="V680" s="15">
        <v>1</v>
      </c>
      <c r="W680" s="9" t="str">
        <f>IF(Table1[[#This Row],[Satisfaction Rating]]&lt;2, "Low", IF(Table1[[#This Row],[Satisfaction Rating]]&lt;4, "Medium", "High"))</f>
        <v>Low</v>
      </c>
    </row>
    <row r="681" spans="1:23" ht="14" x14ac:dyDescent="0.2">
      <c r="A681" s="10" t="s">
        <v>1393</v>
      </c>
      <c r="B681" s="11">
        <v>45134.607881944445</v>
      </c>
      <c r="C681" s="11">
        <v>45280.110185185185</v>
      </c>
      <c r="D681" s="11" t="str">
        <f>IF(Table1[[#This Row],[Duration of Campaign]]=0, "Ongoing","Completed")</f>
        <v>Completed</v>
      </c>
      <c r="E681" s="12">
        <f>Table1[[#This Row],[End Date]]-Table1[[#This Row],[Start Date]]</f>
        <v>145.50230324074073</v>
      </c>
      <c r="F681" s="13">
        <v>1491</v>
      </c>
      <c r="G681" s="14" t="s">
        <v>63</v>
      </c>
      <c r="H681" s="15">
        <v>11824</v>
      </c>
      <c r="I681" s="15">
        <v>1215</v>
      </c>
      <c r="J681" s="15">
        <v>256</v>
      </c>
      <c r="K681" s="16">
        <v>9867</v>
      </c>
      <c r="L681" s="17">
        <f t="shared" si="50"/>
        <v>0.10275710419485791</v>
      </c>
      <c r="M681" s="17">
        <f t="shared" si="50"/>
        <v>0.21069958847736625</v>
      </c>
      <c r="N681" s="18">
        <f t="shared" si="51"/>
        <v>10.020576131687243</v>
      </c>
      <c r="O681" s="18">
        <f t="shared" si="52"/>
        <v>47.55859375</v>
      </c>
      <c r="P681" s="17">
        <f t="shared" si="53"/>
        <v>8.1656606304493629</v>
      </c>
      <c r="Q681" s="17">
        <f t="shared" si="54"/>
        <v>0.81043121149897335</v>
      </c>
      <c r="R681" s="10" t="s">
        <v>1394</v>
      </c>
      <c r="S681" s="14" t="s">
        <v>45</v>
      </c>
      <c r="T681" s="14" t="s">
        <v>37</v>
      </c>
      <c r="U681" s="13">
        <v>12175</v>
      </c>
      <c r="V681" s="15">
        <v>2</v>
      </c>
      <c r="W681" s="9" t="str">
        <f>IF(Table1[[#This Row],[Satisfaction Rating]]&lt;2, "Low", IF(Table1[[#This Row],[Satisfaction Rating]]&lt;4, "Medium", "High"))</f>
        <v>Medium</v>
      </c>
    </row>
    <row r="682" spans="1:23" ht="14" x14ac:dyDescent="0.2">
      <c r="A682" s="10" t="s">
        <v>1395</v>
      </c>
      <c r="B682" s="11">
        <v>45266.333993055552</v>
      </c>
      <c r="C682" s="11">
        <v>45353.656689814816</v>
      </c>
      <c r="D682" s="11" t="str">
        <f>IF(Table1[[#This Row],[Duration of Campaign]]=0, "Ongoing","Completed")</f>
        <v>Completed</v>
      </c>
      <c r="E682" s="12">
        <f>Table1[[#This Row],[End Date]]-Table1[[#This Row],[Start Date]]</f>
        <v>87.322696759263636</v>
      </c>
      <c r="F682" s="13">
        <v>4670</v>
      </c>
      <c r="G682" s="14" t="s">
        <v>24</v>
      </c>
      <c r="H682" s="15">
        <v>8798</v>
      </c>
      <c r="I682" s="15">
        <v>1686</v>
      </c>
      <c r="J682" s="15">
        <v>366</v>
      </c>
      <c r="K682" s="16">
        <v>11810</v>
      </c>
      <c r="L682" s="17">
        <f t="shared" si="50"/>
        <v>0.19163446237781315</v>
      </c>
      <c r="M682" s="17">
        <f t="shared" si="50"/>
        <v>0.21708185053380782</v>
      </c>
      <c r="N682" s="18">
        <f t="shared" si="51"/>
        <v>4.1909845788849349</v>
      </c>
      <c r="O682" s="18">
        <f t="shared" si="52"/>
        <v>19.306010928961747</v>
      </c>
      <c r="P682" s="17">
        <f t="shared" si="53"/>
        <v>1.5130620985010708</v>
      </c>
      <c r="Q682" s="17">
        <f t="shared" si="54"/>
        <v>1.6713840928389472</v>
      </c>
      <c r="R682" s="10" t="s">
        <v>1396</v>
      </c>
      <c r="S682" s="14" t="s">
        <v>26</v>
      </c>
      <c r="T682" s="14" t="s">
        <v>27</v>
      </c>
      <c r="U682" s="13">
        <v>7066</v>
      </c>
      <c r="V682" s="15">
        <v>4</v>
      </c>
      <c r="W682" s="9" t="str">
        <f>IF(Table1[[#This Row],[Satisfaction Rating]]&lt;2, "Low", IF(Table1[[#This Row],[Satisfaction Rating]]&lt;4, "Medium", "High"))</f>
        <v>High</v>
      </c>
    </row>
    <row r="683" spans="1:23" ht="14" x14ac:dyDescent="0.2">
      <c r="A683" s="10" t="s">
        <v>1397</v>
      </c>
      <c r="B683" s="11">
        <v>45100.61509259259</v>
      </c>
      <c r="C683" s="11">
        <v>45100.61509259259</v>
      </c>
      <c r="D683" s="11" t="str">
        <f>IF(Table1[[#This Row],[Duration of Campaign]]=0, "Ongoing","Completed")</f>
        <v>Ongoing</v>
      </c>
      <c r="E683" s="12">
        <f>Table1[[#This Row],[End Date]]-Table1[[#This Row],[Start Date]]</f>
        <v>0</v>
      </c>
      <c r="F683" s="13">
        <v>6450</v>
      </c>
      <c r="G683" s="14" t="s">
        <v>47</v>
      </c>
      <c r="H683" s="15">
        <v>18006</v>
      </c>
      <c r="I683" s="15">
        <v>1633</v>
      </c>
      <c r="J683" s="15">
        <v>313</v>
      </c>
      <c r="K683" s="16">
        <v>8800</v>
      </c>
      <c r="L683" s="17">
        <f t="shared" si="50"/>
        <v>9.0691991558369434E-2</v>
      </c>
      <c r="M683" s="17">
        <f t="shared" si="50"/>
        <v>0.19167176974892836</v>
      </c>
      <c r="N683" s="18">
        <f t="shared" si="51"/>
        <v>11.718922229026331</v>
      </c>
      <c r="O683" s="18">
        <f t="shared" si="52"/>
        <v>61.140575079872207</v>
      </c>
      <c r="P683" s="17">
        <f t="shared" si="53"/>
        <v>2.9669767441860464</v>
      </c>
      <c r="Q683" s="17">
        <f t="shared" si="54"/>
        <v>0.4598421905209803</v>
      </c>
      <c r="R683" s="10" t="s">
        <v>1398</v>
      </c>
      <c r="S683" s="14" t="s">
        <v>45</v>
      </c>
      <c r="T683" s="14" t="s">
        <v>37</v>
      </c>
      <c r="U683" s="13">
        <v>19137</v>
      </c>
      <c r="V683" s="15">
        <v>1</v>
      </c>
      <c r="W683" s="9" t="str">
        <f>IF(Table1[[#This Row],[Satisfaction Rating]]&lt;2, "Low", IF(Table1[[#This Row],[Satisfaction Rating]]&lt;4, "Medium", "High"))</f>
        <v>Low</v>
      </c>
    </row>
    <row r="684" spans="1:23" ht="14" x14ac:dyDescent="0.2">
      <c r="A684" s="10" t="s">
        <v>1399</v>
      </c>
      <c r="B684" s="11">
        <v>44982.029687499999</v>
      </c>
      <c r="C684" s="11">
        <v>45111.83353009259</v>
      </c>
      <c r="D684" s="11" t="str">
        <f>IF(Table1[[#This Row],[Duration of Campaign]]=0, "Ongoing","Completed")</f>
        <v>Completed</v>
      </c>
      <c r="E684" s="12">
        <f>Table1[[#This Row],[End Date]]-Table1[[#This Row],[Start Date]]</f>
        <v>129.80384259259154</v>
      </c>
      <c r="F684" s="13">
        <v>6178</v>
      </c>
      <c r="G684" s="14" t="s">
        <v>63</v>
      </c>
      <c r="H684" s="15">
        <v>17614</v>
      </c>
      <c r="I684" s="15">
        <v>1523</v>
      </c>
      <c r="J684" s="15">
        <v>238</v>
      </c>
      <c r="K684" s="16">
        <v>8179</v>
      </c>
      <c r="L684" s="17">
        <f t="shared" si="50"/>
        <v>8.6465311683887811E-2</v>
      </c>
      <c r="M684" s="17">
        <f t="shared" si="50"/>
        <v>0.15627051871306633</v>
      </c>
      <c r="N684" s="18">
        <f t="shared" si="51"/>
        <v>10.87655942219304</v>
      </c>
      <c r="O684" s="18">
        <f t="shared" si="52"/>
        <v>69.600840336134453</v>
      </c>
      <c r="P684" s="17">
        <f t="shared" si="53"/>
        <v>2.6812884428617676</v>
      </c>
      <c r="Q684" s="17">
        <f t="shared" si="54"/>
        <v>0.49375188650769697</v>
      </c>
      <c r="R684" s="10" t="s">
        <v>1400</v>
      </c>
      <c r="S684" s="14" t="s">
        <v>34</v>
      </c>
      <c r="T684" s="14" t="s">
        <v>55</v>
      </c>
      <c r="U684" s="13">
        <v>16565</v>
      </c>
      <c r="V684" s="15">
        <v>3</v>
      </c>
      <c r="W684" s="9" t="str">
        <f>IF(Table1[[#This Row],[Satisfaction Rating]]&lt;2, "Low", IF(Table1[[#This Row],[Satisfaction Rating]]&lt;4, "Medium", "High"))</f>
        <v>Medium</v>
      </c>
    </row>
    <row r="685" spans="1:23" ht="14" x14ac:dyDescent="0.2">
      <c r="A685" s="10" t="s">
        <v>1401</v>
      </c>
      <c r="B685" s="11">
        <v>45594.08834490741</v>
      </c>
      <c r="C685" s="11">
        <v>45594.08834490741</v>
      </c>
      <c r="D685" s="11" t="str">
        <f>IF(Table1[[#This Row],[Duration of Campaign]]=0, "Ongoing","Completed")</f>
        <v>Ongoing</v>
      </c>
      <c r="E685" s="12">
        <f>Table1[[#This Row],[End Date]]-Table1[[#This Row],[Start Date]]</f>
        <v>0</v>
      </c>
      <c r="F685" s="13">
        <v>3260</v>
      </c>
      <c r="G685" s="14" t="s">
        <v>47</v>
      </c>
      <c r="H685" s="15">
        <v>12439</v>
      </c>
      <c r="I685" s="15">
        <v>945</v>
      </c>
      <c r="J685" s="15">
        <v>377</v>
      </c>
      <c r="K685" s="16">
        <v>5869</v>
      </c>
      <c r="L685" s="17">
        <f t="shared" si="50"/>
        <v>7.597073719752391E-2</v>
      </c>
      <c r="M685" s="17">
        <f t="shared" si="50"/>
        <v>0.39894179894179893</v>
      </c>
      <c r="N685" s="18">
        <f t="shared" si="51"/>
        <v>13.136507936507936</v>
      </c>
      <c r="O685" s="18">
        <f t="shared" si="52"/>
        <v>32.928381962864719</v>
      </c>
      <c r="P685" s="17">
        <f t="shared" si="53"/>
        <v>3.8079754601226994</v>
      </c>
      <c r="Q685" s="17">
        <f t="shared" si="54"/>
        <v>0.47277267601095535</v>
      </c>
      <c r="R685" s="10" t="s">
        <v>1402</v>
      </c>
      <c r="S685" s="14" t="s">
        <v>31</v>
      </c>
      <c r="T685" s="14" t="s">
        <v>55</v>
      </c>
      <c r="U685" s="13">
        <v>12414</v>
      </c>
      <c r="V685" s="15">
        <v>4</v>
      </c>
      <c r="W685" s="9" t="str">
        <f>IF(Table1[[#This Row],[Satisfaction Rating]]&lt;2, "Low", IF(Table1[[#This Row],[Satisfaction Rating]]&lt;4, "Medium", "High"))</f>
        <v>High</v>
      </c>
    </row>
    <row r="686" spans="1:23" ht="14" x14ac:dyDescent="0.2">
      <c r="A686" s="10" t="s">
        <v>1403</v>
      </c>
      <c r="B686" s="11">
        <v>45364.203900462962</v>
      </c>
      <c r="C686" s="11">
        <v>45403.83</v>
      </c>
      <c r="D686" s="11" t="str">
        <f>IF(Table1[[#This Row],[Duration of Campaign]]=0, "Ongoing","Completed")</f>
        <v>Completed</v>
      </c>
      <c r="E686" s="12">
        <f>Table1[[#This Row],[End Date]]-Table1[[#This Row],[Start Date]]</f>
        <v>39.626099537039408</v>
      </c>
      <c r="F686" s="13">
        <v>5464</v>
      </c>
      <c r="G686" s="14" t="s">
        <v>24</v>
      </c>
      <c r="H686" s="15">
        <v>14467</v>
      </c>
      <c r="I686" s="15">
        <v>1066</v>
      </c>
      <c r="J686" s="15">
        <v>247</v>
      </c>
      <c r="K686" s="16">
        <v>2982</v>
      </c>
      <c r="L686" s="17">
        <f t="shared" si="50"/>
        <v>7.3684938135066005E-2</v>
      </c>
      <c r="M686" s="17">
        <f t="shared" si="50"/>
        <v>0.23170731707317074</v>
      </c>
      <c r="N686" s="18">
        <f t="shared" si="51"/>
        <v>16.72138836772983</v>
      </c>
      <c r="O686" s="18">
        <f t="shared" si="52"/>
        <v>72.165991902834008</v>
      </c>
      <c r="P686" s="17">
        <f t="shared" si="53"/>
        <v>3.2622620790629577</v>
      </c>
      <c r="Q686" s="17">
        <f t="shared" si="54"/>
        <v>0.16729312762973353</v>
      </c>
      <c r="R686" s="10" t="s">
        <v>1404</v>
      </c>
      <c r="S686" s="14" t="s">
        <v>31</v>
      </c>
      <c r="T686" s="14" t="s">
        <v>37</v>
      </c>
      <c r="U686" s="13">
        <v>17825</v>
      </c>
      <c r="V686" s="15">
        <v>1</v>
      </c>
      <c r="W686" s="9" t="str">
        <f>IF(Table1[[#This Row],[Satisfaction Rating]]&lt;2, "Low", IF(Table1[[#This Row],[Satisfaction Rating]]&lt;4, "Medium", "High"))</f>
        <v>Low</v>
      </c>
    </row>
    <row r="687" spans="1:23" ht="14" x14ac:dyDescent="0.2">
      <c r="A687" s="10" t="s">
        <v>1405</v>
      </c>
      <c r="B687" s="11">
        <v>44976.000925925924</v>
      </c>
      <c r="C687" s="11">
        <v>45502.946701388886</v>
      </c>
      <c r="D687" s="11" t="str">
        <f>IF(Table1[[#This Row],[Duration of Campaign]]=0, "Ongoing","Completed")</f>
        <v>Completed</v>
      </c>
      <c r="E687" s="12">
        <f>Table1[[#This Row],[End Date]]-Table1[[#This Row],[Start Date]]</f>
        <v>526.94577546296205</v>
      </c>
      <c r="F687" s="13">
        <v>1362</v>
      </c>
      <c r="G687" s="14" t="s">
        <v>63</v>
      </c>
      <c r="H687" s="15">
        <v>9670</v>
      </c>
      <c r="I687" s="15">
        <v>1451</v>
      </c>
      <c r="J687" s="15">
        <v>328</v>
      </c>
      <c r="K687" s="16">
        <v>11493</v>
      </c>
      <c r="L687" s="17">
        <f t="shared" si="50"/>
        <v>0.15005170630816961</v>
      </c>
      <c r="M687" s="17">
        <f t="shared" si="50"/>
        <v>0.22605099931082012</v>
      </c>
      <c r="N687" s="18">
        <f t="shared" si="51"/>
        <v>9.2322536181943491</v>
      </c>
      <c r="O687" s="18">
        <f t="shared" si="52"/>
        <v>40.841463414634148</v>
      </c>
      <c r="P687" s="17">
        <f t="shared" si="53"/>
        <v>9.83553597650514</v>
      </c>
      <c r="Q687" s="17">
        <f t="shared" si="54"/>
        <v>0.85794266945356823</v>
      </c>
      <c r="R687" s="10" t="s">
        <v>1406</v>
      </c>
      <c r="S687" s="14" t="s">
        <v>45</v>
      </c>
      <c r="T687" s="14" t="s">
        <v>55</v>
      </c>
      <c r="U687" s="13">
        <v>13396</v>
      </c>
      <c r="V687" s="15">
        <v>3</v>
      </c>
      <c r="W687" s="9" t="str">
        <f>IF(Table1[[#This Row],[Satisfaction Rating]]&lt;2, "Low", IF(Table1[[#This Row],[Satisfaction Rating]]&lt;4, "Medium", "High"))</f>
        <v>Medium</v>
      </c>
    </row>
    <row r="688" spans="1:23" ht="14" x14ac:dyDescent="0.2">
      <c r="A688" s="10" t="s">
        <v>1407</v>
      </c>
      <c r="B688" s="11">
        <v>45569.398217592592</v>
      </c>
      <c r="C688" s="11">
        <v>45569.398217592592</v>
      </c>
      <c r="D688" s="11" t="str">
        <f>IF(Table1[[#This Row],[Duration of Campaign]]=0, "Ongoing","Completed")</f>
        <v>Ongoing</v>
      </c>
      <c r="E688" s="12">
        <f>Table1[[#This Row],[End Date]]-Table1[[#This Row],[Start Date]]</f>
        <v>0</v>
      </c>
      <c r="F688" s="13">
        <v>7228</v>
      </c>
      <c r="G688" s="14" t="s">
        <v>63</v>
      </c>
      <c r="H688" s="15">
        <v>10270</v>
      </c>
      <c r="I688" s="15">
        <v>1480</v>
      </c>
      <c r="J688" s="15">
        <v>278</v>
      </c>
      <c r="K688" s="16">
        <v>7131</v>
      </c>
      <c r="L688" s="17">
        <f t="shared" si="50"/>
        <v>0.14410905550146055</v>
      </c>
      <c r="M688" s="17">
        <f t="shared" si="50"/>
        <v>0.18783783783783783</v>
      </c>
      <c r="N688" s="18">
        <f t="shared" si="51"/>
        <v>9.205405405405406</v>
      </c>
      <c r="O688" s="18">
        <f t="shared" si="52"/>
        <v>49.007194244604314</v>
      </c>
      <c r="P688" s="17">
        <f t="shared" si="53"/>
        <v>1.8848920863309353</v>
      </c>
      <c r="Q688" s="17">
        <f t="shared" si="54"/>
        <v>0.52341456253669993</v>
      </c>
      <c r="R688" s="10" t="s">
        <v>1408</v>
      </c>
      <c r="S688" s="14" t="s">
        <v>26</v>
      </c>
      <c r="T688" s="14" t="s">
        <v>55</v>
      </c>
      <c r="U688" s="13">
        <v>13624</v>
      </c>
      <c r="V688" s="15">
        <v>4</v>
      </c>
      <c r="W688" s="9" t="str">
        <f>IF(Table1[[#This Row],[Satisfaction Rating]]&lt;2, "Low", IF(Table1[[#This Row],[Satisfaction Rating]]&lt;4, "Medium", "High"))</f>
        <v>High</v>
      </c>
    </row>
    <row r="689" spans="1:23" ht="14" x14ac:dyDescent="0.2">
      <c r="A689" s="10" t="s">
        <v>1409</v>
      </c>
      <c r="B689" s="11">
        <v>45262.129837962966</v>
      </c>
      <c r="C689" s="11">
        <v>45534.685648148145</v>
      </c>
      <c r="D689" s="11" t="str">
        <f>IF(Table1[[#This Row],[Duration of Campaign]]=0, "Ongoing","Completed")</f>
        <v>Completed</v>
      </c>
      <c r="E689" s="12">
        <f>Table1[[#This Row],[End Date]]-Table1[[#This Row],[Start Date]]</f>
        <v>272.55581018517842</v>
      </c>
      <c r="F689" s="13">
        <v>9587</v>
      </c>
      <c r="G689" s="14" t="s">
        <v>47</v>
      </c>
      <c r="H689" s="15">
        <v>4632</v>
      </c>
      <c r="I689" s="15">
        <v>511</v>
      </c>
      <c r="J689" s="15">
        <v>114</v>
      </c>
      <c r="K689" s="16">
        <v>3733</v>
      </c>
      <c r="L689" s="17">
        <f t="shared" si="50"/>
        <v>0.11031951640759931</v>
      </c>
      <c r="M689" s="17">
        <f t="shared" si="50"/>
        <v>0.22309197651663404</v>
      </c>
      <c r="N689" s="18">
        <f t="shared" si="51"/>
        <v>25.810176125244617</v>
      </c>
      <c r="O689" s="18">
        <f t="shared" si="52"/>
        <v>115.69298245614036</v>
      </c>
      <c r="P689" s="17">
        <f t="shared" si="53"/>
        <v>1.3757171169291749</v>
      </c>
      <c r="Q689" s="17">
        <f t="shared" si="54"/>
        <v>0.28303889604973842</v>
      </c>
      <c r="R689" s="10" t="s">
        <v>1410</v>
      </c>
      <c r="S689" s="14" t="s">
        <v>40</v>
      </c>
      <c r="T689" s="14" t="s">
        <v>37</v>
      </c>
      <c r="U689" s="13">
        <v>13189</v>
      </c>
      <c r="V689" s="15">
        <v>3</v>
      </c>
      <c r="W689" s="9" t="str">
        <f>IF(Table1[[#This Row],[Satisfaction Rating]]&lt;2, "Low", IF(Table1[[#This Row],[Satisfaction Rating]]&lt;4, "Medium", "High"))</f>
        <v>Medium</v>
      </c>
    </row>
    <row r="690" spans="1:23" ht="14" x14ac:dyDescent="0.2">
      <c r="A690" s="10" t="s">
        <v>1411</v>
      </c>
      <c r="B690" s="11">
        <v>45158.461192129631</v>
      </c>
      <c r="C690" s="11">
        <v>45211.184293981481</v>
      </c>
      <c r="D690" s="11" t="str">
        <f>IF(Table1[[#This Row],[Duration of Campaign]]=0, "Ongoing","Completed")</f>
        <v>Completed</v>
      </c>
      <c r="E690" s="12">
        <f>Table1[[#This Row],[End Date]]-Table1[[#This Row],[Start Date]]</f>
        <v>52.723101851850515</v>
      </c>
      <c r="F690" s="13">
        <v>1854</v>
      </c>
      <c r="G690" s="14" t="s">
        <v>63</v>
      </c>
      <c r="H690" s="15">
        <v>1018</v>
      </c>
      <c r="I690" s="15">
        <v>294</v>
      </c>
      <c r="J690" s="15">
        <v>133</v>
      </c>
      <c r="K690" s="16">
        <v>4729</v>
      </c>
      <c r="L690" s="17">
        <f t="shared" si="50"/>
        <v>0.28880157170923382</v>
      </c>
      <c r="M690" s="17">
        <f t="shared" si="50"/>
        <v>0.45238095238095238</v>
      </c>
      <c r="N690" s="18">
        <f t="shared" si="51"/>
        <v>42.411564625850339</v>
      </c>
      <c r="O690" s="18">
        <f t="shared" si="52"/>
        <v>93.751879699248121</v>
      </c>
      <c r="P690" s="17">
        <f t="shared" si="53"/>
        <v>6.7254584681769147</v>
      </c>
      <c r="Q690" s="17">
        <f t="shared" si="54"/>
        <v>0.37926056620418636</v>
      </c>
      <c r="R690" s="10" t="s">
        <v>1412</v>
      </c>
      <c r="S690" s="14" t="s">
        <v>34</v>
      </c>
      <c r="T690" s="14" t="s">
        <v>27</v>
      </c>
      <c r="U690" s="13">
        <v>12469</v>
      </c>
      <c r="V690" s="15">
        <v>5</v>
      </c>
      <c r="W690" s="9" t="str">
        <f>IF(Table1[[#This Row],[Satisfaction Rating]]&lt;2, "Low", IF(Table1[[#This Row],[Satisfaction Rating]]&lt;4, "Medium", "High"))</f>
        <v>High</v>
      </c>
    </row>
    <row r="691" spans="1:23" ht="14" x14ac:dyDescent="0.2">
      <c r="A691" s="10" t="s">
        <v>1413</v>
      </c>
      <c r="B691" s="11">
        <v>45291.344039351854</v>
      </c>
      <c r="C691" s="11">
        <v>45292.233564814815</v>
      </c>
      <c r="D691" s="11" t="str">
        <f>IF(Table1[[#This Row],[Duration of Campaign]]=0, "Ongoing","Completed")</f>
        <v>Completed</v>
      </c>
      <c r="E691" s="12">
        <f>Table1[[#This Row],[End Date]]-Table1[[#This Row],[Start Date]]</f>
        <v>0.88952546296059154</v>
      </c>
      <c r="F691" s="13">
        <v>5357</v>
      </c>
      <c r="G691" s="14" t="s">
        <v>47</v>
      </c>
      <c r="H691" s="15">
        <v>5312</v>
      </c>
      <c r="I691" s="15">
        <v>979</v>
      </c>
      <c r="J691" s="15">
        <v>288</v>
      </c>
      <c r="K691" s="16">
        <v>4443</v>
      </c>
      <c r="L691" s="17">
        <f t="shared" si="50"/>
        <v>0.18429969879518071</v>
      </c>
      <c r="M691" s="17">
        <f t="shared" si="50"/>
        <v>0.29417773237997957</v>
      </c>
      <c r="N691" s="18">
        <f t="shared" si="51"/>
        <v>1.1664964249233911</v>
      </c>
      <c r="O691" s="18">
        <f t="shared" si="52"/>
        <v>3.9652777777777777</v>
      </c>
      <c r="P691" s="17">
        <f t="shared" si="53"/>
        <v>0.21317901810714954</v>
      </c>
      <c r="Q691" s="17">
        <f t="shared" si="54"/>
        <v>3.8905429071803854</v>
      </c>
      <c r="R691" s="10" t="s">
        <v>1414</v>
      </c>
      <c r="S691" s="14" t="s">
        <v>31</v>
      </c>
      <c r="T691" s="14" t="s">
        <v>55</v>
      </c>
      <c r="U691" s="13">
        <v>1142</v>
      </c>
      <c r="V691" s="15">
        <v>5</v>
      </c>
      <c r="W691" s="9" t="str">
        <f>IF(Table1[[#This Row],[Satisfaction Rating]]&lt;2, "Low", IF(Table1[[#This Row],[Satisfaction Rating]]&lt;4, "Medium", "High"))</f>
        <v>High</v>
      </c>
    </row>
    <row r="692" spans="1:23" ht="14" x14ac:dyDescent="0.2">
      <c r="A692" s="10" t="s">
        <v>1415</v>
      </c>
      <c r="B692" s="11">
        <v>45091.200335648151</v>
      </c>
      <c r="C692" s="11">
        <v>45301.022349537037</v>
      </c>
      <c r="D692" s="11" t="str">
        <f>IF(Table1[[#This Row],[Duration of Campaign]]=0, "Ongoing","Completed")</f>
        <v>Completed</v>
      </c>
      <c r="E692" s="12">
        <f>Table1[[#This Row],[End Date]]-Table1[[#This Row],[Start Date]]</f>
        <v>209.82201388888643</v>
      </c>
      <c r="F692" s="13">
        <v>8764</v>
      </c>
      <c r="G692" s="14" t="s">
        <v>29</v>
      </c>
      <c r="H692" s="15">
        <v>11988</v>
      </c>
      <c r="I692" s="15">
        <v>1047</v>
      </c>
      <c r="J692" s="15">
        <v>371</v>
      </c>
      <c r="K692" s="16">
        <v>1352</v>
      </c>
      <c r="L692" s="17">
        <f t="shared" si="50"/>
        <v>8.733733733733734E-2</v>
      </c>
      <c r="M692" s="17">
        <f t="shared" si="50"/>
        <v>0.35434574976122252</v>
      </c>
      <c r="N692" s="18">
        <f t="shared" si="51"/>
        <v>18.566380133715377</v>
      </c>
      <c r="O692" s="18">
        <f t="shared" si="52"/>
        <v>52.39622641509434</v>
      </c>
      <c r="P692" s="17">
        <f t="shared" si="53"/>
        <v>2.2180511182108624</v>
      </c>
      <c r="Q692" s="17">
        <f t="shared" si="54"/>
        <v>6.9550902824219357E-2</v>
      </c>
      <c r="R692" s="10" t="s">
        <v>1416</v>
      </c>
      <c r="S692" s="14" t="s">
        <v>34</v>
      </c>
      <c r="T692" s="14" t="s">
        <v>37</v>
      </c>
      <c r="U692" s="13">
        <v>19439</v>
      </c>
      <c r="V692" s="15">
        <v>3</v>
      </c>
      <c r="W692" s="9" t="str">
        <f>IF(Table1[[#This Row],[Satisfaction Rating]]&lt;2, "Low", IF(Table1[[#This Row],[Satisfaction Rating]]&lt;4, "Medium", "High"))</f>
        <v>Medium</v>
      </c>
    </row>
    <row r="693" spans="1:23" ht="14" x14ac:dyDescent="0.2">
      <c r="A693" s="10" t="s">
        <v>1417</v>
      </c>
      <c r="B693" s="11">
        <v>45571.404618055552</v>
      </c>
      <c r="C693" s="11">
        <v>45571.404618055552</v>
      </c>
      <c r="D693" s="11" t="str">
        <f>IF(Table1[[#This Row],[Duration of Campaign]]=0, "Ongoing","Completed")</f>
        <v>Ongoing</v>
      </c>
      <c r="E693" s="12">
        <f>Table1[[#This Row],[End Date]]-Table1[[#This Row],[Start Date]]</f>
        <v>0</v>
      </c>
      <c r="F693" s="13">
        <v>8259</v>
      </c>
      <c r="G693" s="14" t="s">
        <v>24</v>
      </c>
      <c r="H693" s="15">
        <v>9755</v>
      </c>
      <c r="I693" s="15">
        <v>684</v>
      </c>
      <c r="J693" s="15">
        <v>330</v>
      </c>
      <c r="K693" s="16">
        <v>3098</v>
      </c>
      <c r="L693" s="17">
        <f t="shared" si="50"/>
        <v>7.0117888262429526E-2</v>
      </c>
      <c r="M693" s="17">
        <f t="shared" si="50"/>
        <v>0.48245614035087719</v>
      </c>
      <c r="N693" s="18">
        <f t="shared" si="51"/>
        <v>6.2821637426900585</v>
      </c>
      <c r="O693" s="18">
        <f t="shared" si="52"/>
        <v>13.021212121212121</v>
      </c>
      <c r="P693" s="17">
        <f t="shared" si="53"/>
        <v>0.52028090567865359</v>
      </c>
      <c r="Q693" s="17">
        <f t="shared" si="54"/>
        <v>0.7209681172911333</v>
      </c>
      <c r="R693" s="10" t="s">
        <v>1418</v>
      </c>
      <c r="S693" s="14" t="s">
        <v>40</v>
      </c>
      <c r="T693" s="14" t="s">
        <v>27</v>
      </c>
      <c r="U693" s="13">
        <v>4297</v>
      </c>
      <c r="V693" s="15">
        <v>3</v>
      </c>
      <c r="W693" s="9" t="str">
        <f>IF(Table1[[#This Row],[Satisfaction Rating]]&lt;2, "Low", IF(Table1[[#This Row],[Satisfaction Rating]]&lt;4, "Medium", "High"))</f>
        <v>Medium</v>
      </c>
    </row>
    <row r="694" spans="1:23" ht="14" x14ac:dyDescent="0.2">
      <c r="A694" s="10" t="s">
        <v>1419</v>
      </c>
      <c r="B694" s="11">
        <v>45295.69259259259</v>
      </c>
      <c r="C694" s="11">
        <v>45295.69259259259</v>
      </c>
      <c r="D694" s="11" t="str">
        <f>IF(Table1[[#This Row],[Duration of Campaign]]=0, "Ongoing","Completed")</f>
        <v>Ongoing</v>
      </c>
      <c r="E694" s="12">
        <f>Table1[[#This Row],[End Date]]-Table1[[#This Row],[Start Date]]</f>
        <v>0</v>
      </c>
      <c r="F694" s="13">
        <v>7416</v>
      </c>
      <c r="G694" s="14" t="s">
        <v>29</v>
      </c>
      <c r="H694" s="15">
        <v>5082</v>
      </c>
      <c r="I694" s="15">
        <v>1046</v>
      </c>
      <c r="J694" s="15">
        <v>48</v>
      </c>
      <c r="K694" s="16">
        <v>10866</v>
      </c>
      <c r="L694" s="17">
        <f t="shared" si="50"/>
        <v>0.20582447855175129</v>
      </c>
      <c r="M694" s="17">
        <f t="shared" si="50"/>
        <v>4.5889101338432124E-2</v>
      </c>
      <c r="N694" s="18">
        <f t="shared" si="51"/>
        <v>8.4292543021032511</v>
      </c>
      <c r="O694" s="18">
        <f t="shared" si="52"/>
        <v>183.6875</v>
      </c>
      <c r="P694" s="17">
        <f t="shared" si="53"/>
        <v>1.1889158576051779</v>
      </c>
      <c r="Q694" s="17">
        <f t="shared" si="54"/>
        <v>1.2323919700578427</v>
      </c>
      <c r="R694" s="10" t="s">
        <v>1420</v>
      </c>
      <c r="S694" s="14" t="s">
        <v>31</v>
      </c>
      <c r="T694" s="14" t="s">
        <v>27</v>
      </c>
      <c r="U694" s="13">
        <v>8817</v>
      </c>
      <c r="V694" s="15">
        <v>2</v>
      </c>
      <c r="W694" s="9" t="str">
        <f>IF(Table1[[#This Row],[Satisfaction Rating]]&lt;2, "Low", IF(Table1[[#This Row],[Satisfaction Rating]]&lt;4, "Medium", "High"))</f>
        <v>Medium</v>
      </c>
    </row>
    <row r="695" spans="1:23" ht="14" x14ac:dyDescent="0.2">
      <c r="A695" s="10" t="s">
        <v>1421</v>
      </c>
      <c r="B695" s="11">
        <v>45182.7187962963</v>
      </c>
      <c r="C695" s="11">
        <v>45575.133379629631</v>
      </c>
      <c r="D695" s="11" t="str">
        <f>IF(Table1[[#This Row],[Duration of Campaign]]=0, "Ongoing","Completed")</f>
        <v>Completed</v>
      </c>
      <c r="E695" s="12">
        <f>Table1[[#This Row],[End Date]]-Table1[[#This Row],[Start Date]]</f>
        <v>392.41458333333139</v>
      </c>
      <c r="F695" s="13">
        <v>4937</v>
      </c>
      <c r="G695" s="14" t="s">
        <v>47</v>
      </c>
      <c r="H695" s="15">
        <v>11097</v>
      </c>
      <c r="I695" s="15">
        <v>603</v>
      </c>
      <c r="J695" s="15">
        <v>372</v>
      </c>
      <c r="K695" s="16">
        <v>12621</v>
      </c>
      <c r="L695" s="17">
        <f t="shared" si="50"/>
        <v>5.4339010543390104E-2</v>
      </c>
      <c r="M695" s="17">
        <f t="shared" si="50"/>
        <v>0.61691542288557211</v>
      </c>
      <c r="N695" s="18">
        <f t="shared" si="51"/>
        <v>32.703150912106139</v>
      </c>
      <c r="O695" s="18">
        <f t="shared" si="52"/>
        <v>53.01075268817204</v>
      </c>
      <c r="P695" s="17">
        <f t="shared" si="53"/>
        <v>3.9943285395989467</v>
      </c>
      <c r="Q695" s="17">
        <f t="shared" si="54"/>
        <v>0.64001014198782957</v>
      </c>
      <c r="R695" s="10" t="s">
        <v>1422</v>
      </c>
      <c r="S695" s="14" t="s">
        <v>34</v>
      </c>
      <c r="T695" s="14" t="s">
        <v>37</v>
      </c>
      <c r="U695" s="13">
        <v>19720</v>
      </c>
      <c r="V695" s="15">
        <v>1</v>
      </c>
      <c r="W695" s="9" t="str">
        <f>IF(Table1[[#This Row],[Satisfaction Rating]]&lt;2, "Low", IF(Table1[[#This Row],[Satisfaction Rating]]&lt;4, "Medium", "High"))</f>
        <v>Low</v>
      </c>
    </row>
    <row r="696" spans="1:23" ht="14" x14ac:dyDescent="0.2">
      <c r="A696" s="10" t="s">
        <v>1423</v>
      </c>
      <c r="B696" s="11">
        <v>45601.544930555552</v>
      </c>
      <c r="C696" s="11">
        <v>45601.544930555552</v>
      </c>
      <c r="D696" s="11" t="str">
        <f>IF(Table1[[#This Row],[Duration of Campaign]]=0, "Ongoing","Completed")</f>
        <v>Ongoing</v>
      </c>
      <c r="E696" s="12">
        <f>Table1[[#This Row],[End Date]]-Table1[[#This Row],[Start Date]]</f>
        <v>0</v>
      </c>
      <c r="F696" s="13">
        <v>3159</v>
      </c>
      <c r="G696" s="14" t="s">
        <v>47</v>
      </c>
      <c r="H696" s="15">
        <v>3107</v>
      </c>
      <c r="I696" s="15">
        <v>1737</v>
      </c>
      <c r="J696" s="15">
        <v>446</v>
      </c>
      <c r="K696" s="16">
        <v>4609</v>
      </c>
      <c r="L696" s="17">
        <f t="shared" si="50"/>
        <v>0.55906018667524948</v>
      </c>
      <c r="M696" s="17">
        <f t="shared" si="50"/>
        <v>0.25676453655728265</v>
      </c>
      <c r="N696" s="18">
        <f t="shared" si="51"/>
        <v>8.4127806563039726</v>
      </c>
      <c r="O696" s="18">
        <f t="shared" si="52"/>
        <v>32.764573991031391</v>
      </c>
      <c r="P696" s="17">
        <f t="shared" si="53"/>
        <v>4.6258309591642925</v>
      </c>
      <c r="Q696" s="17">
        <f t="shared" si="54"/>
        <v>0.31540409224662969</v>
      </c>
      <c r="R696" s="10" t="s">
        <v>1424</v>
      </c>
      <c r="S696" s="14" t="s">
        <v>45</v>
      </c>
      <c r="T696" s="14" t="s">
        <v>55</v>
      </c>
      <c r="U696" s="13">
        <v>14613</v>
      </c>
      <c r="V696" s="15">
        <v>5</v>
      </c>
      <c r="W696" s="9" t="str">
        <f>IF(Table1[[#This Row],[Satisfaction Rating]]&lt;2, "Low", IF(Table1[[#This Row],[Satisfaction Rating]]&lt;4, "Medium", "High"))</f>
        <v>High</v>
      </c>
    </row>
    <row r="697" spans="1:23" ht="14" x14ac:dyDescent="0.2">
      <c r="A697" s="10" t="s">
        <v>1425</v>
      </c>
      <c r="B697" s="11">
        <v>45354.5390162037</v>
      </c>
      <c r="C697" s="11">
        <v>45354.5390162037</v>
      </c>
      <c r="D697" s="11" t="str">
        <f>IF(Table1[[#This Row],[Duration of Campaign]]=0, "Ongoing","Completed")</f>
        <v>Ongoing</v>
      </c>
      <c r="E697" s="12">
        <f>Table1[[#This Row],[End Date]]-Table1[[#This Row],[Start Date]]</f>
        <v>0</v>
      </c>
      <c r="F697" s="13">
        <v>4571</v>
      </c>
      <c r="G697" s="14" t="s">
        <v>63</v>
      </c>
      <c r="H697" s="15">
        <v>15724</v>
      </c>
      <c r="I697" s="15">
        <v>657</v>
      </c>
      <c r="J697" s="15">
        <v>180</v>
      </c>
      <c r="K697" s="16">
        <v>5933</v>
      </c>
      <c r="L697" s="17">
        <f t="shared" si="50"/>
        <v>4.1783261256677688E-2</v>
      </c>
      <c r="M697" s="17">
        <f t="shared" si="50"/>
        <v>0.27397260273972601</v>
      </c>
      <c r="N697" s="18">
        <f t="shared" si="51"/>
        <v>3.3683409436834095</v>
      </c>
      <c r="O697" s="18">
        <f t="shared" si="52"/>
        <v>12.294444444444444</v>
      </c>
      <c r="P697" s="17">
        <f t="shared" si="53"/>
        <v>0.48413913804419162</v>
      </c>
      <c r="Q697" s="17">
        <f t="shared" si="54"/>
        <v>2.6809760506100315</v>
      </c>
      <c r="R697" s="10" t="s">
        <v>1426</v>
      </c>
      <c r="S697" s="14" t="s">
        <v>45</v>
      </c>
      <c r="T697" s="14" t="s">
        <v>37</v>
      </c>
      <c r="U697" s="13">
        <v>2213</v>
      </c>
      <c r="V697" s="15">
        <v>1</v>
      </c>
      <c r="W697" s="9" t="str">
        <f>IF(Table1[[#This Row],[Satisfaction Rating]]&lt;2, "Low", IF(Table1[[#This Row],[Satisfaction Rating]]&lt;4, "Medium", "High"))</f>
        <v>Low</v>
      </c>
    </row>
    <row r="698" spans="1:23" ht="14" x14ac:dyDescent="0.2">
      <c r="A698" s="10" t="s">
        <v>1427</v>
      </c>
      <c r="B698" s="11">
        <v>45453.554201388892</v>
      </c>
      <c r="C698" s="11">
        <v>45453.554201388892</v>
      </c>
      <c r="D698" s="11" t="str">
        <f>IF(Table1[[#This Row],[Duration of Campaign]]=0, "Ongoing","Completed")</f>
        <v>Ongoing</v>
      </c>
      <c r="E698" s="12">
        <f>Table1[[#This Row],[End Date]]-Table1[[#This Row],[Start Date]]</f>
        <v>0</v>
      </c>
      <c r="F698" s="13">
        <v>6307</v>
      </c>
      <c r="G698" s="14" t="s">
        <v>29</v>
      </c>
      <c r="H698" s="15">
        <v>14327</v>
      </c>
      <c r="I698" s="15">
        <v>278</v>
      </c>
      <c r="J698" s="15">
        <v>279</v>
      </c>
      <c r="K698" s="16">
        <v>5502</v>
      </c>
      <c r="L698" s="17">
        <f t="shared" si="50"/>
        <v>1.9403922663502479E-2</v>
      </c>
      <c r="M698" s="17">
        <f t="shared" si="50"/>
        <v>1.0035971223021583</v>
      </c>
      <c r="N698" s="18">
        <f t="shared" si="51"/>
        <v>40.115107913669064</v>
      </c>
      <c r="O698" s="18">
        <f t="shared" si="52"/>
        <v>39.971326164874554</v>
      </c>
      <c r="P698" s="17">
        <f t="shared" si="53"/>
        <v>1.7681940700808625</v>
      </c>
      <c r="Q698" s="17">
        <f t="shared" si="54"/>
        <v>0.49336441893830701</v>
      </c>
      <c r="R698" s="10" t="s">
        <v>1428</v>
      </c>
      <c r="S698" s="14" t="s">
        <v>40</v>
      </c>
      <c r="T698" s="14" t="s">
        <v>27</v>
      </c>
      <c r="U698" s="13">
        <v>11152</v>
      </c>
      <c r="V698" s="15">
        <v>5</v>
      </c>
      <c r="W698" s="9" t="str">
        <f>IF(Table1[[#This Row],[Satisfaction Rating]]&lt;2, "Low", IF(Table1[[#This Row],[Satisfaction Rating]]&lt;4, "Medium", "High"))</f>
        <v>High</v>
      </c>
    </row>
    <row r="699" spans="1:23" ht="14" x14ac:dyDescent="0.2">
      <c r="A699" s="10" t="s">
        <v>1429</v>
      </c>
      <c r="B699" s="11">
        <v>45073.63821759259</v>
      </c>
      <c r="C699" s="11">
        <v>45130.134409722225</v>
      </c>
      <c r="D699" s="11" t="str">
        <f>IF(Table1[[#This Row],[Duration of Campaign]]=0, "Ongoing","Completed")</f>
        <v>Completed</v>
      </c>
      <c r="E699" s="12">
        <f>Table1[[#This Row],[End Date]]-Table1[[#This Row],[Start Date]]</f>
        <v>56.496192129634437</v>
      </c>
      <c r="F699" s="13">
        <v>7326</v>
      </c>
      <c r="G699" s="14" t="s">
        <v>24</v>
      </c>
      <c r="H699" s="15">
        <v>11294</v>
      </c>
      <c r="I699" s="15">
        <v>511</v>
      </c>
      <c r="J699" s="15">
        <v>290</v>
      </c>
      <c r="K699" s="16">
        <v>14384</v>
      </c>
      <c r="L699" s="17">
        <f t="shared" si="50"/>
        <v>4.5245262971489286E-2</v>
      </c>
      <c r="M699" s="17">
        <f t="shared" si="50"/>
        <v>0.56751467710371817</v>
      </c>
      <c r="N699" s="18">
        <f t="shared" si="51"/>
        <v>29.095890410958905</v>
      </c>
      <c r="O699" s="18">
        <f t="shared" si="52"/>
        <v>51.268965517241377</v>
      </c>
      <c r="P699" s="17">
        <f t="shared" si="53"/>
        <v>2.0294840294840295</v>
      </c>
      <c r="Q699" s="17">
        <f t="shared" si="54"/>
        <v>0.96744686575195049</v>
      </c>
      <c r="R699" s="10" t="s">
        <v>1430</v>
      </c>
      <c r="S699" s="14" t="s">
        <v>26</v>
      </c>
      <c r="T699" s="14" t="s">
        <v>55</v>
      </c>
      <c r="U699" s="13">
        <v>14868</v>
      </c>
      <c r="V699" s="15">
        <v>1</v>
      </c>
      <c r="W699" s="9" t="str">
        <f>IF(Table1[[#This Row],[Satisfaction Rating]]&lt;2, "Low", IF(Table1[[#This Row],[Satisfaction Rating]]&lt;4, "Medium", "High"))</f>
        <v>Low</v>
      </c>
    </row>
    <row r="700" spans="1:23" ht="14" x14ac:dyDescent="0.2">
      <c r="A700" s="10" t="s">
        <v>1431</v>
      </c>
      <c r="B700" s="11">
        <v>45609.605138888888</v>
      </c>
      <c r="C700" s="11">
        <v>45609.605138888888</v>
      </c>
      <c r="D700" s="11" t="str">
        <f>IF(Table1[[#This Row],[Duration of Campaign]]=0, "Ongoing","Completed")</f>
        <v>Ongoing</v>
      </c>
      <c r="E700" s="12">
        <f>Table1[[#This Row],[End Date]]-Table1[[#This Row],[Start Date]]</f>
        <v>0</v>
      </c>
      <c r="F700" s="13">
        <v>9000</v>
      </c>
      <c r="G700" s="14" t="s">
        <v>47</v>
      </c>
      <c r="H700" s="15">
        <v>16012</v>
      </c>
      <c r="I700" s="15">
        <v>1292</v>
      </c>
      <c r="J700" s="15">
        <v>288</v>
      </c>
      <c r="K700" s="16">
        <v>6285</v>
      </c>
      <c r="L700" s="17">
        <f t="shared" si="50"/>
        <v>8.0689482887834119E-2</v>
      </c>
      <c r="M700" s="17">
        <f t="shared" si="50"/>
        <v>0.22291021671826625</v>
      </c>
      <c r="N700" s="18">
        <f t="shared" si="51"/>
        <v>2.4636222910216716</v>
      </c>
      <c r="O700" s="18">
        <f t="shared" si="52"/>
        <v>11.052083333333334</v>
      </c>
      <c r="P700" s="17">
        <f t="shared" si="53"/>
        <v>0.35366666666666668</v>
      </c>
      <c r="Q700" s="17">
        <f t="shared" si="54"/>
        <v>1.9745523091423185</v>
      </c>
      <c r="R700" s="10" t="s">
        <v>1432</v>
      </c>
      <c r="S700" s="14" t="s">
        <v>31</v>
      </c>
      <c r="T700" s="14" t="s">
        <v>27</v>
      </c>
      <c r="U700" s="13">
        <v>3183</v>
      </c>
      <c r="V700" s="15">
        <v>5</v>
      </c>
      <c r="W700" s="9" t="str">
        <f>IF(Table1[[#This Row],[Satisfaction Rating]]&lt;2, "Low", IF(Table1[[#This Row],[Satisfaction Rating]]&lt;4, "Medium", "High"))</f>
        <v>High</v>
      </c>
    </row>
    <row r="701" spans="1:23" ht="14" x14ac:dyDescent="0.2">
      <c r="A701" s="10" t="s">
        <v>1433</v>
      </c>
      <c r="B701" s="11">
        <v>45444.748136574075</v>
      </c>
      <c r="C701" s="11">
        <v>45444.748136574075</v>
      </c>
      <c r="D701" s="11" t="str">
        <f>IF(Table1[[#This Row],[Duration of Campaign]]=0, "Ongoing","Completed")</f>
        <v>Ongoing</v>
      </c>
      <c r="E701" s="12">
        <f>Table1[[#This Row],[End Date]]-Table1[[#This Row],[Start Date]]</f>
        <v>0</v>
      </c>
      <c r="F701" s="13">
        <v>8089</v>
      </c>
      <c r="G701" s="14" t="s">
        <v>29</v>
      </c>
      <c r="H701" s="15">
        <v>17500</v>
      </c>
      <c r="I701" s="15">
        <v>698</v>
      </c>
      <c r="J701" s="15">
        <v>152</v>
      </c>
      <c r="K701" s="16">
        <v>12106</v>
      </c>
      <c r="L701" s="17">
        <f t="shared" si="50"/>
        <v>3.9885714285714288E-2</v>
      </c>
      <c r="M701" s="17">
        <f t="shared" si="50"/>
        <v>0.2177650429799427</v>
      </c>
      <c r="N701" s="18">
        <f t="shared" si="51"/>
        <v>19.167621776504298</v>
      </c>
      <c r="O701" s="18">
        <f t="shared" si="52"/>
        <v>88.01973684210526</v>
      </c>
      <c r="P701" s="17">
        <f t="shared" si="53"/>
        <v>1.6539745333168501</v>
      </c>
      <c r="Q701" s="17">
        <f t="shared" si="54"/>
        <v>0.90485088571642125</v>
      </c>
      <c r="R701" s="10" t="s">
        <v>1434</v>
      </c>
      <c r="S701" s="14" t="s">
        <v>26</v>
      </c>
      <c r="T701" s="14" t="s">
        <v>37</v>
      </c>
      <c r="U701" s="13">
        <v>13379</v>
      </c>
      <c r="V701" s="15">
        <v>2</v>
      </c>
      <c r="W701" s="9" t="str">
        <f>IF(Table1[[#This Row],[Satisfaction Rating]]&lt;2, "Low", IF(Table1[[#This Row],[Satisfaction Rating]]&lt;4, "Medium", "High"))</f>
        <v>Medium</v>
      </c>
    </row>
    <row r="702" spans="1:23" ht="14" x14ac:dyDescent="0.2">
      <c r="A702" s="10" t="s">
        <v>1435</v>
      </c>
      <c r="B702" s="11">
        <v>45029.916250000002</v>
      </c>
      <c r="C702" s="11">
        <v>45203.197812500002</v>
      </c>
      <c r="D702" s="11" t="str">
        <f>IF(Table1[[#This Row],[Duration of Campaign]]=0, "Ongoing","Completed")</f>
        <v>Completed</v>
      </c>
      <c r="E702" s="12">
        <f>Table1[[#This Row],[End Date]]-Table1[[#This Row],[Start Date]]</f>
        <v>173.28156250000029</v>
      </c>
      <c r="F702" s="13">
        <v>5617</v>
      </c>
      <c r="G702" s="14" t="s">
        <v>47</v>
      </c>
      <c r="H702" s="15">
        <v>14434</v>
      </c>
      <c r="I702" s="15">
        <v>967</v>
      </c>
      <c r="J702" s="15">
        <v>22</v>
      </c>
      <c r="K702" s="16">
        <v>11854</v>
      </c>
      <c r="L702" s="17">
        <f t="shared" si="50"/>
        <v>6.6994596092559242E-2</v>
      </c>
      <c r="M702" s="17">
        <f t="shared" si="50"/>
        <v>2.2750775594622543E-2</v>
      </c>
      <c r="N702" s="18">
        <f t="shared" si="51"/>
        <v>9.8769389865563593</v>
      </c>
      <c r="O702" s="18">
        <f t="shared" si="52"/>
        <v>434.13636363636363</v>
      </c>
      <c r="P702" s="17">
        <f t="shared" si="53"/>
        <v>1.7003738650525191</v>
      </c>
      <c r="Q702" s="17">
        <f t="shared" si="54"/>
        <v>1.2411265836038112</v>
      </c>
      <c r="R702" s="10" t="s">
        <v>1436</v>
      </c>
      <c r="S702" s="14" t="s">
        <v>40</v>
      </c>
      <c r="T702" s="14" t="s">
        <v>55</v>
      </c>
      <c r="U702" s="13">
        <v>9551</v>
      </c>
      <c r="V702" s="15">
        <v>4</v>
      </c>
      <c r="W702" s="9" t="str">
        <f>IF(Table1[[#This Row],[Satisfaction Rating]]&lt;2, "Low", IF(Table1[[#This Row],[Satisfaction Rating]]&lt;4, "Medium", "High"))</f>
        <v>High</v>
      </c>
    </row>
    <row r="703" spans="1:23" ht="14" x14ac:dyDescent="0.2">
      <c r="A703" s="10" t="s">
        <v>1437</v>
      </c>
      <c r="B703" s="11">
        <v>44991.228252314817</v>
      </c>
      <c r="C703" s="11">
        <v>45122.117777777778</v>
      </c>
      <c r="D703" s="11" t="str">
        <f>IF(Table1[[#This Row],[Duration of Campaign]]=0, "Ongoing","Completed")</f>
        <v>Completed</v>
      </c>
      <c r="E703" s="12">
        <f>Table1[[#This Row],[End Date]]-Table1[[#This Row],[Start Date]]</f>
        <v>130.88952546296059</v>
      </c>
      <c r="F703" s="13">
        <v>5105</v>
      </c>
      <c r="G703" s="14" t="s">
        <v>24</v>
      </c>
      <c r="H703" s="15">
        <v>18772</v>
      </c>
      <c r="I703" s="15">
        <v>569</v>
      </c>
      <c r="J703" s="15">
        <v>340</v>
      </c>
      <c r="K703" s="16">
        <v>8898</v>
      </c>
      <c r="L703" s="17">
        <f t="shared" si="50"/>
        <v>3.0311101640741529E-2</v>
      </c>
      <c r="M703" s="17">
        <f t="shared" si="50"/>
        <v>0.5975395430579965</v>
      </c>
      <c r="N703" s="18">
        <f t="shared" si="51"/>
        <v>33.45518453427065</v>
      </c>
      <c r="O703" s="18">
        <f t="shared" si="52"/>
        <v>55.988235294117644</v>
      </c>
      <c r="P703" s="17">
        <f t="shared" si="53"/>
        <v>3.7288932419196867</v>
      </c>
      <c r="Q703" s="17">
        <f t="shared" si="54"/>
        <v>0.46743013238075226</v>
      </c>
      <c r="R703" s="10" t="s">
        <v>1438</v>
      </c>
      <c r="S703" s="14" t="s">
        <v>34</v>
      </c>
      <c r="T703" s="14" t="s">
        <v>27</v>
      </c>
      <c r="U703" s="13">
        <v>19036</v>
      </c>
      <c r="V703" s="15">
        <v>2</v>
      </c>
      <c r="W703" s="9" t="str">
        <f>IF(Table1[[#This Row],[Satisfaction Rating]]&lt;2, "Low", IF(Table1[[#This Row],[Satisfaction Rating]]&lt;4, "Medium", "High"))</f>
        <v>Medium</v>
      </c>
    </row>
    <row r="704" spans="1:23" ht="14" x14ac:dyDescent="0.2">
      <c r="A704" s="10" t="s">
        <v>1439</v>
      </c>
      <c r="B704" s="11">
        <v>45295.470462962963</v>
      </c>
      <c r="C704" s="11">
        <v>45295.470462962963</v>
      </c>
      <c r="D704" s="11" t="str">
        <f>IF(Table1[[#This Row],[Duration of Campaign]]=0, "Ongoing","Completed")</f>
        <v>Ongoing</v>
      </c>
      <c r="E704" s="12">
        <f>Table1[[#This Row],[End Date]]-Table1[[#This Row],[Start Date]]</f>
        <v>0</v>
      </c>
      <c r="F704" s="13">
        <v>8598</v>
      </c>
      <c r="G704" s="14" t="s">
        <v>47</v>
      </c>
      <c r="H704" s="15">
        <v>17247</v>
      </c>
      <c r="I704" s="15">
        <v>156</v>
      </c>
      <c r="J704" s="15">
        <v>459</v>
      </c>
      <c r="K704" s="16">
        <v>1539</v>
      </c>
      <c r="L704" s="17">
        <f t="shared" si="50"/>
        <v>9.0450513132718739E-3</v>
      </c>
      <c r="M704" s="17">
        <f t="shared" si="50"/>
        <v>2.9423076923076925</v>
      </c>
      <c r="N704" s="18">
        <f t="shared" si="51"/>
        <v>97.320512820512818</v>
      </c>
      <c r="O704" s="18">
        <f t="shared" si="52"/>
        <v>33.076252723311548</v>
      </c>
      <c r="P704" s="17">
        <f t="shared" si="53"/>
        <v>1.7657594789485926</v>
      </c>
      <c r="Q704" s="17">
        <f t="shared" si="54"/>
        <v>0.10137004347253327</v>
      </c>
      <c r="R704" s="10" t="s">
        <v>1440</v>
      </c>
      <c r="S704" s="14" t="s">
        <v>34</v>
      </c>
      <c r="T704" s="14" t="s">
        <v>37</v>
      </c>
      <c r="U704" s="13">
        <v>15182</v>
      </c>
      <c r="V704" s="15">
        <v>5</v>
      </c>
      <c r="W704" s="9" t="str">
        <f>IF(Table1[[#This Row],[Satisfaction Rating]]&lt;2, "Low", IF(Table1[[#This Row],[Satisfaction Rating]]&lt;4, "Medium", "High"))</f>
        <v>High</v>
      </c>
    </row>
    <row r="705" spans="1:23" ht="14" x14ac:dyDescent="0.2">
      <c r="A705" s="10" t="s">
        <v>1441</v>
      </c>
      <c r="B705" s="11">
        <v>45607.825740740744</v>
      </c>
      <c r="C705" s="11">
        <v>45607.825740740744</v>
      </c>
      <c r="D705" s="11" t="str">
        <f>IF(Table1[[#This Row],[Duration of Campaign]]=0, "Ongoing","Completed")</f>
        <v>Ongoing</v>
      </c>
      <c r="E705" s="12">
        <f>Table1[[#This Row],[End Date]]-Table1[[#This Row],[Start Date]]</f>
        <v>0</v>
      </c>
      <c r="F705" s="13">
        <v>2892</v>
      </c>
      <c r="G705" s="14" t="s">
        <v>29</v>
      </c>
      <c r="H705" s="15">
        <v>16599</v>
      </c>
      <c r="I705" s="15">
        <v>1594</v>
      </c>
      <c r="J705" s="15">
        <v>273</v>
      </c>
      <c r="K705" s="16">
        <v>627</v>
      </c>
      <c r="L705" s="17">
        <f t="shared" si="50"/>
        <v>9.6029881318151697E-2</v>
      </c>
      <c r="M705" s="17">
        <f t="shared" si="50"/>
        <v>0.17126725219573399</v>
      </c>
      <c r="N705" s="18">
        <f t="shared" si="51"/>
        <v>3.8074027603513176</v>
      </c>
      <c r="O705" s="18">
        <f t="shared" si="52"/>
        <v>22.23076923076923</v>
      </c>
      <c r="P705" s="17">
        <f t="shared" si="53"/>
        <v>2.0985477178423237</v>
      </c>
      <c r="Q705" s="17">
        <f t="shared" si="54"/>
        <v>0.10331191300049432</v>
      </c>
      <c r="R705" s="10" t="s">
        <v>1442</v>
      </c>
      <c r="S705" s="14" t="s">
        <v>31</v>
      </c>
      <c r="T705" s="14" t="s">
        <v>55</v>
      </c>
      <c r="U705" s="13">
        <v>6069</v>
      </c>
      <c r="V705" s="15">
        <v>3</v>
      </c>
      <c r="W705" s="9" t="str">
        <f>IF(Table1[[#This Row],[Satisfaction Rating]]&lt;2, "Low", IF(Table1[[#This Row],[Satisfaction Rating]]&lt;4, "Medium", "High"))</f>
        <v>Medium</v>
      </c>
    </row>
    <row r="706" spans="1:23" ht="14" x14ac:dyDescent="0.2">
      <c r="A706" s="10" t="s">
        <v>1443</v>
      </c>
      <c r="B706" s="11">
        <v>45118.678599537037</v>
      </c>
      <c r="C706" s="11">
        <v>45118.678599537037</v>
      </c>
      <c r="D706" s="11" t="str">
        <f>IF(Table1[[#This Row],[Duration of Campaign]]=0, "Ongoing","Completed")</f>
        <v>Ongoing</v>
      </c>
      <c r="E706" s="12">
        <f>Table1[[#This Row],[End Date]]-Table1[[#This Row],[Start Date]]</f>
        <v>0</v>
      </c>
      <c r="F706" s="13">
        <v>9146</v>
      </c>
      <c r="G706" s="14" t="s">
        <v>63</v>
      </c>
      <c r="H706" s="15">
        <v>6780</v>
      </c>
      <c r="I706" s="15">
        <v>835</v>
      </c>
      <c r="J706" s="15">
        <v>472</v>
      </c>
      <c r="K706" s="16">
        <v>10945</v>
      </c>
      <c r="L706" s="17">
        <f t="shared" si="50"/>
        <v>0.12315634218289086</v>
      </c>
      <c r="M706" s="17">
        <f t="shared" si="50"/>
        <v>0.56526946107784426</v>
      </c>
      <c r="N706" s="18">
        <f t="shared" si="51"/>
        <v>3.8419161676646705</v>
      </c>
      <c r="O706" s="18">
        <f t="shared" si="52"/>
        <v>6.7966101694915251</v>
      </c>
      <c r="P706" s="17">
        <f t="shared" si="53"/>
        <v>0.35075442816531816</v>
      </c>
      <c r="Q706" s="17">
        <f t="shared" si="54"/>
        <v>3.4117830423940148</v>
      </c>
      <c r="R706" s="10" t="s">
        <v>1444</v>
      </c>
      <c r="S706" s="14" t="s">
        <v>45</v>
      </c>
      <c r="T706" s="14" t="s">
        <v>27</v>
      </c>
      <c r="U706" s="13">
        <v>3208</v>
      </c>
      <c r="V706" s="15">
        <v>3</v>
      </c>
      <c r="W706" s="9" t="str">
        <f>IF(Table1[[#This Row],[Satisfaction Rating]]&lt;2, "Low", IF(Table1[[#This Row],[Satisfaction Rating]]&lt;4, "Medium", "High"))</f>
        <v>Medium</v>
      </c>
    </row>
    <row r="707" spans="1:23" ht="14" x14ac:dyDescent="0.2">
      <c r="A707" s="10" t="s">
        <v>1445</v>
      </c>
      <c r="B707" s="11">
        <v>45275.750462962962</v>
      </c>
      <c r="C707" s="11">
        <v>45275.750462962962</v>
      </c>
      <c r="D707" s="11" t="str">
        <f>IF(Table1[[#This Row],[Duration of Campaign]]=0, "Ongoing","Completed")</f>
        <v>Ongoing</v>
      </c>
      <c r="E707" s="12">
        <f>Table1[[#This Row],[End Date]]-Table1[[#This Row],[Start Date]]</f>
        <v>0</v>
      </c>
      <c r="F707" s="13">
        <v>3715</v>
      </c>
      <c r="G707" s="14" t="s">
        <v>47</v>
      </c>
      <c r="H707" s="15">
        <v>12632</v>
      </c>
      <c r="I707" s="15">
        <v>327</v>
      </c>
      <c r="J707" s="15">
        <v>464</v>
      </c>
      <c r="K707" s="16">
        <v>10299</v>
      </c>
      <c r="L707" s="17">
        <f t="shared" ref="L707:M770" si="55">I707/H707</f>
        <v>2.5886637112096263E-2</v>
      </c>
      <c r="M707" s="17">
        <f t="shared" si="55"/>
        <v>1.418960244648318</v>
      </c>
      <c r="N707" s="18">
        <f t="shared" ref="N707:N770" si="56">U707/I707</f>
        <v>53.908256880733944</v>
      </c>
      <c r="O707" s="18">
        <f t="shared" ref="O707:O770" si="57">U707/J707</f>
        <v>37.991379310344826</v>
      </c>
      <c r="P707" s="17">
        <f t="shared" ref="P707:P770" si="58">U707/F707</f>
        <v>4.7450874831763121</v>
      </c>
      <c r="Q707" s="17">
        <f t="shared" ref="Q707:Q770" si="59">K707/U707</f>
        <v>0.58424098025867932</v>
      </c>
      <c r="R707" s="10" t="s">
        <v>1446</v>
      </c>
      <c r="S707" s="14" t="s">
        <v>45</v>
      </c>
      <c r="T707" s="14" t="s">
        <v>55</v>
      </c>
      <c r="U707" s="13">
        <v>17628</v>
      </c>
      <c r="V707" s="15">
        <v>4</v>
      </c>
      <c r="W707" s="9" t="str">
        <f>IF(Table1[[#This Row],[Satisfaction Rating]]&lt;2, "Low", IF(Table1[[#This Row],[Satisfaction Rating]]&lt;4, "Medium", "High"))</f>
        <v>High</v>
      </c>
    </row>
    <row r="708" spans="1:23" ht="14" x14ac:dyDescent="0.2">
      <c r="A708" s="10" t="s">
        <v>1447</v>
      </c>
      <c r="B708" s="11">
        <v>45179.293506944443</v>
      </c>
      <c r="C708" s="11">
        <v>45562.121527777781</v>
      </c>
      <c r="D708" s="11" t="str">
        <f>IF(Table1[[#This Row],[Duration of Campaign]]=0, "Ongoing","Completed")</f>
        <v>Completed</v>
      </c>
      <c r="E708" s="12">
        <f>Table1[[#This Row],[End Date]]-Table1[[#This Row],[Start Date]]</f>
        <v>382.82802083333809</v>
      </c>
      <c r="F708" s="13">
        <v>9598</v>
      </c>
      <c r="G708" s="14" t="s">
        <v>63</v>
      </c>
      <c r="H708" s="15">
        <v>15400</v>
      </c>
      <c r="I708" s="15">
        <v>1972</v>
      </c>
      <c r="J708" s="15">
        <v>12</v>
      </c>
      <c r="K708" s="16">
        <v>14647</v>
      </c>
      <c r="L708" s="17">
        <f t="shared" si="55"/>
        <v>0.12805194805194806</v>
      </c>
      <c r="M708" s="17">
        <f t="shared" si="55"/>
        <v>6.0851926977687626E-3</v>
      </c>
      <c r="N708" s="18">
        <f t="shared" si="56"/>
        <v>5.508113590263692</v>
      </c>
      <c r="O708" s="18">
        <f t="shared" si="57"/>
        <v>905.16666666666663</v>
      </c>
      <c r="P708" s="17">
        <f t="shared" si="58"/>
        <v>1.131694102938112</v>
      </c>
      <c r="Q708" s="17">
        <f t="shared" si="59"/>
        <v>1.3484625299208248</v>
      </c>
      <c r="R708" s="10" t="s">
        <v>1448</v>
      </c>
      <c r="S708" s="14" t="s">
        <v>45</v>
      </c>
      <c r="T708" s="14" t="s">
        <v>27</v>
      </c>
      <c r="U708" s="13">
        <v>10862</v>
      </c>
      <c r="V708" s="15">
        <v>4</v>
      </c>
      <c r="W708" s="9" t="str">
        <f>IF(Table1[[#This Row],[Satisfaction Rating]]&lt;2, "Low", IF(Table1[[#This Row],[Satisfaction Rating]]&lt;4, "Medium", "High"))</f>
        <v>High</v>
      </c>
    </row>
    <row r="709" spans="1:23" ht="14" x14ac:dyDescent="0.2">
      <c r="A709" s="10" t="s">
        <v>1449</v>
      </c>
      <c r="B709" s="11">
        <v>45378.269652777781</v>
      </c>
      <c r="C709" s="11">
        <v>45378.269652777781</v>
      </c>
      <c r="D709" s="11" t="str">
        <f>IF(Table1[[#This Row],[Duration of Campaign]]=0, "Ongoing","Completed")</f>
        <v>Ongoing</v>
      </c>
      <c r="E709" s="12">
        <f>Table1[[#This Row],[End Date]]-Table1[[#This Row],[Start Date]]</f>
        <v>0</v>
      </c>
      <c r="F709" s="13">
        <v>4389</v>
      </c>
      <c r="G709" s="14" t="s">
        <v>29</v>
      </c>
      <c r="H709" s="15">
        <v>16678</v>
      </c>
      <c r="I709" s="15">
        <v>577</v>
      </c>
      <c r="J709" s="15">
        <v>400</v>
      </c>
      <c r="K709" s="16">
        <v>4876</v>
      </c>
      <c r="L709" s="17">
        <f t="shared" si="55"/>
        <v>3.459647439740976E-2</v>
      </c>
      <c r="M709" s="17">
        <f t="shared" si="55"/>
        <v>0.69324090121317161</v>
      </c>
      <c r="N709" s="18">
        <f t="shared" si="56"/>
        <v>32.59098786828423</v>
      </c>
      <c r="O709" s="18">
        <f t="shared" si="57"/>
        <v>47.012500000000003</v>
      </c>
      <c r="P709" s="17">
        <f t="shared" si="58"/>
        <v>4.2845750740487585</v>
      </c>
      <c r="Q709" s="17">
        <f t="shared" si="59"/>
        <v>0.25929274129220953</v>
      </c>
      <c r="R709" s="10" t="s">
        <v>1450</v>
      </c>
      <c r="S709" s="14" t="s">
        <v>40</v>
      </c>
      <c r="T709" s="14" t="s">
        <v>37</v>
      </c>
      <c r="U709" s="13">
        <v>18805</v>
      </c>
      <c r="V709" s="15">
        <v>2</v>
      </c>
      <c r="W709" s="9" t="str">
        <f>IF(Table1[[#This Row],[Satisfaction Rating]]&lt;2, "Low", IF(Table1[[#This Row],[Satisfaction Rating]]&lt;4, "Medium", "High"))</f>
        <v>Medium</v>
      </c>
    </row>
    <row r="710" spans="1:23" ht="14" x14ac:dyDescent="0.2">
      <c r="A710" s="10" t="s">
        <v>1451</v>
      </c>
      <c r="B710" s="11">
        <v>45339.468495370369</v>
      </c>
      <c r="C710" s="11">
        <v>45339.468495370369</v>
      </c>
      <c r="D710" s="11" t="str">
        <f>IF(Table1[[#This Row],[Duration of Campaign]]=0, "Ongoing","Completed")</f>
        <v>Ongoing</v>
      </c>
      <c r="E710" s="12">
        <f>Table1[[#This Row],[End Date]]-Table1[[#This Row],[Start Date]]</f>
        <v>0</v>
      </c>
      <c r="F710" s="13">
        <v>6187</v>
      </c>
      <c r="G710" s="14" t="s">
        <v>29</v>
      </c>
      <c r="H710" s="15">
        <v>6308</v>
      </c>
      <c r="I710" s="15">
        <v>497</v>
      </c>
      <c r="J710" s="15">
        <v>101</v>
      </c>
      <c r="K710" s="16">
        <v>8217</v>
      </c>
      <c r="L710" s="17">
        <f t="shared" si="55"/>
        <v>7.8788839568801519E-2</v>
      </c>
      <c r="M710" s="17">
        <f t="shared" si="55"/>
        <v>0.20321931589537223</v>
      </c>
      <c r="N710" s="18">
        <f t="shared" si="56"/>
        <v>34.072434607645874</v>
      </c>
      <c r="O710" s="18">
        <f t="shared" si="57"/>
        <v>167.66336633663366</v>
      </c>
      <c r="P710" s="17">
        <f t="shared" si="58"/>
        <v>2.7370292548892841</v>
      </c>
      <c r="Q710" s="17">
        <f t="shared" si="59"/>
        <v>0.48523680170072042</v>
      </c>
      <c r="R710" s="10" t="s">
        <v>1452</v>
      </c>
      <c r="S710" s="14" t="s">
        <v>45</v>
      </c>
      <c r="T710" s="14" t="s">
        <v>55</v>
      </c>
      <c r="U710" s="13">
        <v>16934</v>
      </c>
      <c r="V710" s="15">
        <v>5</v>
      </c>
      <c r="W710" s="9" t="str">
        <f>IF(Table1[[#This Row],[Satisfaction Rating]]&lt;2, "Low", IF(Table1[[#This Row],[Satisfaction Rating]]&lt;4, "Medium", "High"))</f>
        <v>High</v>
      </c>
    </row>
    <row r="711" spans="1:23" ht="14" x14ac:dyDescent="0.2">
      <c r="A711" s="10" t="s">
        <v>1453</v>
      </c>
      <c r="B711" s="11">
        <v>45059.856527777774</v>
      </c>
      <c r="C711" s="11">
        <v>45341.872847222221</v>
      </c>
      <c r="D711" s="11" t="str">
        <f>IF(Table1[[#This Row],[Duration of Campaign]]=0, "Ongoing","Completed")</f>
        <v>Completed</v>
      </c>
      <c r="E711" s="12">
        <f>Table1[[#This Row],[End Date]]-Table1[[#This Row],[Start Date]]</f>
        <v>282.01631944444671</v>
      </c>
      <c r="F711" s="13">
        <v>6326</v>
      </c>
      <c r="G711" s="14" t="s">
        <v>24</v>
      </c>
      <c r="H711" s="15">
        <v>2071</v>
      </c>
      <c r="I711" s="15">
        <v>1530</v>
      </c>
      <c r="J711" s="15">
        <v>294</v>
      </c>
      <c r="K711" s="16">
        <v>3346</v>
      </c>
      <c r="L711" s="17">
        <f t="shared" si="55"/>
        <v>0.73877353935296963</v>
      </c>
      <c r="M711" s="17">
        <f t="shared" si="55"/>
        <v>0.19215686274509805</v>
      </c>
      <c r="N711" s="18">
        <f t="shared" si="56"/>
        <v>8.2450980392156854</v>
      </c>
      <c r="O711" s="18">
        <f t="shared" si="57"/>
        <v>42.908163265306122</v>
      </c>
      <c r="P711" s="17">
        <f t="shared" si="58"/>
        <v>1.9941511223521973</v>
      </c>
      <c r="Q711" s="17">
        <f t="shared" si="59"/>
        <v>0.26523979389615537</v>
      </c>
      <c r="R711" s="10" t="s">
        <v>1454</v>
      </c>
      <c r="S711" s="14" t="s">
        <v>45</v>
      </c>
      <c r="T711" s="14" t="s">
        <v>37</v>
      </c>
      <c r="U711" s="13">
        <v>12615</v>
      </c>
      <c r="V711" s="15">
        <v>5</v>
      </c>
      <c r="W711" s="9" t="str">
        <f>IF(Table1[[#This Row],[Satisfaction Rating]]&lt;2, "Low", IF(Table1[[#This Row],[Satisfaction Rating]]&lt;4, "Medium", "High"))</f>
        <v>High</v>
      </c>
    </row>
    <row r="712" spans="1:23" ht="14" x14ac:dyDescent="0.2">
      <c r="A712" s="10" t="s">
        <v>1455</v>
      </c>
      <c r="B712" s="11">
        <v>45315.655092592591</v>
      </c>
      <c r="C712" s="11">
        <v>45315.655092592591</v>
      </c>
      <c r="D712" s="11" t="str">
        <f>IF(Table1[[#This Row],[Duration of Campaign]]=0, "Ongoing","Completed")</f>
        <v>Ongoing</v>
      </c>
      <c r="E712" s="12">
        <f>Table1[[#This Row],[End Date]]-Table1[[#This Row],[Start Date]]</f>
        <v>0</v>
      </c>
      <c r="F712" s="13">
        <v>2412</v>
      </c>
      <c r="G712" s="14" t="s">
        <v>29</v>
      </c>
      <c r="H712" s="15">
        <v>11786</v>
      </c>
      <c r="I712" s="15">
        <v>198</v>
      </c>
      <c r="J712" s="15">
        <v>287</v>
      </c>
      <c r="K712" s="16">
        <v>5387</v>
      </c>
      <c r="L712" s="17">
        <f t="shared" si="55"/>
        <v>1.6799592737145767E-2</v>
      </c>
      <c r="M712" s="17">
        <f t="shared" si="55"/>
        <v>1.4494949494949494</v>
      </c>
      <c r="N712" s="18">
        <f t="shared" si="56"/>
        <v>18.106060606060606</v>
      </c>
      <c r="O712" s="18">
        <f t="shared" si="57"/>
        <v>12.491289198606271</v>
      </c>
      <c r="P712" s="17">
        <f t="shared" si="58"/>
        <v>1.486318407960199</v>
      </c>
      <c r="Q712" s="17">
        <f t="shared" si="59"/>
        <v>1.5026499302649929</v>
      </c>
      <c r="R712" s="10" t="s">
        <v>1456</v>
      </c>
      <c r="S712" s="14" t="s">
        <v>31</v>
      </c>
      <c r="T712" s="14" t="s">
        <v>55</v>
      </c>
      <c r="U712" s="13">
        <v>3585</v>
      </c>
      <c r="V712" s="15">
        <v>2</v>
      </c>
      <c r="W712" s="9" t="str">
        <f>IF(Table1[[#This Row],[Satisfaction Rating]]&lt;2, "Low", IF(Table1[[#This Row],[Satisfaction Rating]]&lt;4, "Medium", "High"))</f>
        <v>Medium</v>
      </c>
    </row>
    <row r="713" spans="1:23" ht="14" x14ac:dyDescent="0.2">
      <c r="A713" s="10" t="s">
        <v>1457</v>
      </c>
      <c r="B713" s="11">
        <v>44966.697268518517</v>
      </c>
      <c r="C713" s="11">
        <v>45060.251446759263</v>
      </c>
      <c r="D713" s="11" t="str">
        <f>IF(Table1[[#This Row],[Duration of Campaign]]=0, "Ongoing","Completed")</f>
        <v>Completed</v>
      </c>
      <c r="E713" s="12">
        <f>Table1[[#This Row],[End Date]]-Table1[[#This Row],[Start Date]]</f>
        <v>93.554178240745387</v>
      </c>
      <c r="F713" s="13">
        <v>9996</v>
      </c>
      <c r="G713" s="14" t="s">
        <v>47</v>
      </c>
      <c r="H713" s="15">
        <v>19759</v>
      </c>
      <c r="I713" s="15">
        <v>369</v>
      </c>
      <c r="J713" s="15">
        <v>402</v>
      </c>
      <c r="K713" s="16">
        <v>11500</v>
      </c>
      <c r="L713" s="17">
        <f t="shared" si="55"/>
        <v>1.8675034161647858E-2</v>
      </c>
      <c r="M713" s="17">
        <f t="shared" si="55"/>
        <v>1.089430894308943</v>
      </c>
      <c r="N713" s="18">
        <f t="shared" si="56"/>
        <v>13.05420054200542</v>
      </c>
      <c r="O713" s="18">
        <f t="shared" si="57"/>
        <v>11.982587064676617</v>
      </c>
      <c r="P713" s="17">
        <f t="shared" si="58"/>
        <v>0.48189275710284113</v>
      </c>
      <c r="Q713" s="17">
        <f t="shared" si="59"/>
        <v>2.3873780361220676</v>
      </c>
      <c r="R713" s="10" t="s">
        <v>1458</v>
      </c>
      <c r="S713" s="14" t="s">
        <v>31</v>
      </c>
      <c r="T713" s="14" t="s">
        <v>27</v>
      </c>
      <c r="U713" s="13">
        <v>4817</v>
      </c>
      <c r="V713" s="15">
        <v>5</v>
      </c>
      <c r="W713" s="9" t="str">
        <f>IF(Table1[[#This Row],[Satisfaction Rating]]&lt;2, "Low", IF(Table1[[#This Row],[Satisfaction Rating]]&lt;4, "Medium", "High"))</f>
        <v>High</v>
      </c>
    </row>
    <row r="714" spans="1:23" ht="14" x14ac:dyDescent="0.2">
      <c r="A714" s="10" t="s">
        <v>1459</v>
      </c>
      <c r="B714" s="11">
        <v>45287.963703703703</v>
      </c>
      <c r="C714" s="11">
        <v>45626.403900462959</v>
      </c>
      <c r="D714" s="11" t="str">
        <f>IF(Table1[[#This Row],[Duration of Campaign]]=0, "Ongoing","Completed")</f>
        <v>Completed</v>
      </c>
      <c r="E714" s="12">
        <f>Table1[[#This Row],[End Date]]-Table1[[#This Row],[Start Date]]</f>
        <v>338.44019675925665</v>
      </c>
      <c r="F714" s="13">
        <v>7633</v>
      </c>
      <c r="G714" s="14" t="s">
        <v>29</v>
      </c>
      <c r="H714" s="15">
        <v>14862</v>
      </c>
      <c r="I714" s="15">
        <v>1281</v>
      </c>
      <c r="J714" s="15">
        <v>209</v>
      </c>
      <c r="K714" s="16">
        <v>10771</v>
      </c>
      <c r="L714" s="17">
        <f t="shared" si="55"/>
        <v>8.6192975373435607E-2</v>
      </c>
      <c r="M714" s="17">
        <f t="shared" si="55"/>
        <v>0.16315378610460576</v>
      </c>
      <c r="N714" s="18">
        <f t="shared" si="56"/>
        <v>8.9297423887587826</v>
      </c>
      <c r="O714" s="18">
        <f t="shared" si="57"/>
        <v>54.732057416267942</v>
      </c>
      <c r="P714" s="17">
        <f t="shared" si="58"/>
        <v>1.4986243940783441</v>
      </c>
      <c r="Q714" s="17">
        <f t="shared" si="59"/>
        <v>0.94160328700061191</v>
      </c>
      <c r="R714" s="10" t="s">
        <v>1460</v>
      </c>
      <c r="S714" s="14" t="s">
        <v>34</v>
      </c>
      <c r="T714" s="14" t="s">
        <v>55</v>
      </c>
      <c r="U714" s="13">
        <v>11439</v>
      </c>
      <c r="V714" s="15">
        <v>1</v>
      </c>
      <c r="W714" s="9" t="str">
        <f>IF(Table1[[#This Row],[Satisfaction Rating]]&lt;2, "Low", IF(Table1[[#This Row],[Satisfaction Rating]]&lt;4, "Medium", "High"))</f>
        <v>Low</v>
      </c>
    </row>
    <row r="715" spans="1:23" ht="14" x14ac:dyDescent="0.2">
      <c r="A715" s="10" t="s">
        <v>1461</v>
      </c>
      <c r="B715" s="11">
        <v>45355.534282407411</v>
      </c>
      <c r="C715" s="11">
        <v>45355.534282407411</v>
      </c>
      <c r="D715" s="11" t="str">
        <f>IF(Table1[[#This Row],[Duration of Campaign]]=0, "Ongoing","Completed")</f>
        <v>Ongoing</v>
      </c>
      <c r="E715" s="12">
        <f>Table1[[#This Row],[End Date]]-Table1[[#This Row],[Start Date]]</f>
        <v>0</v>
      </c>
      <c r="F715" s="13">
        <v>7451</v>
      </c>
      <c r="G715" s="14" t="s">
        <v>63</v>
      </c>
      <c r="H715" s="15">
        <v>13503</v>
      </c>
      <c r="I715" s="15">
        <v>657</v>
      </c>
      <c r="J715" s="15">
        <v>62</v>
      </c>
      <c r="K715" s="16">
        <v>14047</v>
      </c>
      <c r="L715" s="17">
        <f t="shared" si="55"/>
        <v>4.8655854254610088E-2</v>
      </c>
      <c r="M715" s="17">
        <f t="shared" si="55"/>
        <v>9.4368340943683404E-2</v>
      </c>
      <c r="N715" s="18">
        <f t="shared" si="56"/>
        <v>13.394216133942161</v>
      </c>
      <c r="O715" s="18">
        <f t="shared" si="57"/>
        <v>141.93548387096774</v>
      </c>
      <c r="P715" s="17">
        <f t="shared" si="58"/>
        <v>1.1810495235538854</v>
      </c>
      <c r="Q715" s="17">
        <f t="shared" si="59"/>
        <v>1.5962499999999999</v>
      </c>
      <c r="R715" s="10" t="s">
        <v>1462</v>
      </c>
      <c r="S715" s="14" t="s">
        <v>40</v>
      </c>
      <c r="T715" s="14" t="s">
        <v>27</v>
      </c>
      <c r="U715" s="13">
        <v>8800</v>
      </c>
      <c r="V715" s="15">
        <v>2</v>
      </c>
      <c r="W715" s="9" t="str">
        <f>IF(Table1[[#This Row],[Satisfaction Rating]]&lt;2, "Low", IF(Table1[[#This Row],[Satisfaction Rating]]&lt;4, "Medium", "High"))</f>
        <v>Medium</v>
      </c>
    </row>
    <row r="716" spans="1:23" ht="14" x14ac:dyDescent="0.2">
      <c r="A716" s="10" t="s">
        <v>1463</v>
      </c>
      <c r="B716" s="11">
        <v>45295.429189814815</v>
      </c>
      <c r="C716" s="11">
        <v>45295.429189814815</v>
      </c>
      <c r="D716" s="11" t="str">
        <f>IF(Table1[[#This Row],[Duration of Campaign]]=0, "Ongoing","Completed")</f>
        <v>Ongoing</v>
      </c>
      <c r="E716" s="12">
        <f>Table1[[#This Row],[End Date]]-Table1[[#This Row],[Start Date]]</f>
        <v>0</v>
      </c>
      <c r="F716" s="13">
        <v>1972</v>
      </c>
      <c r="G716" s="14" t="s">
        <v>29</v>
      </c>
      <c r="H716" s="15">
        <v>5508</v>
      </c>
      <c r="I716" s="15">
        <v>1409</v>
      </c>
      <c r="J716" s="15">
        <v>93</v>
      </c>
      <c r="K716" s="16">
        <v>6101</v>
      </c>
      <c r="L716" s="17">
        <f t="shared" si="55"/>
        <v>0.2558097312999274</v>
      </c>
      <c r="M716" s="17">
        <f t="shared" si="55"/>
        <v>6.6004258339247696E-2</v>
      </c>
      <c r="N716" s="18">
        <f t="shared" si="56"/>
        <v>7.9552874378992193</v>
      </c>
      <c r="O716" s="18">
        <f t="shared" si="57"/>
        <v>120.52688172043011</v>
      </c>
      <c r="P716" s="17">
        <f t="shared" si="58"/>
        <v>5.6840770791075048</v>
      </c>
      <c r="Q716" s="17">
        <f t="shared" si="59"/>
        <v>0.54429476313676506</v>
      </c>
      <c r="R716" s="10" t="s">
        <v>1464</v>
      </c>
      <c r="S716" s="14" t="s">
        <v>26</v>
      </c>
      <c r="T716" s="14" t="s">
        <v>37</v>
      </c>
      <c r="U716" s="13">
        <v>11209</v>
      </c>
      <c r="V716" s="15">
        <v>2</v>
      </c>
      <c r="W716" s="9" t="str">
        <f>IF(Table1[[#This Row],[Satisfaction Rating]]&lt;2, "Low", IF(Table1[[#This Row],[Satisfaction Rating]]&lt;4, "Medium", "High"))</f>
        <v>Medium</v>
      </c>
    </row>
    <row r="717" spans="1:23" ht="14" x14ac:dyDescent="0.2">
      <c r="A717" s="10" t="s">
        <v>1465</v>
      </c>
      <c r="B717" s="11">
        <v>44951.895543981482</v>
      </c>
      <c r="C717" s="11">
        <v>45028.73296296296</v>
      </c>
      <c r="D717" s="11" t="str">
        <f>IF(Table1[[#This Row],[Duration of Campaign]]=0, "Ongoing","Completed")</f>
        <v>Completed</v>
      </c>
      <c r="E717" s="12">
        <f>Table1[[#This Row],[End Date]]-Table1[[#This Row],[Start Date]]</f>
        <v>76.83741898147855</v>
      </c>
      <c r="F717" s="13">
        <v>8420</v>
      </c>
      <c r="G717" s="14" t="s">
        <v>63</v>
      </c>
      <c r="H717" s="15">
        <v>14711</v>
      </c>
      <c r="I717" s="15">
        <v>272</v>
      </c>
      <c r="J717" s="15">
        <v>182</v>
      </c>
      <c r="K717" s="16">
        <v>4666</v>
      </c>
      <c r="L717" s="17">
        <f t="shared" si="55"/>
        <v>1.8489565631160356E-2</v>
      </c>
      <c r="M717" s="17">
        <f t="shared" si="55"/>
        <v>0.66911764705882348</v>
      </c>
      <c r="N717" s="18">
        <f t="shared" si="56"/>
        <v>3.6764705882352939</v>
      </c>
      <c r="O717" s="18">
        <f t="shared" si="57"/>
        <v>5.4945054945054945</v>
      </c>
      <c r="P717" s="17">
        <f t="shared" si="58"/>
        <v>0.11876484560570071</v>
      </c>
      <c r="Q717" s="17">
        <f t="shared" si="59"/>
        <v>4.6660000000000004</v>
      </c>
      <c r="R717" s="10" t="s">
        <v>1466</v>
      </c>
      <c r="S717" s="14" t="s">
        <v>45</v>
      </c>
      <c r="T717" s="14" t="s">
        <v>55</v>
      </c>
      <c r="U717" s="13">
        <v>1000</v>
      </c>
      <c r="V717" s="15">
        <v>3</v>
      </c>
      <c r="W717" s="9" t="str">
        <f>IF(Table1[[#This Row],[Satisfaction Rating]]&lt;2, "Low", IF(Table1[[#This Row],[Satisfaction Rating]]&lt;4, "Medium", "High"))</f>
        <v>Medium</v>
      </c>
    </row>
    <row r="718" spans="1:23" ht="14" x14ac:dyDescent="0.2">
      <c r="A718" s="10" t="s">
        <v>1467</v>
      </c>
      <c r="B718" s="11">
        <v>45120.054189814815</v>
      </c>
      <c r="C718" s="11">
        <v>45508.829872685186</v>
      </c>
      <c r="D718" s="11" t="str">
        <f>IF(Table1[[#This Row],[Duration of Campaign]]=0, "Ongoing","Completed")</f>
        <v>Completed</v>
      </c>
      <c r="E718" s="12">
        <f>Table1[[#This Row],[End Date]]-Table1[[#This Row],[Start Date]]</f>
        <v>388.77568287037138</v>
      </c>
      <c r="F718" s="13">
        <v>4537</v>
      </c>
      <c r="G718" s="14" t="s">
        <v>29</v>
      </c>
      <c r="H718" s="15">
        <v>9556</v>
      </c>
      <c r="I718" s="15">
        <v>1776</v>
      </c>
      <c r="J718" s="15">
        <v>149</v>
      </c>
      <c r="K718" s="16">
        <v>10015</v>
      </c>
      <c r="L718" s="17">
        <f t="shared" si="55"/>
        <v>0.18585182084554205</v>
      </c>
      <c r="M718" s="17">
        <f t="shared" si="55"/>
        <v>8.38963963963964E-2</v>
      </c>
      <c r="N718" s="18">
        <f t="shared" si="56"/>
        <v>7.4014639639639643</v>
      </c>
      <c r="O718" s="18">
        <f t="shared" si="57"/>
        <v>88.22147651006712</v>
      </c>
      <c r="P718" s="17">
        <f t="shared" si="58"/>
        <v>2.8972889574608773</v>
      </c>
      <c r="Q718" s="17">
        <f t="shared" si="59"/>
        <v>0.7618866489159376</v>
      </c>
      <c r="R718" s="10" t="s">
        <v>1468</v>
      </c>
      <c r="S718" s="14" t="s">
        <v>26</v>
      </c>
      <c r="T718" s="14" t="s">
        <v>55</v>
      </c>
      <c r="U718" s="13">
        <v>13145</v>
      </c>
      <c r="V718" s="15">
        <v>1</v>
      </c>
      <c r="W718" s="9" t="str">
        <f>IF(Table1[[#This Row],[Satisfaction Rating]]&lt;2, "Low", IF(Table1[[#This Row],[Satisfaction Rating]]&lt;4, "Medium", "High"))</f>
        <v>Low</v>
      </c>
    </row>
    <row r="719" spans="1:23" ht="14" x14ac:dyDescent="0.2">
      <c r="A719" s="10" t="s">
        <v>1469</v>
      </c>
      <c r="B719" s="11">
        <v>45173.121886574074</v>
      </c>
      <c r="C719" s="11">
        <v>45463.760462962964</v>
      </c>
      <c r="D719" s="11" t="str">
        <f>IF(Table1[[#This Row],[Duration of Campaign]]=0, "Ongoing","Completed")</f>
        <v>Completed</v>
      </c>
      <c r="E719" s="12">
        <f>Table1[[#This Row],[End Date]]-Table1[[#This Row],[Start Date]]</f>
        <v>290.63857638889021</v>
      </c>
      <c r="F719" s="13">
        <v>3532</v>
      </c>
      <c r="G719" s="14" t="s">
        <v>47</v>
      </c>
      <c r="H719" s="15">
        <v>7355</v>
      </c>
      <c r="I719" s="15">
        <v>1006</v>
      </c>
      <c r="J719" s="15">
        <v>142</v>
      </c>
      <c r="K719" s="16">
        <v>3821</v>
      </c>
      <c r="L719" s="17">
        <f t="shared" si="55"/>
        <v>0.13677770224337185</v>
      </c>
      <c r="M719" s="17">
        <f t="shared" si="55"/>
        <v>0.14115308151093439</v>
      </c>
      <c r="N719" s="18">
        <f t="shared" si="56"/>
        <v>17.133200795228628</v>
      </c>
      <c r="O719" s="18">
        <f t="shared" si="57"/>
        <v>121.38028169014085</v>
      </c>
      <c r="P719" s="17">
        <f t="shared" si="58"/>
        <v>4.87995469988675</v>
      </c>
      <c r="Q719" s="17">
        <f t="shared" si="59"/>
        <v>0.22168716639591551</v>
      </c>
      <c r="R719" s="10" t="s">
        <v>1470</v>
      </c>
      <c r="S719" s="14" t="s">
        <v>40</v>
      </c>
      <c r="T719" s="14" t="s">
        <v>27</v>
      </c>
      <c r="U719" s="13">
        <v>17236</v>
      </c>
      <c r="V719" s="15">
        <v>3</v>
      </c>
      <c r="W719" s="9" t="str">
        <f>IF(Table1[[#This Row],[Satisfaction Rating]]&lt;2, "Low", IF(Table1[[#This Row],[Satisfaction Rating]]&lt;4, "Medium", "High"))</f>
        <v>Medium</v>
      </c>
    </row>
    <row r="720" spans="1:23" ht="14" x14ac:dyDescent="0.2">
      <c r="A720" s="10" t="s">
        <v>1471</v>
      </c>
      <c r="B720" s="11">
        <v>44973.550659722219</v>
      </c>
      <c r="C720" s="11">
        <v>44995.356770833336</v>
      </c>
      <c r="D720" s="11" t="str">
        <f>IF(Table1[[#This Row],[Duration of Campaign]]=0, "Ongoing","Completed")</f>
        <v>Completed</v>
      </c>
      <c r="E720" s="12">
        <f>Table1[[#This Row],[End Date]]-Table1[[#This Row],[Start Date]]</f>
        <v>21.806111111116479</v>
      </c>
      <c r="F720" s="13">
        <v>5910</v>
      </c>
      <c r="G720" s="14" t="s">
        <v>47</v>
      </c>
      <c r="H720" s="15">
        <v>16581</v>
      </c>
      <c r="I720" s="15">
        <v>398</v>
      </c>
      <c r="J720" s="15">
        <v>83</v>
      </c>
      <c r="K720" s="16">
        <v>2701</v>
      </c>
      <c r="L720" s="17">
        <f t="shared" si="55"/>
        <v>2.400337735962849E-2</v>
      </c>
      <c r="M720" s="17">
        <f t="shared" si="55"/>
        <v>0.20854271356783918</v>
      </c>
      <c r="N720" s="18">
        <f t="shared" si="56"/>
        <v>46.422110552763819</v>
      </c>
      <c r="O720" s="18">
        <f t="shared" si="57"/>
        <v>222.60240963855421</v>
      </c>
      <c r="P720" s="17">
        <f t="shared" si="58"/>
        <v>3.1262267343485619</v>
      </c>
      <c r="Q720" s="17">
        <f t="shared" si="59"/>
        <v>0.14618965143970555</v>
      </c>
      <c r="R720" s="10" t="s">
        <v>1472</v>
      </c>
      <c r="S720" s="14" t="s">
        <v>34</v>
      </c>
      <c r="T720" s="14" t="s">
        <v>55</v>
      </c>
      <c r="U720" s="13">
        <v>18476</v>
      </c>
      <c r="V720" s="15">
        <v>2</v>
      </c>
      <c r="W720" s="9" t="str">
        <f>IF(Table1[[#This Row],[Satisfaction Rating]]&lt;2, "Low", IF(Table1[[#This Row],[Satisfaction Rating]]&lt;4, "Medium", "High"))</f>
        <v>Medium</v>
      </c>
    </row>
    <row r="721" spans="1:23" ht="14" x14ac:dyDescent="0.2">
      <c r="A721" s="10" t="s">
        <v>1473</v>
      </c>
      <c r="B721" s="11">
        <v>45147.235092592593</v>
      </c>
      <c r="C721" s="11">
        <v>45149.371527777781</v>
      </c>
      <c r="D721" s="11" t="str">
        <f>IF(Table1[[#This Row],[Duration of Campaign]]=0, "Ongoing","Completed")</f>
        <v>Completed</v>
      </c>
      <c r="E721" s="12">
        <f>Table1[[#This Row],[End Date]]-Table1[[#This Row],[Start Date]]</f>
        <v>2.1364351851880201</v>
      </c>
      <c r="F721" s="13">
        <v>5599</v>
      </c>
      <c r="G721" s="14" t="s">
        <v>29</v>
      </c>
      <c r="H721" s="15">
        <v>17537</v>
      </c>
      <c r="I721" s="15">
        <v>1317</v>
      </c>
      <c r="J721" s="15">
        <v>441</v>
      </c>
      <c r="K721" s="16">
        <v>10160</v>
      </c>
      <c r="L721" s="17">
        <f t="shared" si="55"/>
        <v>7.5098363460112907E-2</v>
      </c>
      <c r="M721" s="17">
        <f t="shared" si="55"/>
        <v>0.33485193621867881</v>
      </c>
      <c r="N721" s="18">
        <f t="shared" si="56"/>
        <v>14.133637053910402</v>
      </c>
      <c r="O721" s="18">
        <f t="shared" si="57"/>
        <v>42.208616780045354</v>
      </c>
      <c r="P721" s="17">
        <f t="shared" si="58"/>
        <v>3.3245222361135918</v>
      </c>
      <c r="Q721" s="17">
        <f t="shared" si="59"/>
        <v>0.54582572257440631</v>
      </c>
      <c r="R721" s="10" t="s">
        <v>1474</v>
      </c>
      <c r="S721" s="14" t="s">
        <v>40</v>
      </c>
      <c r="T721" s="14" t="s">
        <v>55</v>
      </c>
      <c r="U721" s="13">
        <v>18614</v>
      </c>
      <c r="V721" s="15">
        <v>1</v>
      </c>
      <c r="W721" s="9" t="str">
        <f>IF(Table1[[#This Row],[Satisfaction Rating]]&lt;2, "Low", IF(Table1[[#This Row],[Satisfaction Rating]]&lt;4, "Medium", "High"))</f>
        <v>Low</v>
      </c>
    </row>
    <row r="722" spans="1:23" ht="14" x14ac:dyDescent="0.2">
      <c r="A722" s="10" t="s">
        <v>1475</v>
      </c>
      <c r="B722" s="11">
        <v>45329.894293981481</v>
      </c>
      <c r="C722" s="11">
        <v>45329.894293981481</v>
      </c>
      <c r="D722" s="11" t="str">
        <f>IF(Table1[[#This Row],[Duration of Campaign]]=0, "Ongoing","Completed")</f>
        <v>Ongoing</v>
      </c>
      <c r="E722" s="12">
        <f>Table1[[#This Row],[End Date]]-Table1[[#This Row],[Start Date]]</f>
        <v>0</v>
      </c>
      <c r="F722" s="13">
        <v>9042</v>
      </c>
      <c r="G722" s="14" t="s">
        <v>63</v>
      </c>
      <c r="H722" s="15">
        <v>1805</v>
      </c>
      <c r="I722" s="15">
        <v>1146</v>
      </c>
      <c r="J722" s="15">
        <v>289</v>
      </c>
      <c r="K722" s="16">
        <v>10121</v>
      </c>
      <c r="L722" s="17">
        <f t="shared" si="55"/>
        <v>0.63490304709141276</v>
      </c>
      <c r="M722" s="17">
        <f t="shared" si="55"/>
        <v>0.25218150087260033</v>
      </c>
      <c r="N722" s="18">
        <f t="shared" si="56"/>
        <v>14.533158813263526</v>
      </c>
      <c r="O722" s="18">
        <f t="shared" si="57"/>
        <v>57.629757785467127</v>
      </c>
      <c r="P722" s="17">
        <f t="shared" si="58"/>
        <v>1.8419597434195973</v>
      </c>
      <c r="Q722" s="17">
        <f t="shared" si="59"/>
        <v>0.60768537976583603</v>
      </c>
      <c r="R722" s="10" t="s">
        <v>1476</v>
      </c>
      <c r="S722" s="14" t="s">
        <v>31</v>
      </c>
      <c r="T722" s="14" t="s">
        <v>27</v>
      </c>
      <c r="U722" s="13">
        <v>16655</v>
      </c>
      <c r="V722" s="15">
        <v>5</v>
      </c>
      <c r="W722" s="9" t="str">
        <f>IF(Table1[[#This Row],[Satisfaction Rating]]&lt;2, "Low", IF(Table1[[#This Row],[Satisfaction Rating]]&lt;4, "Medium", "High"))</f>
        <v>High</v>
      </c>
    </row>
    <row r="723" spans="1:23" ht="14" x14ac:dyDescent="0.2">
      <c r="A723" s="10" t="s">
        <v>1477</v>
      </c>
      <c r="B723" s="11">
        <v>45425.124282407407</v>
      </c>
      <c r="C723" s="11">
        <v>45425.124282407407</v>
      </c>
      <c r="D723" s="11" t="str">
        <f>IF(Table1[[#This Row],[Duration of Campaign]]=0, "Ongoing","Completed")</f>
        <v>Ongoing</v>
      </c>
      <c r="E723" s="12">
        <f>Table1[[#This Row],[End Date]]-Table1[[#This Row],[Start Date]]</f>
        <v>0</v>
      </c>
      <c r="F723" s="13">
        <v>8493</v>
      </c>
      <c r="G723" s="14" t="s">
        <v>47</v>
      </c>
      <c r="H723" s="15">
        <v>15575</v>
      </c>
      <c r="I723" s="15">
        <v>1609</v>
      </c>
      <c r="J723" s="15">
        <v>389</v>
      </c>
      <c r="K723" s="16">
        <v>12655</v>
      </c>
      <c r="L723" s="17">
        <f t="shared" si="55"/>
        <v>0.10330658105939004</v>
      </c>
      <c r="M723" s="17">
        <f t="shared" si="55"/>
        <v>0.24176507147296458</v>
      </c>
      <c r="N723" s="18">
        <f t="shared" si="56"/>
        <v>9.7818520820385331</v>
      </c>
      <c r="O723" s="18">
        <f t="shared" si="57"/>
        <v>40.460154241645242</v>
      </c>
      <c r="P723" s="17">
        <f t="shared" si="58"/>
        <v>1.853173201460026</v>
      </c>
      <c r="Q723" s="17">
        <f t="shared" si="59"/>
        <v>0.80405362475379627</v>
      </c>
      <c r="R723" s="10" t="s">
        <v>1478</v>
      </c>
      <c r="S723" s="14" t="s">
        <v>31</v>
      </c>
      <c r="T723" s="14" t="s">
        <v>37</v>
      </c>
      <c r="U723" s="13">
        <v>15739</v>
      </c>
      <c r="V723" s="15">
        <v>4</v>
      </c>
      <c r="W723" s="9" t="str">
        <f>IF(Table1[[#This Row],[Satisfaction Rating]]&lt;2, "Low", IF(Table1[[#This Row],[Satisfaction Rating]]&lt;4, "Medium", "High"))</f>
        <v>High</v>
      </c>
    </row>
    <row r="724" spans="1:23" ht="14" x14ac:dyDescent="0.2">
      <c r="A724" s="10" t="s">
        <v>1479</v>
      </c>
      <c r="B724" s="11">
        <v>44927.674027777779</v>
      </c>
      <c r="C724" s="11">
        <v>45001.015787037039</v>
      </c>
      <c r="D724" s="11" t="str">
        <f>IF(Table1[[#This Row],[Duration of Campaign]]=0, "Ongoing","Completed")</f>
        <v>Completed</v>
      </c>
      <c r="E724" s="12">
        <f>Table1[[#This Row],[End Date]]-Table1[[#This Row],[Start Date]]</f>
        <v>73.341759259259561</v>
      </c>
      <c r="F724" s="13">
        <v>9388</v>
      </c>
      <c r="G724" s="14" t="s">
        <v>63</v>
      </c>
      <c r="H724" s="15">
        <v>11119</v>
      </c>
      <c r="I724" s="15">
        <v>1948</v>
      </c>
      <c r="J724" s="15">
        <v>263</v>
      </c>
      <c r="K724" s="16">
        <v>10322</v>
      </c>
      <c r="L724" s="17">
        <f t="shared" si="55"/>
        <v>0.17519561111610757</v>
      </c>
      <c r="M724" s="17">
        <f t="shared" si="55"/>
        <v>0.13501026694045173</v>
      </c>
      <c r="N724" s="18">
        <f t="shared" si="56"/>
        <v>1.6940451745379876</v>
      </c>
      <c r="O724" s="18">
        <f t="shared" si="57"/>
        <v>12.547528517110266</v>
      </c>
      <c r="P724" s="17">
        <f t="shared" si="58"/>
        <v>0.35151256923732427</v>
      </c>
      <c r="Q724" s="17">
        <f t="shared" si="59"/>
        <v>3.1278787878787879</v>
      </c>
      <c r="R724" s="10" t="s">
        <v>1480</v>
      </c>
      <c r="S724" s="14" t="s">
        <v>40</v>
      </c>
      <c r="T724" s="14" t="s">
        <v>27</v>
      </c>
      <c r="U724" s="13">
        <v>3300</v>
      </c>
      <c r="V724" s="15">
        <v>4</v>
      </c>
      <c r="W724" s="9" t="str">
        <f>IF(Table1[[#This Row],[Satisfaction Rating]]&lt;2, "Low", IF(Table1[[#This Row],[Satisfaction Rating]]&lt;4, "Medium", "High"))</f>
        <v>High</v>
      </c>
    </row>
    <row r="725" spans="1:23" ht="14" x14ac:dyDescent="0.2">
      <c r="A725" s="10" t="s">
        <v>1481</v>
      </c>
      <c r="B725" s="11">
        <v>45585.981446759259</v>
      </c>
      <c r="C725" s="11">
        <v>45585.981446759259</v>
      </c>
      <c r="D725" s="11" t="str">
        <f>IF(Table1[[#This Row],[Duration of Campaign]]=0, "Ongoing","Completed")</f>
        <v>Ongoing</v>
      </c>
      <c r="E725" s="12">
        <f>Table1[[#This Row],[End Date]]-Table1[[#This Row],[Start Date]]</f>
        <v>0</v>
      </c>
      <c r="F725" s="13">
        <v>6935</v>
      </c>
      <c r="G725" s="14" t="s">
        <v>47</v>
      </c>
      <c r="H725" s="15">
        <v>6774</v>
      </c>
      <c r="I725" s="15">
        <v>1310</v>
      </c>
      <c r="J725" s="15">
        <v>212</v>
      </c>
      <c r="K725" s="16">
        <v>3982</v>
      </c>
      <c r="L725" s="17">
        <f t="shared" si="55"/>
        <v>0.19338647770888692</v>
      </c>
      <c r="M725" s="17">
        <f t="shared" si="55"/>
        <v>0.16183206106870229</v>
      </c>
      <c r="N725" s="18">
        <f t="shared" si="56"/>
        <v>4.8900763358778629</v>
      </c>
      <c r="O725" s="18">
        <f t="shared" si="57"/>
        <v>30.216981132075471</v>
      </c>
      <c r="P725" s="17">
        <f t="shared" si="58"/>
        <v>0.92372025955299208</v>
      </c>
      <c r="Q725" s="17">
        <f t="shared" si="59"/>
        <v>0.62160474555104595</v>
      </c>
      <c r="R725" s="10" t="s">
        <v>1482</v>
      </c>
      <c r="S725" s="14" t="s">
        <v>45</v>
      </c>
      <c r="T725" s="14" t="s">
        <v>55</v>
      </c>
      <c r="U725" s="13">
        <v>6406</v>
      </c>
      <c r="V725" s="15">
        <v>1</v>
      </c>
      <c r="W725" s="9" t="str">
        <f>IF(Table1[[#This Row],[Satisfaction Rating]]&lt;2, "Low", IF(Table1[[#This Row],[Satisfaction Rating]]&lt;4, "Medium", "High"))</f>
        <v>Low</v>
      </c>
    </row>
    <row r="726" spans="1:23" ht="14" x14ac:dyDescent="0.2">
      <c r="A726" s="10" t="s">
        <v>1483</v>
      </c>
      <c r="B726" s="11">
        <v>45589.22315972222</v>
      </c>
      <c r="C726" s="11">
        <v>45589.22315972222</v>
      </c>
      <c r="D726" s="11" t="str">
        <f>IF(Table1[[#This Row],[Duration of Campaign]]=0, "Ongoing","Completed")</f>
        <v>Ongoing</v>
      </c>
      <c r="E726" s="12">
        <f>Table1[[#This Row],[End Date]]-Table1[[#This Row],[Start Date]]</f>
        <v>0</v>
      </c>
      <c r="F726" s="13">
        <v>4948</v>
      </c>
      <c r="G726" s="14" t="s">
        <v>24</v>
      </c>
      <c r="H726" s="15">
        <v>7561</v>
      </c>
      <c r="I726" s="15">
        <v>806</v>
      </c>
      <c r="J726" s="15">
        <v>358</v>
      </c>
      <c r="K726" s="16">
        <v>5940</v>
      </c>
      <c r="L726" s="17">
        <f t="shared" si="55"/>
        <v>0.10659965613014151</v>
      </c>
      <c r="M726" s="17">
        <f t="shared" si="55"/>
        <v>0.44416873449131511</v>
      </c>
      <c r="N726" s="18">
        <f t="shared" si="56"/>
        <v>16.725806451612904</v>
      </c>
      <c r="O726" s="18">
        <f t="shared" si="57"/>
        <v>37.656424581005588</v>
      </c>
      <c r="P726" s="17">
        <f t="shared" si="58"/>
        <v>2.7245351657235246</v>
      </c>
      <c r="Q726" s="17">
        <f t="shared" si="59"/>
        <v>0.44062013203768269</v>
      </c>
      <c r="R726" s="10" t="s">
        <v>1484</v>
      </c>
      <c r="S726" s="14" t="s">
        <v>34</v>
      </c>
      <c r="T726" s="14" t="s">
        <v>27</v>
      </c>
      <c r="U726" s="13">
        <v>13481</v>
      </c>
      <c r="V726" s="15">
        <v>4</v>
      </c>
      <c r="W726" s="9" t="str">
        <f>IF(Table1[[#This Row],[Satisfaction Rating]]&lt;2, "Low", IF(Table1[[#This Row],[Satisfaction Rating]]&lt;4, "Medium", "High"))</f>
        <v>High</v>
      </c>
    </row>
    <row r="727" spans="1:23" ht="14" x14ac:dyDescent="0.2">
      <c r="A727" s="10" t="s">
        <v>1485</v>
      </c>
      <c r="B727" s="11">
        <v>45222.690729166665</v>
      </c>
      <c r="C727" s="11">
        <v>45557.738356481481</v>
      </c>
      <c r="D727" s="11" t="str">
        <f>IF(Table1[[#This Row],[Duration of Campaign]]=0, "Ongoing","Completed")</f>
        <v>Completed</v>
      </c>
      <c r="E727" s="12">
        <f>Table1[[#This Row],[End Date]]-Table1[[#This Row],[Start Date]]</f>
        <v>335.04762731481605</v>
      </c>
      <c r="F727" s="13">
        <v>7517</v>
      </c>
      <c r="G727" s="14" t="s">
        <v>29</v>
      </c>
      <c r="H727" s="15">
        <v>1160</v>
      </c>
      <c r="I727" s="15">
        <v>1168</v>
      </c>
      <c r="J727" s="15">
        <v>387</v>
      </c>
      <c r="K727" s="16">
        <v>6489</v>
      </c>
      <c r="L727" s="17">
        <f t="shared" si="55"/>
        <v>1.0068965517241379</v>
      </c>
      <c r="M727" s="17">
        <f t="shared" si="55"/>
        <v>0.33133561643835618</v>
      </c>
      <c r="N727" s="18">
        <f t="shared" si="56"/>
        <v>6.5282534246575343</v>
      </c>
      <c r="O727" s="18">
        <f t="shared" si="57"/>
        <v>19.702842377260982</v>
      </c>
      <c r="P727" s="17">
        <f t="shared" si="58"/>
        <v>1.0143674338166822</v>
      </c>
      <c r="Q727" s="17">
        <f t="shared" si="59"/>
        <v>0.85101639344262292</v>
      </c>
      <c r="R727" s="10" t="s">
        <v>1486</v>
      </c>
      <c r="S727" s="14" t="s">
        <v>40</v>
      </c>
      <c r="T727" s="14" t="s">
        <v>37</v>
      </c>
      <c r="U727" s="13">
        <v>7625</v>
      </c>
      <c r="V727" s="15">
        <v>1</v>
      </c>
      <c r="W727" s="9" t="str">
        <f>IF(Table1[[#This Row],[Satisfaction Rating]]&lt;2, "Low", IF(Table1[[#This Row],[Satisfaction Rating]]&lt;4, "Medium", "High"))</f>
        <v>Low</v>
      </c>
    </row>
    <row r="728" spans="1:23" ht="14" x14ac:dyDescent="0.2">
      <c r="A728" s="10" t="s">
        <v>1487</v>
      </c>
      <c r="B728" s="11">
        <v>45299.836678240739</v>
      </c>
      <c r="C728" s="11">
        <v>45299.836678240739</v>
      </c>
      <c r="D728" s="11" t="str">
        <f>IF(Table1[[#This Row],[Duration of Campaign]]=0, "Ongoing","Completed")</f>
        <v>Ongoing</v>
      </c>
      <c r="E728" s="12">
        <f>Table1[[#This Row],[End Date]]-Table1[[#This Row],[Start Date]]</f>
        <v>0</v>
      </c>
      <c r="F728" s="13">
        <v>1455</v>
      </c>
      <c r="G728" s="14" t="s">
        <v>47</v>
      </c>
      <c r="H728" s="15">
        <v>14762</v>
      </c>
      <c r="I728" s="15">
        <v>814</v>
      </c>
      <c r="J728" s="15">
        <v>345</v>
      </c>
      <c r="K728" s="16">
        <v>13529</v>
      </c>
      <c r="L728" s="17">
        <f t="shared" si="55"/>
        <v>5.5141579731743669E-2</v>
      </c>
      <c r="M728" s="17">
        <f t="shared" si="55"/>
        <v>0.42383292383292381</v>
      </c>
      <c r="N728" s="18">
        <f t="shared" si="56"/>
        <v>11.862407862407862</v>
      </c>
      <c r="O728" s="18">
        <f t="shared" si="57"/>
        <v>27.98840579710145</v>
      </c>
      <c r="P728" s="17">
        <f t="shared" si="58"/>
        <v>6.6364261168384884</v>
      </c>
      <c r="Q728" s="17">
        <f t="shared" si="59"/>
        <v>1.4010977630488815</v>
      </c>
      <c r="R728" s="10" t="s">
        <v>1488</v>
      </c>
      <c r="S728" s="14" t="s">
        <v>45</v>
      </c>
      <c r="T728" s="14" t="s">
        <v>55</v>
      </c>
      <c r="U728" s="13">
        <v>9656</v>
      </c>
      <c r="V728" s="15">
        <v>4</v>
      </c>
      <c r="W728" s="9" t="str">
        <f>IF(Table1[[#This Row],[Satisfaction Rating]]&lt;2, "Low", IF(Table1[[#This Row],[Satisfaction Rating]]&lt;4, "Medium", "High"))</f>
        <v>High</v>
      </c>
    </row>
    <row r="729" spans="1:23" ht="14" x14ac:dyDescent="0.2">
      <c r="A729" s="10" t="s">
        <v>1489</v>
      </c>
      <c r="B729" s="11">
        <v>45484.513773148145</v>
      </c>
      <c r="C729" s="11">
        <v>45484.513773148145</v>
      </c>
      <c r="D729" s="11" t="str">
        <f>IF(Table1[[#This Row],[Duration of Campaign]]=0, "Ongoing","Completed")</f>
        <v>Ongoing</v>
      </c>
      <c r="E729" s="12">
        <f>Table1[[#This Row],[End Date]]-Table1[[#This Row],[Start Date]]</f>
        <v>0</v>
      </c>
      <c r="F729" s="13">
        <v>2717</v>
      </c>
      <c r="G729" s="14" t="s">
        <v>24</v>
      </c>
      <c r="H729" s="15">
        <v>19561</v>
      </c>
      <c r="I729" s="15">
        <v>1088</v>
      </c>
      <c r="J729" s="15">
        <v>218</v>
      </c>
      <c r="K729" s="16">
        <v>6821</v>
      </c>
      <c r="L729" s="17">
        <f t="shared" si="55"/>
        <v>5.5620878278206637E-2</v>
      </c>
      <c r="M729" s="17">
        <f t="shared" si="55"/>
        <v>0.20036764705882354</v>
      </c>
      <c r="N729" s="18">
        <f t="shared" si="56"/>
        <v>1.96875</v>
      </c>
      <c r="O729" s="18">
        <f t="shared" si="57"/>
        <v>9.8256880733944953</v>
      </c>
      <c r="P729" s="17">
        <f t="shared" si="58"/>
        <v>0.78836952521163051</v>
      </c>
      <c r="Q729" s="17">
        <f t="shared" si="59"/>
        <v>3.1844070961718018</v>
      </c>
      <c r="R729" s="10" t="s">
        <v>1490</v>
      </c>
      <c r="S729" s="14" t="s">
        <v>34</v>
      </c>
      <c r="T729" s="14" t="s">
        <v>55</v>
      </c>
      <c r="U729" s="13">
        <v>2142</v>
      </c>
      <c r="V729" s="15">
        <v>2</v>
      </c>
      <c r="W729" s="9" t="str">
        <f>IF(Table1[[#This Row],[Satisfaction Rating]]&lt;2, "Low", IF(Table1[[#This Row],[Satisfaction Rating]]&lt;4, "Medium", "High"))</f>
        <v>Medium</v>
      </c>
    </row>
    <row r="730" spans="1:23" ht="14" x14ac:dyDescent="0.2">
      <c r="A730" s="10" t="s">
        <v>1491</v>
      </c>
      <c r="B730" s="11">
        <v>45590.051851851851</v>
      </c>
      <c r="C730" s="11">
        <v>45590.051851851851</v>
      </c>
      <c r="D730" s="11" t="str">
        <f>IF(Table1[[#This Row],[Duration of Campaign]]=0, "Ongoing","Completed")</f>
        <v>Ongoing</v>
      </c>
      <c r="E730" s="12">
        <f>Table1[[#This Row],[End Date]]-Table1[[#This Row],[Start Date]]</f>
        <v>0</v>
      </c>
      <c r="F730" s="13">
        <v>6471</v>
      </c>
      <c r="G730" s="14" t="s">
        <v>63</v>
      </c>
      <c r="H730" s="15">
        <v>1410</v>
      </c>
      <c r="I730" s="15">
        <v>677</v>
      </c>
      <c r="J730" s="15">
        <v>492</v>
      </c>
      <c r="K730" s="16">
        <v>11091</v>
      </c>
      <c r="L730" s="17">
        <f t="shared" si="55"/>
        <v>0.48014184397163123</v>
      </c>
      <c r="M730" s="17">
        <f t="shared" si="55"/>
        <v>0.72673559822747413</v>
      </c>
      <c r="N730" s="18">
        <f t="shared" si="56"/>
        <v>17.028064992614475</v>
      </c>
      <c r="O730" s="18">
        <f t="shared" si="57"/>
        <v>23.430894308943088</v>
      </c>
      <c r="P730" s="17">
        <f t="shared" si="58"/>
        <v>1.7814866326688301</v>
      </c>
      <c r="Q730" s="17">
        <f t="shared" si="59"/>
        <v>0.96209229701596111</v>
      </c>
      <c r="R730" s="10" t="s">
        <v>1492</v>
      </c>
      <c r="S730" s="14" t="s">
        <v>45</v>
      </c>
      <c r="T730" s="14" t="s">
        <v>37</v>
      </c>
      <c r="U730" s="13">
        <v>11528</v>
      </c>
      <c r="V730" s="15">
        <v>2</v>
      </c>
      <c r="W730" s="9" t="str">
        <f>IF(Table1[[#This Row],[Satisfaction Rating]]&lt;2, "Low", IF(Table1[[#This Row],[Satisfaction Rating]]&lt;4, "Medium", "High"))</f>
        <v>Medium</v>
      </c>
    </row>
    <row r="731" spans="1:23" ht="14" x14ac:dyDescent="0.2">
      <c r="A731" s="10" t="s">
        <v>1493</v>
      </c>
      <c r="B731" s="11">
        <v>45596.572175925925</v>
      </c>
      <c r="C731" s="11">
        <v>45596.572175925925</v>
      </c>
      <c r="D731" s="11" t="str">
        <f>IF(Table1[[#This Row],[Duration of Campaign]]=0, "Ongoing","Completed")</f>
        <v>Ongoing</v>
      </c>
      <c r="E731" s="12">
        <f>Table1[[#This Row],[End Date]]-Table1[[#This Row],[Start Date]]</f>
        <v>0</v>
      </c>
      <c r="F731" s="13">
        <v>1027</v>
      </c>
      <c r="G731" s="14" t="s">
        <v>63</v>
      </c>
      <c r="H731" s="15">
        <v>12982</v>
      </c>
      <c r="I731" s="15">
        <v>1567</v>
      </c>
      <c r="J731" s="15">
        <v>136</v>
      </c>
      <c r="K731" s="16">
        <v>9644</v>
      </c>
      <c r="L731" s="17">
        <f t="shared" si="55"/>
        <v>0.12070559235865044</v>
      </c>
      <c r="M731" s="17">
        <f t="shared" si="55"/>
        <v>8.6790044671346517E-2</v>
      </c>
      <c r="N731" s="18">
        <f t="shared" si="56"/>
        <v>8.8340778557753676</v>
      </c>
      <c r="O731" s="18">
        <f t="shared" si="57"/>
        <v>101.78676470588235</v>
      </c>
      <c r="P731" s="17">
        <f t="shared" si="58"/>
        <v>13.47906523855891</v>
      </c>
      <c r="Q731" s="17">
        <f t="shared" si="59"/>
        <v>0.69666979700931875</v>
      </c>
      <c r="R731" s="10" t="s">
        <v>1494</v>
      </c>
      <c r="S731" s="14" t="s">
        <v>45</v>
      </c>
      <c r="T731" s="14" t="s">
        <v>37</v>
      </c>
      <c r="U731" s="13">
        <v>13843</v>
      </c>
      <c r="V731" s="15">
        <v>1</v>
      </c>
      <c r="W731" s="9" t="str">
        <f>IF(Table1[[#This Row],[Satisfaction Rating]]&lt;2, "Low", IF(Table1[[#This Row],[Satisfaction Rating]]&lt;4, "Medium", "High"))</f>
        <v>Low</v>
      </c>
    </row>
    <row r="732" spans="1:23" ht="14" x14ac:dyDescent="0.2">
      <c r="A732" s="10" t="s">
        <v>1495</v>
      </c>
      <c r="B732" s="11">
        <v>45113.623020833336</v>
      </c>
      <c r="C732" s="11">
        <v>45456.934317129628</v>
      </c>
      <c r="D732" s="11" t="str">
        <f>IF(Table1[[#This Row],[Duration of Campaign]]=0, "Ongoing","Completed")</f>
        <v>Completed</v>
      </c>
      <c r="E732" s="12">
        <f>Table1[[#This Row],[End Date]]-Table1[[#This Row],[Start Date]]</f>
        <v>343.3112962962914</v>
      </c>
      <c r="F732" s="13">
        <v>1879</v>
      </c>
      <c r="G732" s="14" t="s">
        <v>47</v>
      </c>
      <c r="H732" s="15">
        <v>19039</v>
      </c>
      <c r="I732" s="15">
        <v>289</v>
      </c>
      <c r="J732" s="15">
        <v>370</v>
      </c>
      <c r="K732" s="16">
        <v>878</v>
      </c>
      <c r="L732" s="17">
        <f t="shared" si="55"/>
        <v>1.5179368664320606E-2</v>
      </c>
      <c r="M732" s="17">
        <f t="shared" si="55"/>
        <v>1.2802768166089966</v>
      </c>
      <c r="N732" s="18">
        <f t="shared" si="56"/>
        <v>47.615916955017298</v>
      </c>
      <c r="O732" s="18">
        <f t="shared" si="57"/>
        <v>37.191891891891892</v>
      </c>
      <c r="P732" s="17">
        <f t="shared" si="58"/>
        <v>7.3235763704097927</v>
      </c>
      <c r="Q732" s="17">
        <f t="shared" si="59"/>
        <v>6.3803502652423516E-2</v>
      </c>
      <c r="R732" s="10" t="s">
        <v>1496</v>
      </c>
      <c r="S732" s="14" t="s">
        <v>40</v>
      </c>
      <c r="T732" s="14" t="s">
        <v>55</v>
      </c>
      <c r="U732" s="13">
        <v>13761</v>
      </c>
      <c r="V732" s="15">
        <v>1</v>
      </c>
      <c r="W732" s="9" t="str">
        <f>IF(Table1[[#This Row],[Satisfaction Rating]]&lt;2, "Low", IF(Table1[[#This Row],[Satisfaction Rating]]&lt;4, "Medium", "High"))</f>
        <v>Low</v>
      </c>
    </row>
    <row r="733" spans="1:23" ht="14" x14ac:dyDescent="0.2">
      <c r="A733" s="10" t="s">
        <v>1497</v>
      </c>
      <c r="B733" s="11">
        <v>45618.740208333336</v>
      </c>
      <c r="C733" s="11">
        <v>45618.740208333336</v>
      </c>
      <c r="D733" s="11" t="str">
        <f>IF(Table1[[#This Row],[Duration of Campaign]]=0, "Ongoing","Completed")</f>
        <v>Ongoing</v>
      </c>
      <c r="E733" s="12">
        <f>Table1[[#This Row],[End Date]]-Table1[[#This Row],[Start Date]]</f>
        <v>0</v>
      </c>
      <c r="F733" s="13">
        <v>9478</v>
      </c>
      <c r="G733" s="14" t="s">
        <v>47</v>
      </c>
      <c r="H733" s="15">
        <v>11023</v>
      </c>
      <c r="I733" s="15">
        <v>969</v>
      </c>
      <c r="J733" s="15">
        <v>291</v>
      </c>
      <c r="K733" s="16">
        <v>14817</v>
      </c>
      <c r="L733" s="17">
        <f t="shared" si="55"/>
        <v>8.7907103329402159E-2</v>
      </c>
      <c r="M733" s="17">
        <f t="shared" si="55"/>
        <v>0.30030959752321984</v>
      </c>
      <c r="N733" s="18">
        <f t="shared" si="56"/>
        <v>12.532507739938081</v>
      </c>
      <c r="O733" s="18">
        <f t="shared" si="57"/>
        <v>41.731958762886599</v>
      </c>
      <c r="P733" s="17">
        <f t="shared" si="58"/>
        <v>1.2812829710909475</v>
      </c>
      <c r="Q733" s="17">
        <f t="shared" si="59"/>
        <v>1.2201086956521738</v>
      </c>
      <c r="R733" s="10" t="s">
        <v>1498</v>
      </c>
      <c r="S733" s="14" t="s">
        <v>26</v>
      </c>
      <c r="T733" s="14" t="s">
        <v>37</v>
      </c>
      <c r="U733" s="13">
        <v>12144</v>
      </c>
      <c r="V733" s="15">
        <v>1</v>
      </c>
      <c r="W733" s="9" t="str">
        <f>IF(Table1[[#This Row],[Satisfaction Rating]]&lt;2, "Low", IF(Table1[[#This Row],[Satisfaction Rating]]&lt;4, "Medium", "High"))</f>
        <v>Low</v>
      </c>
    </row>
    <row r="734" spans="1:23" ht="14" x14ac:dyDescent="0.2">
      <c r="A734" s="10" t="s">
        <v>1499</v>
      </c>
      <c r="B734" s="11">
        <v>44938.883379629631</v>
      </c>
      <c r="C734" s="11">
        <v>45306.518518518518</v>
      </c>
      <c r="D734" s="11" t="str">
        <f>IF(Table1[[#This Row],[Duration of Campaign]]=0, "Ongoing","Completed")</f>
        <v>Completed</v>
      </c>
      <c r="E734" s="12">
        <f>Table1[[#This Row],[End Date]]-Table1[[#This Row],[Start Date]]</f>
        <v>367.63513888888701</v>
      </c>
      <c r="F734" s="13">
        <v>9181</v>
      </c>
      <c r="G734" s="14" t="s">
        <v>29</v>
      </c>
      <c r="H734" s="15">
        <v>4306</v>
      </c>
      <c r="I734" s="15">
        <v>1740</v>
      </c>
      <c r="J734" s="15">
        <v>137</v>
      </c>
      <c r="K734" s="16">
        <v>14774</v>
      </c>
      <c r="L734" s="17">
        <f t="shared" si="55"/>
        <v>0.40408732001857872</v>
      </c>
      <c r="M734" s="17">
        <f t="shared" si="55"/>
        <v>7.8735632183908041E-2</v>
      </c>
      <c r="N734" s="18">
        <f t="shared" si="56"/>
        <v>2.6511494252873562</v>
      </c>
      <c r="O734" s="18">
        <f t="shared" si="57"/>
        <v>33.67153284671533</v>
      </c>
      <c r="P734" s="17">
        <f t="shared" si="58"/>
        <v>0.50245071342990955</v>
      </c>
      <c r="Q734" s="17">
        <f t="shared" si="59"/>
        <v>3.2026880554953392</v>
      </c>
      <c r="R734" s="10" t="s">
        <v>1500</v>
      </c>
      <c r="S734" s="14" t="s">
        <v>26</v>
      </c>
      <c r="T734" s="14" t="s">
        <v>27</v>
      </c>
      <c r="U734" s="13">
        <v>4613</v>
      </c>
      <c r="V734" s="15">
        <v>4</v>
      </c>
      <c r="W734" s="9" t="str">
        <f>IF(Table1[[#This Row],[Satisfaction Rating]]&lt;2, "Low", IF(Table1[[#This Row],[Satisfaction Rating]]&lt;4, "Medium", "High"))</f>
        <v>High</v>
      </c>
    </row>
    <row r="735" spans="1:23" ht="14" x14ac:dyDescent="0.2">
      <c r="A735" s="10" t="s">
        <v>1501</v>
      </c>
      <c r="B735" s="11">
        <v>45401.040277777778</v>
      </c>
      <c r="C735" s="11">
        <v>45639.151921296296</v>
      </c>
      <c r="D735" s="11" t="str">
        <f>IF(Table1[[#This Row],[Duration of Campaign]]=0, "Ongoing","Completed")</f>
        <v>Completed</v>
      </c>
      <c r="E735" s="12">
        <f>Table1[[#This Row],[End Date]]-Table1[[#This Row],[Start Date]]</f>
        <v>238.11164351851767</v>
      </c>
      <c r="F735" s="13">
        <v>4307</v>
      </c>
      <c r="G735" s="14" t="s">
        <v>24</v>
      </c>
      <c r="H735" s="15">
        <v>16540</v>
      </c>
      <c r="I735" s="15">
        <v>242</v>
      </c>
      <c r="J735" s="15">
        <v>308</v>
      </c>
      <c r="K735" s="16">
        <v>5913</v>
      </c>
      <c r="L735" s="17">
        <f t="shared" si="55"/>
        <v>1.4631197097944377E-2</v>
      </c>
      <c r="M735" s="17">
        <f t="shared" si="55"/>
        <v>1.2727272727272727</v>
      </c>
      <c r="N735" s="18">
        <f t="shared" si="56"/>
        <v>5.7066115702479339</v>
      </c>
      <c r="O735" s="18">
        <f t="shared" si="57"/>
        <v>4.4837662337662341</v>
      </c>
      <c r="P735" s="17">
        <f t="shared" si="58"/>
        <v>0.32064081727420479</v>
      </c>
      <c r="Q735" s="17">
        <f t="shared" si="59"/>
        <v>4.281679942070963</v>
      </c>
      <c r="R735" s="10" t="s">
        <v>1502</v>
      </c>
      <c r="S735" s="14" t="s">
        <v>45</v>
      </c>
      <c r="T735" s="14" t="s">
        <v>37</v>
      </c>
      <c r="U735" s="13">
        <v>1381</v>
      </c>
      <c r="V735" s="15">
        <v>3</v>
      </c>
      <c r="W735" s="9" t="str">
        <f>IF(Table1[[#This Row],[Satisfaction Rating]]&lt;2, "Low", IF(Table1[[#This Row],[Satisfaction Rating]]&lt;4, "Medium", "High"))</f>
        <v>Medium</v>
      </c>
    </row>
    <row r="736" spans="1:23" ht="14" x14ac:dyDescent="0.2">
      <c r="A736" s="10" t="s">
        <v>1503</v>
      </c>
      <c r="B736" s="11">
        <v>45443.357141203705</v>
      </c>
      <c r="C736" s="11">
        <v>45443.357141203705</v>
      </c>
      <c r="D736" s="11" t="str">
        <f>IF(Table1[[#This Row],[Duration of Campaign]]=0, "Ongoing","Completed")</f>
        <v>Ongoing</v>
      </c>
      <c r="E736" s="12">
        <f>Table1[[#This Row],[End Date]]-Table1[[#This Row],[Start Date]]</f>
        <v>0</v>
      </c>
      <c r="F736" s="13">
        <v>6325</v>
      </c>
      <c r="G736" s="14" t="s">
        <v>63</v>
      </c>
      <c r="H736" s="15">
        <v>3594</v>
      </c>
      <c r="I736" s="15">
        <v>1557</v>
      </c>
      <c r="J736" s="15">
        <v>342</v>
      </c>
      <c r="K736" s="16">
        <v>7503</v>
      </c>
      <c r="L736" s="17">
        <f t="shared" si="55"/>
        <v>0.43322203672787979</v>
      </c>
      <c r="M736" s="17">
        <f t="shared" si="55"/>
        <v>0.21965317919075145</v>
      </c>
      <c r="N736" s="18">
        <f t="shared" si="56"/>
        <v>11.12010276172126</v>
      </c>
      <c r="O736" s="18">
        <f t="shared" si="57"/>
        <v>50.625730994152043</v>
      </c>
      <c r="P736" s="17">
        <f t="shared" si="58"/>
        <v>2.7373913043478262</v>
      </c>
      <c r="Q736" s="17">
        <f t="shared" si="59"/>
        <v>0.43334873512764238</v>
      </c>
      <c r="R736" s="10" t="s">
        <v>1504</v>
      </c>
      <c r="S736" s="14" t="s">
        <v>45</v>
      </c>
      <c r="T736" s="14" t="s">
        <v>27</v>
      </c>
      <c r="U736" s="13">
        <v>17314</v>
      </c>
      <c r="V736" s="15">
        <v>2</v>
      </c>
      <c r="W736" s="9" t="str">
        <f>IF(Table1[[#This Row],[Satisfaction Rating]]&lt;2, "Low", IF(Table1[[#This Row],[Satisfaction Rating]]&lt;4, "Medium", "High"))</f>
        <v>Medium</v>
      </c>
    </row>
    <row r="737" spans="1:23" ht="14" x14ac:dyDescent="0.2">
      <c r="A737" s="10" t="s">
        <v>1505</v>
      </c>
      <c r="B737" s="11">
        <v>45443.413645833331</v>
      </c>
      <c r="C737" s="11">
        <v>45443.413645833331</v>
      </c>
      <c r="D737" s="11" t="str">
        <f>IF(Table1[[#This Row],[Duration of Campaign]]=0, "Ongoing","Completed")</f>
        <v>Ongoing</v>
      </c>
      <c r="E737" s="12">
        <f>Table1[[#This Row],[End Date]]-Table1[[#This Row],[Start Date]]</f>
        <v>0</v>
      </c>
      <c r="F737" s="13">
        <v>4288</v>
      </c>
      <c r="G737" s="14" t="s">
        <v>47</v>
      </c>
      <c r="H737" s="15">
        <v>2295</v>
      </c>
      <c r="I737" s="15">
        <v>467</v>
      </c>
      <c r="J737" s="15">
        <v>275</v>
      </c>
      <c r="K737" s="16">
        <v>644</v>
      </c>
      <c r="L737" s="17">
        <f t="shared" si="55"/>
        <v>0.20348583877995643</v>
      </c>
      <c r="M737" s="17">
        <f t="shared" si="55"/>
        <v>0.58886509635974305</v>
      </c>
      <c r="N737" s="18">
        <f t="shared" si="56"/>
        <v>19.717344753747323</v>
      </c>
      <c r="O737" s="18">
        <f t="shared" si="57"/>
        <v>33.483636363636364</v>
      </c>
      <c r="P737" s="17">
        <f t="shared" si="58"/>
        <v>2.1473880597014925</v>
      </c>
      <c r="Q737" s="17">
        <f t="shared" si="59"/>
        <v>6.9939183318853168E-2</v>
      </c>
      <c r="R737" s="10" t="s">
        <v>1506</v>
      </c>
      <c r="S737" s="14" t="s">
        <v>34</v>
      </c>
      <c r="T737" s="14" t="s">
        <v>55</v>
      </c>
      <c r="U737" s="13">
        <v>9208</v>
      </c>
      <c r="V737" s="15">
        <v>5</v>
      </c>
      <c r="W737" s="9" t="str">
        <f>IF(Table1[[#This Row],[Satisfaction Rating]]&lt;2, "Low", IF(Table1[[#This Row],[Satisfaction Rating]]&lt;4, "Medium", "High"))</f>
        <v>High</v>
      </c>
    </row>
    <row r="738" spans="1:23" ht="14" x14ac:dyDescent="0.2">
      <c r="A738" s="10" t="s">
        <v>1507</v>
      </c>
      <c r="B738" s="11">
        <v>45384.815370370372</v>
      </c>
      <c r="C738" s="11">
        <v>45483.161412037036</v>
      </c>
      <c r="D738" s="11" t="str">
        <f>IF(Table1[[#This Row],[Duration of Campaign]]=0, "Ongoing","Completed")</f>
        <v>Completed</v>
      </c>
      <c r="E738" s="12">
        <f>Table1[[#This Row],[End Date]]-Table1[[#This Row],[Start Date]]</f>
        <v>98.34604166666395</v>
      </c>
      <c r="F738" s="13">
        <v>6410</v>
      </c>
      <c r="G738" s="14" t="s">
        <v>29</v>
      </c>
      <c r="H738" s="15">
        <v>6037</v>
      </c>
      <c r="I738" s="15">
        <v>211</v>
      </c>
      <c r="J738" s="15">
        <v>430</v>
      </c>
      <c r="K738" s="16">
        <v>4685</v>
      </c>
      <c r="L738" s="17">
        <f t="shared" si="55"/>
        <v>3.4951134669537851E-2</v>
      </c>
      <c r="M738" s="17">
        <f t="shared" si="55"/>
        <v>2.0379146919431279</v>
      </c>
      <c r="N738" s="18">
        <f t="shared" si="56"/>
        <v>92.530805687203795</v>
      </c>
      <c r="O738" s="18">
        <f t="shared" si="57"/>
        <v>45.404651162790699</v>
      </c>
      <c r="P738" s="17">
        <f t="shared" si="58"/>
        <v>3.0458658346333851</v>
      </c>
      <c r="Q738" s="17">
        <f t="shared" si="59"/>
        <v>0.23996107355050195</v>
      </c>
      <c r="R738" s="10" t="s">
        <v>1508</v>
      </c>
      <c r="S738" s="14" t="s">
        <v>45</v>
      </c>
      <c r="T738" s="14" t="s">
        <v>55</v>
      </c>
      <c r="U738" s="13">
        <v>19524</v>
      </c>
      <c r="V738" s="15">
        <v>1</v>
      </c>
      <c r="W738" s="9" t="str">
        <f>IF(Table1[[#This Row],[Satisfaction Rating]]&lt;2, "Low", IF(Table1[[#This Row],[Satisfaction Rating]]&lt;4, "Medium", "High"))</f>
        <v>Low</v>
      </c>
    </row>
    <row r="739" spans="1:23" ht="14" x14ac:dyDescent="0.2">
      <c r="A739" s="10" t="s">
        <v>1509</v>
      </c>
      <c r="B739" s="11">
        <v>45308.887858796297</v>
      </c>
      <c r="C739" s="11">
        <v>45308.887858796297</v>
      </c>
      <c r="D739" s="11" t="str">
        <f>IF(Table1[[#This Row],[Duration of Campaign]]=0, "Ongoing","Completed")</f>
        <v>Ongoing</v>
      </c>
      <c r="E739" s="12">
        <f>Table1[[#This Row],[End Date]]-Table1[[#This Row],[Start Date]]</f>
        <v>0</v>
      </c>
      <c r="F739" s="13">
        <v>2625</v>
      </c>
      <c r="G739" s="14" t="s">
        <v>47</v>
      </c>
      <c r="H739" s="15">
        <v>6690</v>
      </c>
      <c r="I739" s="15">
        <v>878</v>
      </c>
      <c r="J739" s="15">
        <v>296</v>
      </c>
      <c r="K739" s="16">
        <v>7530</v>
      </c>
      <c r="L739" s="17">
        <f t="shared" si="55"/>
        <v>0.13124065769805679</v>
      </c>
      <c r="M739" s="17">
        <f t="shared" si="55"/>
        <v>0.33712984054669703</v>
      </c>
      <c r="N739" s="18">
        <f t="shared" si="56"/>
        <v>2.5296127562642368</v>
      </c>
      <c r="O739" s="18">
        <f t="shared" si="57"/>
        <v>7.5033783783783781</v>
      </c>
      <c r="P739" s="17">
        <f t="shared" si="58"/>
        <v>0.84609523809523812</v>
      </c>
      <c r="Q739" s="17">
        <f t="shared" si="59"/>
        <v>3.3903647005853221</v>
      </c>
      <c r="R739" s="10" t="s">
        <v>1510</v>
      </c>
      <c r="S739" s="14" t="s">
        <v>34</v>
      </c>
      <c r="T739" s="14" t="s">
        <v>27</v>
      </c>
      <c r="U739" s="13">
        <v>2221</v>
      </c>
      <c r="V739" s="15">
        <v>5</v>
      </c>
      <c r="W739" s="9" t="str">
        <f>IF(Table1[[#This Row],[Satisfaction Rating]]&lt;2, "Low", IF(Table1[[#This Row],[Satisfaction Rating]]&lt;4, "Medium", "High"))</f>
        <v>High</v>
      </c>
    </row>
    <row r="740" spans="1:23" ht="14" x14ac:dyDescent="0.2">
      <c r="A740" s="10" t="s">
        <v>1511</v>
      </c>
      <c r="B740" s="11">
        <v>44942.560891203706</v>
      </c>
      <c r="C740" s="11">
        <v>45204.85769675926</v>
      </c>
      <c r="D740" s="11" t="str">
        <f>IF(Table1[[#This Row],[Duration of Campaign]]=0, "Ongoing","Completed")</f>
        <v>Completed</v>
      </c>
      <c r="E740" s="12">
        <f>Table1[[#This Row],[End Date]]-Table1[[#This Row],[Start Date]]</f>
        <v>262.29680555555387</v>
      </c>
      <c r="F740" s="13">
        <v>8421</v>
      </c>
      <c r="G740" s="14" t="s">
        <v>47</v>
      </c>
      <c r="H740" s="15">
        <v>17116</v>
      </c>
      <c r="I740" s="15">
        <v>262</v>
      </c>
      <c r="J740" s="15">
        <v>406</v>
      </c>
      <c r="K740" s="16">
        <v>7866</v>
      </c>
      <c r="L740" s="17">
        <f t="shared" si="55"/>
        <v>1.5307314793175975E-2</v>
      </c>
      <c r="M740" s="17">
        <f t="shared" si="55"/>
        <v>1.5496183206106871</v>
      </c>
      <c r="N740" s="18">
        <f t="shared" si="56"/>
        <v>2.553435114503817</v>
      </c>
      <c r="O740" s="18">
        <f t="shared" si="57"/>
        <v>1.6477832512315271</v>
      </c>
      <c r="P740" s="17">
        <f t="shared" si="58"/>
        <v>7.9444246526540793E-2</v>
      </c>
      <c r="Q740" s="17">
        <f t="shared" si="59"/>
        <v>11.757847533632287</v>
      </c>
      <c r="R740" s="10" t="s">
        <v>1512</v>
      </c>
      <c r="S740" s="14" t="s">
        <v>26</v>
      </c>
      <c r="T740" s="14" t="s">
        <v>27</v>
      </c>
      <c r="U740" s="13">
        <v>669</v>
      </c>
      <c r="V740" s="15">
        <v>3</v>
      </c>
      <c r="W740" s="9" t="str">
        <f>IF(Table1[[#This Row],[Satisfaction Rating]]&lt;2, "Low", IF(Table1[[#This Row],[Satisfaction Rating]]&lt;4, "Medium", "High"))</f>
        <v>Medium</v>
      </c>
    </row>
    <row r="741" spans="1:23" ht="14" x14ac:dyDescent="0.2">
      <c r="A741" s="10" t="s">
        <v>1513</v>
      </c>
      <c r="B741" s="11">
        <v>45608.909317129626</v>
      </c>
      <c r="C741" s="11">
        <v>45608.909317129626</v>
      </c>
      <c r="D741" s="11" t="str">
        <f>IF(Table1[[#This Row],[Duration of Campaign]]=0, "Ongoing","Completed")</f>
        <v>Ongoing</v>
      </c>
      <c r="E741" s="12">
        <f>Table1[[#This Row],[End Date]]-Table1[[#This Row],[Start Date]]</f>
        <v>0</v>
      </c>
      <c r="F741" s="13">
        <v>9552</v>
      </c>
      <c r="G741" s="14" t="s">
        <v>47</v>
      </c>
      <c r="H741" s="15">
        <v>2229</v>
      </c>
      <c r="I741" s="15">
        <v>1795</v>
      </c>
      <c r="J741" s="15">
        <v>23</v>
      </c>
      <c r="K741" s="16">
        <v>5587</v>
      </c>
      <c r="L741" s="17">
        <f t="shared" si="55"/>
        <v>0.80529385374607443</v>
      </c>
      <c r="M741" s="17">
        <f t="shared" si="55"/>
        <v>1.2813370473537604E-2</v>
      </c>
      <c r="N741" s="18">
        <f t="shared" si="56"/>
        <v>7.176601671309192</v>
      </c>
      <c r="O741" s="18">
        <f t="shared" si="57"/>
        <v>560.08695652173913</v>
      </c>
      <c r="P741" s="17">
        <f t="shared" si="58"/>
        <v>1.3486180904522613</v>
      </c>
      <c r="Q741" s="17">
        <f t="shared" si="59"/>
        <v>0.43370594628163328</v>
      </c>
      <c r="R741" s="10" t="s">
        <v>1514</v>
      </c>
      <c r="S741" s="14" t="s">
        <v>45</v>
      </c>
      <c r="T741" s="14" t="s">
        <v>27</v>
      </c>
      <c r="U741" s="13">
        <v>12882</v>
      </c>
      <c r="V741" s="15">
        <v>2</v>
      </c>
      <c r="W741" s="9" t="str">
        <f>IF(Table1[[#This Row],[Satisfaction Rating]]&lt;2, "Low", IF(Table1[[#This Row],[Satisfaction Rating]]&lt;4, "Medium", "High"))</f>
        <v>Medium</v>
      </c>
    </row>
    <row r="742" spans="1:23" ht="14" x14ac:dyDescent="0.2">
      <c r="A742" s="10" t="s">
        <v>1515</v>
      </c>
      <c r="B742" s="11">
        <v>45021.501875000002</v>
      </c>
      <c r="C742" s="11">
        <v>45021.501875000002</v>
      </c>
      <c r="D742" s="11" t="str">
        <f>IF(Table1[[#This Row],[Duration of Campaign]]=0, "Ongoing","Completed")</f>
        <v>Ongoing</v>
      </c>
      <c r="E742" s="12">
        <f>Table1[[#This Row],[End Date]]-Table1[[#This Row],[Start Date]]</f>
        <v>0</v>
      </c>
      <c r="F742" s="13">
        <v>8101</v>
      </c>
      <c r="G742" s="14" t="s">
        <v>29</v>
      </c>
      <c r="H742" s="15">
        <v>19797</v>
      </c>
      <c r="I742" s="15">
        <v>1442</v>
      </c>
      <c r="J742" s="15">
        <v>74</v>
      </c>
      <c r="K742" s="16">
        <v>2469</v>
      </c>
      <c r="L742" s="17">
        <f t="shared" si="55"/>
        <v>7.2839319088750826E-2</v>
      </c>
      <c r="M742" s="17">
        <f t="shared" si="55"/>
        <v>5.1317614424410539E-2</v>
      </c>
      <c r="N742" s="18">
        <f t="shared" si="56"/>
        <v>0.41262135922330095</v>
      </c>
      <c r="O742" s="18">
        <f t="shared" si="57"/>
        <v>8.0405405405405403</v>
      </c>
      <c r="P742" s="17">
        <f t="shared" si="58"/>
        <v>7.3447722503394638E-2</v>
      </c>
      <c r="Q742" s="17">
        <f t="shared" si="59"/>
        <v>4.1495798319327735</v>
      </c>
      <c r="R742" s="10" t="s">
        <v>1516</v>
      </c>
      <c r="S742" s="14" t="s">
        <v>40</v>
      </c>
      <c r="T742" s="14" t="s">
        <v>37</v>
      </c>
      <c r="U742" s="13">
        <v>595</v>
      </c>
      <c r="V742" s="15">
        <v>4</v>
      </c>
      <c r="W742" s="9" t="str">
        <f>IF(Table1[[#This Row],[Satisfaction Rating]]&lt;2, "Low", IF(Table1[[#This Row],[Satisfaction Rating]]&lt;4, "Medium", "High"))</f>
        <v>High</v>
      </c>
    </row>
    <row r="743" spans="1:23" ht="14" x14ac:dyDescent="0.2">
      <c r="A743" s="10" t="s">
        <v>1517</v>
      </c>
      <c r="B743" s="11">
        <v>45567.552766203706</v>
      </c>
      <c r="C743" s="11">
        <v>45567.552766203706</v>
      </c>
      <c r="D743" s="11" t="str">
        <f>IF(Table1[[#This Row],[Duration of Campaign]]=0, "Ongoing","Completed")</f>
        <v>Ongoing</v>
      </c>
      <c r="E743" s="12">
        <f>Table1[[#This Row],[End Date]]-Table1[[#This Row],[Start Date]]</f>
        <v>0</v>
      </c>
      <c r="F743" s="13">
        <v>4022</v>
      </c>
      <c r="G743" s="14" t="s">
        <v>29</v>
      </c>
      <c r="H743" s="15">
        <v>11278</v>
      </c>
      <c r="I743" s="15">
        <v>737</v>
      </c>
      <c r="J743" s="15">
        <v>196</v>
      </c>
      <c r="K743" s="16">
        <v>9338</v>
      </c>
      <c r="L743" s="17">
        <f t="shared" si="55"/>
        <v>6.5348466040078032E-2</v>
      </c>
      <c r="M743" s="17">
        <f t="shared" si="55"/>
        <v>0.26594301221166894</v>
      </c>
      <c r="N743" s="18">
        <f t="shared" si="56"/>
        <v>6.9185888738127543</v>
      </c>
      <c r="O743" s="18">
        <f t="shared" si="57"/>
        <v>26.01530612244898</v>
      </c>
      <c r="P743" s="17">
        <f t="shared" si="58"/>
        <v>1.2677772252610642</v>
      </c>
      <c r="Q743" s="17">
        <f t="shared" si="59"/>
        <v>1.8313394783290842</v>
      </c>
      <c r="R743" s="10" t="s">
        <v>1518</v>
      </c>
      <c r="S743" s="14" t="s">
        <v>34</v>
      </c>
      <c r="T743" s="14" t="s">
        <v>55</v>
      </c>
      <c r="U743" s="13">
        <v>5099</v>
      </c>
      <c r="V743" s="15">
        <v>2</v>
      </c>
      <c r="W743" s="9" t="str">
        <f>IF(Table1[[#This Row],[Satisfaction Rating]]&lt;2, "Low", IF(Table1[[#This Row],[Satisfaction Rating]]&lt;4, "Medium", "High"))</f>
        <v>Medium</v>
      </c>
    </row>
    <row r="744" spans="1:23" ht="14" x14ac:dyDescent="0.2">
      <c r="A744" s="10" t="s">
        <v>1519</v>
      </c>
      <c r="B744" s="11">
        <v>45170.910509259258</v>
      </c>
      <c r="C744" s="11">
        <v>45189.430775462963</v>
      </c>
      <c r="D744" s="11" t="str">
        <f>IF(Table1[[#This Row],[Duration of Campaign]]=0, "Ongoing","Completed")</f>
        <v>Completed</v>
      </c>
      <c r="E744" s="12">
        <f>Table1[[#This Row],[End Date]]-Table1[[#This Row],[Start Date]]</f>
        <v>18.520266203704523</v>
      </c>
      <c r="F744" s="13">
        <v>1039</v>
      </c>
      <c r="G744" s="14" t="s">
        <v>63</v>
      </c>
      <c r="H744" s="15">
        <v>5018</v>
      </c>
      <c r="I744" s="15">
        <v>1687</v>
      </c>
      <c r="J744" s="15">
        <v>453</v>
      </c>
      <c r="K744" s="16">
        <v>2824</v>
      </c>
      <c r="L744" s="17">
        <f t="shared" si="55"/>
        <v>0.33618971701873257</v>
      </c>
      <c r="M744" s="17">
        <f t="shared" si="55"/>
        <v>0.26852400711321872</v>
      </c>
      <c r="N744" s="18">
        <f t="shared" si="56"/>
        <v>9.7344398340248954</v>
      </c>
      <c r="O744" s="18">
        <f t="shared" si="57"/>
        <v>36.251655629139073</v>
      </c>
      <c r="P744" s="17">
        <f t="shared" si="58"/>
        <v>15.8055822906641</v>
      </c>
      <c r="Q744" s="17">
        <f t="shared" si="59"/>
        <v>0.17196443794909269</v>
      </c>
      <c r="R744" s="10" t="s">
        <v>1520</v>
      </c>
      <c r="S744" s="14" t="s">
        <v>45</v>
      </c>
      <c r="T744" s="14" t="s">
        <v>27</v>
      </c>
      <c r="U744" s="13">
        <v>16422</v>
      </c>
      <c r="V744" s="15">
        <v>2</v>
      </c>
      <c r="W744" s="9" t="str">
        <f>IF(Table1[[#This Row],[Satisfaction Rating]]&lt;2, "Low", IF(Table1[[#This Row],[Satisfaction Rating]]&lt;4, "Medium", "High"))</f>
        <v>Medium</v>
      </c>
    </row>
    <row r="745" spans="1:23" ht="14" x14ac:dyDescent="0.2">
      <c r="A745" s="10" t="s">
        <v>1521</v>
      </c>
      <c r="B745" s="11">
        <v>45113.541087962964</v>
      </c>
      <c r="C745" s="11">
        <v>45113.541087962964</v>
      </c>
      <c r="D745" s="11" t="str">
        <f>IF(Table1[[#This Row],[Duration of Campaign]]=0, "Ongoing","Completed")</f>
        <v>Ongoing</v>
      </c>
      <c r="E745" s="12">
        <f>Table1[[#This Row],[End Date]]-Table1[[#This Row],[Start Date]]</f>
        <v>0</v>
      </c>
      <c r="F745" s="13">
        <v>8392</v>
      </c>
      <c r="G745" s="14" t="s">
        <v>29</v>
      </c>
      <c r="H745" s="15">
        <v>14090</v>
      </c>
      <c r="I745" s="15">
        <v>1917</v>
      </c>
      <c r="J745" s="15">
        <v>396</v>
      </c>
      <c r="K745" s="16">
        <v>13498</v>
      </c>
      <c r="L745" s="17">
        <f t="shared" si="55"/>
        <v>0.13605393896380411</v>
      </c>
      <c r="M745" s="17">
        <f t="shared" si="55"/>
        <v>0.20657276995305165</v>
      </c>
      <c r="N745" s="18">
        <f t="shared" si="56"/>
        <v>1.412623891497131</v>
      </c>
      <c r="O745" s="18">
        <f t="shared" si="57"/>
        <v>6.8383838383838382</v>
      </c>
      <c r="P745" s="17">
        <f t="shared" si="58"/>
        <v>0.32268827454718779</v>
      </c>
      <c r="Q745" s="17">
        <f t="shared" si="59"/>
        <v>4.9844903988183162</v>
      </c>
      <c r="R745" s="10" t="s">
        <v>1522</v>
      </c>
      <c r="S745" s="14" t="s">
        <v>34</v>
      </c>
      <c r="T745" s="14" t="s">
        <v>27</v>
      </c>
      <c r="U745" s="13">
        <v>2708</v>
      </c>
      <c r="V745" s="15">
        <v>1</v>
      </c>
      <c r="W745" s="9" t="str">
        <f>IF(Table1[[#This Row],[Satisfaction Rating]]&lt;2, "Low", IF(Table1[[#This Row],[Satisfaction Rating]]&lt;4, "Medium", "High"))</f>
        <v>Low</v>
      </c>
    </row>
    <row r="746" spans="1:23" ht="14" x14ac:dyDescent="0.2">
      <c r="A746" s="10" t="s">
        <v>1523</v>
      </c>
      <c r="B746" s="11">
        <v>45055.867314814815</v>
      </c>
      <c r="C746" s="11">
        <v>45129.799571759257</v>
      </c>
      <c r="D746" s="11" t="str">
        <f>IF(Table1[[#This Row],[Duration of Campaign]]=0, "Ongoing","Completed")</f>
        <v>Completed</v>
      </c>
      <c r="E746" s="12">
        <f>Table1[[#This Row],[End Date]]-Table1[[#This Row],[Start Date]]</f>
        <v>73.932256944441178</v>
      </c>
      <c r="F746" s="13">
        <v>8151</v>
      </c>
      <c r="G746" s="14" t="s">
        <v>24</v>
      </c>
      <c r="H746" s="15">
        <v>19429</v>
      </c>
      <c r="I746" s="15">
        <v>647</v>
      </c>
      <c r="J746" s="15">
        <v>265</v>
      </c>
      <c r="K746" s="16">
        <v>12771</v>
      </c>
      <c r="L746" s="17">
        <f t="shared" si="55"/>
        <v>3.330073601317618E-2</v>
      </c>
      <c r="M746" s="17">
        <f t="shared" si="55"/>
        <v>0.4095826893353941</v>
      </c>
      <c r="N746" s="18">
        <f t="shared" si="56"/>
        <v>19.07727975270479</v>
      </c>
      <c r="O746" s="18">
        <f t="shared" si="57"/>
        <v>46.577358490566034</v>
      </c>
      <c r="P746" s="17">
        <f t="shared" si="58"/>
        <v>1.5142927248190405</v>
      </c>
      <c r="Q746" s="17">
        <f t="shared" si="59"/>
        <v>1.0346755245888357</v>
      </c>
      <c r="R746" s="10" t="s">
        <v>1524</v>
      </c>
      <c r="S746" s="14" t="s">
        <v>31</v>
      </c>
      <c r="T746" s="14" t="s">
        <v>37</v>
      </c>
      <c r="U746" s="13">
        <v>12343</v>
      </c>
      <c r="V746" s="15">
        <v>5</v>
      </c>
      <c r="W746" s="9" t="str">
        <f>IF(Table1[[#This Row],[Satisfaction Rating]]&lt;2, "Low", IF(Table1[[#This Row],[Satisfaction Rating]]&lt;4, "Medium", "High"))</f>
        <v>High</v>
      </c>
    </row>
    <row r="747" spans="1:23" ht="14" x14ac:dyDescent="0.2">
      <c r="A747" s="10" t="s">
        <v>1525</v>
      </c>
      <c r="B747" s="11">
        <v>45051.085462962961</v>
      </c>
      <c r="C747" s="11">
        <v>45572.617476851854</v>
      </c>
      <c r="D747" s="11" t="str">
        <f>IF(Table1[[#This Row],[Duration of Campaign]]=0, "Ongoing","Completed")</f>
        <v>Completed</v>
      </c>
      <c r="E747" s="12">
        <f>Table1[[#This Row],[End Date]]-Table1[[#This Row],[Start Date]]</f>
        <v>521.53201388889283</v>
      </c>
      <c r="F747" s="13">
        <v>7455</v>
      </c>
      <c r="G747" s="14" t="s">
        <v>29</v>
      </c>
      <c r="H747" s="15">
        <v>12945</v>
      </c>
      <c r="I747" s="15">
        <v>351</v>
      </c>
      <c r="J747" s="15">
        <v>105</v>
      </c>
      <c r="K747" s="16">
        <v>5885</v>
      </c>
      <c r="L747" s="17">
        <f t="shared" si="55"/>
        <v>2.7114716106604868E-2</v>
      </c>
      <c r="M747" s="17">
        <f t="shared" si="55"/>
        <v>0.29914529914529914</v>
      </c>
      <c r="N747" s="18">
        <f t="shared" si="56"/>
        <v>55.56980056980057</v>
      </c>
      <c r="O747" s="18">
        <f t="shared" si="57"/>
        <v>185.76190476190476</v>
      </c>
      <c r="P747" s="17">
        <f t="shared" si="58"/>
        <v>2.6163648558014754</v>
      </c>
      <c r="Q747" s="17">
        <f t="shared" si="59"/>
        <v>0.30171750833119715</v>
      </c>
      <c r="R747" s="10" t="s">
        <v>1526</v>
      </c>
      <c r="S747" s="14" t="s">
        <v>26</v>
      </c>
      <c r="T747" s="14" t="s">
        <v>27</v>
      </c>
      <c r="U747" s="13">
        <v>19505</v>
      </c>
      <c r="V747" s="15">
        <v>3</v>
      </c>
      <c r="W747" s="9" t="str">
        <f>IF(Table1[[#This Row],[Satisfaction Rating]]&lt;2, "Low", IF(Table1[[#This Row],[Satisfaction Rating]]&lt;4, "Medium", "High"))</f>
        <v>Medium</v>
      </c>
    </row>
    <row r="748" spans="1:23" ht="14" x14ac:dyDescent="0.2">
      <c r="A748" s="10" t="s">
        <v>1527</v>
      </c>
      <c r="B748" s="11">
        <v>44932.509548611109</v>
      </c>
      <c r="C748" s="11">
        <v>45231.286145833335</v>
      </c>
      <c r="D748" s="11" t="str">
        <f>IF(Table1[[#This Row],[Duration of Campaign]]=0, "Ongoing","Completed")</f>
        <v>Completed</v>
      </c>
      <c r="E748" s="12">
        <f>Table1[[#This Row],[End Date]]-Table1[[#This Row],[Start Date]]</f>
        <v>298.77659722222597</v>
      </c>
      <c r="F748" s="13">
        <v>9609</v>
      </c>
      <c r="G748" s="14" t="s">
        <v>63</v>
      </c>
      <c r="H748" s="15">
        <v>6481</v>
      </c>
      <c r="I748" s="15">
        <v>348</v>
      </c>
      <c r="J748" s="15">
        <v>486</v>
      </c>
      <c r="K748" s="16">
        <v>14478</v>
      </c>
      <c r="L748" s="17">
        <f t="shared" si="55"/>
        <v>5.3695417373862062E-2</v>
      </c>
      <c r="M748" s="17">
        <f t="shared" si="55"/>
        <v>1.396551724137931</v>
      </c>
      <c r="N748" s="18">
        <f t="shared" si="56"/>
        <v>37.178160919540232</v>
      </c>
      <c r="O748" s="18">
        <f t="shared" si="57"/>
        <v>26.621399176954732</v>
      </c>
      <c r="P748" s="17">
        <f t="shared" si="58"/>
        <v>1.3464460401706733</v>
      </c>
      <c r="Q748" s="17">
        <f t="shared" si="59"/>
        <v>1.1190292162621733</v>
      </c>
      <c r="R748" s="10" t="s">
        <v>1528</v>
      </c>
      <c r="S748" s="14" t="s">
        <v>34</v>
      </c>
      <c r="T748" s="14" t="s">
        <v>37</v>
      </c>
      <c r="U748" s="13">
        <v>12938</v>
      </c>
      <c r="V748" s="15">
        <v>1</v>
      </c>
      <c r="W748" s="9" t="str">
        <f>IF(Table1[[#This Row],[Satisfaction Rating]]&lt;2, "Low", IF(Table1[[#This Row],[Satisfaction Rating]]&lt;4, "Medium", "High"))</f>
        <v>Low</v>
      </c>
    </row>
    <row r="749" spans="1:23" ht="14" x14ac:dyDescent="0.2">
      <c r="A749" s="10" t="s">
        <v>1529</v>
      </c>
      <c r="B749" s="11">
        <v>45405.842581018522</v>
      </c>
      <c r="C749" s="11">
        <v>45583.941030092596</v>
      </c>
      <c r="D749" s="11" t="str">
        <f>IF(Table1[[#This Row],[Duration of Campaign]]=0, "Ongoing","Completed")</f>
        <v>Completed</v>
      </c>
      <c r="E749" s="12">
        <f>Table1[[#This Row],[End Date]]-Table1[[#This Row],[Start Date]]</f>
        <v>178.09844907407387</v>
      </c>
      <c r="F749" s="13">
        <v>4558</v>
      </c>
      <c r="G749" s="14" t="s">
        <v>63</v>
      </c>
      <c r="H749" s="15">
        <v>7100</v>
      </c>
      <c r="I749" s="15">
        <v>1444</v>
      </c>
      <c r="J749" s="15">
        <v>199</v>
      </c>
      <c r="K749" s="16">
        <v>14217</v>
      </c>
      <c r="L749" s="17">
        <f t="shared" si="55"/>
        <v>0.20338028169014086</v>
      </c>
      <c r="M749" s="17">
        <f t="shared" si="55"/>
        <v>0.13781163434903046</v>
      </c>
      <c r="N749" s="18">
        <f t="shared" si="56"/>
        <v>1.479224376731302</v>
      </c>
      <c r="O749" s="18">
        <f t="shared" si="57"/>
        <v>10.733668341708542</v>
      </c>
      <c r="P749" s="17">
        <f t="shared" si="58"/>
        <v>0.46862659060991663</v>
      </c>
      <c r="Q749" s="17">
        <f t="shared" si="59"/>
        <v>6.6558988764044944</v>
      </c>
      <c r="R749" s="10" t="s">
        <v>1530</v>
      </c>
      <c r="S749" s="14" t="s">
        <v>31</v>
      </c>
      <c r="T749" s="14" t="s">
        <v>27</v>
      </c>
      <c r="U749" s="13">
        <v>2136</v>
      </c>
      <c r="V749" s="15">
        <v>1</v>
      </c>
      <c r="W749" s="9" t="str">
        <f>IF(Table1[[#This Row],[Satisfaction Rating]]&lt;2, "Low", IF(Table1[[#This Row],[Satisfaction Rating]]&lt;4, "Medium", "High"))</f>
        <v>Low</v>
      </c>
    </row>
    <row r="750" spans="1:23" ht="14" x14ac:dyDescent="0.2">
      <c r="A750" s="10" t="s">
        <v>1531</v>
      </c>
      <c r="B750" s="11">
        <v>45499.845648148148</v>
      </c>
      <c r="C750" s="11">
        <v>45650.344444444447</v>
      </c>
      <c r="D750" s="11" t="str">
        <f>IF(Table1[[#This Row],[Duration of Campaign]]=0, "Ongoing","Completed")</f>
        <v>Completed</v>
      </c>
      <c r="E750" s="12">
        <f>Table1[[#This Row],[End Date]]-Table1[[#This Row],[Start Date]]</f>
        <v>150.49879629629868</v>
      </c>
      <c r="F750" s="13">
        <v>5386</v>
      </c>
      <c r="G750" s="14" t="s">
        <v>29</v>
      </c>
      <c r="H750" s="15">
        <v>10309</v>
      </c>
      <c r="I750" s="15">
        <v>1229</v>
      </c>
      <c r="J750" s="15">
        <v>425</v>
      </c>
      <c r="K750" s="16">
        <v>10709</v>
      </c>
      <c r="L750" s="17">
        <f t="shared" si="55"/>
        <v>0.11921621883790863</v>
      </c>
      <c r="M750" s="17">
        <f t="shared" si="55"/>
        <v>0.34580960130187144</v>
      </c>
      <c r="N750" s="18">
        <f t="shared" si="56"/>
        <v>8.9576891781936538</v>
      </c>
      <c r="O750" s="18">
        <f t="shared" si="57"/>
        <v>25.903529411764705</v>
      </c>
      <c r="P750" s="17">
        <f t="shared" si="58"/>
        <v>2.0440029706646863</v>
      </c>
      <c r="Q750" s="17">
        <f t="shared" si="59"/>
        <v>0.97274956853483519</v>
      </c>
      <c r="R750" s="10" t="s">
        <v>1532</v>
      </c>
      <c r="S750" s="14" t="s">
        <v>26</v>
      </c>
      <c r="T750" s="14" t="s">
        <v>37</v>
      </c>
      <c r="U750" s="13">
        <v>11009</v>
      </c>
      <c r="V750" s="15">
        <v>1</v>
      </c>
      <c r="W750" s="9" t="str">
        <f>IF(Table1[[#This Row],[Satisfaction Rating]]&lt;2, "Low", IF(Table1[[#This Row],[Satisfaction Rating]]&lt;4, "Medium", "High"))</f>
        <v>Low</v>
      </c>
    </row>
    <row r="751" spans="1:23" ht="14" x14ac:dyDescent="0.2">
      <c r="A751" s="10" t="s">
        <v>1533</v>
      </c>
      <c r="B751" s="11">
        <v>45111.434756944444</v>
      </c>
      <c r="C751" s="11">
        <v>45111.434756944444</v>
      </c>
      <c r="D751" s="11" t="str">
        <f>IF(Table1[[#This Row],[Duration of Campaign]]=0, "Ongoing","Completed")</f>
        <v>Ongoing</v>
      </c>
      <c r="E751" s="12">
        <f>Table1[[#This Row],[End Date]]-Table1[[#This Row],[Start Date]]</f>
        <v>0</v>
      </c>
      <c r="F751" s="13">
        <v>3103</v>
      </c>
      <c r="G751" s="14" t="s">
        <v>29</v>
      </c>
      <c r="H751" s="15">
        <v>18273</v>
      </c>
      <c r="I751" s="15">
        <v>546</v>
      </c>
      <c r="J751" s="15">
        <v>275</v>
      </c>
      <c r="K751" s="16">
        <v>1566</v>
      </c>
      <c r="L751" s="17">
        <f t="shared" si="55"/>
        <v>2.9880151042521754E-2</v>
      </c>
      <c r="M751" s="17">
        <f t="shared" si="55"/>
        <v>0.50366300366300365</v>
      </c>
      <c r="N751" s="18">
        <f t="shared" si="56"/>
        <v>19.010989010989011</v>
      </c>
      <c r="O751" s="18">
        <f t="shared" si="57"/>
        <v>37.745454545454542</v>
      </c>
      <c r="P751" s="17">
        <f t="shared" si="58"/>
        <v>3.3451498549790526</v>
      </c>
      <c r="Q751" s="17">
        <f t="shared" si="59"/>
        <v>0.1508670520231214</v>
      </c>
      <c r="R751" s="10" t="s">
        <v>1534</v>
      </c>
      <c r="S751" s="14" t="s">
        <v>31</v>
      </c>
      <c r="T751" s="14" t="s">
        <v>27</v>
      </c>
      <c r="U751" s="13">
        <v>10380</v>
      </c>
      <c r="V751" s="15">
        <v>1</v>
      </c>
      <c r="W751" s="9" t="str">
        <f>IF(Table1[[#This Row],[Satisfaction Rating]]&lt;2, "Low", IF(Table1[[#This Row],[Satisfaction Rating]]&lt;4, "Medium", "High"))</f>
        <v>Low</v>
      </c>
    </row>
    <row r="752" spans="1:23" ht="14" x14ac:dyDescent="0.2">
      <c r="A752" s="10" t="s">
        <v>1535</v>
      </c>
      <c r="B752" s="11">
        <v>45616.238622685189</v>
      </c>
      <c r="C752" s="11">
        <v>45616.238622685189</v>
      </c>
      <c r="D752" s="11" t="str">
        <f>IF(Table1[[#This Row],[Duration of Campaign]]=0, "Ongoing","Completed")</f>
        <v>Ongoing</v>
      </c>
      <c r="E752" s="12">
        <f>Table1[[#This Row],[End Date]]-Table1[[#This Row],[Start Date]]</f>
        <v>0</v>
      </c>
      <c r="F752" s="13">
        <v>4545</v>
      </c>
      <c r="G752" s="14" t="s">
        <v>24</v>
      </c>
      <c r="H752" s="15">
        <v>10032</v>
      </c>
      <c r="I752" s="15">
        <v>860</v>
      </c>
      <c r="J752" s="15">
        <v>18</v>
      </c>
      <c r="K752" s="16">
        <v>835</v>
      </c>
      <c r="L752" s="17">
        <f t="shared" si="55"/>
        <v>8.5725677830940983E-2</v>
      </c>
      <c r="M752" s="17">
        <f t="shared" si="55"/>
        <v>2.0930232558139535E-2</v>
      </c>
      <c r="N752" s="18">
        <f t="shared" si="56"/>
        <v>15.059302325581395</v>
      </c>
      <c r="O752" s="18">
        <f t="shared" si="57"/>
        <v>719.5</v>
      </c>
      <c r="P752" s="17">
        <f t="shared" si="58"/>
        <v>2.8495049504950494</v>
      </c>
      <c r="Q752" s="17">
        <f t="shared" si="59"/>
        <v>6.4473785808045705E-2</v>
      </c>
      <c r="R752" s="10" t="s">
        <v>1536</v>
      </c>
      <c r="S752" s="14" t="s">
        <v>34</v>
      </c>
      <c r="T752" s="14" t="s">
        <v>37</v>
      </c>
      <c r="U752" s="13">
        <v>12951</v>
      </c>
      <c r="V752" s="15">
        <v>2</v>
      </c>
      <c r="W752" s="9" t="str">
        <f>IF(Table1[[#This Row],[Satisfaction Rating]]&lt;2, "Low", IF(Table1[[#This Row],[Satisfaction Rating]]&lt;4, "Medium", "High"))</f>
        <v>Medium</v>
      </c>
    </row>
    <row r="753" spans="1:23" ht="14" x14ac:dyDescent="0.2">
      <c r="A753" s="10" t="s">
        <v>1537</v>
      </c>
      <c r="B753" s="11">
        <v>45156.80028935185</v>
      </c>
      <c r="C753" s="11">
        <v>45156.80028935185</v>
      </c>
      <c r="D753" s="11" t="str">
        <f>IF(Table1[[#This Row],[Duration of Campaign]]=0, "Ongoing","Completed")</f>
        <v>Ongoing</v>
      </c>
      <c r="E753" s="12">
        <f>Table1[[#This Row],[End Date]]-Table1[[#This Row],[Start Date]]</f>
        <v>0</v>
      </c>
      <c r="F753" s="13">
        <v>9270</v>
      </c>
      <c r="G753" s="14" t="s">
        <v>47</v>
      </c>
      <c r="H753" s="15">
        <v>15787</v>
      </c>
      <c r="I753" s="15">
        <v>776</v>
      </c>
      <c r="J753" s="15">
        <v>46</v>
      </c>
      <c r="K753" s="16">
        <v>14831</v>
      </c>
      <c r="L753" s="17">
        <f t="shared" si="55"/>
        <v>4.9154367517577756E-2</v>
      </c>
      <c r="M753" s="17">
        <f t="shared" si="55"/>
        <v>5.9278350515463915E-2</v>
      </c>
      <c r="N753" s="18">
        <f t="shared" si="56"/>
        <v>7.6121134020618557</v>
      </c>
      <c r="O753" s="18">
        <f t="shared" si="57"/>
        <v>128.41304347826087</v>
      </c>
      <c r="P753" s="17">
        <f t="shared" si="58"/>
        <v>0.63721682847896444</v>
      </c>
      <c r="Q753" s="17">
        <f t="shared" si="59"/>
        <v>2.5107499576773318</v>
      </c>
      <c r="R753" s="10" t="s">
        <v>1538</v>
      </c>
      <c r="S753" s="14" t="s">
        <v>31</v>
      </c>
      <c r="T753" s="14" t="s">
        <v>37</v>
      </c>
      <c r="U753" s="13">
        <v>5907</v>
      </c>
      <c r="V753" s="15">
        <v>2</v>
      </c>
      <c r="W753" s="9" t="str">
        <f>IF(Table1[[#This Row],[Satisfaction Rating]]&lt;2, "Low", IF(Table1[[#This Row],[Satisfaction Rating]]&lt;4, "Medium", "High"))</f>
        <v>Medium</v>
      </c>
    </row>
    <row r="754" spans="1:23" ht="14" x14ac:dyDescent="0.2">
      <c r="A754" s="10" t="s">
        <v>1539</v>
      </c>
      <c r="B754" s="11">
        <v>45504.600972222222</v>
      </c>
      <c r="C754" s="11">
        <v>45504.600972222222</v>
      </c>
      <c r="D754" s="11" t="str">
        <f>IF(Table1[[#This Row],[Duration of Campaign]]=0, "Ongoing","Completed")</f>
        <v>Ongoing</v>
      </c>
      <c r="E754" s="12">
        <f>Table1[[#This Row],[End Date]]-Table1[[#This Row],[Start Date]]</f>
        <v>0</v>
      </c>
      <c r="F754" s="13">
        <v>2438</v>
      </c>
      <c r="G754" s="14" t="s">
        <v>47</v>
      </c>
      <c r="H754" s="15">
        <v>9859</v>
      </c>
      <c r="I754" s="15">
        <v>1663</v>
      </c>
      <c r="J754" s="15">
        <v>259</v>
      </c>
      <c r="K754" s="16">
        <v>14199</v>
      </c>
      <c r="L754" s="17">
        <f t="shared" si="55"/>
        <v>0.16867836494573485</v>
      </c>
      <c r="M754" s="17">
        <f t="shared" si="55"/>
        <v>0.15574263379434755</v>
      </c>
      <c r="N754" s="18">
        <f t="shared" si="56"/>
        <v>9.3722188815393874</v>
      </c>
      <c r="O754" s="18">
        <f t="shared" si="57"/>
        <v>60.177606177606179</v>
      </c>
      <c r="P754" s="17">
        <f t="shared" si="58"/>
        <v>6.3929450369155045</v>
      </c>
      <c r="Q754" s="17">
        <f t="shared" si="59"/>
        <v>0.91100988066213273</v>
      </c>
      <c r="R754" s="10" t="s">
        <v>1540</v>
      </c>
      <c r="S754" s="14" t="s">
        <v>34</v>
      </c>
      <c r="T754" s="14" t="s">
        <v>27</v>
      </c>
      <c r="U754" s="13">
        <v>15586</v>
      </c>
      <c r="V754" s="15">
        <v>2</v>
      </c>
      <c r="W754" s="9" t="str">
        <f>IF(Table1[[#This Row],[Satisfaction Rating]]&lt;2, "Low", IF(Table1[[#This Row],[Satisfaction Rating]]&lt;4, "Medium", "High"))</f>
        <v>Medium</v>
      </c>
    </row>
    <row r="755" spans="1:23" ht="14" x14ac:dyDescent="0.2">
      <c r="A755" s="10" t="s">
        <v>1541</v>
      </c>
      <c r="B755" s="11">
        <v>45374.678287037037</v>
      </c>
      <c r="C755" s="11">
        <v>45374.678287037037</v>
      </c>
      <c r="D755" s="11" t="str">
        <f>IF(Table1[[#This Row],[Duration of Campaign]]=0, "Ongoing","Completed")</f>
        <v>Ongoing</v>
      </c>
      <c r="E755" s="12">
        <f>Table1[[#This Row],[End Date]]-Table1[[#This Row],[Start Date]]</f>
        <v>0</v>
      </c>
      <c r="F755" s="13">
        <v>8114</v>
      </c>
      <c r="G755" s="14" t="s">
        <v>63</v>
      </c>
      <c r="H755" s="15">
        <v>16208</v>
      </c>
      <c r="I755" s="15">
        <v>1553</v>
      </c>
      <c r="J755" s="15">
        <v>156</v>
      </c>
      <c r="K755" s="16">
        <v>14315</v>
      </c>
      <c r="L755" s="17">
        <f t="shared" si="55"/>
        <v>9.5816880552813427E-2</v>
      </c>
      <c r="M755" s="17">
        <f t="shared" si="55"/>
        <v>0.10045074050225371</v>
      </c>
      <c r="N755" s="18">
        <f t="shared" si="56"/>
        <v>9.7121699935608508</v>
      </c>
      <c r="O755" s="18">
        <f t="shared" si="57"/>
        <v>96.685897435897431</v>
      </c>
      <c r="P755" s="17">
        <f t="shared" si="58"/>
        <v>1.8588858762632487</v>
      </c>
      <c r="Q755" s="17">
        <f t="shared" si="59"/>
        <v>0.94908174766293174</v>
      </c>
      <c r="R755" s="10" t="s">
        <v>1542</v>
      </c>
      <c r="S755" s="14" t="s">
        <v>40</v>
      </c>
      <c r="T755" s="14" t="s">
        <v>27</v>
      </c>
      <c r="U755" s="13">
        <v>15083</v>
      </c>
      <c r="V755" s="15">
        <v>3</v>
      </c>
      <c r="W755" s="9" t="str">
        <f>IF(Table1[[#This Row],[Satisfaction Rating]]&lt;2, "Low", IF(Table1[[#This Row],[Satisfaction Rating]]&lt;4, "Medium", "High"))</f>
        <v>Medium</v>
      </c>
    </row>
    <row r="756" spans="1:23" ht="14" x14ac:dyDescent="0.2">
      <c r="A756" s="10" t="s">
        <v>1543</v>
      </c>
      <c r="B756" s="11">
        <v>45096.033483796295</v>
      </c>
      <c r="C756" s="11">
        <v>45542.242048611108</v>
      </c>
      <c r="D756" s="11" t="str">
        <f>IF(Table1[[#This Row],[Duration of Campaign]]=0, "Ongoing","Completed")</f>
        <v>Completed</v>
      </c>
      <c r="E756" s="12">
        <f>Table1[[#This Row],[End Date]]-Table1[[#This Row],[Start Date]]</f>
        <v>446.20856481481314</v>
      </c>
      <c r="F756" s="13">
        <v>1188</v>
      </c>
      <c r="G756" s="14" t="s">
        <v>29</v>
      </c>
      <c r="H756" s="15">
        <v>18533</v>
      </c>
      <c r="I756" s="15">
        <v>1320</v>
      </c>
      <c r="J756" s="15">
        <v>248</v>
      </c>
      <c r="K756" s="16">
        <v>14820</v>
      </c>
      <c r="L756" s="17">
        <f t="shared" si="55"/>
        <v>7.1224302595370423E-2</v>
      </c>
      <c r="M756" s="17">
        <f t="shared" si="55"/>
        <v>0.18787878787878787</v>
      </c>
      <c r="N756" s="18">
        <f t="shared" si="56"/>
        <v>5.6196969696969701</v>
      </c>
      <c r="O756" s="18">
        <f t="shared" si="57"/>
        <v>29.911290322580644</v>
      </c>
      <c r="P756" s="17">
        <f t="shared" si="58"/>
        <v>6.2441077441077439</v>
      </c>
      <c r="Q756" s="17">
        <f t="shared" si="59"/>
        <v>1.9978430843893233</v>
      </c>
      <c r="R756" s="10" t="s">
        <v>1544</v>
      </c>
      <c r="S756" s="14" t="s">
        <v>26</v>
      </c>
      <c r="T756" s="14" t="s">
        <v>27</v>
      </c>
      <c r="U756" s="13">
        <v>7418</v>
      </c>
      <c r="V756" s="15">
        <v>3</v>
      </c>
      <c r="W756" s="9" t="str">
        <f>IF(Table1[[#This Row],[Satisfaction Rating]]&lt;2, "Low", IF(Table1[[#This Row],[Satisfaction Rating]]&lt;4, "Medium", "High"))</f>
        <v>Medium</v>
      </c>
    </row>
    <row r="757" spans="1:23" ht="14" x14ac:dyDescent="0.2">
      <c r="A757" s="10" t="s">
        <v>1545</v>
      </c>
      <c r="B757" s="11">
        <v>45334.728564814817</v>
      </c>
      <c r="C757" s="11">
        <v>45404.703645833331</v>
      </c>
      <c r="D757" s="11" t="str">
        <f>IF(Table1[[#This Row],[Duration of Campaign]]=0, "Ongoing","Completed")</f>
        <v>Completed</v>
      </c>
      <c r="E757" s="12">
        <f>Table1[[#This Row],[End Date]]-Table1[[#This Row],[Start Date]]</f>
        <v>69.975081018514175</v>
      </c>
      <c r="F757" s="13">
        <v>5791</v>
      </c>
      <c r="G757" s="14" t="s">
        <v>63</v>
      </c>
      <c r="H757" s="15">
        <v>19127</v>
      </c>
      <c r="I757" s="15">
        <v>1081</v>
      </c>
      <c r="J757" s="15">
        <v>225</v>
      </c>
      <c r="K757" s="16">
        <v>8466</v>
      </c>
      <c r="L757" s="17">
        <f t="shared" si="55"/>
        <v>5.6516965546086685E-2</v>
      </c>
      <c r="M757" s="17">
        <f t="shared" si="55"/>
        <v>0.20814061054579094</v>
      </c>
      <c r="N757" s="18">
        <f t="shared" si="56"/>
        <v>8.899167437557816</v>
      </c>
      <c r="O757" s="18">
        <f t="shared" si="57"/>
        <v>42.755555555555553</v>
      </c>
      <c r="P757" s="17">
        <f t="shared" si="58"/>
        <v>1.6611984113279226</v>
      </c>
      <c r="Q757" s="17">
        <f t="shared" si="59"/>
        <v>0.88004158004158006</v>
      </c>
      <c r="R757" s="10" t="s">
        <v>1546</v>
      </c>
      <c r="S757" s="14" t="s">
        <v>40</v>
      </c>
      <c r="T757" s="14" t="s">
        <v>37</v>
      </c>
      <c r="U757" s="13">
        <v>9620</v>
      </c>
      <c r="V757" s="15">
        <v>3</v>
      </c>
      <c r="W757" s="9" t="str">
        <f>IF(Table1[[#This Row],[Satisfaction Rating]]&lt;2, "Low", IF(Table1[[#This Row],[Satisfaction Rating]]&lt;4, "Medium", "High"))</f>
        <v>Medium</v>
      </c>
    </row>
    <row r="758" spans="1:23" ht="14" x14ac:dyDescent="0.2">
      <c r="A758" s="10" t="s">
        <v>1547</v>
      </c>
      <c r="B758" s="11">
        <v>45462.45071759259</v>
      </c>
      <c r="C758" s="11">
        <v>45462.45071759259</v>
      </c>
      <c r="D758" s="11" t="str">
        <f>IF(Table1[[#This Row],[Duration of Campaign]]=0, "Ongoing","Completed")</f>
        <v>Ongoing</v>
      </c>
      <c r="E758" s="12">
        <f>Table1[[#This Row],[End Date]]-Table1[[#This Row],[Start Date]]</f>
        <v>0</v>
      </c>
      <c r="F758" s="13">
        <v>7263</v>
      </c>
      <c r="G758" s="14" t="s">
        <v>29</v>
      </c>
      <c r="H758" s="15">
        <v>8530</v>
      </c>
      <c r="I758" s="15">
        <v>522</v>
      </c>
      <c r="J758" s="15">
        <v>272</v>
      </c>
      <c r="K758" s="16">
        <v>11915</v>
      </c>
      <c r="L758" s="17">
        <f t="shared" si="55"/>
        <v>6.1195779601406798E-2</v>
      </c>
      <c r="M758" s="17">
        <f t="shared" si="55"/>
        <v>0.52107279693486586</v>
      </c>
      <c r="N758" s="18">
        <f t="shared" si="56"/>
        <v>22.766283524904214</v>
      </c>
      <c r="O758" s="18">
        <f t="shared" si="57"/>
        <v>43.691176470588232</v>
      </c>
      <c r="P758" s="17">
        <f t="shared" si="58"/>
        <v>1.6362384689522236</v>
      </c>
      <c r="Q758" s="17">
        <f t="shared" si="59"/>
        <v>1.0026085493099965</v>
      </c>
      <c r="R758" s="10" t="s">
        <v>1548</v>
      </c>
      <c r="S758" s="14" t="s">
        <v>31</v>
      </c>
      <c r="T758" s="14" t="s">
        <v>27</v>
      </c>
      <c r="U758" s="13">
        <v>11884</v>
      </c>
      <c r="V758" s="15">
        <v>2</v>
      </c>
      <c r="W758" s="9" t="str">
        <f>IF(Table1[[#This Row],[Satisfaction Rating]]&lt;2, "Low", IF(Table1[[#This Row],[Satisfaction Rating]]&lt;4, "Medium", "High"))</f>
        <v>Medium</v>
      </c>
    </row>
    <row r="759" spans="1:23" ht="14" x14ac:dyDescent="0.2">
      <c r="A759" s="10" t="s">
        <v>1549</v>
      </c>
      <c r="B759" s="11">
        <v>45284.534050925926</v>
      </c>
      <c r="C759" s="11">
        <v>45349.667037037034</v>
      </c>
      <c r="D759" s="11" t="str">
        <f>IF(Table1[[#This Row],[Duration of Campaign]]=0, "Ongoing","Completed")</f>
        <v>Completed</v>
      </c>
      <c r="E759" s="12">
        <f>Table1[[#This Row],[End Date]]-Table1[[#This Row],[Start Date]]</f>
        <v>65.132986111108039</v>
      </c>
      <c r="F759" s="13">
        <v>5017</v>
      </c>
      <c r="G759" s="14" t="s">
        <v>63</v>
      </c>
      <c r="H759" s="15">
        <v>15635</v>
      </c>
      <c r="I759" s="15">
        <v>1397</v>
      </c>
      <c r="J759" s="15">
        <v>366</v>
      </c>
      <c r="K759" s="16">
        <v>13136</v>
      </c>
      <c r="L759" s="17">
        <f t="shared" si="55"/>
        <v>8.9350815478094023E-2</v>
      </c>
      <c r="M759" s="17">
        <f t="shared" si="55"/>
        <v>0.26198997852541162</v>
      </c>
      <c r="N759" s="18">
        <f t="shared" si="56"/>
        <v>6.9277022190408015</v>
      </c>
      <c r="O759" s="18">
        <f t="shared" si="57"/>
        <v>26.442622950819672</v>
      </c>
      <c r="P759" s="17">
        <f t="shared" si="58"/>
        <v>1.9290412597169624</v>
      </c>
      <c r="Q759" s="17">
        <f t="shared" si="59"/>
        <v>1.3573052283529654</v>
      </c>
      <c r="R759" s="10" t="s">
        <v>1550</v>
      </c>
      <c r="S759" s="14" t="s">
        <v>34</v>
      </c>
      <c r="T759" s="14" t="s">
        <v>27</v>
      </c>
      <c r="U759" s="13">
        <v>9678</v>
      </c>
      <c r="V759" s="15">
        <v>1</v>
      </c>
      <c r="W759" s="9" t="str">
        <f>IF(Table1[[#This Row],[Satisfaction Rating]]&lt;2, "Low", IF(Table1[[#This Row],[Satisfaction Rating]]&lt;4, "Medium", "High"))</f>
        <v>Low</v>
      </c>
    </row>
    <row r="760" spans="1:23" ht="14" x14ac:dyDescent="0.2">
      <c r="A760" s="10" t="s">
        <v>1551</v>
      </c>
      <c r="B760" s="11">
        <v>45246.774247685185</v>
      </c>
      <c r="C760" s="11">
        <v>45246.774247685185</v>
      </c>
      <c r="D760" s="11" t="str">
        <f>IF(Table1[[#This Row],[Duration of Campaign]]=0, "Ongoing","Completed")</f>
        <v>Ongoing</v>
      </c>
      <c r="E760" s="12">
        <f>Table1[[#This Row],[End Date]]-Table1[[#This Row],[Start Date]]</f>
        <v>0</v>
      </c>
      <c r="F760" s="13">
        <v>2502</v>
      </c>
      <c r="G760" s="14" t="s">
        <v>47</v>
      </c>
      <c r="H760" s="15">
        <v>17562</v>
      </c>
      <c r="I760" s="15">
        <v>1719</v>
      </c>
      <c r="J760" s="15">
        <v>140</v>
      </c>
      <c r="K760" s="16">
        <v>9226</v>
      </c>
      <c r="L760" s="17">
        <f t="shared" si="55"/>
        <v>9.7881790228903309E-2</v>
      </c>
      <c r="M760" s="17">
        <f t="shared" si="55"/>
        <v>8.1442699243746364E-2</v>
      </c>
      <c r="N760" s="18">
        <f t="shared" si="56"/>
        <v>0.5578824898196626</v>
      </c>
      <c r="O760" s="18">
        <f t="shared" si="57"/>
        <v>6.85</v>
      </c>
      <c r="P760" s="17">
        <f t="shared" si="58"/>
        <v>0.38329336530775382</v>
      </c>
      <c r="Q760" s="17">
        <f t="shared" si="59"/>
        <v>9.6204379562043787</v>
      </c>
      <c r="R760" s="10" t="s">
        <v>1552</v>
      </c>
      <c r="S760" s="14" t="s">
        <v>26</v>
      </c>
      <c r="T760" s="14" t="s">
        <v>55</v>
      </c>
      <c r="U760" s="13">
        <v>959</v>
      </c>
      <c r="V760" s="15">
        <v>2</v>
      </c>
      <c r="W760" s="9" t="str">
        <f>IF(Table1[[#This Row],[Satisfaction Rating]]&lt;2, "Low", IF(Table1[[#This Row],[Satisfaction Rating]]&lt;4, "Medium", "High"))</f>
        <v>Medium</v>
      </c>
    </row>
    <row r="761" spans="1:23" ht="14" x14ac:dyDescent="0.2">
      <c r="A761" s="10" t="s">
        <v>1553</v>
      </c>
      <c r="B761" s="11">
        <v>45348.912280092591</v>
      </c>
      <c r="C761" s="11">
        <v>45369.482430555552</v>
      </c>
      <c r="D761" s="11" t="str">
        <f>IF(Table1[[#This Row],[Duration of Campaign]]=0, "Ongoing","Completed")</f>
        <v>Completed</v>
      </c>
      <c r="E761" s="12">
        <f>Table1[[#This Row],[End Date]]-Table1[[#This Row],[Start Date]]</f>
        <v>20.570150462961465</v>
      </c>
      <c r="F761" s="13">
        <v>4579</v>
      </c>
      <c r="G761" s="14" t="s">
        <v>24</v>
      </c>
      <c r="H761" s="15">
        <v>8534</v>
      </c>
      <c r="I761" s="15">
        <v>1139</v>
      </c>
      <c r="J761" s="15">
        <v>426</v>
      </c>
      <c r="K761" s="16">
        <v>13303</v>
      </c>
      <c r="L761" s="17">
        <f t="shared" si="55"/>
        <v>0.13346613545816732</v>
      </c>
      <c r="M761" s="17">
        <f t="shared" si="55"/>
        <v>0.3740122914837577</v>
      </c>
      <c r="N761" s="18">
        <f t="shared" si="56"/>
        <v>15.025460930640913</v>
      </c>
      <c r="O761" s="18">
        <f t="shared" si="57"/>
        <v>40.173708920187792</v>
      </c>
      <c r="P761" s="17">
        <f t="shared" si="58"/>
        <v>3.7374972701463203</v>
      </c>
      <c r="Q761" s="17">
        <f t="shared" si="59"/>
        <v>0.77731681664134622</v>
      </c>
      <c r="R761" s="10" t="s">
        <v>1554</v>
      </c>
      <c r="S761" s="14" t="s">
        <v>45</v>
      </c>
      <c r="T761" s="14" t="s">
        <v>37</v>
      </c>
      <c r="U761" s="13">
        <v>17114</v>
      </c>
      <c r="V761" s="15">
        <v>3</v>
      </c>
      <c r="W761" s="9" t="str">
        <f>IF(Table1[[#This Row],[Satisfaction Rating]]&lt;2, "Low", IF(Table1[[#This Row],[Satisfaction Rating]]&lt;4, "Medium", "High"))</f>
        <v>Medium</v>
      </c>
    </row>
    <row r="762" spans="1:23" ht="14" x14ac:dyDescent="0.2">
      <c r="A762" s="10" t="s">
        <v>1555</v>
      </c>
      <c r="B762" s="11">
        <v>45425.23777777778</v>
      </c>
      <c r="C762" s="11">
        <v>45478.98028935185</v>
      </c>
      <c r="D762" s="11" t="str">
        <f>IF(Table1[[#This Row],[Duration of Campaign]]=0, "Ongoing","Completed")</f>
        <v>Completed</v>
      </c>
      <c r="E762" s="12">
        <f>Table1[[#This Row],[End Date]]-Table1[[#This Row],[Start Date]]</f>
        <v>53.742511574069795</v>
      </c>
      <c r="F762" s="13">
        <v>2259</v>
      </c>
      <c r="G762" s="14" t="s">
        <v>63</v>
      </c>
      <c r="H762" s="15">
        <v>1800</v>
      </c>
      <c r="I762" s="15">
        <v>1881</v>
      </c>
      <c r="J762" s="15">
        <v>262</v>
      </c>
      <c r="K762" s="16">
        <v>9770</v>
      </c>
      <c r="L762" s="17">
        <f t="shared" si="55"/>
        <v>1.0449999999999999</v>
      </c>
      <c r="M762" s="17">
        <f t="shared" si="55"/>
        <v>0.13928761297182349</v>
      </c>
      <c r="N762" s="18">
        <f t="shared" si="56"/>
        <v>0.59223817118553956</v>
      </c>
      <c r="O762" s="18">
        <f t="shared" si="57"/>
        <v>4.2519083969465647</v>
      </c>
      <c r="P762" s="17">
        <f t="shared" si="58"/>
        <v>0.49313855688357683</v>
      </c>
      <c r="Q762" s="17">
        <f t="shared" si="59"/>
        <v>8.7701974865350092</v>
      </c>
      <c r="R762" s="10" t="s">
        <v>1556</v>
      </c>
      <c r="S762" s="14" t="s">
        <v>31</v>
      </c>
      <c r="T762" s="14" t="s">
        <v>37</v>
      </c>
      <c r="U762" s="13">
        <v>1114</v>
      </c>
      <c r="V762" s="15">
        <v>3</v>
      </c>
      <c r="W762" s="9" t="str">
        <f>IF(Table1[[#This Row],[Satisfaction Rating]]&lt;2, "Low", IF(Table1[[#This Row],[Satisfaction Rating]]&lt;4, "Medium", "High"))</f>
        <v>Medium</v>
      </c>
    </row>
    <row r="763" spans="1:23" ht="14" x14ac:dyDescent="0.2">
      <c r="A763" s="10" t="s">
        <v>1557</v>
      </c>
      <c r="B763" s="11">
        <v>45234.879826388889</v>
      </c>
      <c r="C763" s="11">
        <v>45334.869490740741</v>
      </c>
      <c r="D763" s="11" t="str">
        <f>IF(Table1[[#This Row],[Duration of Campaign]]=0, "Ongoing","Completed")</f>
        <v>Completed</v>
      </c>
      <c r="E763" s="12">
        <f>Table1[[#This Row],[End Date]]-Table1[[#This Row],[Start Date]]</f>
        <v>99.989664351851388</v>
      </c>
      <c r="F763" s="13">
        <v>5334</v>
      </c>
      <c r="G763" s="14" t="s">
        <v>29</v>
      </c>
      <c r="H763" s="15">
        <v>12839</v>
      </c>
      <c r="I763" s="15">
        <v>1308</v>
      </c>
      <c r="J763" s="15">
        <v>345</v>
      </c>
      <c r="K763" s="16">
        <v>4790</v>
      </c>
      <c r="L763" s="17">
        <f t="shared" si="55"/>
        <v>0.10187709323156009</v>
      </c>
      <c r="M763" s="17">
        <f t="shared" si="55"/>
        <v>0.26376146788990823</v>
      </c>
      <c r="N763" s="18">
        <f t="shared" si="56"/>
        <v>13.288226299694189</v>
      </c>
      <c r="O763" s="18">
        <f t="shared" si="57"/>
        <v>50.379710144927536</v>
      </c>
      <c r="P763" s="17">
        <f t="shared" si="58"/>
        <v>3.258530183727034</v>
      </c>
      <c r="Q763" s="17">
        <f t="shared" si="59"/>
        <v>0.27558828605949026</v>
      </c>
      <c r="R763" s="10" t="s">
        <v>1558</v>
      </c>
      <c r="S763" s="14" t="s">
        <v>45</v>
      </c>
      <c r="T763" s="14" t="s">
        <v>27</v>
      </c>
      <c r="U763" s="13">
        <v>17381</v>
      </c>
      <c r="V763" s="15">
        <v>4</v>
      </c>
      <c r="W763" s="9" t="str">
        <f>IF(Table1[[#This Row],[Satisfaction Rating]]&lt;2, "Low", IF(Table1[[#This Row],[Satisfaction Rating]]&lt;4, "Medium", "High"))</f>
        <v>High</v>
      </c>
    </row>
    <row r="764" spans="1:23" ht="14" x14ac:dyDescent="0.2">
      <c r="A764" s="10" t="s">
        <v>1559</v>
      </c>
      <c r="B764" s="11">
        <v>45357.678738425922</v>
      </c>
      <c r="C764" s="11">
        <v>45616.181909722225</v>
      </c>
      <c r="D764" s="11" t="str">
        <f>IF(Table1[[#This Row],[Duration of Campaign]]=0, "Ongoing","Completed")</f>
        <v>Completed</v>
      </c>
      <c r="E764" s="12">
        <f>Table1[[#This Row],[End Date]]-Table1[[#This Row],[Start Date]]</f>
        <v>258.50317129630275</v>
      </c>
      <c r="F764" s="13">
        <v>1691</v>
      </c>
      <c r="G764" s="14" t="s">
        <v>24</v>
      </c>
      <c r="H764" s="15">
        <v>1018</v>
      </c>
      <c r="I764" s="15">
        <v>697</v>
      </c>
      <c r="J764" s="15">
        <v>494</v>
      </c>
      <c r="K764" s="16">
        <v>9882</v>
      </c>
      <c r="L764" s="17">
        <f t="shared" si="55"/>
        <v>0.68467583497053042</v>
      </c>
      <c r="M764" s="17">
        <f t="shared" si="55"/>
        <v>0.70875179340028693</v>
      </c>
      <c r="N764" s="18">
        <f t="shared" si="56"/>
        <v>17.081779053084649</v>
      </c>
      <c r="O764" s="18">
        <f t="shared" si="57"/>
        <v>24.101214574898787</v>
      </c>
      <c r="P764" s="17">
        <f t="shared" si="58"/>
        <v>7.0408042578356005</v>
      </c>
      <c r="Q764" s="17">
        <f t="shared" si="59"/>
        <v>0.83000167982529816</v>
      </c>
      <c r="R764" s="10" t="s">
        <v>1560</v>
      </c>
      <c r="S764" s="14" t="s">
        <v>26</v>
      </c>
      <c r="T764" s="14" t="s">
        <v>55</v>
      </c>
      <c r="U764" s="13">
        <v>11906</v>
      </c>
      <c r="V764" s="15">
        <v>4</v>
      </c>
      <c r="W764" s="9" t="str">
        <f>IF(Table1[[#This Row],[Satisfaction Rating]]&lt;2, "Low", IF(Table1[[#This Row],[Satisfaction Rating]]&lt;4, "Medium", "High"))</f>
        <v>High</v>
      </c>
    </row>
    <row r="765" spans="1:23" ht="14" x14ac:dyDescent="0.2">
      <c r="A765" s="10" t="s">
        <v>1561</v>
      </c>
      <c r="B765" s="11">
        <v>45058.94085648148</v>
      </c>
      <c r="C765" s="11">
        <v>45630.304618055554</v>
      </c>
      <c r="D765" s="11" t="str">
        <f>IF(Table1[[#This Row],[Duration of Campaign]]=0, "Ongoing","Completed")</f>
        <v>Completed</v>
      </c>
      <c r="E765" s="12">
        <f>Table1[[#This Row],[End Date]]-Table1[[#This Row],[Start Date]]</f>
        <v>571.36376157407358</v>
      </c>
      <c r="F765" s="13">
        <v>2210</v>
      </c>
      <c r="G765" s="14" t="s">
        <v>47</v>
      </c>
      <c r="H765" s="15">
        <v>5042</v>
      </c>
      <c r="I765" s="15">
        <v>1033</v>
      </c>
      <c r="J765" s="15">
        <v>410</v>
      </c>
      <c r="K765" s="16">
        <v>6174</v>
      </c>
      <c r="L765" s="17">
        <f t="shared" si="55"/>
        <v>0.20487901626338753</v>
      </c>
      <c r="M765" s="17">
        <f t="shared" si="55"/>
        <v>0.39690222652468538</v>
      </c>
      <c r="N765" s="18">
        <f t="shared" si="56"/>
        <v>4.6815101645692163</v>
      </c>
      <c r="O765" s="18">
        <f t="shared" si="57"/>
        <v>11.795121951219512</v>
      </c>
      <c r="P765" s="17">
        <f t="shared" si="58"/>
        <v>2.1882352941176473</v>
      </c>
      <c r="Q765" s="17">
        <f t="shared" si="59"/>
        <v>1.2766749379652604</v>
      </c>
      <c r="R765" s="10" t="s">
        <v>1562</v>
      </c>
      <c r="S765" s="14" t="s">
        <v>40</v>
      </c>
      <c r="T765" s="14" t="s">
        <v>27</v>
      </c>
      <c r="U765" s="13">
        <v>4836</v>
      </c>
      <c r="V765" s="15">
        <v>2</v>
      </c>
      <c r="W765" s="9" t="str">
        <f>IF(Table1[[#This Row],[Satisfaction Rating]]&lt;2, "Low", IF(Table1[[#This Row],[Satisfaction Rating]]&lt;4, "Medium", "High"))</f>
        <v>Medium</v>
      </c>
    </row>
    <row r="766" spans="1:23" ht="14" x14ac:dyDescent="0.2">
      <c r="A766" s="10" t="s">
        <v>1563</v>
      </c>
      <c r="B766" s="11">
        <v>45484.870891203704</v>
      </c>
      <c r="C766" s="11">
        <v>45484.870891203704</v>
      </c>
      <c r="D766" s="11" t="str">
        <f>IF(Table1[[#This Row],[Duration of Campaign]]=0, "Ongoing","Completed")</f>
        <v>Ongoing</v>
      </c>
      <c r="E766" s="12">
        <f>Table1[[#This Row],[End Date]]-Table1[[#This Row],[Start Date]]</f>
        <v>0</v>
      </c>
      <c r="F766" s="13">
        <v>6586</v>
      </c>
      <c r="G766" s="14" t="s">
        <v>47</v>
      </c>
      <c r="H766" s="15">
        <v>12894</v>
      </c>
      <c r="I766" s="15">
        <v>769</v>
      </c>
      <c r="J766" s="15">
        <v>421</v>
      </c>
      <c r="K766" s="16">
        <v>1317</v>
      </c>
      <c r="L766" s="17">
        <f t="shared" si="55"/>
        <v>5.9640142702031954E-2</v>
      </c>
      <c r="M766" s="17">
        <f t="shared" si="55"/>
        <v>0.54746423927178156</v>
      </c>
      <c r="N766" s="18">
        <f t="shared" si="56"/>
        <v>13.621586475942783</v>
      </c>
      <c r="O766" s="18">
        <f t="shared" si="57"/>
        <v>24.8812351543943</v>
      </c>
      <c r="P766" s="17">
        <f t="shared" si="58"/>
        <v>1.5904949893713938</v>
      </c>
      <c r="Q766" s="17">
        <f t="shared" si="59"/>
        <v>0.12572792362768495</v>
      </c>
      <c r="R766" s="10" t="s">
        <v>1564</v>
      </c>
      <c r="S766" s="14" t="s">
        <v>31</v>
      </c>
      <c r="T766" s="14" t="s">
        <v>27</v>
      </c>
      <c r="U766" s="13">
        <v>10475</v>
      </c>
      <c r="V766" s="15">
        <v>5</v>
      </c>
      <c r="W766" s="9" t="str">
        <f>IF(Table1[[#This Row],[Satisfaction Rating]]&lt;2, "Low", IF(Table1[[#This Row],[Satisfaction Rating]]&lt;4, "Medium", "High"))</f>
        <v>High</v>
      </c>
    </row>
    <row r="767" spans="1:23" ht="14" x14ac:dyDescent="0.2">
      <c r="A767" s="10" t="s">
        <v>1565</v>
      </c>
      <c r="B767" s="11">
        <v>45601.110590277778</v>
      </c>
      <c r="C767" s="11">
        <v>45601.110590277778</v>
      </c>
      <c r="D767" s="11" t="str">
        <f>IF(Table1[[#This Row],[Duration of Campaign]]=0, "Ongoing","Completed")</f>
        <v>Ongoing</v>
      </c>
      <c r="E767" s="12">
        <f>Table1[[#This Row],[End Date]]-Table1[[#This Row],[Start Date]]</f>
        <v>0</v>
      </c>
      <c r="F767" s="13">
        <v>9224</v>
      </c>
      <c r="G767" s="14" t="s">
        <v>63</v>
      </c>
      <c r="H767" s="15">
        <v>10871</v>
      </c>
      <c r="I767" s="15">
        <v>1685</v>
      </c>
      <c r="J767" s="15">
        <v>413</v>
      </c>
      <c r="K767" s="16">
        <v>13833</v>
      </c>
      <c r="L767" s="17">
        <f t="shared" si="55"/>
        <v>0.15499954006071198</v>
      </c>
      <c r="M767" s="17">
        <f t="shared" si="55"/>
        <v>0.24510385756676559</v>
      </c>
      <c r="N767" s="18">
        <f t="shared" si="56"/>
        <v>2.9305637982195845</v>
      </c>
      <c r="O767" s="18">
        <f t="shared" si="57"/>
        <v>11.956416464891042</v>
      </c>
      <c r="P767" s="17">
        <f t="shared" si="58"/>
        <v>0.53534258456201211</v>
      </c>
      <c r="Q767" s="17">
        <f t="shared" si="59"/>
        <v>2.8013365735115432</v>
      </c>
      <c r="R767" s="10" t="s">
        <v>1566</v>
      </c>
      <c r="S767" s="14" t="s">
        <v>45</v>
      </c>
      <c r="T767" s="14" t="s">
        <v>37</v>
      </c>
      <c r="U767" s="13">
        <v>4938</v>
      </c>
      <c r="V767" s="15">
        <v>4</v>
      </c>
      <c r="W767" s="9" t="str">
        <f>IF(Table1[[#This Row],[Satisfaction Rating]]&lt;2, "Low", IF(Table1[[#This Row],[Satisfaction Rating]]&lt;4, "Medium", "High"))</f>
        <v>High</v>
      </c>
    </row>
    <row r="768" spans="1:23" ht="14" x14ac:dyDescent="0.2">
      <c r="A768" s="10" t="s">
        <v>1567</v>
      </c>
      <c r="B768" s="11">
        <v>45125.83321759259</v>
      </c>
      <c r="C768" s="11">
        <v>45125.83321759259</v>
      </c>
      <c r="D768" s="11" t="str">
        <f>IF(Table1[[#This Row],[Duration of Campaign]]=0, "Ongoing","Completed")</f>
        <v>Ongoing</v>
      </c>
      <c r="E768" s="12">
        <f>Table1[[#This Row],[End Date]]-Table1[[#This Row],[Start Date]]</f>
        <v>0</v>
      </c>
      <c r="F768" s="13">
        <v>4922</v>
      </c>
      <c r="G768" s="14" t="s">
        <v>29</v>
      </c>
      <c r="H768" s="15">
        <v>13324</v>
      </c>
      <c r="I768" s="15">
        <v>334</v>
      </c>
      <c r="J768" s="15">
        <v>166</v>
      </c>
      <c r="K768" s="16">
        <v>2799</v>
      </c>
      <c r="L768" s="17">
        <f t="shared" si="55"/>
        <v>2.5067547283098169E-2</v>
      </c>
      <c r="M768" s="17">
        <f t="shared" si="55"/>
        <v>0.49700598802395207</v>
      </c>
      <c r="N768" s="18">
        <f t="shared" si="56"/>
        <v>35.281437125748504</v>
      </c>
      <c r="O768" s="18">
        <f t="shared" si="57"/>
        <v>70.98795180722891</v>
      </c>
      <c r="P768" s="17">
        <f t="shared" si="58"/>
        <v>2.3941487200325069</v>
      </c>
      <c r="Q768" s="17">
        <f t="shared" si="59"/>
        <v>0.23752545824847252</v>
      </c>
      <c r="R768" s="10" t="s">
        <v>1568</v>
      </c>
      <c r="S768" s="14" t="s">
        <v>34</v>
      </c>
      <c r="T768" s="14" t="s">
        <v>37</v>
      </c>
      <c r="U768" s="13">
        <v>11784</v>
      </c>
      <c r="V768" s="15">
        <v>4</v>
      </c>
      <c r="W768" s="9" t="str">
        <f>IF(Table1[[#This Row],[Satisfaction Rating]]&lt;2, "Low", IF(Table1[[#This Row],[Satisfaction Rating]]&lt;4, "Medium", "High"))</f>
        <v>High</v>
      </c>
    </row>
    <row r="769" spans="1:23" ht="14" x14ac:dyDescent="0.2">
      <c r="A769" s="10" t="s">
        <v>1569</v>
      </c>
      <c r="B769" s="11">
        <v>45518.886122685188</v>
      </c>
      <c r="C769" s="11">
        <v>45518.886122685188</v>
      </c>
      <c r="D769" s="11" t="str">
        <f>IF(Table1[[#This Row],[Duration of Campaign]]=0, "Ongoing","Completed")</f>
        <v>Ongoing</v>
      </c>
      <c r="E769" s="12">
        <f>Table1[[#This Row],[End Date]]-Table1[[#This Row],[Start Date]]</f>
        <v>0</v>
      </c>
      <c r="F769" s="13">
        <v>9281</v>
      </c>
      <c r="G769" s="14" t="s">
        <v>24</v>
      </c>
      <c r="H769" s="15">
        <v>13046</v>
      </c>
      <c r="I769" s="15">
        <v>938</v>
      </c>
      <c r="J769" s="15">
        <v>280</v>
      </c>
      <c r="K769" s="16">
        <v>5085</v>
      </c>
      <c r="L769" s="17">
        <f t="shared" si="55"/>
        <v>7.1899432776329916E-2</v>
      </c>
      <c r="M769" s="17">
        <f t="shared" si="55"/>
        <v>0.29850746268656714</v>
      </c>
      <c r="N769" s="18">
        <f t="shared" si="56"/>
        <v>16</v>
      </c>
      <c r="O769" s="18">
        <f t="shared" si="57"/>
        <v>53.6</v>
      </c>
      <c r="P769" s="17">
        <f t="shared" si="58"/>
        <v>1.6170671263872427</v>
      </c>
      <c r="Q769" s="17">
        <f t="shared" si="59"/>
        <v>0.33881929637526653</v>
      </c>
      <c r="R769" s="10" t="s">
        <v>1570</v>
      </c>
      <c r="S769" s="14" t="s">
        <v>31</v>
      </c>
      <c r="T769" s="14" t="s">
        <v>55</v>
      </c>
      <c r="U769" s="13">
        <v>15008</v>
      </c>
      <c r="V769" s="15">
        <v>2</v>
      </c>
      <c r="W769" s="9" t="str">
        <f>IF(Table1[[#This Row],[Satisfaction Rating]]&lt;2, "Low", IF(Table1[[#This Row],[Satisfaction Rating]]&lt;4, "Medium", "High"))</f>
        <v>Medium</v>
      </c>
    </row>
    <row r="770" spans="1:23" ht="14" x14ac:dyDescent="0.2">
      <c r="A770" s="10" t="s">
        <v>1571</v>
      </c>
      <c r="B770" s="11">
        <v>45371.982175925928</v>
      </c>
      <c r="C770" s="11">
        <v>45371.982175925928</v>
      </c>
      <c r="D770" s="11" t="str">
        <f>IF(Table1[[#This Row],[Duration of Campaign]]=0, "Ongoing","Completed")</f>
        <v>Ongoing</v>
      </c>
      <c r="E770" s="12">
        <f>Table1[[#This Row],[End Date]]-Table1[[#This Row],[Start Date]]</f>
        <v>0</v>
      </c>
      <c r="F770" s="13">
        <v>2525</v>
      </c>
      <c r="G770" s="14" t="s">
        <v>29</v>
      </c>
      <c r="H770" s="15">
        <v>14391</v>
      </c>
      <c r="I770" s="15">
        <v>1961</v>
      </c>
      <c r="J770" s="15">
        <v>117</v>
      </c>
      <c r="K770" s="16">
        <v>13842</v>
      </c>
      <c r="L770" s="17">
        <f t="shared" si="55"/>
        <v>0.1362657216315753</v>
      </c>
      <c r="M770" s="17">
        <f t="shared" si="55"/>
        <v>5.9663437021927591E-2</v>
      </c>
      <c r="N770" s="18">
        <f t="shared" si="56"/>
        <v>9.077001529831719</v>
      </c>
      <c r="O770" s="18">
        <f t="shared" si="57"/>
        <v>152.13675213675214</v>
      </c>
      <c r="P770" s="17">
        <f t="shared" si="58"/>
        <v>7.0495049504950495</v>
      </c>
      <c r="Q770" s="17">
        <f t="shared" si="59"/>
        <v>0.77764044943820221</v>
      </c>
      <c r="R770" s="10" t="s">
        <v>1572</v>
      </c>
      <c r="S770" s="14" t="s">
        <v>40</v>
      </c>
      <c r="T770" s="14" t="s">
        <v>37</v>
      </c>
      <c r="U770" s="13">
        <v>17800</v>
      </c>
      <c r="V770" s="15">
        <v>1</v>
      </c>
      <c r="W770" s="9" t="str">
        <f>IF(Table1[[#This Row],[Satisfaction Rating]]&lt;2, "Low", IF(Table1[[#This Row],[Satisfaction Rating]]&lt;4, "Medium", "High"))</f>
        <v>Low</v>
      </c>
    </row>
    <row r="771" spans="1:23" ht="14" x14ac:dyDescent="0.2">
      <c r="A771" s="10" t="s">
        <v>1573</v>
      </c>
      <c r="B771" s="11">
        <v>45230.351620370369</v>
      </c>
      <c r="C771" s="11">
        <v>45458.909074074072</v>
      </c>
      <c r="D771" s="11" t="str">
        <f>IF(Table1[[#This Row],[Duration of Campaign]]=0, "Ongoing","Completed")</f>
        <v>Completed</v>
      </c>
      <c r="E771" s="12">
        <f>Table1[[#This Row],[End Date]]-Table1[[#This Row],[Start Date]]</f>
        <v>228.55745370370278</v>
      </c>
      <c r="F771" s="13">
        <v>5083</v>
      </c>
      <c r="G771" s="14" t="s">
        <v>47</v>
      </c>
      <c r="H771" s="15">
        <v>18060</v>
      </c>
      <c r="I771" s="15">
        <v>1546</v>
      </c>
      <c r="J771" s="15">
        <v>461</v>
      </c>
      <c r="K771" s="16">
        <v>10956</v>
      </c>
      <c r="L771" s="17">
        <f t="shared" ref="L771:M834" si="60">I771/H771</f>
        <v>8.5603543743078631E-2</v>
      </c>
      <c r="M771" s="17">
        <f t="shared" si="60"/>
        <v>0.29818887451487708</v>
      </c>
      <c r="N771" s="18">
        <f t="shared" ref="N771:N834" si="61">U771/I771</f>
        <v>10.714747736093143</v>
      </c>
      <c r="O771" s="18">
        <f t="shared" ref="O771:O834" si="62">U771/J771</f>
        <v>35.932754880694141</v>
      </c>
      <c r="P771" s="17">
        <f t="shared" ref="P771:P834" si="63">U771/F771</f>
        <v>3.2589022230965967</v>
      </c>
      <c r="Q771" s="17">
        <f t="shared" ref="Q771:Q834" si="64">K771/U771</f>
        <v>0.66139450648958653</v>
      </c>
      <c r="R771" s="10" t="s">
        <v>1574</v>
      </c>
      <c r="S771" s="14" t="s">
        <v>40</v>
      </c>
      <c r="T771" s="14" t="s">
        <v>27</v>
      </c>
      <c r="U771" s="13">
        <v>16565</v>
      </c>
      <c r="V771" s="15">
        <v>1</v>
      </c>
      <c r="W771" s="9" t="str">
        <f>IF(Table1[[#This Row],[Satisfaction Rating]]&lt;2, "Low", IF(Table1[[#This Row],[Satisfaction Rating]]&lt;4, "Medium", "High"))</f>
        <v>Low</v>
      </c>
    </row>
    <row r="772" spans="1:23" ht="14" x14ac:dyDescent="0.2">
      <c r="A772" s="10" t="s">
        <v>1575</v>
      </c>
      <c r="B772" s="11">
        <v>45573.395787037036</v>
      </c>
      <c r="C772" s="11">
        <v>45573.395787037036</v>
      </c>
      <c r="D772" s="11" t="str">
        <f>IF(Table1[[#This Row],[Duration of Campaign]]=0, "Ongoing","Completed")</f>
        <v>Ongoing</v>
      </c>
      <c r="E772" s="12">
        <f>Table1[[#This Row],[End Date]]-Table1[[#This Row],[Start Date]]</f>
        <v>0</v>
      </c>
      <c r="F772" s="13">
        <v>9996</v>
      </c>
      <c r="G772" s="14" t="s">
        <v>29</v>
      </c>
      <c r="H772" s="15">
        <v>16217</v>
      </c>
      <c r="I772" s="15">
        <v>1914</v>
      </c>
      <c r="J772" s="15">
        <v>23</v>
      </c>
      <c r="K772" s="16">
        <v>6322</v>
      </c>
      <c r="L772" s="17">
        <f t="shared" si="60"/>
        <v>0.11802429549238454</v>
      </c>
      <c r="M772" s="17">
        <f t="shared" si="60"/>
        <v>1.2016718913270637E-2</v>
      </c>
      <c r="N772" s="18">
        <f t="shared" si="61"/>
        <v>5.0940438871473352</v>
      </c>
      <c r="O772" s="18">
        <f t="shared" si="62"/>
        <v>423.91304347826087</v>
      </c>
      <c r="P772" s="17">
        <f t="shared" si="63"/>
        <v>0.97539015606242496</v>
      </c>
      <c r="Q772" s="17">
        <f t="shared" si="64"/>
        <v>0.6484102564102564</v>
      </c>
      <c r="R772" s="10" t="s">
        <v>1576</v>
      </c>
      <c r="S772" s="14" t="s">
        <v>40</v>
      </c>
      <c r="T772" s="14" t="s">
        <v>37</v>
      </c>
      <c r="U772" s="13">
        <v>9750</v>
      </c>
      <c r="V772" s="15">
        <v>1</v>
      </c>
      <c r="W772" s="9" t="str">
        <f>IF(Table1[[#This Row],[Satisfaction Rating]]&lt;2, "Low", IF(Table1[[#This Row],[Satisfaction Rating]]&lt;4, "Medium", "High"))</f>
        <v>Low</v>
      </c>
    </row>
    <row r="773" spans="1:23" ht="14" x14ac:dyDescent="0.2">
      <c r="A773" s="10" t="s">
        <v>1577</v>
      </c>
      <c r="B773" s="11">
        <v>45561.234942129631</v>
      </c>
      <c r="C773" s="11">
        <v>45561.234942129631</v>
      </c>
      <c r="D773" s="11" t="str">
        <f>IF(Table1[[#This Row],[Duration of Campaign]]=0, "Ongoing","Completed")</f>
        <v>Ongoing</v>
      </c>
      <c r="E773" s="12">
        <f>Table1[[#This Row],[End Date]]-Table1[[#This Row],[Start Date]]</f>
        <v>0</v>
      </c>
      <c r="F773" s="13">
        <v>2415</v>
      </c>
      <c r="G773" s="14" t="s">
        <v>47</v>
      </c>
      <c r="H773" s="15">
        <v>7124</v>
      </c>
      <c r="I773" s="15">
        <v>365</v>
      </c>
      <c r="J773" s="15">
        <v>423</v>
      </c>
      <c r="K773" s="16">
        <v>3241</v>
      </c>
      <c r="L773" s="17">
        <f t="shared" si="60"/>
        <v>5.1235261089275688E-2</v>
      </c>
      <c r="M773" s="17">
        <f t="shared" si="60"/>
        <v>1.1589041095890411</v>
      </c>
      <c r="N773" s="18">
        <f t="shared" si="61"/>
        <v>54.213698630136989</v>
      </c>
      <c r="O773" s="18">
        <f t="shared" si="62"/>
        <v>46.780141843971634</v>
      </c>
      <c r="P773" s="17">
        <f t="shared" si="63"/>
        <v>8.1937888198757758</v>
      </c>
      <c r="Q773" s="17">
        <f t="shared" si="64"/>
        <v>0.16378613300990499</v>
      </c>
      <c r="R773" s="10" t="s">
        <v>1578</v>
      </c>
      <c r="S773" s="14" t="s">
        <v>26</v>
      </c>
      <c r="T773" s="14" t="s">
        <v>37</v>
      </c>
      <c r="U773" s="13">
        <v>19788</v>
      </c>
      <c r="V773" s="15">
        <v>1</v>
      </c>
      <c r="W773" s="9" t="str">
        <f>IF(Table1[[#This Row],[Satisfaction Rating]]&lt;2, "Low", IF(Table1[[#This Row],[Satisfaction Rating]]&lt;4, "Medium", "High"))</f>
        <v>Low</v>
      </c>
    </row>
    <row r="774" spans="1:23" ht="14" x14ac:dyDescent="0.2">
      <c r="A774" s="10" t="s">
        <v>1579</v>
      </c>
      <c r="B774" s="11">
        <v>45479.053020833337</v>
      </c>
      <c r="C774" s="11">
        <v>45479.053020833337</v>
      </c>
      <c r="D774" s="11" t="str">
        <f>IF(Table1[[#This Row],[Duration of Campaign]]=0, "Ongoing","Completed")</f>
        <v>Ongoing</v>
      </c>
      <c r="E774" s="12">
        <f>Table1[[#This Row],[End Date]]-Table1[[#This Row],[Start Date]]</f>
        <v>0</v>
      </c>
      <c r="F774" s="13">
        <v>4211</v>
      </c>
      <c r="G774" s="14" t="s">
        <v>29</v>
      </c>
      <c r="H774" s="15">
        <v>11558</v>
      </c>
      <c r="I774" s="15">
        <v>1148</v>
      </c>
      <c r="J774" s="15">
        <v>321</v>
      </c>
      <c r="K774" s="16">
        <v>13258</v>
      </c>
      <c r="L774" s="17">
        <f t="shared" si="60"/>
        <v>9.932514275826268E-2</v>
      </c>
      <c r="M774" s="17">
        <f t="shared" si="60"/>
        <v>0.27961672473867594</v>
      </c>
      <c r="N774" s="18">
        <f t="shared" si="61"/>
        <v>11.785714285714286</v>
      </c>
      <c r="O774" s="18">
        <f t="shared" si="62"/>
        <v>42.149532710280376</v>
      </c>
      <c r="P774" s="17">
        <f t="shared" si="63"/>
        <v>3.2130135359772027</v>
      </c>
      <c r="Q774" s="17">
        <f t="shared" si="64"/>
        <v>0.97989652623798962</v>
      </c>
      <c r="R774" s="10" t="s">
        <v>1580</v>
      </c>
      <c r="S774" s="14" t="s">
        <v>40</v>
      </c>
      <c r="T774" s="14" t="s">
        <v>37</v>
      </c>
      <c r="U774" s="13">
        <v>13530</v>
      </c>
      <c r="V774" s="15">
        <v>1</v>
      </c>
      <c r="W774" s="9" t="str">
        <f>IF(Table1[[#This Row],[Satisfaction Rating]]&lt;2, "Low", IF(Table1[[#This Row],[Satisfaction Rating]]&lt;4, "Medium", "High"))</f>
        <v>Low</v>
      </c>
    </row>
    <row r="775" spans="1:23" ht="14" x14ac:dyDescent="0.2">
      <c r="A775" s="10" t="s">
        <v>1581</v>
      </c>
      <c r="B775" s="11">
        <v>45020.436388888891</v>
      </c>
      <c r="C775" s="11">
        <v>45020.436388888891</v>
      </c>
      <c r="D775" s="11" t="str">
        <f>IF(Table1[[#This Row],[Duration of Campaign]]=0, "Ongoing","Completed")</f>
        <v>Ongoing</v>
      </c>
      <c r="E775" s="12">
        <f>Table1[[#This Row],[End Date]]-Table1[[#This Row],[Start Date]]</f>
        <v>0</v>
      </c>
      <c r="F775" s="13">
        <v>3983</v>
      </c>
      <c r="G775" s="14" t="s">
        <v>29</v>
      </c>
      <c r="H775" s="15">
        <v>9622</v>
      </c>
      <c r="I775" s="15">
        <v>1277</v>
      </c>
      <c r="J775" s="15">
        <v>153</v>
      </c>
      <c r="K775" s="16">
        <v>1426</v>
      </c>
      <c r="L775" s="17">
        <f t="shared" si="60"/>
        <v>0.13271669091664934</v>
      </c>
      <c r="M775" s="17">
        <f t="shared" si="60"/>
        <v>0.11981205951448708</v>
      </c>
      <c r="N775" s="18">
        <f t="shared" si="61"/>
        <v>1.0704776820673454</v>
      </c>
      <c r="O775" s="18">
        <f t="shared" si="62"/>
        <v>8.9346405228758172</v>
      </c>
      <c r="P775" s="17">
        <f t="shared" si="63"/>
        <v>0.34320863670600049</v>
      </c>
      <c r="Q775" s="17">
        <f t="shared" si="64"/>
        <v>1.0431602048280908</v>
      </c>
      <c r="R775" s="10" t="s">
        <v>1582</v>
      </c>
      <c r="S775" s="14" t="s">
        <v>26</v>
      </c>
      <c r="T775" s="14" t="s">
        <v>27</v>
      </c>
      <c r="U775" s="13">
        <v>1367</v>
      </c>
      <c r="V775" s="15">
        <v>2</v>
      </c>
      <c r="W775" s="9" t="str">
        <f>IF(Table1[[#This Row],[Satisfaction Rating]]&lt;2, "Low", IF(Table1[[#This Row],[Satisfaction Rating]]&lt;4, "Medium", "High"))</f>
        <v>Medium</v>
      </c>
    </row>
    <row r="776" spans="1:23" ht="14" x14ac:dyDescent="0.2">
      <c r="A776" s="10" t="s">
        <v>1583</v>
      </c>
      <c r="B776" s="11">
        <v>45355.431296296294</v>
      </c>
      <c r="C776" s="11">
        <v>45355.431296296294</v>
      </c>
      <c r="D776" s="11" t="str">
        <f>IF(Table1[[#This Row],[Duration of Campaign]]=0, "Ongoing","Completed")</f>
        <v>Ongoing</v>
      </c>
      <c r="E776" s="12">
        <f>Table1[[#This Row],[End Date]]-Table1[[#This Row],[Start Date]]</f>
        <v>0</v>
      </c>
      <c r="F776" s="13">
        <v>1995</v>
      </c>
      <c r="G776" s="14" t="s">
        <v>63</v>
      </c>
      <c r="H776" s="15">
        <v>4722</v>
      </c>
      <c r="I776" s="15">
        <v>1911</v>
      </c>
      <c r="J776" s="15">
        <v>492</v>
      </c>
      <c r="K776" s="16">
        <v>11330</v>
      </c>
      <c r="L776" s="17">
        <f t="shared" si="60"/>
        <v>0.40470139771283353</v>
      </c>
      <c r="M776" s="17">
        <f t="shared" si="60"/>
        <v>0.25745682888540034</v>
      </c>
      <c r="N776" s="18">
        <f t="shared" si="61"/>
        <v>5.0816326530612246</v>
      </c>
      <c r="O776" s="18">
        <f t="shared" si="62"/>
        <v>19.737804878048781</v>
      </c>
      <c r="P776" s="17">
        <f t="shared" si="63"/>
        <v>4.8676691729323309</v>
      </c>
      <c r="Q776" s="17">
        <f t="shared" si="64"/>
        <v>1.1667181546699619</v>
      </c>
      <c r="R776" s="10" t="s">
        <v>1584</v>
      </c>
      <c r="S776" s="14" t="s">
        <v>31</v>
      </c>
      <c r="T776" s="14" t="s">
        <v>27</v>
      </c>
      <c r="U776" s="13">
        <v>9711</v>
      </c>
      <c r="V776" s="15">
        <v>5</v>
      </c>
      <c r="W776" s="9" t="str">
        <f>IF(Table1[[#This Row],[Satisfaction Rating]]&lt;2, "Low", IF(Table1[[#This Row],[Satisfaction Rating]]&lt;4, "Medium", "High"))</f>
        <v>High</v>
      </c>
    </row>
    <row r="777" spans="1:23" ht="14" x14ac:dyDescent="0.2">
      <c r="A777" s="10" t="s">
        <v>1585</v>
      </c>
      <c r="B777" s="11">
        <v>44967.684675925928</v>
      </c>
      <c r="C777" s="11">
        <v>45486.572326388887</v>
      </c>
      <c r="D777" s="11" t="str">
        <f>IF(Table1[[#This Row],[Duration of Campaign]]=0, "Ongoing","Completed")</f>
        <v>Completed</v>
      </c>
      <c r="E777" s="12">
        <f>Table1[[#This Row],[End Date]]-Table1[[#This Row],[Start Date]]</f>
        <v>518.88765046295885</v>
      </c>
      <c r="F777" s="13">
        <v>8311</v>
      </c>
      <c r="G777" s="14" t="s">
        <v>63</v>
      </c>
      <c r="H777" s="15">
        <v>19106</v>
      </c>
      <c r="I777" s="15">
        <v>1609</v>
      </c>
      <c r="J777" s="15">
        <v>238</v>
      </c>
      <c r="K777" s="16">
        <v>4546</v>
      </c>
      <c r="L777" s="17">
        <f t="shared" si="60"/>
        <v>8.4214382916361352E-2</v>
      </c>
      <c r="M777" s="17">
        <f t="shared" si="60"/>
        <v>0.14791796146674954</v>
      </c>
      <c r="N777" s="18">
        <f t="shared" si="61"/>
        <v>5.8763206960845249</v>
      </c>
      <c r="O777" s="18">
        <f t="shared" si="62"/>
        <v>39.726890756302524</v>
      </c>
      <c r="P777" s="17">
        <f t="shared" si="63"/>
        <v>1.1376488990494524</v>
      </c>
      <c r="Q777" s="17">
        <f t="shared" si="64"/>
        <v>0.48080380750925439</v>
      </c>
      <c r="R777" s="10" t="s">
        <v>1586</v>
      </c>
      <c r="S777" s="14" t="s">
        <v>31</v>
      </c>
      <c r="T777" s="14" t="s">
        <v>55</v>
      </c>
      <c r="U777" s="13">
        <v>9455</v>
      </c>
      <c r="V777" s="15">
        <v>1</v>
      </c>
      <c r="W777" s="9" t="str">
        <f>IF(Table1[[#This Row],[Satisfaction Rating]]&lt;2, "Low", IF(Table1[[#This Row],[Satisfaction Rating]]&lt;4, "Medium", "High"))</f>
        <v>Low</v>
      </c>
    </row>
    <row r="778" spans="1:23" ht="14" x14ac:dyDescent="0.2">
      <c r="A778" s="10" t="s">
        <v>1587</v>
      </c>
      <c r="B778" s="11">
        <v>45470.407071759262</v>
      </c>
      <c r="C778" s="11">
        <v>45470.407071759262</v>
      </c>
      <c r="D778" s="11" t="str">
        <f>IF(Table1[[#This Row],[Duration of Campaign]]=0, "Ongoing","Completed")</f>
        <v>Ongoing</v>
      </c>
      <c r="E778" s="12">
        <f>Table1[[#This Row],[End Date]]-Table1[[#This Row],[Start Date]]</f>
        <v>0</v>
      </c>
      <c r="F778" s="13">
        <v>7943</v>
      </c>
      <c r="G778" s="14" t="s">
        <v>29</v>
      </c>
      <c r="H778" s="15">
        <v>9942</v>
      </c>
      <c r="I778" s="15">
        <v>1627</v>
      </c>
      <c r="J778" s="15">
        <v>404</v>
      </c>
      <c r="K778" s="16">
        <v>2965</v>
      </c>
      <c r="L778" s="17">
        <f t="shared" si="60"/>
        <v>0.16364916515791592</v>
      </c>
      <c r="M778" s="17">
        <f t="shared" si="60"/>
        <v>0.24830977258758452</v>
      </c>
      <c r="N778" s="18">
        <f t="shared" si="61"/>
        <v>1.5783650891210816</v>
      </c>
      <c r="O778" s="18">
        <f t="shared" si="62"/>
        <v>6.3564356435643568</v>
      </c>
      <c r="P778" s="17">
        <f t="shared" si="63"/>
        <v>0.32330353770615639</v>
      </c>
      <c r="Q778" s="17">
        <f t="shared" si="64"/>
        <v>1.154595015576324</v>
      </c>
      <c r="R778" s="10" t="s">
        <v>1588</v>
      </c>
      <c r="S778" s="14" t="s">
        <v>26</v>
      </c>
      <c r="T778" s="14" t="s">
        <v>27</v>
      </c>
      <c r="U778" s="13">
        <v>2568</v>
      </c>
      <c r="V778" s="15">
        <v>3</v>
      </c>
      <c r="W778" s="9" t="str">
        <f>IF(Table1[[#This Row],[Satisfaction Rating]]&lt;2, "Low", IF(Table1[[#This Row],[Satisfaction Rating]]&lt;4, "Medium", "High"))</f>
        <v>Medium</v>
      </c>
    </row>
    <row r="779" spans="1:23" ht="14" x14ac:dyDescent="0.2">
      <c r="A779" s="10" t="s">
        <v>1589</v>
      </c>
      <c r="B779" s="11">
        <v>45086.59578703704</v>
      </c>
      <c r="C779" s="11">
        <v>45289.824328703704</v>
      </c>
      <c r="D779" s="11" t="str">
        <f>IF(Table1[[#This Row],[Duration of Campaign]]=0, "Ongoing","Completed")</f>
        <v>Completed</v>
      </c>
      <c r="E779" s="12">
        <f>Table1[[#This Row],[End Date]]-Table1[[#This Row],[Start Date]]</f>
        <v>203.22854166666366</v>
      </c>
      <c r="F779" s="13">
        <v>8837</v>
      </c>
      <c r="G779" s="14" t="s">
        <v>47</v>
      </c>
      <c r="H779" s="15">
        <v>6698</v>
      </c>
      <c r="I779" s="15">
        <v>1016</v>
      </c>
      <c r="J779" s="15">
        <v>37</v>
      </c>
      <c r="K779" s="16">
        <v>11493</v>
      </c>
      <c r="L779" s="17">
        <f t="shared" si="60"/>
        <v>0.15168707076739324</v>
      </c>
      <c r="M779" s="17">
        <f t="shared" si="60"/>
        <v>3.6417322834645667E-2</v>
      </c>
      <c r="N779" s="18">
        <f t="shared" si="61"/>
        <v>17.402559055118111</v>
      </c>
      <c r="O779" s="18">
        <f t="shared" si="62"/>
        <v>477.86486486486484</v>
      </c>
      <c r="P779" s="17">
        <f t="shared" si="63"/>
        <v>2.0007921240239899</v>
      </c>
      <c r="Q779" s="17">
        <f t="shared" si="64"/>
        <v>0.65001979526044906</v>
      </c>
      <c r="R779" s="10" t="s">
        <v>1590</v>
      </c>
      <c r="S779" s="14" t="s">
        <v>26</v>
      </c>
      <c r="T779" s="14" t="s">
        <v>27</v>
      </c>
      <c r="U779" s="13">
        <v>17681</v>
      </c>
      <c r="V779" s="15">
        <v>2</v>
      </c>
      <c r="W779" s="9" t="str">
        <f>IF(Table1[[#This Row],[Satisfaction Rating]]&lt;2, "Low", IF(Table1[[#This Row],[Satisfaction Rating]]&lt;4, "Medium", "High"))</f>
        <v>Medium</v>
      </c>
    </row>
    <row r="780" spans="1:23" ht="14" x14ac:dyDescent="0.2">
      <c r="A780" s="10" t="s">
        <v>1591</v>
      </c>
      <c r="B780" s="11">
        <v>45481.073750000003</v>
      </c>
      <c r="C780" s="11">
        <v>45481.073750000003</v>
      </c>
      <c r="D780" s="11" t="str">
        <f>IF(Table1[[#This Row],[Duration of Campaign]]=0, "Ongoing","Completed")</f>
        <v>Ongoing</v>
      </c>
      <c r="E780" s="12">
        <f>Table1[[#This Row],[End Date]]-Table1[[#This Row],[Start Date]]</f>
        <v>0</v>
      </c>
      <c r="F780" s="13">
        <v>6309</v>
      </c>
      <c r="G780" s="14" t="s">
        <v>24</v>
      </c>
      <c r="H780" s="15">
        <v>7611</v>
      </c>
      <c r="I780" s="15">
        <v>563</v>
      </c>
      <c r="J780" s="15">
        <v>254</v>
      </c>
      <c r="K780" s="16">
        <v>1013</v>
      </c>
      <c r="L780" s="17">
        <f t="shared" si="60"/>
        <v>7.3971882801208783E-2</v>
      </c>
      <c r="M780" s="17">
        <f t="shared" si="60"/>
        <v>0.45115452930728239</v>
      </c>
      <c r="N780" s="18">
        <f t="shared" si="61"/>
        <v>32.724689165186504</v>
      </c>
      <c r="O780" s="18">
        <f t="shared" si="62"/>
        <v>72.535433070866148</v>
      </c>
      <c r="P780" s="17">
        <f t="shared" si="63"/>
        <v>2.9202726264067205</v>
      </c>
      <c r="Q780" s="17">
        <f t="shared" si="64"/>
        <v>5.4982631350412509E-2</v>
      </c>
      <c r="R780" s="10" t="s">
        <v>1592</v>
      </c>
      <c r="S780" s="14" t="s">
        <v>26</v>
      </c>
      <c r="T780" s="14" t="s">
        <v>55</v>
      </c>
      <c r="U780" s="13">
        <v>18424</v>
      </c>
      <c r="V780" s="15">
        <v>5</v>
      </c>
      <c r="W780" s="9" t="str">
        <f>IF(Table1[[#This Row],[Satisfaction Rating]]&lt;2, "Low", IF(Table1[[#This Row],[Satisfaction Rating]]&lt;4, "Medium", "High"))</f>
        <v>High</v>
      </c>
    </row>
    <row r="781" spans="1:23" ht="14" x14ac:dyDescent="0.2">
      <c r="A781" s="10" t="s">
        <v>1593</v>
      </c>
      <c r="B781" s="11">
        <v>45397.905601851853</v>
      </c>
      <c r="C781" s="11">
        <v>45397.905601851853</v>
      </c>
      <c r="D781" s="11" t="str">
        <f>IF(Table1[[#This Row],[Duration of Campaign]]=0, "Ongoing","Completed")</f>
        <v>Ongoing</v>
      </c>
      <c r="E781" s="12">
        <f>Table1[[#This Row],[End Date]]-Table1[[#This Row],[Start Date]]</f>
        <v>0</v>
      </c>
      <c r="F781" s="13">
        <v>8067</v>
      </c>
      <c r="G781" s="14" t="s">
        <v>29</v>
      </c>
      <c r="H781" s="15">
        <v>16797</v>
      </c>
      <c r="I781" s="15">
        <v>1986</v>
      </c>
      <c r="J781" s="15">
        <v>476</v>
      </c>
      <c r="K781" s="16">
        <v>2563</v>
      </c>
      <c r="L781" s="17">
        <f t="shared" si="60"/>
        <v>0.11823539917842472</v>
      </c>
      <c r="M781" s="17">
        <f t="shared" si="60"/>
        <v>0.23967774420946628</v>
      </c>
      <c r="N781" s="18">
        <f t="shared" si="61"/>
        <v>2.5297079556898288</v>
      </c>
      <c r="O781" s="18">
        <f t="shared" si="62"/>
        <v>10.554621848739496</v>
      </c>
      <c r="P781" s="17">
        <f t="shared" si="63"/>
        <v>0.62278418247179868</v>
      </c>
      <c r="Q781" s="17">
        <f t="shared" si="64"/>
        <v>0.51015127388535031</v>
      </c>
      <c r="R781" s="10" t="s">
        <v>1594</v>
      </c>
      <c r="S781" s="14" t="s">
        <v>31</v>
      </c>
      <c r="T781" s="14" t="s">
        <v>27</v>
      </c>
      <c r="U781" s="13">
        <v>5024</v>
      </c>
      <c r="V781" s="15">
        <v>2</v>
      </c>
      <c r="W781" s="9" t="str">
        <f>IF(Table1[[#This Row],[Satisfaction Rating]]&lt;2, "Low", IF(Table1[[#This Row],[Satisfaction Rating]]&lt;4, "Medium", "High"))</f>
        <v>Medium</v>
      </c>
    </row>
    <row r="782" spans="1:23" ht="14" x14ac:dyDescent="0.2">
      <c r="A782" s="10" t="s">
        <v>1595</v>
      </c>
      <c r="B782" s="11">
        <v>45527.917546296296</v>
      </c>
      <c r="C782" s="11">
        <v>45527.917546296296</v>
      </c>
      <c r="D782" s="11" t="str">
        <f>IF(Table1[[#This Row],[Duration of Campaign]]=0, "Ongoing","Completed")</f>
        <v>Ongoing</v>
      </c>
      <c r="E782" s="12">
        <f>Table1[[#This Row],[End Date]]-Table1[[#This Row],[Start Date]]</f>
        <v>0</v>
      </c>
      <c r="F782" s="13">
        <v>9459</v>
      </c>
      <c r="G782" s="14" t="s">
        <v>63</v>
      </c>
      <c r="H782" s="15">
        <v>18157</v>
      </c>
      <c r="I782" s="15">
        <v>1223</v>
      </c>
      <c r="J782" s="15">
        <v>104</v>
      </c>
      <c r="K782" s="16">
        <v>7974</v>
      </c>
      <c r="L782" s="17">
        <f t="shared" si="60"/>
        <v>6.735694222613868E-2</v>
      </c>
      <c r="M782" s="17">
        <f t="shared" si="60"/>
        <v>8.5036794766966475E-2</v>
      </c>
      <c r="N782" s="18">
        <f t="shared" si="61"/>
        <v>10.523303352412102</v>
      </c>
      <c r="O782" s="18">
        <f t="shared" si="62"/>
        <v>123.75</v>
      </c>
      <c r="P782" s="17">
        <f t="shared" si="63"/>
        <v>1.3606089438629876</v>
      </c>
      <c r="Q782" s="17">
        <f t="shared" si="64"/>
        <v>0.61958041958041954</v>
      </c>
      <c r="R782" s="10" t="s">
        <v>1596</v>
      </c>
      <c r="S782" s="14" t="s">
        <v>26</v>
      </c>
      <c r="T782" s="14" t="s">
        <v>37</v>
      </c>
      <c r="U782" s="13">
        <v>12870</v>
      </c>
      <c r="V782" s="15">
        <v>4</v>
      </c>
      <c r="W782" s="9" t="str">
        <f>IF(Table1[[#This Row],[Satisfaction Rating]]&lt;2, "Low", IF(Table1[[#This Row],[Satisfaction Rating]]&lt;4, "Medium", "High"))</f>
        <v>High</v>
      </c>
    </row>
    <row r="783" spans="1:23" ht="14" x14ac:dyDescent="0.2">
      <c r="A783" s="10" t="s">
        <v>1597</v>
      </c>
      <c r="B783" s="11">
        <v>45500.402418981481</v>
      </c>
      <c r="C783" s="11">
        <v>45500.402418981481</v>
      </c>
      <c r="D783" s="11" t="str">
        <f>IF(Table1[[#This Row],[Duration of Campaign]]=0, "Ongoing","Completed")</f>
        <v>Ongoing</v>
      </c>
      <c r="E783" s="12">
        <f>Table1[[#This Row],[End Date]]-Table1[[#This Row],[Start Date]]</f>
        <v>0</v>
      </c>
      <c r="F783" s="13">
        <v>7628</v>
      </c>
      <c r="G783" s="14" t="s">
        <v>24</v>
      </c>
      <c r="H783" s="15">
        <v>10393</v>
      </c>
      <c r="I783" s="15">
        <v>844</v>
      </c>
      <c r="J783" s="15">
        <v>175</v>
      </c>
      <c r="K783" s="16">
        <v>2555</v>
      </c>
      <c r="L783" s="17">
        <f t="shared" si="60"/>
        <v>8.1208505725007221E-2</v>
      </c>
      <c r="M783" s="17">
        <f t="shared" si="60"/>
        <v>0.20734597156398105</v>
      </c>
      <c r="N783" s="18">
        <f t="shared" si="61"/>
        <v>13.84478672985782</v>
      </c>
      <c r="O783" s="18">
        <f t="shared" si="62"/>
        <v>66.771428571428572</v>
      </c>
      <c r="P783" s="17">
        <f t="shared" si="63"/>
        <v>1.5318563188253802</v>
      </c>
      <c r="Q783" s="17">
        <f t="shared" si="64"/>
        <v>0.2186563970902867</v>
      </c>
      <c r="R783" s="10" t="s">
        <v>1598</v>
      </c>
      <c r="S783" s="14" t="s">
        <v>31</v>
      </c>
      <c r="T783" s="14" t="s">
        <v>27</v>
      </c>
      <c r="U783" s="13">
        <v>11685</v>
      </c>
      <c r="V783" s="15">
        <v>4</v>
      </c>
      <c r="W783" s="9" t="str">
        <f>IF(Table1[[#This Row],[Satisfaction Rating]]&lt;2, "Low", IF(Table1[[#This Row],[Satisfaction Rating]]&lt;4, "Medium", "High"))</f>
        <v>High</v>
      </c>
    </row>
    <row r="784" spans="1:23" ht="14" x14ac:dyDescent="0.2">
      <c r="A784" s="10" t="s">
        <v>1599</v>
      </c>
      <c r="B784" s="11">
        <v>45274.844050925924</v>
      </c>
      <c r="C784" s="11">
        <v>45436.739629629628</v>
      </c>
      <c r="D784" s="11" t="str">
        <f>IF(Table1[[#This Row],[Duration of Campaign]]=0, "Ongoing","Completed")</f>
        <v>Completed</v>
      </c>
      <c r="E784" s="12">
        <f>Table1[[#This Row],[End Date]]-Table1[[#This Row],[Start Date]]</f>
        <v>161.89557870370481</v>
      </c>
      <c r="F784" s="13">
        <v>9802</v>
      </c>
      <c r="G784" s="14" t="s">
        <v>63</v>
      </c>
      <c r="H784" s="15">
        <v>13033</v>
      </c>
      <c r="I784" s="15">
        <v>841</v>
      </c>
      <c r="J784" s="15">
        <v>366</v>
      </c>
      <c r="K784" s="16">
        <v>7009</v>
      </c>
      <c r="L784" s="17">
        <f t="shared" si="60"/>
        <v>6.4528504565334155E-2</v>
      </c>
      <c r="M784" s="17">
        <f t="shared" si="60"/>
        <v>0.43519619500594531</v>
      </c>
      <c r="N784" s="18">
        <f t="shared" si="61"/>
        <v>3.1343638525564805</v>
      </c>
      <c r="O784" s="18">
        <f t="shared" si="62"/>
        <v>7.2021857923497263</v>
      </c>
      <c r="P784" s="17">
        <f t="shared" si="63"/>
        <v>0.26892470924301165</v>
      </c>
      <c r="Q784" s="17">
        <f t="shared" si="64"/>
        <v>2.6589529590288317</v>
      </c>
      <c r="R784" s="10" t="s">
        <v>1600</v>
      </c>
      <c r="S784" s="14" t="s">
        <v>31</v>
      </c>
      <c r="T784" s="14" t="s">
        <v>27</v>
      </c>
      <c r="U784" s="13">
        <v>2636</v>
      </c>
      <c r="V784" s="15">
        <v>5</v>
      </c>
      <c r="W784" s="9" t="str">
        <f>IF(Table1[[#This Row],[Satisfaction Rating]]&lt;2, "Low", IF(Table1[[#This Row],[Satisfaction Rating]]&lt;4, "Medium", "High"))</f>
        <v>High</v>
      </c>
    </row>
    <row r="785" spans="1:23" ht="14" x14ac:dyDescent="0.2">
      <c r="A785" s="10" t="s">
        <v>1601</v>
      </c>
      <c r="B785" s="11">
        <v>45406.567465277774</v>
      </c>
      <c r="C785" s="11">
        <v>45595.255185185182</v>
      </c>
      <c r="D785" s="11" t="str">
        <f>IF(Table1[[#This Row],[Duration of Campaign]]=0, "Ongoing","Completed")</f>
        <v>Completed</v>
      </c>
      <c r="E785" s="12">
        <f>Table1[[#This Row],[End Date]]-Table1[[#This Row],[Start Date]]</f>
        <v>188.68771990740788</v>
      </c>
      <c r="F785" s="13">
        <v>4965</v>
      </c>
      <c r="G785" s="14" t="s">
        <v>29</v>
      </c>
      <c r="H785" s="15">
        <v>18756</v>
      </c>
      <c r="I785" s="15">
        <v>206</v>
      </c>
      <c r="J785" s="15">
        <v>454</v>
      </c>
      <c r="K785" s="16">
        <v>13776</v>
      </c>
      <c r="L785" s="17">
        <f t="shared" si="60"/>
        <v>1.0983152058008105E-2</v>
      </c>
      <c r="M785" s="17">
        <f t="shared" si="60"/>
        <v>2.203883495145631</v>
      </c>
      <c r="N785" s="18">
        <f t="shared" si="61"/>
        <v>13.407766990291263</v>
      </c>
      <c r="O785" s="18">
        <f t="shared" si="62"/>
        <v>6.0837004405286343</v>
      </c>
      <c r="P785" s="17">
        <f t="shared" si="63"/>
        <v>0.55629405840886204</v>
      </c>
      <c r="Q785" s="17">
        <f t="shared" si="64"/>
        <v>4.9876900796524257</v>
      </c>
      <c r="R785" s="10" t="s">
        <v>1602</v>
      </c>
      <c r="S785" s="14" t="s">
        <v>26</v>
      </c>
      <c r="T785" s="14" t="s">
        <v>55</v>
      </c>
      <c r="U785" s="13">
        <v>2762</v>
      </c>
      <c r="V785" s="15">
        <v>1</v>
      </c>
      <c r="W785" s="9" t="str">
        <f>IF(Table1[[#This Row],[Satisfaction Rating]]&lt;2, "Low", IF(Table1[[#This Row],[Satisfaction Rating]]&lt;4, "Medium", "High"))</f>
        <v>Low</v>
      </c>
    </row>
    <row r="786" spans="1:23" ht="14" x14ac:dyDescent="0.2">
      <c r="A786" s="10" t="s">
        <v>1603</v>
      </c>
      <c r="B786" s="11">
        <v>44963.941435185188</v>
      </c>
      <c r="C786" s="11">
        <v>45040.856909722221</v>
      </c>
      <c r="D786" s="11" t="str">
        <f>IF(Table1[[#This Row],[Duration of Campaign]]=0, "Ongoing","Completed")</f>
        <v>Completed</v>
      </c>
      <c r="E786" s="12">
        <f>Table1[[#This Row],[End Date]]-Table1[[#This Row],[Start Date]]</f>
        <v>76.915474537032424</v>
      </c>
      <c r="F786" s="13">
        <v>7872</v>
      </c>
      <c r="G786" s="14" t="s">
        <v>47</v>
      </c>
      <c r="H786" s="15">
        <v>2891</v>
      </c>
      <c r="I786" s="15">
        <v>1414</v>
      </c>
      <c r="J786" s="15">
        <v>452</v>
      </c>
      <c r="K786" s="16">
        <v>1476</v>
      </c>
      <c r="L786" s="17">
        <f t="shared" si="60"/>
        <v>0.48910411622276029</v>
      </c>
      <c r="M786" s="17">
        <f t="shared" si="60"/>
        <v>0.31966053748231965</v>
      </c>
      <c r="N786" s="18">
        <f t="shared" si="61"/>
        <v>5.1124469589816126</v>
      </c>
      <c r="O786" s="18">
        <f t="shared" si="62"/>
        <v>15.993362831858407</v>
      </c>
      <c r="P786" s="17">
        <f t="shared" si="63"/>
        <v>0.91831808943089432</v>
      </c>
      <c r="Q786" s="17">
        <f t="shared" si="64"/>
        <v>0.20417761792779085</v>
      </c>
      <c r="R786" s="10" t="s">
        <v>1604</v>
      </c>
      <c r="S786" s="14" t="s">
        <v>31</v>
      </c>
      <c r="T786" s="14" t="s">
        <v>27</v>
      </c>
      <c r="U786" s="13">
        <v>7229</v>
      </c>
      <c r="V786" s="15">
        <v>1</v>
      </c>
      <c r="W786" s="9" t="str">
        <f>IF(Table1[[#This Row],[Satisfaction Rating]]&lt;2, "Low", IF(Table1[[#This Row],[Satisfaction Rating]]&lt;4, "Medium", "High"))</f>
        <v>Low</v>
      </c>
    </row>
    <row r="787" spans="1:23" ht="14" x14ac:dyDescent="0.2">
      <c r="A787" s="10" t="s">
        <v>1605</v>
      </c>
      <c r="B787" s="11">
        <v>45158.250856481478</v>
      </c>
      <c r="C787" s="11">
        <v>45536.687152777777</v>
      </c>
      <c r="D787" s="11" t="str">
        <f>IF(Table1[[#This Row],[Duration of Campaign]]=0, "Ongoing","Completed")</f>
        <v>Completed</v>
      </c>
      <c r="E787" s="12">
        <f>Table1[[#This Row],[End Date]]-Table1[[#This Row],[Start Date]]</f>
        <v>378.43629629629868</v>
      </c>
      <c r="F787" s="13">
        <v>5220</v>
      </c>
      <c r="G787" s="14" t="s">
        <v>47</v>
      </c>
      <c r="H787" s="15">
        <v>17814</v>
      </c>
      <c r="I787" s="15">
        <v>801</v>
      </c>
      <c r="J787" s="15">
        <v>495</v>
      </c>
      <c r="K787" s="16">
        <v>10585</v>
      </c>
      <c r="L787" s="17">
        <f t="shared" si="60"/>
        <v>4.4964634557089926E-2</v>
      </c>
      <c r="M787" s="17">
        <f t="shared" si="60"/>
        <v>0.6179775280898876</v>
      </c>
      <c r="N787" s="18">
        <f t="shared" si="61"/>
        <v>3.0037453183520597</v>
      </c>
      <c r="O787" s="18">
        <f t="shared" si="62"/>
        <v>4.8606060606060604</v>
      </c>
      <c r="P787" s="17">
        <f t="shared" si="63"/>
        <v>0.46091954022988507</v>
      </c>
      <c r="Q787" s="17">
        <f t="shared" si="64"/>
        <v>4.3994181213632588</v>
      </c>
      <c r="R787" s="10" t="s">
        <v>1606</v>
      </c>
      <c r="S787" s="14" t="s">
        <v>40</v>
      </c>
      <c r="T787" s="14" t="s">
        <v>37</v>
      </c>
      <c r="U787" s="13">
        <v>2406</v>
      </c>
      <c r="V787" s="15">
        <v>4</v>
      </c>
      <c r="W787" s="9" t="str">
        <f>IF(Table1[[#This Row],[Satisfaction Rating]]&lt;2, "Low", IF(Table1[[#This Row],[Satisfaction Rating]]&lt;4, "Medium", "High"))</f>
        <v>High</v>
      </c>
    </row>
    <row r="788" spans="1:23" ht="14" x14ac:dyDescent="0.2">
      <c r="A788" s="10" t="s">
        <v>1607</v>
      </c>
      <c r="B788" s="11">
        <v>45459.228703703702</v>
      </c>
      <c r="C788" s="11">
        <v>45459.228703703702</v>
      </c>
      <c r="D788" s="11" t="str">
        <f>IF(Table1[[#This Row],[Duration of Campaign]]=0, "Ongoing","Completed")</f>
        <v>Ongoing</v>
      </c>
      <c r="E788" s="12">
        <f>Table1[[#This Row],[End Date]]-Table1[[#This Row],[Start Date]]</f>
        <v>0</v>
      </c>
      <c r="F788" s="13">
        <v>5667</v>
      </c>
      <c r="G788" s="14" t="s">
        <v>29</v>
      </c>
      <c r="H788" s="15">
        <v>13432</v>
      </c>
      <c r="I788" s="15">
        <v>1149</v>
      </c>
      <c r="J788" s="15">
        <v>252</v>
      </c>
      <c r="K788" s="16">
        <v>1106</v>
      </c>
      <c r="L788" s="17">
        <f t="shared" si="60"/>
        <v>8.5541989279332931E-2</v>
      </c>
      <c r="M788" s="17">
        <f t="shared" si="60"/>
        <v>0.21932114882506529</v>
      </c>
      <c r="N788" s="18">
        <f t="shared" si="61"/>
        <v>8.1409921671018282</v>
      </c>
      <c r="O788" s="18">
        <f t="shared" si="62"/>
        <v>37.11904761904762</v>
      </c>
      <c r="P788" s="17">
        <f t="shared" si="63"/>
        <v>1.6506087877183695</v>
      </c>
      <c r="Q788" s="17">
        <f t="shared" si="64"/>
        <v>0.11823818687192644</v>
      </c>
      <c r="R788" s="10" t="s">
        <v>1608</v>
      </c>
      <c r="S788" s="14" t="s">
        <v>45</v>
      </c>
      <c r="T788" s="14" t="s">
        <v>27</v>
      </c>
      <c r="U788" s="13">
        <v>9354</v>
      </c>
      <c r="V788" s="15">
        <v>2</v>
      </c>
      <c r="W788" s="9" t="str">
        <f>IF(Table1[[#This Row],[Satisfaction Rating]]&lt;2, "Low", IF(Table1[[#This Row],[Satisfaction Rating]]&lt;4, "Medium", "High"))</f>
        <v>Medium</v>
      </c>
    </row>
    <row r="789" spans="1:23" ht="14" x14ac:dyDescent="0.2">
      <c r="A789" s="10" t="s">
        <v>1609</v>
      </c>
      <c r="B789" s="11">
        <v>45627.973645833335</v>
      </c>
      <c r="C789" s="11">
        <v>45627.973645833335</v>
      </c>
      <c r="D789" s="11" t="str">
        <f>IF(Table1[[#This Row],[Duration of Campaign]]=0, "Ongoing","Completed")</f>
        <v>Ongoing</v>
      </c>
      <c r="E789" s="12">
        <f>Table1[[#This Row],[End Date]]-Table1[[#This Row],[Start Date]]</f>
        <v>0</v>
      </c>
      <c r="F789" s="13">
        <v>6614</v>
      </c>
      <c r="G789" s="14" t="s">
        <v>47</v>
      </c>
      <c r="H789" s="15">
        <v>3254</v>
      </c>
      <c r="I789" s="15">
        <v>1157</v>
      </c>
      <c r="J789" s="15">
        <v>299</v>
      </c>
      <c r="K789" s="16">
        <v>10075</v>
      </c>
      <c r="L789" s="17">
        <f t="shared" si="60"/>
        <v>0.35556238475722191</v>
      </c>
      <c r="M789" s="17">
        <f t="shared" si="60"/>
        <v>0.25842696629213485</v>
      </c>
      <c r="N789" s="18">
        <f t="shared" si="61"/>
        <v>7.5738980121002593</v>
      </c>
      <c r="O789" s="18">
        <f t="shared" si="62"/>
        <v>29.307692307692307</v>
      </c>
      <c r="P789" s="17">
        <f t="shared" si="63"/>
        <v>1.3249168430601754</v>
      </c>
      <c r="Q789" s="17">
        <f t="shared" si="64"/>
        <v>1.1497204153828597</v>
      </c>
      <c r="R789" s="10" t="s">
        <v>1610</v>
      </c>
      <c r="S789" s="14" t="s">
        <v>34</v>
      </c>
      <c r="T789" s="14" t="s">
        <v>37</v>
      </c>
      <c r="U789" s="13">
        <v>8763</v>
      </c>
      <c r="V789" s="15">
        <v>2</v>
      </c>
      <c r="W789" s="9" t="str">
        <f>IF(Table1[[#This Row],[Satisfaction Rating]]&lt;2, "Low", IF(Table1[[#This Row],[Satisfaction Rating]]&lt;4, "Medium", "High"))</f>
        <v>Medium</v>
      </c>
    </row>
    <row r="790" spans="1:23" ht="14" x14ac:dyDescent="0.2">
      <c r="A790" s="10" t="s">
        <v>1611</v>
      </c>
      <c r="B790" s="11">
        <v>45007.842083333337</v>
      </c>
      <c r="C790" s="11">
        <v>45639.925347222219</v>
      </c>
      <c r="D790" s="11" t="str">
        <f>IF(Table1[[#This Row],[Duration of Campaign]]=0, "Ongoing","Completed")</f>
        <v>Completed</v>
      </c>
      <c r="E790" s="12">
        <f>Table1[[#This Row],[End Date]]-Table1[[#This Row],[Start Date]]</f>
        <v>632.08326388888236</v>
      </c>
      <c r="F790" s="13">
        <v>8057</v>
      </c>
      <c r="G790" s="14" t="s">
        <v>63</v>
      </c>
      <c r="H790" s="15">
        <v>12128</v>
      </c>
      <c r="I790" s="15">
        <v>329</v>
      </c>
      <c r="J790" s="15">
        <v>343</v>
      </c>
      <c r="K790" s="16">
        <v>5807</v>
      </c>
      <c r="L790" s="17">
        <f t="shared" si="60"/>
        <v>2.7127308707124011E-2</v>
      </c>
      <c r="M790" s="17">
        <f t="shared" si="60"/>
        <v>1.0425531914893618</v>
      </c>
      <c r="N790" s="18">
        <f t="shared" si="61"/>
        <v>57.835866261398174</v>
      </c>
      <c r="O790" s="18">
        <f t="shared" si="62"/>
        <v>55.475218658892125</v>
      </c>
      <c r="P790" s="17">
        <f t="shared" si="63"/>
        <v>2.361673079309917</v>
      </c>
      <c r="Q790" s="17">
        <f t="shared" si="64"/>
        <v>0.30518183729241116</v>
      </c>
      <c r="R790" s="10" t="s">
        <v>1612</v>
      </c>
      <c r="S790" s="14" t="s">
        <v>26</v>
      </c>
      <c r="T790" s="14" t="s">
        <v>55</v>
      </c>
      <c r="U790" s="13">
        <v>19028</v>
      </c>
      <c r="V790" s="15">
        <v>4</v>
      </c>
      <c r="W790" s="9" t="str">
        <f>IF(Table1[[#This Row],[Satisfaction Rating]]&lt;2, "Low", IF(Table1[[#This Row],[Satisfaction Rating]]&lt;4, "Medium", "High"))</f>
        <v>High</v>
      </c>
    </row>
    <row r="791" spans="1:23" ht="14" x14ac:dyDescent="0.2">
      <c r="A791" s="10" t="s">
        <v>1613</v>
      </c>
      <c r="B791" s="11">
        <v>45413.3281712963</v>
      </c>
      <c r="C791" s="11">
        <v>45413.3281712963</v>
      </c>
      <c r="D791" s="11" t="str">
        <f>IF(Table1[[#This Row],[Duration of Campaign]]=0, "Ongoing","Completed")</f>
        <v>Ongoing</v>
      </c>
      <c r="E791" s="12">
        <f>Table1[[#This Row],[End Date]]-Table1[[#This Row],[Start Date]]</f>
        <v>0</v>
      </c>
      <c r="F791" s="13">
        <v>1422</v>
      </c>
      <c r="G791" s="14" t="s">
        <v>29</v>
      </c>
      <c r="H791" s="15">
        <v>12370</v>
      </c>
      <c r="I791" s="15">
        <v>1487</v>
      </c>
      <c r="J791" s="15">
        <v>137</v>
      </c>
      <c r="K791" s="16">
        <v>7719</v>
      </c>
      <c r="L791" s="17">
        <f t="shared" si="60"/>
        <v>0.12021018593371059</v>
      </c>
      <c r="M791" s="17">
        <f t="shared" si="60"/>
        <v>9.213180901143242E-2</v>
      </c>
      <c r="N791" s="18">
        <f t="shared" si="61"/>
        <v>9.7975790181573643</v>
      </c>
      <c r="O791" s="18">
        <f t="shared" si="62"/>
        <v>106.34306569343066</v>
      </c>
      <c r="P791" s="17">
        <f t="shared" si="63"/>
        <v>10.245428973277075</v>
      </c>
      <c r="Q791" s="17">
        <f t="shared" si="64"/>
        <v>0.52982359805065549</v>
      </c>
      <c r="R791" s="10" t="s">
        <v>1614</v>
      </c>
      <c r="S791" s="14" t="s">
        <v>34</v>
      </c>
      <c r="T791" s="14" t="s">
        <v>55</v>
      </c>
      <c r="U791" s="13">
        <v>14569</v>
      </c>
      <c r="V791" s="15">
        <v>5</v>
      </c>
      <c r="W791" s="9" t="str">
        <f>IF(Table1[[#This Row],[Satisfaction Rating]]&lt;2, "Low", IF(Table1[[#This Row],[Satisfaction Rating]]&lt;4, "Medium", "High"))</f>
        <v>High</v>
      </c>
    </row>
    <row r="792" spans="1:23" ht="14" x14ac:dyDescent="0.2">
      <c r="A792" s="10" t="s">
        <v>1615</v>
      </c>
      <c r="B792" s="11">
        <v>45265.261296296296</v>
      </c>
      <c r="C792" s="11">
        <v>45265.261296296296</v>
      </c>
      <c r="D792" s="11" t="str">
        <f>IF(Table1[[#This Row],[Duration of Campaign]]=0, "Ongoing","Completed")</f>
        <v>Ongoing</v>
      </c>
      <c r="E792" s="12">
        <f>Table1[[#This Row],[End Date]]-Table1[[#This Row],[Start Date]]</f>
        <v>0</v>
      </c>
      <c r="F792" s="13">
        <v>8120</v>
      </c>
      <c r="G792" s="14" t="s">
        <v>47</v>
      </c>
      <c r="H792" s="15">
        <v>17773</v>
      </c>
      <c r="I792" s="15">
        <v>746</v>
      </c>
      <c r="J792" s="15">
        <v>473</v>
      </c>
      <c r="K792" s="16">
        <v>11279</v>
      </c>
      <c r="L792" s="17">
        <f t="shared" si="60"/>
        <v>4.1973780453496874E-2</v>
      </c>
      <c r="M792" s="17">
        <f t="shared" si="60"/>
        <v>0.63404825737265413</v>
      </c>
      <c r="N792" s="18">
        <f t="shared" si="61"/>
        <v>26.428954423592494</v>
      </c>
      <c r="O792" s="18">
        <f t="shared" si="62"/>
        <v>41.682875264270614</v>
      </c>
      <c r="P792" s="17">
        <f t="shared" si="63"/>
        <v>2.42807881773399</v>
      </c>
      <c r="Q792" s="17">
        <f t="shared" si="64"/>
        <v>0.57207344288902418</v>
      </c>
      <c r="R792" s="10" t="s">
        <v>1616</v>
      </c>
      <c r="S792" s="14" t="s">
        <v>40</v>
      </c>
      <c r="T792" s="14" t="s">
        <v>55</v>
      </c>
      <c r="U792" s="13">
        <v>19716</v>
      </c>
      <c r="V792" s="15">
        <v>4</v>
      </c>
      <c r="W792" s="9" t="str">
        <f>IF(Table1[[#This Row],[Satisfaction Rating]]&lt;2, "Low", IF(Table1[[#This Row],[Satisfaction Rating]]&lt;4, "Medium", "High"))</f>
        <v>High</v>
      </c>
    </row>
    <row r="793" spans="1:23" ht="14" x14ac:dyDescent="0.2">
      <c r="A793" s="10" t="s">
        <v>1617</v>
      </c>
      <c r="B793" s="11">
        <v>45077.985393518517</v>
      </c>
      <c r="C793" s="11">
        <v>45408.873344907406</v>
      </c>
      <c r="D793" s="11" t="str">
        <f>IF(Table1[[#This Row],[Duration of Campaign]]=0, "Ongoing","Completed")</f>
        <v>Completed</v>
      </c>
      <c r="E793" s="12">
        <f>Table1[[#This Row],[End Date]]-Table1[[#This Row],[Start Date]]</f>
        <v>330.88795138888963</v>
      </c>
      <c r="F793" s="13">
        <v>2437</v>
      </c>
      <c r="G793" s="14" t="s">
        <v>63</v>
      </c>
      <c r="H793" s="15">
        <v>11767</v>
      </c>
      <c r="I793" s="15">
        <v>905</v>
      </c>
      <c r="J793" s="15">
        <v>280</v>
      </c>
      <c r="K793" s="16">
        <v>2463</v>
      </c>
      <c r="L793" s="17">
        <f t="shared" si="60"/>
        <v>7.6910002549502851E-2</v>
      </c>
      <c r="M793" s="17">
        <f t="shared" si="60"/>
        <v>0.30939226519337015</v>
      </c>
      <c r="N793" s="18">
        <f t="shared" si="61"/>
        <v>16.904972375690608</v>
      </c>
      <c r="O793" s="18">
        <f t="shared" si="62"/>
        <v>54.639285714285712</v>
      </c>
      <c r="P793" s="17">
        <f t="shared" si="63"/>
        <v>6.2778005744768155</v>
      </c>
      <c r="Q793" s="17">
        <f t="shared" si="64"/>
        <v>0.16099091443885222</v>
      </c>
      <c r="R793" s="10" t="s">
        <v>1618</v>
      </c>
      <c r="S793" s="14" t="s">
        <v>31</v>
      </c>
      <c r="T793" s="14" t="s">
        <v>37</v>
      </c>
      <c r="U793" s="13">
        <v>15299</v>
      </c>
      <c r="V793" s="15">
        <v>2</v>
      </c>
      <c r="W793" s="9" t="str">
        <f>IF(Table1[[#This Row],[Satisfaction Rating]]&lt;2, "Low", IF(Table1[[#This Row],[Satisfaction Rating]]&lt;4, "Medium", "High"))</f>
        <v>Medium</v>
      </c>
    </row>
    <row r="794" spans="1:23" ht="14" x14ac:dyDescent="0.2">
      <c r="A794" s="10" t="s">
        <v>1619</v>
      </c>
      <c r="B794" s="11">
        <v>45375.550474537034</v>
      </c>
      <c r="C794" s="11">
        <v>45375.550474537034</v>
      </c>
      <c r="D794" s="11" t="str">
        <f>IF(Table1[[#This Row],[Duration of Campaign]]=0, "Ongoing","Completed")</f>
        <v>Ongoing</v>
      </c>
      <c r="E794" s="12">
        <f>Table1[[#This Row],[End Date]]-Table1[[#This Row],[Start Date]]</f>
        <v>0</v>
      </c>
      <c r="F794" s="13">
        <v>2662</v>
      </c>
      <c r="G794" s="14" t="s">
        <v>63</v>
      </c>
      <c r="H794" s="15">
        <v>16650</v>
      </c>
      <c r="I794" s="15">
        <v>441</v>
      </c>
      <c r="J794" s="15">
        <v>421</v>
      </c>
      <c r="K794" s="16">
        <v>14531</v>
      </c>
      <c r="L794" s="17">
        <f t="shared" si="60"/>
        <v>2.6486486486486487E-2</v>
      </c>
      <c r="M794" s="17">
        <f t="shared" si="60"/>
        <v>0.95464852607709749</v>
      </c>
      <c r="N794" s="18">
        <f t="shared" si="61"/>
        <v>5.4829931972789119</v>
      </c>
      <c r="O794" s="18">
        <f t="shared" si="62"/>
        <v>5.7434679334916865</v>
      </c>
      <c r="P794" s="17">
        <f t="shared" si="63"/>
        <v>0.90833959429000755</v>
      </c>
      <c r="Q794" s="17">
        <f t="shared" si="64"/>
        <v>6.0095119933829615</v>
      </c>
      <c r="R794" s="10" t="s">
        <v>1620</v>
      </c>
      <c r="S794" s="14" t="s">
        <v>40</v>
      </c>
      <c r="T794" s="14" t="s">
        <v>37</v>
      </c>
      <c r="U794" s="13">
        <v>2418</v>
      </c>
      <c r="V794" s="15">
        <v>3</v>
      </c>
      <c r="W794" s="9" t="str">
        <f>IF(Table1[[#This Row],[Satisfaction Rating]]&lt;2, "Low", IF(Table1[[#This Row],[Satisfaction Rating]]&lt;4, "Medium", "High"))</f>
        <v>Medium</v>
      </c>
    </row>
    <row r="795" spans="1:23" ht="14" x14ac:dyDescent="0.2">
      <c r="A795" s="10" t="s">
        <v>1621</v>
      </c>
      <c r="B795" s="11">
        <v>45264.126956018517</v>
      </c>
      <c r="C795" s="11">
        <v>45318.263402777775</v>
      </c>
      <c r="D795" s="11" t="str">
        <f>IF(Table1[[#This Row],[Duration of Campaign]]=0, "Ongoing","Completed")</f>
        <v>Completed</v>
      </c>
      <c r="E795" s="12">
        <f>Table1[[#This Row],[End Date]]-Table1[[#This Row],[Start Date]]</f>
        <v>54.136446759257524</v>
      </c>
      <c r="F795" s="13">
        <v>4575</v>
      </c>
      <c r="G795" s="14" t="s">
        <v>47</v>
      </c>
      <c r="H795" s="15">
        <v>17772</v>
      </c>
      <c r="I795" s="15">
        <v>1247</v>
      </c>
      <c r="J795" s="15">
        <v>152</v>
      </c>
      <c r="K795" s="16">
        <v>4923</v>
      </c>
      <c r="L795" s="17">
        <f t="shared" si="60"/>
        <v>7.0166554130092276E-2</v>
      </c>
      <c r="M795" s="17">
        <f t="shared" si="60"/>
        <v>0.1218925421010425</v>
      </c>
      <c r="N795" s="18">
        <f t="shared" si="61"/>
        <v>9.3247794707297516</v>
      </c>
      <c r="O795" s="18">
        <f t="shared" si="62"/>
        <v>76.5</v>
      </c>
      <c r="P795" s="17">
        <f t="shared" si="63"/>
        <v>2.5416393442622951</v>
      </c>
      <c r="Q795" s="17">
        <f t="shared" si="64"/>
        <v>0.42337461300309598</v>
      </c>
      <c r="R795" s="10" t="s">
        <v>1622</v>
      </c>
      <c r="S795" s="14" t="s">
        <v>34</v>
      </c>
      <c r="T795" s="14" t="s">
        <v>27</v>
      </c>
      <c r="U795" s="13">
        <v>11628</v>
      </c>
      <c r="V795" s="15">
        <v>4</v>
      </c>
      <c r="W795" s="9" t="str">
        <f>IF(Table1[[#This Row],[Satisfaction Rating]]&lt;2, "Low", IF(Table1[[#This Row],[Satisfaction Rating]]&lt;4, "Medium", "High"))</f>
        <v>High</v>
      </c>
    </row>
    <row r="796" spans="1:23" ht="14" x14ac:dyDescent="0.2">
      <c r="A796" s="10" t="s">
        <v>1623</v>
      </c>
      <c r="B796" s="11">
        <v>45383.487025462964</v>
      </c>
      <c r="C796" s="11">
        <v>45563.379687499997</v>
      </c>
      <c r="D796" s="11" t="str">
        <f>IF(Table1[[#This Row],[Duration of Campaign]]=0, "Ongoing","Completed")</f>
        <v>Completed</v>
      </c>
      <c r="E796" s="12">
        <f>Table1[[#This Row],[End Date]]-Table1[[#This Row],[Start Date]]</f>
        <v>179.89266203703301</v>
      </c>
      <c r="F796" s="13">
        <v>3436</v>
      </c>
      <c r="G796" s="14" t="s">
        <v>63</v>
      </c>
      <c r="H796" s="15">
        <v>18395</v>
      </c>
      <c r="I796" s="15">
        <v>1024</v>
      </c>
      <c r="J796" s="15">
        <v>335</v>
      </c>
      <c r="K796" s="16">
        <v>730</v>
      </c>
      <c r="L796" s="17">
        <f t="shared" si="60"/>
        <v>5.5667300896982873E-2</v>
      </c>
      <c r="M796" s="17">
        <f t="shared" si="60"/>
        <v>0.3271484375</v>
      </c>
      <c r="N796" s="18">
        <f t="shared" si="61"/>
        <v>15.509765625</v>
      </c>
      <c r="O796" s="18">
        <f t="shared" si="62"/>
        <v>47.408955223880596</v>
      </c>
      <c r="P796" s="17">
        <f t="shared" si="63"/>
        <v>4.622235157159488</v>
      </c>
      <c r="Q796" s="17">
        <f t="shared" si="64"/>
        <v>4.5963984384838182E-2</v>
      </c>
      <c r="R796" s="10" t="s">
        <v>1624</v>
      </c>
      <c r="S796" s="14" t="s">
        <v>26</v>
      </c>
      <c r="T796" s="14" t="s">
        <v>27</v>
      </c>
      <c r="U796" s="13">
        <v>15882</v>
      </c>
      <c r="V796" s="15">
        <v>5</v>
      </c>
      <c r="W796" s="9" t="str">
        <f>IF(Table1[[#This Row],[Satisfaction Rating]]&lt;2, "Low", IF(Table1[[#This Row],[Satisfaction Rating]]&lt;4, "Medium", "High"))</f>
        <v>High</v>
      </c>
    </row>
    <row r="797" spans="1:23" ht="14" x14ac:dyDescent="0.2">
      <c r="A797" s="10" t="s">
        <v>1625</v>
      </c>
      <c r="B797" s="11">
        <v>45491.973773148151</v>
      </c>
      <c r="C797" s="11">
        <v>45618.536504629628</v>
      </c>
      <c r="D797" s="11" t="str">
        <f>IF(Table1[[#This Row],[Duration of Campaign]]=0, "Ongoing","Completed")</f>
        <v>Completed</v>
      </c>
      <c r="E797" s="12">
        <f>Table1[[#This Row],[End Date]]-Table1[[#This Row],[Start Date]]</f>
        <v>126.56273148147739</v>
      </c>
      <c r="F797" s="13">
        <v>7488</v>
      </c>
      <c r="G797" s="14" t="s">
        <v>29</v>
      </c>
      <c r="H797" s="15">
        <v>19638</v>
      </c>
      <c r="I797" s="15">
        <v>949</v>
      </c>
      <c r="J797" s="15">
        <v>257</v>
      </c>
      <c r="K797" s="16">
        <v>3898</v>
      </c>
      <c r="L797" s="17">
        <f t="shared" si="60"/>
        <v>4.8324676647316427E-2</v>
      </c>
      <c r="M797" s="17">
        <f t="shared" si="60"/>
        <v>0.27081138040042152</v>
      </c>
      <c r="N797" s="18">
        <f t="shared" si="61"/>
        <v>7.6638566912539519</v>
      </c>
      <c r="O797" s="18">
        <f t="shared" si="62"/>
        <v>28.299610894941633</v>
      </c>
      <c r="P797" s="17">
        <f t="shared" si="63"/>
        <v>0.97128739316239321</v>
      </c>
      <c r="Q797" s="17">
        <f t="shared" si="64"/>
        <v>0.53595490169118654</v>
      </c>
      <c r="R797" s="10" t="s">
        <v>1626</v>
      </c>
      <c r="S797" s="14" t="s">
        <v>34</v>
      </c>
      <c r="T797" s="14" t="s">
        <v>27</v>
      </c>
      <c r="U797" s="13">
        <v>7273</v>
      </c>
      <c r="V797" s="15">
        <v>5</v>
      </c>
      <c r="W797" s="9" t="str">
        <f>IF(Table1[[#This Row],[Satisfaction Rating]]&lt;2, "Low", IF(Table1[[#This Row],[Satisfaction Rating]]&lt;4, "Medium", "High"))</f>
        <v>High</v>
      </c>
    </row>
    <row r="798" spans="1:23" ht="14" x14ac:dyDescent="0.2">
      <c r="A798" s="10" t="s">
        <v>1627</v>
      </c>
      <c r="B798" s="11">
        <v>45539.76390046296</v>
      </c>
      <c r="C798" s="11">
        <v>45539.76390046296</v>
      </c>
      <c r="D798" s="11" t="str">
        <f>IF(Table1[[#This Row],[Duration of Campaign]]=0, "Ongoing","Completed")</f>
        <v>Ongoing</v>
      </c>
      <c r="E798" s="12">
        <f>Table1[[#This Row],[End Date]]-Table1[[#This Row],[Start Date]]</f>
        <v>0</v>
      </c>
      <c r="F798" s="13">
        <v>5420</v>
      </c>
      <c r="G798" s="14" t="s">
        <v>63</v>
      </c>
      <c r="H798" s="15">
        <v>14836</v>
      </c>
      <c r="I798" s="15">
        <v>1489</v>
      </c>
      <c r="J798" s="15">
        <v>128</v>
      </c>
      <c r="K798" s="16">
        <v>2652</v>
      </c>
      <c r="L798" s="17">
        <f t="shared" si="60"/>
        <v>0.1003639795093017</v>
      </c>
      <c r="M798" s="17">
        <f t="shared" si="60"/>
        <v>8.5963734049697788E-2</v>
      </c>
      <c r="N798" s="18">
        <f t="shared" si="61"/>
        <v>7.6413700470114172</v>
      </c>
      <c r="O798" s="18">
        <f t="shared" si="62"/>
        <v>88.890625</v>
      </c>
      <c r="P798" s="17">
        <f t="shared" si="63"/>
        <v>2.0992619926199261</v>
      </c>
      <c r="Q798" s="17">
        <f t="shared" si="64"/>
        <v>0.23308138512919668</v>
      </c>
      <c r="R798" s="10" t="s">
        <v>1628</v>
      </c>
      <c r="S798" s="14" t="s">
        <v>40</v>
      </c>
      <c r="T798" s="14" t="s">
        <v>55</v>
      </c>
      <c r="U798" s="13">
        <v>11378</v>
      </c>
      <c r="V798" s="15">
        <v>2</v>
      </c>
      <c r="W798" s="9" t="str">
        <f>IF(Table1[[#This Row],[Satisfaction Rating]]&lt;2, "Low", IF(Table1[[#This Row],[Satisfaction Rating]]&lt;4, "Medium", "High"))</f>
        <v>Medium</v>
      </c>
    </row>
    <row r="799" spans="1:23" ht="14" x14ac:dyDescent="0.2">
      <c r="A799" s="10" t="s">
        <v>1629</v>
      </c>
      <c r="B799" s="11">
        <v>45031.293310185189</v>
      </c>
      <c r="C799" s="11">
        <v>45549.528229166666</v>
      </c>
      <c r="D799" s="11" t="str">
        <f>IF(Table1[[#This Row],[Duration of Campaign]]=0, "Ongoing","Completed")</f>
        <v>Completed</v>
      </c>
      <c r="E799" s="12">
        <f>Table1[[#This Row],[End Date]]-Table1[[#This Row],[Start Date]]</f>
        <v>518.23491898147768</v>
      </c>
      <c r="F799" s="13">
        <v>5205</v>
      </c>
      <c r="G799" s="14" t="s">
        <v>24</v>
      </c>
      <c r="H799" s="15">
        <v>8729</v>
      </c>
      <c r="I799" s="15">
        <v>1610</v>
      </c>
      <c r="J799" s="15">
        <v>262</v>
      </c>
      <c r="K799" s="16">
        <v>12640</v>
      </c>
      <c r="L799" s="17">
        <f t="shared" si="60"/>
        <v>0.18444266238973536</v>
      </c>
      <c r="M799" s="17">
        <f t="shared" si="60"/>
        <v>0.16273291925465838</v>
      </c>
      <c r="N799" s="18">
        <f t="shared" si="61"/>
        <v>0.67018633540372674</v>
      </c>
      <c r="O799" s="18">
        <f t="shared" si="62"/>
        <v>4.1183206106870225</v>
      </c>
      <c r="P799" s="17">
        <f t="shared" si="63"/>
        <v>0.20730067243035544</v>
      </c>
      <c r="Q799" s="17">
        <f t="shared" si="64"/>
        <v>11.714550509731232</v>
      </c>
      <c r="R799" s="10" t="s">
        <v>1630</v>
      </c>
      <c r="S799" s="14" t="s">
        <v>31</v>
      </c>
      <c r="T799" s="14" t="s">
        <v>55</v>
      </c>
      <c r="U799" s="13">
        <v>1079</v>
      </c>
      <c r="V799" s="15">
        <v>5</v>
      </c>
      <c r="W799" s="9" t="str">
        <f>IF(Table1[[#This Row],[Satisfaction Rating]]&lt;2, "Low", IF(Table1[[#This Row],[Satisfaction Rating]]&lt;4, "Medium", "High"))</f>
        <v>High</v>
      </c>
    </row>
    <row r="800" spans="1:23" ht="14" x14ac:dyDescent="0.2">
      <c r="A800" s="10" t="s">
        <v>1631</v>
      </c>
      <c r="B800" s="11">
        <v>45486.579016203701</v>
      </c>
      <c r="C800" s="11">
        <v>45486.579016203701</v>
      </c>
      <c r="D800" s="11" t="str">
        <f>IF(Table1[[#This Row],[Duration of Campaign]]=0, "Ongoing","Completed")</f>
        <v>Ongoing</v>
      </c>
      <c r="E800" s="12">
        <f>Table1[[#This Row],[End Date]]-Table1[[#This Row],[Start Date]]</f>
        <v>0</v>
      </c>
      <c r="F800" s="13">
        <v>4503</v>
      </c>
      <c r="G800" s="14" t="s">
        <v>47</v>
      </c>
      <c r="H800" s="15">
        <v>4715</v>
      </c>
      <c r="I800" s="15">
        <v>787</v>
      </c>
      <c r="J800" s="15">
        <v>404</v>
      </c>
      <c r="K800" s="16">
        <v>4310</v>
      </c>
      <c r="L800" s="17">
        <f t="shared" si="60"/>
        <v>0.16691410392364794</v>
      </c>
      <c r="M800" s="17">
        <f t="shared" si="60"/>
        <v>0.51334180432020327</v>
      </c>
      <c r="N800" s="18">
        <f t="shared" si="61"/>
        <v>18.339263024142312</v>
      </c>
      <c r="O800" s="18">
        <f t="shared" si="62"/>
        <v>35.725247524752476</v>
      </c>
      <c r="P800" s="17">
        <f t="shared" si="63"/>
        <v>3.2051965356429046</v>
      </c>
      <c r="Q800" s="17">
        <f t="shared" si="64"/>
        <v>0.29862121527056051</v>
      </c>
      <c r="R800" s="10" t="s">
        <v>1632</v>
      </c>
      <c r="S800" s="14" t="s">
        <v>45</v>
      </c>
      <c r="T800" s="14" t="s">
        <v>27</v>
      </c>
      <c r="U800" s="13">
        <v>14433</v>
      </c>
      <c r="V800" s="15">
        <v>2</v>
      </c>
      <c r="W800" s="9" t="str">
        <f>IF(Table1[[#This Row],[Satisfaction Rating]]&lt;2, "Low", IF(Table1[[#This Row],[Satisfaction Rating]]&lt;4, "Medium", "High"))</f>
        <v>Medium</v>
      </c>
    </row>
    <row r="801" spans="1:23" ht="14" x14ac:dyDescent="0.2">
      <c r="A801" s="10" t="s">
        <v>1633</v>
      </c>
      <c r="B801" s="11">
        <v>45386.270092592589</v>
      </c>
      <c r="C801" s="11">
        <v>45637.899641203701</v>
      </c>
      <c r="D801" s="11" t="str">
        <f>IF(Table1[[#This Row],[Duration of Campaign]]=0, "Ongoing","Completed")</f>
        <v>Completed</v>
      </c>
      <c r="E801" s="12">
        <f>Table1[[#This Row],[End Date]]-Table1[[#This Row],[Start Date]]</f>
        <v>251.62954861111211</v>
      </c>
      <c r="F801" s="13">
        <v>7469</v>
      </c>
      <c r="G801" s="14" t="s">
        <v>63</v>
      </c>
      <c r="H801" s="15">
        <v>1109</v>
      </c>
      <c r="I801" s="15">
        <v>1201</v>
      </c>
      <c r="J801" s="15">
        <v>27</v>
      </c>
      <c r="K801" s="16">
        <v>3123</v>
      </c>
      <c r="L801" s="17">
        <f t="shared" si="60"/>
        <v>1.0829576194770063</v>
      </c>
      <c r="M801" s="17">
        <f t="shared" si="60"/>
        <v>2.2481265611990008E-2</v>
      </c>
      <c r="N801" s="18">
        <f t="shared" si="61"/>
        <v>0.86677768526228138</v>
      </c>
      <c r="O801" s="18">
        <f t="shared" si="62"/>
        <v>38.555555555555557</v>
      </c>
      <c r="P801" s="17">
        <f t="shared" si="63"/>
        <v>0.13937608782969607</v>
      </c>
      <c r="Q801" s="17">
        <f t="shared" si="64"/>
        <v>3</v>
      </c>
      <c r="R801" s="10" t="s">
        <v>1634</v>
      </c>
      <c r="S801" s="14" t="s">
        <v>45</v>
      </c>
      <c r="T801" s="14" t="s">
        <v>37</v>
      </c>
      <c r="U801" s="13">
        <v>1041</v>
      </c>
      <c r="V801" s="15">
        <v>4</v>
      </c>
      <c r="W801" s="9" t="str">
        <f>IF(Table1[[#This Row],[Satisfaction Rating]]&lt;2, "Low", IF(Table1[[#This Row],[Satisfaction Rating]]&lt;4, "Medium", "High"))</f>
        <v>High</v>
      </c>
    </row>
    <row r="802" spans="1:23" ht="14" x14ac:dyDescent="0.2">
      <c r="A802" s="10" t="s">
        <v>1635</v>
      </c>
      <c r="B802" s="11">
        <v>44978.384062500001</v>
      </c>
      <c r="C802" s="11">
        <v>45230.267476851855</v>
      </c>
      <c r="D802" s="11" t="str">
        <f>IF(Table1[[#This Row],[Duration of Campaign]]=0, "Ongoing","Completed")</f>
        <v>Completed</v>
      </c>
      <c r="E802" s="12">
        <f>Table1[[#This Row],[End Date]]-Table1[[#This Row],[Start Date]]</f>
        <v>251.8834143518543</v>
      </c>
      <c r="F802" s="13">
        <v>6079</v>
      </c>
      <c r="G802" s="14" t="s">
        <v>24</v>
      </c>
      <c r="H802" s="15">
        <v>16477</v>
      </c>
      <c r="I802" s="15">
        <v>1200</v>
      </c>
      <c r="J802" s="15">
        <v>59</v>
      </c>
      <c r="K802" s="16">
        <v>13578</v>
      </c>
      <c r="L802" s="17">
        <f t="shared" si="60"/>
        <v>7.2828791648965219E-2</v>
      </c>
      <c r="M802" s="17">
        <f t="shared" si="60"/>
        <v>4.9166666666666664E-2</v>
      </c>
      <c r="N802" s="18">
        <f t="shared" si="61"/>
        <v>0.71833333333333338</v>
      </c>
      <c r="O802" s="18">
        <f t="shared" si="62"/>
        <v>14.610169491525424</v>
      </c>
      <c r="P802" s="17">
        <f t="shared" si="63"/>
        <v>0.14179963809837146</v>
      </c>
      <c r="Q802" s="17">
        <f t="shared" si="64"/>
        <v>15.751740139211137</v>
      </c>
      <c r="R802" s="10" t="s">
        <v>1636</v>
      </c>
      <c r="S802" s="14" t="s">
        <v>45</v>
      </c>
      <c r="T802" s="14" t="s">
        <v>27</v>
      </c>
      <c r="U802" s="13">
        <v>862</v>
      </c>
      <c r="V802" s="15">
        <v>4</v>
      </c>
      <c r="W802" s="9" t="str">
        <f>IF(Table1[[#This Row],[Satisfaction Rating]]&lt;2, "Low", IF(Table1[[#This Row],[Satisfaction Rating]]&lt;4, "Medium", "High"))</f>
        <v>High</v>
      </c>
    </row>
    <row r="803" spans="1:23" ht="14" x14ac:dyDescent="0.2">
      <c r="A803" s="10" t="s">
        <v>1637</v>
      </c>
      <c r="B803" s="11">
        <v>45113.680219907408</v>
      </c>
      <c r="C803" s="11">
        <v>45290.520115740743</v>
      </c>
      <c r="D803" s="11" t="str">
        <f>IF(Table1[[#This Row],[Duration of Campaign]]=0, "Ongoing","Completed")</f>
        <v>Completed</v>
      </c>
      <c r="E803" s="12">
        <f>Table1[[#This Row],[End Date]]-Table1[[#This Row],[Start Date]]</f>
        <v>176.83989583333459</v>
      </c>
      <c r="F803" s="13">
        <v>8865</v>
      </c>
      <c r="G803" s="14" t="s">
        <v>24</v>
      </c>
      <c r="H803" s="15">
        <v>3596</v>
      </c>
      <c r="I803" s="15">
        <v>298</v>
      </c>
      <c r="J803" s="15">
        <v>233</v>
      </c>
      <c r="K803" s="16">
        <v>7514</v>
      </c>
      <c r="L803" s="17">
        <f t="shared" si="60"/>
        <v>8.2869855394883202E-2</v>
      </c>
      <c r="M803" s="17">
        <f t="shared" si="60"/>
        <v>0.78187919463087252</v>
      </c>
      <c r="N803" s="18">
        <f t="shared" si="61"/>
        <v>51.040268456375841</v>
      </c>
      <c r="O803" s="18">
        <f t="shared" si="62"/>
        <v>65.278969957081543</v>
      </c>
      <c r="P803" s="17">
        <f t="shared" si="63"/>
        <v>1.7157360406091371</v>
      </c>
      <c r="Q803" s="17">
        <f t="shared" si="64"/>
        <v>0.49401709401709404</v>
      </c>
      <c r="R803" s="10" t="s">
        <v>1638</v>
      </c>
      <c r="S803" s="14" t="s">
        <v>26</v>
      </c>
      <c r="T803" s="14" t="s">
        <v>27</v>
      </c>
      <c r="U803" s="13">
        <v>15210</v>
      </c>
      <c r="V803" s="15">
        <v>5</v>
      </c>
      <c r="W803" s="9" t="str">
        <f>IF(Table1[[#This Row],[Satisfaction Rating]]&lt;2, "Low", IF(Table1[[#This Row],[Satisfaction Rating]]&lt;4, "Medium", "High"))</f>
        <v>High</v>
      </c>
    </row>
    <row r="804" spans="1:23" ht="14" x14ac:dyDescent="0.2">
      <c r="A804" s="10" t="s">
        <v>1639</v>
      </c>
      <c r="B804" s="11">
        <v>45048.467372685183</v>
      </c>
      <c r="C804" s="11">
        <v>45607.563252314816</v>
      </c>
      <c r="D804" s="11" t="str">
        <f>IF(Table1[[#This Row],[Duration of Campaign]]=0, "Ongoing","Completed")</f>
        <v>Completed</v>
      </c>
      <c r="E804" s="12">
        <f>Table1[[#This Row],[End Date]]-Table1[[#This Row],[Start Date]]</f>
        <v>559.09587962963269</v>
      </c>
      <c r="F804" s="13">
        <v>8374</v>
      </c>
      <c r="G804" s="14" t="s">
        <v>63</v>
      </c>
      <c r="H804" s="15">
        <v>3083</v>
      </c>
      <c r="I804" s="15">
        <v>241</v>
      </c>
      <c r="J804" s="15">
        <v>144</v>
      </c>
      <c r="K804" s="16">
        <v>5130</v>
      </c>
      <c r="L804" s="17">
        <f t="shared" si="60"/>
        <v>7.817061303924748E-2</v>
      </c>
      <c r="M804" s="17">
        <f t="shared" si="60"/>
        <v>0.59751037344398339</v>
      </c>
      <c r="N804" s="18">
        <f t="shared" si="61"/>
        <v>16.053941908713693</v>
      </c>
      <c r="O804" s="18">
        <f t="shared" si="62"/>
        <v>26.868055555555557</v>
      </c>
      <c r="P804" s="17">
        <f t="shared" si="63"/>
        <v>0.46202531645569622</v>
      </c>
      <c r="Q804" s="17">
        <f t="shared" si="64"/>
        <v>1.3259240113724478</v>
      </c>
      <c r="R804" s="10" t="s">
        <v>1640</v>
      </c>
      <c r="S804" s="14" t="s">
        <v>45</v>
      </c>
      <c r="T804" s="14" t="s">
        <v>37</v>
      </c>
      <c r="U804" s="13">
        <v>3869</v>
      </c>
      <c r="V804" s="15">
        <v>3</v>
      </c>
      <c r="W804" s="9" t="str">
        <f>IF(Table1[[#This Row],[Satisfaction Rating]]&lt;2, "Low", IF(Table1[[#This Row],[Satisfaction Rating]]&lt;4, "Medium", "High"))</f>
        <v>Medium</v>
      </c>
    </row>
    <row r="805" spans="1:23" ht="14" x14ac:dyDescent="0.2">
      <c r="A805" s="10" t="s">
        <v>1641</v>
      </c>
      <c r="B805" s="11">
        <v>45252.145578703705</v>
      </c>
      <c r="C805" s="11">
        <v>45423.624236111114</v>
      </c>
      <c r="D805" s="11" t="str">
        <f>IF(Table1[[#This Row],[Duration of Campaign]]=0, "Ongoing","Completed")</f>
        <v>Completed</v>
      </c>
      <c r="E805" s="12">
        <f>Table1[[#This Row],[End Date]]-Table1[[#This Row],[Start Date]]</f>
        <v>171.47865740740963</v>
      </c>
      <c r="F805" s="13">
        <v>2446</v>
      </c>
      <c r="G805" s="14" t="s">
        <v>24</v>
      </c>
      <c r="H805" s="15">
        <v>12298</v>
      </c>
      <c r="I805" s="15">
        <v>997</v>
      </c>
      <c r="J805" s="15">
        <v>465</v>
      </c>
      <c r="K805" s="16">
        <v>5714</v>
      </c>
      <c r="L805" s="17">
        <f t="shared" si="60"/>
        <v>8.1070092697999668E-2</v>
      </c>
      <c r="M805" s="17">
        <f t="shared" si="60"/>
        <v>0.46639919759277831</v>
      </c>
      <c r="N805" s="18">
        <f t="shared" si="61"/>
        <v>11.320962888665997</v>
      </c>
      <c r="O805" s="18">
        <f t="shared" si="62"/>
        <v>24.273118279569893</v>
      </c>
      <c r="P805" s="17">
        <f t="shared" si="63"/>
        <v>4.6144726083401473</v>
      </c>
      <c r="Q805" s="17">
        <f t="shared" si="64"/>
        <v>0.50624612385930712</v>
      </c>
      <c r="R805" s="10" t="s">
        <v>1642</v>
      </c>
      <c r="S805" s="14" t="s">
        <v>31</v>
      </c>
      <c r="T805" s="14" t="s">
        <v>27</v>
      </c>
      <c r="U805" s="13">
        <v>11287</v>
      </c>
      <c r="V805" s="15">
        <v>2</v>
      </c>
      <c r="W805" s="9" t="str">
        <f>IF(Table1[[#This Row],[Satisfaction Rating]]&lt;2, "Low", IF(Table1[[#This Row],[Satisfaction Rating]]&lt;4, "Medium", "High"))</f>
        <v>Medium</v>
      </c>
    </row>
    <row r="806" spans="1:23" ht="14" x14ac:dyDescent="0.2">
      <c r="A806" s="10" t="s">
        <v>1643</v>
      </c>
      <c r="B806" s="11">
        <v>45076.078761574077</v>
      </c>
      <c r="C806" s="11">
        <v>45613.946840277778</v>
      </c>
      <c r="D806" s="11" t="str">
        <f>IF(Table1[[#This Row],[Duration of Campaign]]=0, "Ongoing","Completed")</f>
        <v>Completed</v>
      </c>
      <c r="E806" s="12">
        <f>Table1[[#This Row],[End Date]]-Table1[[#This Row],[Start Date]]</f>
        <v>537.86807870370103</v>
      </c>
      <c r="F806" s="13">
        <v>9720</v>
      </c>
      <c r="G806" s="14" t="s">
        <v>47</v>
      </c>
      <c r="H806" s="15">
        <v>4741</v>
      </c>
      <c r="I806" s="15">
        <v>1159</v>
      </c>
      <c r="J806" s="15">
        <v>305</v>
      </c>
      <c r="K806" s="16">
        <v>14129</v>
      </c>
      <c r="L806" s="17">
        <f t="shared" si="60"/>
        <v>0.24446319341910988</v>
      </c>
      <c r="M806" s="17">
        <f t="shared" si="60"/>
        <v>0.26315789473684209</v>
      </c>
      <c r="N806" s="18">
        <f t="shared" si="61"/>
        <v>11.455565142364106</v>
      </c>
      <c r="O806" s="18">
        <f t="shared" si="62"/>
        <v>43.531147540983604</v>
      </c>
      <c r="P806" s="17">
        <f t="shared" si="63"/>
        <v>1.3659465020576131</v>
      </c>
      <c r="Q806" s="17">
        <f t="shared" si="64"/>
        <v>1.0641711229946524</v>
      </c>
      <c r="R806" s="10" t="s">
        <v>1644</v>
      </c>
      <c r="S806" s="14" t="s">
        <v>45</v>
      </c>
      <c r="T806" s="14" t="s">
        <v>27</v>
      </c>
      <c r="U806" s="13">
        <v>13277</v>
      </c>
      <c r="V806" s="15">
        <v>3</v>
      </c>
      <c r="W806" s="9" t="str">
        <f>IF(Table1[[#This Row],[Satisfaction Rating]]&lt;2, "Low", IF(Table1[[#This Row],[Satisfaction Rating]]&lt;4, "Medium", "High"))</f>
        <v>Medium</v>
      </c>
    </row>
    <row r="807" spans="1:23" ht="14" x14ac:dyDescent="0.2">
      <c r="A807" s="10" t="s">
        <v>1645</v>
      </c>
      <c r="B807" s="11">
        <v>45293.060081018521</v>
      </c>
      <c r="C807" s="11">
        <v>45293.060081018521</v>
      </c>
      <c r="D807" s="11" t="str">
        <f>IF(Table1[[#This Row],[Duration of Campaign]]=0, "Ongoing","Completed")</f>
        <v>Ongoing</v>
      </c>
      <c r="E807" s="12">
        <f>Table1[[#This Row],[End Date]]-Table1[[#This Row],[Start Date]]</f>
        <v>0</v>
      </c>
      <c r="F807" s="13">
        <v>1064</v>
      </c>
      <c r="G807" s="14" t="s">
        <v>63</v>
      </c>
      <c r="H807" s="15">
        <v>11322</v>
      </c>
      <c r="I807" s="15">
        <v>392</v>
      </c>
      <c r="J807" s="15">
        <v>140</v>
      </c>
      <c r="K807" s="16">
        <v>2794</v>
      </c>
      <c r="L807" s="17">
        <f t="shared" si="60"/>
        <v>3.4622858152269918E-2</v>
      </c>
      <c r="M807" s="17">
        <f t="shared" si="60"/>
        <v>0.35714285714285715</v>
      </c>
      <c r="N807" s="18">
        <f t="shared" si="61"/>
        <v>33.969387755102041</v>
      </c>
      <c r="O807" s="18">
        <f t="shared" si="62"/>
        <v>95.114285714285714</v>
      </c>
      <c r="P807" s="17">
        <f t="shared" si="63"/>
        <v>12.515037593984962</v>
      </c>
      <c r="Q807" s="17">
        <f t="shared" si="64"/>
        <v>0.20982276960048063</v>
      </c>
      <c r="R807" s="10" t="s">
        <v>1646</v>
      </c>
      <c r="S807" s="14" t="s">
        <v>34</v>
      </c>
      <c r="T807" s="14" t="s">
        <v>55</v>
      </c>
      <c r="U807" s="13">
        <v>13316</v>
      </c>
      <c r="V807" s="15">
        <v>4</v>
      </c>
      <c r="W807" s="9" t="str">
        <f>IF(Table1[[#This Row],[Satisfaction Rating]]&lt;2, "Low", IF(Table1[[#This Row],[Satisfaction Rating]]&lt;4, "Medium", "High"))</f>
        <v>High</v>
      </c>
    </row>
    <row r="808" spans="1:23" ht="14" x14ac:dyDescent="0.2">
      <c r="A808" s="10" t="s">
        <v>1647</v>
      </c>
      <c r="B808" s="11">
        <v>45648.261134259257</v>
      </c>
      <c r="C808" s="11">
        <v>45648.261134259257</v>
      </c>
      <c r="D808" s="11" t="str">
        <f>IF(Table1[[#This Row],[Duration of Campaign]]=0, "Ongoing","Completed")</f>
        <v>Ongoing</v>
      </c>
      <c r="E808" s="12">
        <f>Table1[[#This Row],[End Date]]-Table1[[#This Row],[Start Date]]</f>
        <v>0</v>
      </c>
      <c r="F808" s="13">
        <v>6178</v>
      </c>
      <c r="G808" s="14" t="s">
        <v>47</v>
      </c>
      <c r="H808" s="15">
        <v>5643</v>
      </c>
      <c r="I808" s="15">
        <v>170</v>
      </c>
      <c r="J808" s="15">
        <v>96</v>
      </c>
      <c r="K808" s="16">
        <v>8733</v>
      </c>
      <c r="L808" s="17">
        <f t="shared" si="60"/>
        <v>3.0125819599503809E-2</v>
      </c>
      <c r="M808" s="17">
        <f t="shared" si="60"/>
        <v>0.56470588235294117</v>
      </c>
      <c r="N808" s="18">
        <f t="shared" si="61"/>
        <v>92.382352941176464</v>
      </c>
      <c r="O808" s="18">
        <f t="shared" si="62"/>
        <v>163.59375</v>
      </c>
      <c r="P808" s="17">
        <f t="shared" si="63"/>
        <v>2.5420848170929102</v>
      </c>
      <c r="Q808" s="17">
        <f t="shared" si="64"/>
        <v>0.55606494746895896</v>
      </c>
      <c r="R808" s="10" t="s">
        <v>1648</v>
      </c>
      <c r="S808" s="14" t="s">
        <v>34</v>
      </c>
      <c r="T808" s="14" t="s">
        <v>27</v>
      </c>
      <c r="U808" s="13">
        <v>15705</v>
      </c>
      <c r="V808" s="15">
        <v>2</v>
      </c>
      <c r="W808" s="9" t="str">
        <f>IF(Table1[[#This Row],[Satisfaction Rating]]&lt;2, "Low", IF(Table1[[#This Row],[Satisfaction Rating]]&lt;4, "Medium", "High"))</f>
        <v>Medium</v>
      </c>
    </row>
    <row r="809" spans="1:23" ht="14" x14ac:dyDescent="0.2">
      <c r="A809" s="10" t="s">
        <v>1649</v>
      </c>
      <c r="B809" s="11">
        <v>45364.558981481481</v>
      </c>
      <c r="C809" s="11">
        <v>45530.029236111113</v>
      </c>
      <c r="D809" s="11" t="str">
        <f>IF(Table1[[#This Row],[Duration of Campaign]]=0, "Ongoing","Completed")</f>
        <v>Completed</v>
      </c>
      <c r="E809" s="12">
        <f>Table1[[#This Row],[End Date]]-Table1[[#This Row],[Start Date]]</f>
        <v>165.47025462963211</v>
      </c>
      <c r="F809" s="13">
        <v>5155</v>
      </c>
      <c r="G809" s="14" t="s">
        <v>47</v>
      </c>
      <c r="H809" s="15">
        <v>12094</v>
      </c>
      <c r="I809" s="15">
        <v>1732</v>
      </c>
      <c r="J809" s="15">
        <v>221</v>
      </c>
      <c r="K809" s="16">
        <v>5140</v>
      </c>
      <c r="L809" s="17">
        <f t="shared" si="60"/>
        <v>0.14321150983958988</v>
      </c>
      <c r="M809" s="17">
        <f t="shared" si="60"/>
        <v>0.12759815242494227</v>
      </c>
      <c r="N809" s="18">
        <f t="shared" si="61"/>
        <v>4.7961893764434178</v>
      </c>
      <c r="O809" s="18">
        <f t="shared" si="62"/>
        <v>37.588235294117645</v>
      </c>
      <c r="P809" s="17">
        <f t="shared" si="63"/>
        <v>1.6114451988360814</v>
      </c>
      <c r="Q809" s="17">
        <f t="shared" si="64"/>
        <v>0.61875526664259062</v>
      </c>
      <c r="R809" s="10" t="s">
        <v>1650</v>
      </c>
      <c r="S809" s="14" t="s">
        <v>34</v>
      </c>
      <c r="T809" s="14" t="s">
        <v>55</v>
      </c>
      <c r="U809" s="13">
        <v>8307</v>
      </c>
      <c r="V809" s="15">
        <v>4</v>
      </c>
      <c r="W809" s="9" t="str">
        <f>IF(Table1[[#This Row],[Satisfaction Rating]]&lt;2, "Low", IF(Table1[[#This Row],[Satisfaction Rating]]&lt;4, "Medium", "High"))</f>
        <v>High</v>
      </c>
    </row>
    <row r="810" spans="1:23" ht="14" x14ac:dyDescent="0.2">
      <c r="A810" s="10" t="s">
        <v>1651</v>
      </c>
      <c r="B810" s="11">
        <v>45468.049432870372</v>
      </c>
      <c r="C810" s="11">
        <v>45468.049432870372</v>
      </c>
      <c r="D810" s="11" t="str">
        <f>IF(Table1[[#This Row],[Duration of Campaign]]=0, "Ongoing","Completed")</f>
        <v>Ongoing</v>
      </c>
      <c r="E810" s="12">
        <f>Table1[[#This Row],[End Date]]-Table1[[#This Row],[Start Date]]</f>
        <v>0</v>
      </c>
      <c r="F810" s="13">
        <v>9868</v>
      </c>
      <c r="G810" s="14" t="s">
        <v>63</v>
      </c>
      <c r="H810" s="15">
        <v>10236</v>
      </c>
      <c r="I810" s="15">
        <v>615</v>
      </c>
      <c r="J810" s="15">
        <v>259</v>
      </c>
      <c r="K810" s="16">
        <v>10027</v>
      </c>
      <c r="L810" s="17">
        <f t="shared" si="60"/>
        <v>6.00820633059789E-2</v>
      </c>
      <c r="M810" s="17">
        <f t="shared" si="60"/>
        <v>0.42113821138211383</v>
      </c>
      <c r="N810" s="18">
        <f t="shared" si="61"/>
        <v>21.048780487804876</v>
      </c>
      <c r="O810" s="18">
        <f t="shared" si="62"/>
        <v>49.980694980694977</v>
      </c>
      <c r="P810" s="17">
        <f t="shared" si="63"/>
        <v>1.3118159708147548</v>
      </c>
      <c r="Q810" s="17">
        <f t="shared" si="64"/>
        <v>0.77458478176902279</v>
      </c>
      <c r="R810" s="10" t="s">
        <v>1652</v>
      </c>
      <c r="S810" s="14" t="s">
        <v>34</v>
      </c>
      <c r="T810" s="14" t="s">
        <v>55</v>
      </c>
      <c r="U810" s="13">
        <v>12945</v>
      </c>
      <c r="V810" s="15">
        <v>4</v>
      </c>
      <c r="W810" s="9" t="str">
        <f>IF(Table1[[#This Row],[Satisfaction Rating]]&lt;2, "Low", IF(Table1[[#This Row],[Satisfaction Rating]]&lt;4, "Medium", "High"))</f>
        <v>High</v>
      </c>
    </row>
    <row r="811" spans="1:23" ht="14" x14ac:dyDescent="0.2">
      <c r="A811" s="10" t="s">
        <v>1653</v>
      </c>
      <c r="B811" s="11">
        <v>45391.70857638889</v>
      </c>
      <c r="C811" s="11">
        <v>45391.70857638889</v>
      </c>
      <c r="D811" s="11" t="str">
        <f>IF(Table1[[#This Row],[Duration of Campaign]]=0, "Ongoing","Completed")</f>
        <v>Ongoing</v>
      </c>
      <c r="E811" s="12">
        <f>Table1[[#This Row],[End Date]]-Table1[[#This Row],[Start Date]]</f>
        <v>0</v>
      </c>
      <c r="F811" s="13">
        <v>2773</v>
      </c>
      <c r="G811" s="14" t="s">
        <v>29</v>
      </c>
      <c r="H811" s="15">
        <v>5470</v>
      </c>
      <c r="I811" s="15">
        <v>898</v>
      </c>
      <c r="J811" s="15">
        <v>437</v>
      </c>
      <c r="K811" s="16">
        <v>12152</v>
      </c>
      <c r="L811" s="17">
        <f t="shared" si="60"/>
        <v>0.16416819012797074</v>
      </c>
      <c r="M811" s="17">
        <f t="shared" si="60"/>
        <v>0.48663697104677062</v>
      </c>
      <c r="N811" s="18">
        <f t="shared" si="61"/>
        <v>16.971046770601337</v>
      </c>
      <c r="O811" s="18">
        <f t="shared" si="62"/>
        <v>34.874141876430208</v>
      </c>
      <c r="P811" s="17">
        <f t="shared" si="63"/>
        <v>5.4958528669311217</v>
      </c>
      <c r="Q811" s="17">
        <f t="shared" si="64"/>
        <v>0.79737532808398948</v>
      </c>
      <c r="R811" s="10" t="s">
        <v>1654</v>
      </c>
      <c r="S811" s="14" t="s">
        <v>31</v>
      </c>
      <c r="T811" s="14" t="s">
        <v>27</v>
      </c>
      <c r="U811" s="13">
        <v>15240</v>
      </c>
      <c r="V811" s="15">
        <v>1</v>
      </c>
      <c r="W811" s="9" t="str">
        <f>IF(Table1[[#This Row],[Satisfaction Rating]]&lt;2, "Low", IF(Table1[[#This Row],[Satisfaction Rating]]&lt;4, "Medium", "High"))</f>
        <v>Low</v>
      </c>
    </row>
    <row r="812" spans="1:23" ht="14" x14ac:dyDescent="0.2">
      <c r="A812" s="10" t="s">
        <v>1655</v>
      </c>
      <c r="B812" s="11">
        <v>45095.254502314812</v>
      </c>
      <c r="C812" s="11">
        <v>45218.255520833336</v>
      </c>
      <c r="D812" s="11" t="str">
        <f>IF(Table1[[#This Row],[Duration of Campaign]]=0, "Ongoing","Completed")</f>
        <v>Completed</v>
      </c>
      <c r="E812" s="12">
        <f>Table1[[#This Row],[End Date]]-Table1[[#This Row],[Start Date]]</f>
        <v>123.00101851852378</v>
      </c>
      <c r="F812" s="13">
        <v>7398</v>
      </c>
      <c r="G812" s="14" t="s">
        <v>63</v>
      </c>
      <c r="H812" s="15">
        <v>12880</v>
      </c>
      <c r="I812" s="15">
        <v>690</v>
      </c>
      <c r="J812" s="15">
        <v>145</v>
      </c>
      <c r="K812" s="16">
        <v>6839</v>
      </c>
      <c r="L812" s="17">
        <f t="shared" si="60"/>
        <v>5.3571428571428568E-2</v>
      </c>
      <c r="M812" s="17">
        <f t="shared" si="60"/>
        <v>0.21014492753623187</v>
      </c>
      <c r="N812" s="18">
        <f t="shared" si="61"/>
        <v>28.331884057971013</v>
      </c>
      <c r="O812" s="18">
        <f t="shared" si="62"/>
        <v>134.8206896551724</v>
      </c>
      <c r="P812" s="17">
        <f t="shared" si="63"/>
        <v>2.642470938091376</v>
      </c>
      <c r="Q812" s="17">
        <f t="shared" si="64"/>
        <v>0.34983886643818096</v>
      </c>
      <c r="R812" s="10" t="s">
        <v>1656</v>
      </c>
      <c r="S812" s="14" t="s">
        <v>45</v>
      </c>
      <c r="T812" s="14" t="s">
        <v>37</v>
      </c>
      <c r="U812" s="13">
        <v>19549</v>
      </c>
      <c r="V812" s="15">
        <v>3</v>
      </c>
      <c r="W812" s="9" t="str">
        <f>IF(Table1[[#This Row],[Satisfaction Rating]]&lt;2, "Low", IF(Table1[[#This Row],[Satisfaction Rating]]&lt;4, "Medium", "High"))</f>
        <v>Medium</v>
      </c>
    </row>
    <row r="813" spans="1:23" ht="14" x14ac:dyDescent="0.2">
      <c r="A813" s="10" t="s">
        <v>1657</v>
      </c>
      <c r="B813" s="11">
        <v>45298.203321759262</v>
      </c>
      <c r="C813" s="11">
        <v>45594.583171296297</v>
      </c>
      <c r="D813" s="11" t="str">
        <f>IF(Table1[[#This Row],[Duration of Campaign]]=0, "Ongoing","Completed")</f>
        <v>Completed</v>
      </c>
      <c r="E813" s="12">
        <f>Table1[[#This Row],[End Date]]-Table1[[#This Row],[Start Date]]</f>
        <v>296.37984953703562</v>
      </c>
      <c r="F813" s="13">
        <v>1099</v>
      </c>
      <c r="G813" s="14" t="s">
        <v>29</v>
      </c>
      <c r="H813" s="15">
        <v>7030</v>
      </c>
      <c r="I813" s="15">
        <v>906</v>
      </c>
      <c r="J813" s="15">
        <v>96</v>
      </c>
      <c r="K813" s="16">
        <v>2884</v>
      </c>
      <c r="L813" s="17">
        <f t="shared" si="60"/>
        <v>0.12887624466571834</v>
      </c>
      <c r="M813" s="17">
        <f t="shared" si="60"/>
        <v>0.10596026490066225</v>
      </c>
      <c r="N813" s="18">
        <f t="shared" si="61"/>
        <v>18.32560706401766</v>
      </c>
      <c r="O813" s="18">
        <f t="shared" si="62"/>
        <v>172.94791666666666</v>
      </c>
      <c r="P813" s="17">
        <f t="shared" si="63"/>
        <v>15.1073703366697</v>
      </c>
      <c r="Q813" s="17">
        <f t="shared" si="64"/>
        <v>0.1737035475516473</v>
      </c>
      <c r="R813" s="10" t="s">
        <v>1658</v>
      </c>
      <c r="S813" s="14" t="s">
        <v>26</v>
      </c>
      <c r="T813" s="14" t="s">
        <v>37</v>
      </c>
      <c r="U813" s="13">
        <v>16603</v>
      </c>
      <c r="V813" s="15">
        <v>1</v>
      </c>
      <c r="W813" s="9" t="str">
        <f>IF(Table1[[#This Row],[Satisfaction Rating]]&lt;2, "Low", IF(Table1[[#This Row],[Satisfaction Rating]]&lt;4, "Medium", "High"))</f>
        <v>Low</v>
      </c>
    </row>
    <row r="814" spans="1:23" ht="14" x14ac:dyDescent="0.2">
      <c r="A814" s="10" t="s">
        <v>1659</v>
      </c>
      <c r="B814" s="11">
        <v>45013.33520833333</v>
      </c>
      <c r="C814" s="11">
        <v>45390.334282407406</v>
      </c>
      <c r="D814" s="11" t="str">
        <f>IF(Table1[[#This Row],[Duration of Campaign]]=0, "Ongoing","Completed")</f>
        <v>Completed</v>
      </c>
      <c r="E814" s="12">
        <f>Table1[[#This Row],[End Date]]-Table1[[#This Row],[Start Date]]</f>
        <v>376.99907407407591</v>
      </c>
      <c r="F814" s="13">
        <v>1023</v>
      </c>
      <c r="G814" s="14" t="s">
        <v>63</v>
      </c>
      <c r="H814" s="15">
        <v>17806</v>
      </c>
      <c r="I814" s="15">
        <v>366</v>
      </c>
      <c r="J814" s="15">
        <v>289</v>
      </c>
      <c r="K814" s="16">
        <v>14413</v>
      </c>
      <c r="L814" s="17">
        <f t="shared" si="60"/>
        <v>2.0554869145231944E-2</v>
      </c>
      <c r="M814" s="17">
        <f t="shared" si="60"/>
        <v>0.7896174863387978</v>
      </c>
      <c r="N814" s="18">
        <f t="shared" si="61"/>
        <v>15.366120218579235</v>
      </c>
      <c r="O814" s="18">
        <f t="shared" si="62"/>
        <v>19.460207612456749</v>
      </c>
      <c r="P814" s="17">
        <f t="shared" si="63"/>
        <v>5.4975562072336261</v>
      </c>
      <c r="Q814" s="17">
        <f t="shared" si="64"/>
        <v>2.5627667140825037</v>
      </c>
      <c r="R814" s="10" t="s">
        <v>1660</v>
      </c>
      <c r="S814" s="14" t="s">
        <v>40</v>
      </c>
      <c r="T814" s="14" t="s">
        <v>37</v>
      </c>
      <c r="U814" s="13">
        <v>5624</v>
      </c>
      <c r="V814" s="15">
        <v>3</v>
      </c>
      <c r="W814" s="9" t="str">
        <f>IF(Table1[[#This Row],[Satisfaction Rating]]&lt;2, "Low", IF(Table1[[#This Row],[Satisfaction Rating]]&lt;4, "Medium", "High"))</f>
        <v>Medium</v>
      </c>
    </row>
    <row r="815" spans="1:23" ht="14" x14ac:dyDescent="0.2">
      <c r="A815" s="10" t="s">
        <v>1661</v>
      </c>
      <c r="B815" s="11">
        <v>45435.35769675926</v>
      </c>
      <c r="C815" s="11">
        <v>45435.35769675926</v>
      </c>
      <c r="D815" s="11" t="str">
        <f>IF(Table1[[#This Row],[Duration of Campaign]]=0, "Ongoing","Completed")</f>
        <v>Ongoing</v>
      </c>
      <c r="E815" s="12">
        <f>Table1[[#This Row],[End Date]]-Table1[[#This Row],[Start Date]]</f>
        <v>0</v>
      </c>
      <c r="F815" s="13">
        <v>1318</v>
      </c>
      <c r="G815" s="14" t="s">
        <v>29</v>
      </c>
      <c r="H815" s="15">
        <v>19522</v>
      </c>
      <c r="I815" s="15">
        <v>107</v>
      </c>
      <c r="J815" s="15">
        <v>318</v>
      </c>
      <c r="K815" s="16">
        <v>11875</v>
      </c>
      <c r="L815" s="17">
        <f t="shared" si="60"/>
        <v>5.480995799610696E-3</v>
      </c>
      <c r="M815" s="17">
        <f t="shared" si="60"/>
        <v>2.97196261682243</v>
      </c>
      <c r="N815" s="18">
        <f t="shared" si="61"/>
        <v>173.73831775700936</v>
      </c>
      <c r="O815" s="18">
        <f t="shared" si="62"/>
        <v>58.459119496855344</v>
      </c>
      <c r="P815" s="17">
        <f t="shared" si="63"/>
        <v>14.104704097116844</v>
      </c>
      <c r="Q815" s="17">
        <f t="shared" si="64"/>
        <v>0.63878429263044645</v>
      </c>
      <c r="R815" s="10" t="s">
        <v>1662</v>
      </c>
      <c r="S815" s="14" t="s">
        <v>26</v>
      </c>
      <c r="T815" s="14" t="s">
        <v>27</v>
      </c>
      <c r="U815" s="13">
        <v>18590</v>
      </c>
      <c r="V815" s="15">
        <v>5</v>
      </c>
      <c r="W815" s="9" t="str">
        <f>IF(Table1[[#This Row],[Satisfaction Rating]]&lt;2, "Low", IF(Table1[[#This Row],[Satisfaction Rating]]&lt;4, "Medium", "High"))</f>
        <v>High</v>
      </c>
    </row>
    <row r="816" spans="1:23" ht="14" x14ac:dyDescent="0.2">
      <c r="A816" s="10" t="s">
        <v>1663</v>
      </c>
      <c r="B816" s="11">
        <v>45555.784629629627</v>
      </c>
      <c r="C816" s="11">
        <v>45555.784629629627</v>
      </c>
      <c r="D816" s="11" t="str">
        <f>IF(Table1[[#This Row],[Duration of Campaign]]=0, "Ongoing","Completed")</f>
        <v>Ongoing</v>
      </c>
      <c r="E816" s="12">
        <f>Table1[[#This Row],[End Date]]-Table1[[#This Row],[Start Date]]</f>
        <v>0</v>
      </c>
      <c r="F816" s="13">
        <v>7967</v>
      </c>
      <c r="G816" s="14" t="s">
        <v>47</v>
      </c>
      <c r="H816" s="15">
        <v>1240</v>
      </c>
      <c r="I816" s="15">
        <v>1053</v>
      </c>
      <c r="J816" s="15">
        <v>36</v>
      </c>
      <c r="K816" s="16">
        <v>8953</v>
      </c>
      <c r="L816" s="17">
        <f t="shared" si="60"/>
        <v>0.84919354838709682</v>
      </c>
      <c r="M816" s="17">
        <f t="shared" si="60"/>
        <v>3.4188034188034191E-2</v>
      </c>
      <c r="N816" s="18">
        <f t="shared" si="61"/>
        <v>16.920227920227919</v>
      </c>
      <c r="O816" s="18">
        <f t="shared" si="62"/>
        <v>494.91666666666669</v>
      </c>
      <c r="P816" s="17">
        <f t="shared" si="63"/>
        <v>2.2363499435170078</v>
      </c>
      <c r="Q816" s="17">
        <f t="shared" si="64"/>
        <v>0.50249761463770559</v>
      </c>
      <c r="R816" s="10" t="s">
        <v>1664</v>
      </c>
      <c r="S816" s="14" t="s">
        <v>34</v>
      </c>
      <c r="T816" s="14" t="s">
        <v>37</v>
      </c>
      <c r="U816" s="13">
        <v>17817</v>
      </c>
      <c r="V816" s="15">
        <v>5</v>
      </c>
      <c r="W816" s="9" t="str">
        <f>IF(Table1[[#This Row],[Satisfaction Rating]]&lt;2, "Low", IF(Table1[[#This Row],[Satisfaction Rating]]&lt;4, "Medium", "High"))</f>
        <v>High</v>
      </c>
    </row>
    <row r="817" spans="1:23" ht="14" x14ac:dyDescent="0.2">
      <c r="A817" s="10" t="s">
        <v>1665</v>
      </c>
      <c r="B817" s="11">
        <v>45010.80804398148</v>
      </c>
      <c r="C817" s="11">
        <v>45245.499722222223</v>
      </c>
      <c r="D817" s="11" t="str">
        <f>IF(Table1[[#This Row],[Duration of Campaign]]=0, "Ongoing","Completed")</f>
        <v>Completed</v>
      </c>
      <c r="E817" s="12">
        <f>Table1[[#This Row],[End Date]]-Table1[[#This Row],[Start Date]]</f>
        <v>234.69167824074248</v>
      </c>
      <c r="F817" s="13">
        <v>1747</v>
      </c>
      <c r="G817" s="14" t="s">
        <v>29</v>
      </c>
      <c r="H817" s="15">
        <v>18546</v>
      </c>
      <c r="I817" s="15">
        <v>929</v>
      </c>
      <c r="J817" s="15">
        <v>498</v>
      </c>
      <c r="K817" s="16">
        <v>9343</v>
      </c>
      <c r="L817" s="17">
        <f t="shared" si="60"/>
        <v>5.0091663970667527E-2</v>
      </c>
      <c r="M817" s="17">
        <f t="shared" si="60"/>
        <v>0.53606027987082883</v>
      </c>
      <c r="N817" s="18">
        <f t="shared" si="61"/>
        <v>4.3186221743810549</v>
      </c>
      <c r="O817" s="18">
        <f t="shared" si="62"/>
        <v>8.0562248995983943</v>
      </c>
      <c r="P817" s="17">
        <f t="shared" si="63"/>
        <v>2.2965082999427588</v>
      </c>
      <c r="Q817" s="17">
        <f t="shared" si="64"/>
        <v>2.3287637088733799</v>
      </c>
      <c r="R817" s="10" t="s">
        <v>1666</v>
      </c>
      <c r="S817" s="14" t="s">
        <v>40</v>
      </c>
      <c r="T817" s="14" t="s">
        <v>37</v>
      </c>
      <c r="U817" s="13">
        <v>4012</v>
      </c>
      <c r="V817" s="15">
        <v>3</v>
      </c>
      <c r="W817" s="9" t="str">
        <f>IF(Table1[[#This Row],[Satisfaction Rating]]&lt;2, "Low", IF(Table1[[#This Row],[Satisfaction Rating]]&lt;4, "Medium", "High"))</f>
        <v>Medium</v>
      </c>
    </row>
    <row r="818" spans="1:23" ht="14" x14ac:dyDescent="0.2">
      <c r="A818" s="10" t="s">
        <v>1667</v>
      </c>
      <c r="B818" s="11">
        <v>45575.961168981485</v>
      </c>
      <c r="C818" s="11">
        <v>45575.961168981485</v>
      </c>
      <c r="D818" s="11" t="str">
        <f>IF(Table1[[#This Row],[Duration of Campaign]]=0, "Ongoing","Completed")</f>
        <v>Ongoing</v>
      </c>
      <c r="E818" s="12">
        <f>Table1[[#This Row],[End Date]]-Table1[[#This Row],[Start Date]]</f>
        <v>0</v>
      </c>
      <c r="F818" s="13">
        <v>4745</v>
      </c>
      <c r="G818" s="14" t="s">
        <v>24</v>
      </c>
      <c r="H818" s="15">
        <v>11601</v>
      </c>
      <c r="I818" s="15">
        <v>1000</v>
      </c>
      <c r="J818" s="15">
        <v>133</v>
      </c>
      <c r="K818" s="16">
        <v>1194</v>
      </c>
      <c r="L818" s="17">
        <f t="shared" si="60"/>
        <v>8.619946556331351E-2</v>
      </c>
      <c r="M818" s="17">
        <f t="shared" si="60"/>
        <v>0.13300000000000001</v>
      </c>
      <c r="N818" s="18">
        <f t="shared" si="61"/>
        <v>16.713000000000001</v>
      </c>
      <c r="O818" s="18">
        <f t="shared" si="62"/>
        <v>125.66165413533835</v>
      </c>
      <c r="P818" s="17">
        <f t="shared" si="63"/>
        <v>3.5222339304531087</v>
      </c>
      <c r="Q818" s="17">
        <f t="shared" si="64"/>
        <v>7.1441392927661107E-2</v>
      </c>
      <c r="R818" s="10" t="s">
        <v>1668</v>
      </c>
      <c r="S818" s="14" t="s">
        <v>40</v>
      </c>
      <c r="T818" s="14" t="s">
        <v>37</v>
      </c>
      <c r="U818" s="13">
        <v>16713</v>
      </c>
      <c r="V818" s="15">
        <v>5</v>
      </c>
      <c r="W818" s="9" t="str">
        <f>IF(Table1[[#This Row],[Satisfaction Rating]]&lt;2, "Low", IF(Table1[[#This Row],[Satisfaction Rating]]&lt;4, "Medium", "High"))</f>
        <v>High</v>
      </c>
    </row>
    <row r="819" spans="1:23" ht="14" x14ac:dyDescent="0.2">
      <c r="A819" s="10" t="s">
        <v>1669</v>
      </c>
      <c r="B819" s="11">
        <v>45058.570960648147</v>
      </c>
      <c r="C819" s="11">
        <v>45275.819363425922</v>
      </c>
      <c r="D819" s="11" t="str">
        <f>IF(Table1[[#This Row],[Duration of Campaign]]=0, "Ongoing","Completed")</f>
        <v>Completed</v>
      </c>
      <c r="E819" s="12">
        <f>Table1[[#This Row],[End Date]]-Table1[[#This Row],[Start Date]]</f>
        <v>217.24840277777548</v>
      </c>
      <c r="F819" s="13">
        <v>8525</v>
      </c>
      <c r="G819" s="14" t="s">
        <v>63</v>
      </c>
      <c r="H819" s="15">
        <v>7669</v>
      </c>
      <c r="I819" s="15">
        <v>677</v>
      </c>
      <c r="J819" s="15">
        <v>41</v>
      </c>
      <c r="K819" s="16">
        <v>893</v>
      </c>
      <c r="L819" s="17">
        <f t="shared" si="60"/>
        <v>8.8277480766723176E-2</v>
      </c>
      <c r="M819" s="17">
        <f t="shared" si="60"/>
        <v>6.0561299852289516E-2</v>
      </c>
      <c r="N819" s="18">
        <f t="shared" si="61"/>
        <v>4.7872968980797639</v>
      </c>
      <c r="O819" s="18">
        <f t="shared" si="62"/>
        <v>79.048780487804876</v>
      </c>
      <c r="P819" s="17">
        <f t="shared" si="63"/>
        <v>0.3801759530791789</v>
      </c>
      <c r="Q819" s="17">
        <f t="shared" si="64"/>
        <v>0.27553224313483493</v>
      </c>
      <c r="R819" s="10" t="s">
        <v>1670</v>
      </c>
      <c r="S819" s="14" t="s">
        <v>34</v>
      </c>
      <c r="T819" s="14" t="s">
        <v>37</v>
      </c>
      <c r="U819" s="13">
        <v>3241</v>
      </c>
      <c r="V819" s="15">
        <v>1</v>
      </c>
      <c r="W819" s="9" t="str">
        <f>IF(Table1[[#This Row],[Satisfaction Rating]]&lt;2, "Low", IF(Table1[[#This Row],[Satisfaction Rating]]&lt;4, "Medium", "High"))</f>
        <v>Low</v>
      </c>
    </row>
    <row r="820" spans="1:23" ht="14" x14ac:dyDescent="0.2">
      <c r="A820" s="10" t="s">
        <v>1671</v>
      </c>
      <c r="B820" s="11">
        <v>45091.945659722223</v>
      </c>
      <c r="C820" s="11">
        <v>45627.672118055554</v>
      </c>
      <c r="D820" s="11" t="str">
        <f>IF(Table1[[#This Row],[Duration of Campaign]]=0, "Ongoing","Completed")</f>
        <v>Completed</v>
      </c>
      <c r="E820" s="12">
        <f>Table1[[#This Row],[End Date]]-Table1[[#This Row],[Start Date]]</f>
        <v>535.72645833333081</v>
      </c>
      <c r="F820" s="13">
        <v>5732</v>
      </c>
      <c r="G820" s="14" t="s">
        <v>47</v>
      </c>
      <c r="H820" s="15">
        <v>9837</v>
      </c>
      <c r="I820" s="15">
        <v>159</v>
      </c>
      <c r="J820" s="15">
        <v>42</v>
      </c>
      <c r="K820" s="16">
        <v>10089</v>
      </c>
      <c r="L820" s="17">
        <f t="shared" si="60"/>
        <v>1.6163464470875268E-2</v>
      </c>
      <c r="M820" s="17">
        <f t="shared" si="60"/>
        <v>0.26415094339622641</v>
      </c>
      <c r="N820" s="18">
        <f t="shared" si="61"/>
        <v>37.025157232704402</v>
      </c>
      <c r="O820" s="18">
        <f t="shared" si="62"/>
        <v>140.16666666666666</v>
      </c>
      <c r="P820" s="17">
        <f t="shared" si="63"/>
        <v>1.0270411723656665</v>
      </c>
      <c r="Q820" s="17">
        <f t="shared" si="64"/>
        <v>1.7137761168676746</v>
      </c>
      <c r="R820" s="10" t="s">
        <v>1672</v>
      </c>
      <c r="S820" s="14" t="s">
        <v>40</v>
      </c>
      <c r="T820" s="14" t="s">
        <v>55</v>
      </c>
      <c r="U820" s="13">
        <v>5887</v>
      </c>
      <c r="V820" s="15">
        <v>4</v>
      </c>
      <c r="W820" s="9" t="str">
        <f>IF(Table1[[#This Row],[Satisfaction Rating]]&lt;2, "Low", IF(Table1[[#This Row],[Satisfaction Rating]]&lt;4, "Medium", "High"))</f>
        <v>High</v>
      </c>
    </row>
    <row r="821" spans="1:23" ht="14" x14ac:dyDescent="0.2">
      <c r="A821" s="10" t="s">
        <v>1673</v>
      </c>
      <c r="B821" s="11">
        <v>45293.338020833333</v>
      </c>
      <c r="C821" s="11">
        <v>45293.338020833333</v>
      </c>
      <c r="D821" s="11" t="str">
        <f>IF(Table1[[#This Row],[Duration of Campaign]]=0, "Ongoing","Completed")</f>
        <v>Ongoing</v>
      </c>
      <c r="E821" s="12">
        <f>Table1[[#This Row],[End Date]]-Table1[[#This Row],[Start Date]]</f>
        <v>0</v>
      </c>
      <c r="F821" s="13">
        <v>3468</v>
      </c>
      <c r="G821" s="14" t="s">
        <v>24</v>
      </c>
      <c r="H821" s="15">
        <v>13701</v>
      </c>
      <c r="I821" s="15">
        <v>799</v>
      </c>
      <c r="J821" s="15">
        <v>205</v>
      </c>
      <c r="K821" s="16">
        <v>3641</v>
      </c>
      <c r="L821" s="17">
        <f t="shared" si="60"/>
        <v>5.8316911174366833E-2</v>
      </c>
      <c r="M821" s="17">
        <f t="shared" si="60"/>
        <v>0.2565707133917397</v>
      </c>
      <c r="N821" s="18">
        <f t="shared" si="61"/>
        <v>14.389236545682103</v>
      </c>
      <c r="O821" s="18">
        <f t="shared" si="62"/>
        <v>56.082926829268295</v>
      </c>
      <c r="P821" s="17">
        <f t="shared" si="63"/>
        <v>3.3151672433679353</v>
      </c>
      <c r="Q821" s="17">
        <f t="shared" si="64"/>
        <v>0.31669131077672436</v>
      </c>
      <c r="R821" s="10" t="s">
        <v>1674</v>
      </c>
      <c r="S821" s="14" t="s">
        <v>34</v>
      </c>
      <c r="T821" s="14" t="s">
        <v>37</v>
      </c>
      <c r="U821" s="13">
        <v>11497</v>
      </c>
      <c r="V821" s="15">
        <v>3</v>
      </c>
      <c r="W821" s="9" t="str">
        <f>IF(Table1[[#This Row],[Satisfaction Rating]]&lt;2, "Low", IF(Table1[[#This Row],[Satisfaction Rating]]&lt;4, "Medium", "High"))</f>
        <v>Medium</v>
      </c>
    </row>
    <row r="822" spans="1:23" ht="14" x14ac:dyDescent="0.2">
      <c r="A822" s="10" t="s">
        <v>1675</v>
      </c>
      <c r="B822" s="11">
        <v>45216.787083333336</v>
      </c>
      <c r="C822" s="11">
        <v>45216.787083333336</v>
      </c>
      <c r="D822" s="11" t="str">
        <f>IF(Table1[[#This Row],[Duration of Campaign]]=0, "Ongoing","Completed")</f>
        <v>Ongoing</v>
      </c>
      <c r="E822" s="12">
        <f>Table1[[#This Row],[End Date]]-Table1[[#This Row],[Start Date]]</f>
        <v>0</v>
      </c>
      <c r="F822" s="13">
        <v>3971</v>
      </c>
      <c r="G822" s="14" t="s">
        <v>63</v>
      </c>
      <c r="H822" s="15">
        <v>10009</v>
      </c>
      <c r="I822" s="15">
        <v>1943</v>
      </c>
      <c r="J822" s="15">
        <v>228</v>
      </c>
      <c r="K822" s="16">
        <v>2504</v>
      </c>
      <c r="L822" s="17">
        <f t="shared" si="60"/>
        <v>0.19412528724148267</v>
      </c>
      <c r="M822" s="17">
        <f t="shared" si="60"/>
        <v>0.11734431291816778</v>
      </c>
      <c r="N822" s="18">
        <f t="shared" si="61"/>
        <v>9.8013381369016983</v>
      </c>
      <c r="O822" s="18">
        <f t="shared" si="62"/>
        <v>83.526315789473685</v>
      </c>
      <c r="P822" s="17">
        <f t="shared" si="63"/>
        <v>4.7957693276252833</v>
      </c>
      <c r="Q822" s="17">
        <f t="shared" si="64"/>
        <v>0.13148498214660786</v>
      </c>
      <c r="R822" s="10" t="s">
        <v>1676</v>
      </c>
      <c r="S822" s="14" t="s">
        <v>34</v>
      </c>
      <c r="T822" s="14" t="s">
        <v>27</v>
      </c>
      <c r="U822" s="13">
        <v>19044</v>
      </c>
      <c r="V822" s="15">
        <v>2</v>
      </c>
      <c r="W822" s="9" t="str">
        <f>IF(Table1[[#This Row],[Satisfaction Rating]]&lt;2, "Low", IF(Table1[[#This Row],[Satisfaction Rating]]&lt;4, "Medium", "High"))</f>
        <v>Medium</v>
      </c>
    </row>
    <row r="823" spans="1:23" ht="14" x14ac:dyDescent="0.2">
      <c r="A823" s="10" t="s">
        <v>1677</v>
      </c>
      <c r="B823" s="11">
        <v>45298.267777777779</v>
      </c>
      <c r="C823" s="11">
        <v>45298.267777777779</v>
      </c>
      <c r="D823" s="11" t="str">
        <f>IF(Table1[[#This Row],[Duration of Campaign]]=0, "Ongoing","Completed")</f>
        <v>Ongoing</v>
      </c>
      <c r="E823" s="12">
        <f>Table1[[#This Row],[End Date]]-Table1[[#This Row],[Start Date]]</f>
        <v>0</v>
      </c>
      <c r="F823" s="13">
        <v>5019</v>
      </c>
      <c r="G823" s="14" t="s">
        <v>63</v>
      </c>
      <c r="H823" s="15">
        <v>7030</v>
      </c>
      <c r="I823" s="15">
        <v>1271</v>
      </c>
      <c r="J823" s="15">
        <v>476</v>
      </c>
      <c r="K823" s="16">
        <v>10241</v>
      </c>
      <c r="L823" s="17">
        <f t="shared" si="60"/>
        <v>0.18079658605974394</v>
      </c>
      <c r="M823" s="17">
        <f t="shared" si="60"/>
        <v>0.37450826121164438</v>
      </c>
      <c r="N823" s="18">
        <f t="shared" si="61"/>
        <v>13.72462627852085</v>
      </c>
      <c r="O823" s="18">
        <f t="shared" si="62"/>
        <v>36.647058823529413</v>
      </c>
      <c r="P823" s="17">
        <f t="shared" si="63"/>
        <v>3.4755927475592747</v>
      </c>
      <c r="Q823" s="17">
        <f t="shared" si="64"/>
        <v>0.5870786516853933</v>
      </c>
      <c r="R823" s="10" t="s">
        <v>1678</v>
      </c>
      <c r="S823" s="14" t="s">
        <v>45</v>
      </c>
      <c r="T823" s="14" t="s">
        <v>37</v>
      </c>
      <c r="U823" s="13">
        <v>17444</v>
      </c>
      <c r="V823" s="15">
        <v>1</v>
      </c>
      <c r="W823" s="9" t="str">
        <f>IF(Table1[[#This Row],[Satisfaction Rating]]&lt;2, "Low", IF(Table1[[#This Row],[Satisfaction Rating]]&lt;4, "Medium", "High"))</f>
        <v>Low</v>
      </c>
    </row>
    <row r="824" spans="1:23" ht="14" x14ac:dyDescent="0.2">
      <c r="A824" s="10" t="s">
        <v>1679</v>
      </c>
      <c r="B824" s="11">
        <v>45588.572627314818</v>
      </c>
      <c r="C824" s="11">
        <v>45598.294305555559</v>
      </c>
      <c r="D824" s="11" t="str">
        <f>IF(Table1[[#This Row],[Duration of Campaign]]=0, "Ongoing","Completed")</f>
        <v>Completed</v>
      </c>
      <c r="E824" s="12">
        <f>Table1[[#This Row],[End Date]]-Table1[[#This Row],[Start Date]]</f>
        <v>9.721678240741312</v>
      </c>
      <c r="F824" s="13">
        <v>6443</v>
      </c>
      <c r="G824" s="14" t="s">
        <v>47</v>
      </c>
      <c r="H824" s="15">
        <v>7440</v>
      </c>
      <c r="I824" s="15">
        <v>245</v>
      </c>
      <c r="J824" s="15">
        <v>79</v>
      </c>
      <c r="K824" s="16">
        <v>13385</v>
      </c>
      <c r="L824" s="17">
        <f t="shared" si="60"/>
        <v>3.2930107526881719E-2</v>
      </c>
      <c r="M824" s="17">
        <f t="shared" si="60"/>
        <v>0.32244897959183672</v>
      </c>
      <c r="N824" s="18">
        <f t="shared" si="61"/>
        <v>43.648979591836735</v>
      </c>
      <c r="O824" s="18">
        <f t="shared" si="62"/>
        <v>135.36708860759492</v>
      </c>
      <c r="P824" s="17">
        <f t="shared" si="63"/>
        <v>1.6597858140617725</v>
      </c>
      <c r="Q824" s="17">
        <f t="shared" si="64"/>
        <v>1.2516364316439126</v>
      </c>
      <c r="R824" s="10" t="s">
        <v>1680</v>
      </c>
      <c r="S824" s="14" t="s">
        <v>34</v>
      </c>
      <c r="T824" s="14" t="s">
        <v>27</v>
      </c>
      <c r="U824" s="13">
        <v>10694</v>
      </c>
      <c r="V824" s="15">
        <v>1</v>
      </c>
      <c r="W824" s="9" t="str">
        <f>IF(Table1[[#This Row],[Satisfaction Rating]]&lt;2, "Low", IF(Table1[[#This Row],[Satisfaction Rating]]&lt;4, "Medium", "High"))</f>
        <v>Low</v>
      </c>
    </row>
    <row r="825" spans="1:23" ht="14" x14ac:dyDescent="0.2">
      <c r="A825" s="10" t="s">
        <v>1681</v>
      </c>
      <c r="B825" s="11">
        <v>45395.826874999999</v>
      </c>
      <c r="C825" s="11">
        <v>45395.826874999999</v>
      </c>
      <c r="D825" s="11" t="str">
        <f>IF(Table1[[#This Row],[Duration of Campaign]]=0, "Ongoing","Completed")</f>
        <v>Ongoing</v>
      </c>
      <c r="E825" s="12">
        <f>Table1[[#This Row],[End Date]]-Table1[[#This Row],[Start Date]]</f>
        <v>0</v>
      </c>
      <c r="F825" s="13">
        <v>8482</v>
      </c>
      <c r="G825" s="14" t="s">
        <v>29</v>
      </c>
      <c r="H825" s="15">
        <v>3759</v>
      </c>
      <c r="I825" s="15">
        <v>1337</v>
      </c>
      <c r="J825" s="15">
        <v>436</v>
      </c>
      <c r="K825" s="16">
        <v>3024</v>
      </c>
      <c r="L825" s="17">
        <f t="shared" si="60"/>
        <v>0.35567970204841715</v>
      </c>
      <c r="M825" s="17">
        <f t="shared" si="60"/>
        <v>0.3261032161555722</v>
      </c>
      <c r="N825" s="18">
        <f t="shared" si="61"/>
        <v>12.707554225878834</v>
      </c>
      <c r="O825" s="18">
        <f t="shared" si="62"/>
        <v>38.967889908256879</v>
      </c>
      <c r="P825" s="17">
        <f t="shared" si="63"/>
        <v>2.0030653147842492</v>
      </c>
      <c r="Q825" s="17">
        <f t="shared" si="64"/>
        <v>0.17798705120659211</v>
      </c>
      <c r="R825" s="10" t="s">
        <v>1682</v>
      </c>
      <c r="S825" s="14" t="s">
        <v>31</v>
      </c>
      <c r="T825" s="14" t="s">
        <v>27</v>
      </c>
      <c r="U825" s="13">
        <v>16990</v>
      </c>
      <c r="V825" s="15">
        <v>3</v>
      </c>
      <c r="W825" s="9" t="str">
        <f>IF(Table1[[#This Row],[Satisfaction Rating]]&lt;2, "Low", IF(Table1[[#This Row],[Satisfaction Rating]]&lt;4, "Medium", "High"))</f>
        <v>Medium</v>
      </c>
    </row>
    <row r="826" spans="1:23" ht="14" x14ac:dyDescent="0.2">
      <c r="A826" s="10" t="s">
        <v>1683</v>
      </c>
      <c r="B826" s="11">
        <v>45000.602743055555</v>
      </c>
      <c r="C826" s="11">
        <v>45182.93037037037</v>
      </c>
      <c r="D826" s="11" t="str">
        <f>IF(Table1[[#This Row],[Duration of Campaign]]=0, "Ongoing","Completed")</f>
        <v>Completed</v>
      </c>
      <c r="E826" s="12">
        <f>Table1[[#This Row],[End Date]]-Table1[[#This Row],[Start Date]]</f>
        <v>182.32762731481489</v>
      </c>
      <c r="F826" s="13">
        <v>4465</v>
      </c>
      <c r="G826" s="14" t="s">
        <v>63</v>
      </c>
      <c r="H826" s="15">
        <v>17819</v>
      </c>
      <c r="I826" s="15">
        <v>207</v>
      </c>
      <c r="J826" s="15">
        <v>99</v>
      </c>
      <c r="K826" s="16">
        <v>9669</v>
      </c>
      <c r="L826" s="17">
        <f t="shared" si="60"/>
        <v>1.1616813513665189E-2</v>
      </c>
      <c r="M826" s="17">
        <f t="shared" si="60"/>
        <v>0.47826086956521741</v>
      </c>
      <c r="N826" s="18">
        <f t="shared" si="61"/>
        <v>5.6714975845410631</v>
      </c>
      <c r="O826" s="18">
        <f t="shared" si="62"/>
        <v>11.858585858585858</v>
      </c>
      <c r="P826" s="17">
        <f t="shared" si="63"/>
        <v>0.26293393057110864</v>
      </c>
      <c r="Q826" s="17">
        <f t="shared" si="64"/>
        <v>8.2359454855195917</v>
      </c>
      <c r="R826" s="10" t="s">
        <v>1684</v>
      </c>
      <c r="S826" s="14" t="s">
        <v>26</v>
      </c>
      <c r="T826" s="14" t="s">
        <v>55</v>
      </c>
      <c r="U826" s="13">
        <v>1174</v>
      </c>
      <c r="V826" s="15">
        <v>5</v>
      </c>
      <c r="W826" s="9" t="str">
        <f>IF(Table1[[#This Row],[Satisfaction Rating]]&lt;2, "Low", IF(Table1[[#This Row],[Satisfaction Rating]]&lt;4, "Medium", "High"))</f>
        <v>High</v>
      </c>
    </row>
    <row r="827" spans="1:23" ht="14" x14ac:dyDescent="0.2">
      <c r="A827" s="10" t="s">
        <v>1685</v>
      </c>
      <c r="B827" s="11">
        <v>45491.362037037034</v>
      </c>
      <c r="C827" s="11">
        <v>45491.362037037034</v>
      </c>
      <c r="D827" s="11" t="str">
        <f>IF(Table1[[#This Row],[Duration of Campaign]]=0, "Ongoing","Completed")</f>
        <v>Ongoing</v>
      </c>
      <c r="E827" s="12">
        <f>Table1[[#This Row],[End Date]]-Table1[[#This Row],[Start Date]]</f>
        <v>0</v>
      </c>
      <c r="F827" s="13">
        <v>5066</v>
      </c>
      <c r="G827" s="14" t="s">
        <v>47</v>
      </c>
      <c r="H827" s="15">
        <v>11108</v>
      </c>
      <c r="I827" s="15">
        <v>1109</v>
      </c>
      <c r="J827" s="15">
        <v>362</v>
      </c>
      <c r="K827" s="16">
        <v>10962</v>
      </c>
      <c r="L827" s="17">
        <f t="shared" si="60"/>
        <v>9.9837954627295639E-2</v>
      </c>
      <c r="M827" s="17">
        <f t="shared" si="60"/>
        <v>0.32642019837691616</v>
      </c>
      <c r="N827" s="18">
        <f t="shared" si="61"/>
        <v>13.553651938683499</v>
      </c>
      <c r="O827" s="18">
        <f t="shared" si="62"/>
        <v>41.52209944751381</v>
      </c>
      <c r="P827" s="17">
        <f t="shared" si="63"/>
        <v>2.9670351362021319</v>
      </c>
      <c r="Q827" s="17">
        <f t="shared" si="64"/>
        <v>0.72929279489055954</v>
      </c>
      <c r="R827" s="10" t="s">
        <v>1686</v>
      </c>
      <c r="S827" s="14" t="s">
        <v>40</v>
      </c>
      <c r="T827" s="14" t="s">
        <v>27</v>
      </c>
      <c r="U827" s="13">
        <v>15031</v>
      </c>
      <c r="V827" s="15">
        <v>4</v>
      </c>
      <c r="W827" s="9" t="str">
        <f>IF(Table1[[#This Row],[Satisfaction Rating]]&lt;2, "Low", IF(Table1[[#This Row],[Satisfaction Rating]]&lt;4, "Medium", "High"))</f>
        <v>High</v>
      </c>
    </row>
    <row r="828" spans="1:23" ht="14" x14ac:dyDescent="0.2">
      <c r="A828" s="10" t="s">
        <v>1687</v>
      </c>
      <c r="B828" s="11">
        <v>45313.619814814818</v>
      </c>
      <c r="C828" s="11">
        <v>45313.619814814818</v>
      </c>
      <c r="D828" s="11" t="str">
        <f>IF(Table1[[#This Row],[Duration of Campaign]]=0, "Ongoing","Completed")</f>
        <v>Ongoing</v>
      </c>
      <c r="E828" s="12">
        <f>Table1[[#This Row],[End Date]]-Table1[[#This Row],[Start Date]]</f>
        <v>0</v>
      </c>
      <c r="F828" s="13">
        <v>9594</v>
      </c>
      <c r="G828" s="14" t="s">
        <v>29</v>
      </c>
      <c r="H828" s="15">
        <v>8791</v>
      </c>
      <c r="I828" s="15">
        <v>1300</v>
      </c>
      <c r="J828" s="15">
        <v>246</v>
      </c>
      <c r="K828" s="16">
        <v>10976</v>
      </c>
      <c r="L828" s="17">
        <f t="shared" si="60"/>
        <v>0.14787851211466271</v>
      </c>
      <c r="M828" s="17">
        <f t="shared" si="60"/>
        <v>0.18923076923076923</v>
      </c>
      <c r="N828" s="18">
        <f t="shared" si="61"/>
        <v>12.251538461538461</v>
      </c>
      <c r="O828" s="18">
        <f t="shared" si="62"/>
        <v>64.743902439024396</v>
      </c>
      <c r="P828" s="17">
        <f t="shared" si="63"/>
        <v>1.6601000625390869</v>
      </c>
      <c r="Q828" s="17">
        <f t="shared" si="64"/>
        <v>0.68914422050605895</v>
      </c>
      <c r="R828" s="10" t="s">
        <v>1688</v>
      </c>
      <c r="S828" s="14" t="s">
        <v>34</v>
      </c>
      <c r="T828" s="14" t="s">
        <v>27</v>
      </c>
      <c r="U828" s="13">
        <v>15927</v>
      </c>
      <c r="V828" s="15">
        <v>2</v>
      </c>
      <c r="W828" s="9" t="str">
        <f>IF(Table1[[#This Row],[Satisfaction Rating]]&lt;2, "Low", IF(Table1[[#This Row],[Satisfaction Rating]]&lt;4, "Medium", "High"))</f>
        <v>Medium</v>
      </c>
    </row>
    <row r="829" spans="1:23" ht="14" x14ac:dyDescent="0.2">
      <c r="A829" s="10" t="s">
        <v>1689</v>
      </c>
      <c r="B829" s="11">
        <v>44981.339594907404</v>
      </c>
      <c r="C829" s="11">
        <v>45237.194849537038</v>
      </c>
      <c r="D829" s="11" t="str">
        <f>IF(Table1[[#This Row],[Duration of Campaign]]=0, "Ongoing","Completed")</f>
        <v>Completed</v>
      </c>
      <c r="E829" s="12">
        <f>Table1[[#This Row],[End Date]]-Table1[[#This Row],[Start Date]]</f>
        <v>255.85525462963415</v>
      </c>
      <c r="F829" s="13">
        <v>2534</v>
      </c>
      <c r="G829" s="14" t="s">
        <v>24</v>
      </c>
      <c r="H829" s="15">
        <v>17702</v>
      </c>
      <c r="I829" s="15">
        <v>1356</v>
      </c>
      <c r="J829" s="15">
        <v>189</v>
      </c>
      <c r="K829" s="16">
        <v>1053</v>
      </c>
      <c r="L829" s="17">
        <f t="shared" si="60"/>
        <v>7.660151395322562E-2</v>
      </c>
      <c r="M829" s="17">
        <f t="shared" si="60"/>
        <v>0.13938053097345132</v>
      </c>
      <c r="N829" s="18">
        <f t="shared" si="61"/>
        <v>3.5737463126843658</v>
      </c>
      <c r="O829" s="18">
        <f t="shared" si="62"/>
        <v>25.640211640211639</v>
      </c>
      <c r="P829" s="17">
        <f t="shared" si="63"/>
        <v>1.9123914759273875</v>
      </c>
      <c r="Q829" s="17">
        <f t="shared" si="64"/>
        <v>0.21729261246388773</v>
      </c>
      <c r="R829" s="10" t="s">
        <v>1690</v>
      </c>
      <c r="S829" s="14" t="s">
        <v>26</v>
      </c>
      <c r="T829" s="14" t="s">
        <v>37</v>
      </c>
      <c r="U829" s="13">
        <v>4846</v>
      </c>
      <c r="V829" s="15">
        <v>5</v>
      </c>
      <c r="W829" s="9" t="str">
        <f>IF(Table1[[#This Row],[Satisfaction Rating]]&lt;2, "Low", IF(Table1[[#This Row],[Satisfaction Rating]]&lt;4, "Medium", "High"))</f>
        <v>High</v>
      </c>
    </row>
    <row r="830" spans="1:23" ht="14" x14ac:dyDescent="0.2">
      <c r="A830" s="10" t="s">
        <v>1691</v>
      </c>
      <c r="B830" s="11">
        <v>45612.89099537037</v>
      </c>
      <c r="C830" s="11">
        <v>45623.982199074075</v>
      </c>
      <c r="D830" s="11" t="str">
        <f>IF(Table1[[#This Row],[Duration of Campaign]]=0, "Ongoing","Completed")</f>
        <v>Completed</v>
      </c>
      <c r="E830" s="12">
        <f>Table1[[#This Row],[End Date]]-Table1[[#This Row],[Start Date]]</f>
        <v>11.091203703705105</v>
      </c>
      <c r="F830" s="13">
        <v>8783</v>
      </c>
      <c r="G830" s="14" t="s">
        <v>47</v>
      </c>
      <c r="H830" s="15">
        <v>2071</v>
      </c>
      <c r="I830" s="15">
        <v>464</v>
      </c>
      <c r="J830" s="15">
        <v>380</v>
      </c>
      <c r="K830" s="16">
        <v>11544</v>
      </c>
      <c r="L830" s="17">
        <f t="shared" si="60"/>
        <v>0.22404635441815549</v>
      </c>
      <c r="M830" s="17">
        <f t="shared" si="60"/>
        <v>0.81896551724137934</v>
      </c>
      <c r="N830" s="18">
        <f t="shared" si="61"/>
        <v>40.84698275862069</v>
      </c>
      <c r="O830" s="18">
        <f t="shared" si="62"/>
        <v>49.876315789473686</v>
      </c>
      <c r="P830" s="17">
        <f t="shared" si="63"/>
        <v>2.1579187065922807</v>
      </c>
      <c r="Q830" s="17">
        <f t="shared" si="64"/>
        <v>0.6090856328813381</v>
      </c>
      <c r="R830" s="10" t="s">
        <v>1692</v>
      </c>
      <c r="S830" s="14" t="s">
        <v>40</v>
      </c>
      <c r="T830" s="14" t="s">
        <v>55</v>
      </c>
      <c r="U830" s="13">
        <v>18953</v>
      </c>
      <c r="V830" s="15">
        <v>5</v>
      </c>
      <c r="W830" s="9" t="str">
        <f>IF(Table1[[#This Row],[Satisfaction Rating]]&lt;2, "Low", IF(Table1[[#This Row],[Satisfaction Rating]]&lt;4, "Medium", "High"))</f>
        <v>High</v>
      </c>
    </row>
    <row r="831" spans="1:23" ht="14" x14ac:dyDescent="0.2">
      <c r="A831" s="10" t="s">
        <v>1693</v>
      </c>
      <c r="B831" s="11">
        <v>44970.067407407405</v>
      </c>
      <c r="C831" s="11">
        <v>45073.734895833331</v>
      </c>
      <c r="D831" s="11" t="str">
        <f>IF(Table1[[#This Row],[Duration of Campaign]]=0, "Ongoing","Completed")</f>
        <v>Completed</v>
      </c>
      <c r="E831" s="12">
        <f>Table1[[#This Row],[End Date]]-Table1[[#This Row],[Start Date]]</f>
        <v>103.66748842592642</v>
      </c>
      <c r="F831" s="13">
        <v>9756</v>
      </c>
      <c r="G831" s="14" t="s">
        <v>47</v>
      </c>
      <c r="H831" s="15">
        <v>10339</v>
      </c>
      <c r="I831" s="15">
        <v>274</v>
      </c>
      <c r="J831" s="15">
        <v>141</v>
      </c>
      <c r="K831" s="16">
        <v>8943</v>
      </c>
      <c r="L831" s="17">
        <f t="shared" si="60"/>
        <v>2.6501595899023116E-2</v>
      </c>
      <c r="M831" s="17">
        <f t="shared" si="60"/>
        <v>0.51459854014598538</v>
      </c>
      <c r="N831" s="18">
        <f t="shared" si="61"/>
        <v>69.412408759124091</v>
      </c>
      <c r="O831" s="18">
        <f t="shared" si="62"/>
        <v>134.88652482269504</v>
      </c>
      <c r="P831" s="17">
        <f t="shared" si="63"/>
        <v>1.9494669946699468</v>
      </c>
      <c r="Q831" s="17">
        <f t="shared" si="64"/>
        <v>0.47021399652978602</v>
      </c>
      <c r="R831" s="10" t="s">
        <v>1694</v>
      </c>
      <c r="S831" s="14" t="s">
        <v>26</v>
      </c>
      <c r="T831" s="14" t="s">
        <v>37</v>
      </c>
      <c r="U831" s="13">
        <v>19019</v>
      </c>
      <c r="V831" s="15">
        <v>2</v>
      </c>
      <c r="W831" s="9" t="str">
        <f>IF(Table1[[#This Row],[Satisfaction Rating]]&lt;2, "Low", IF(Table1[[#This Row],[Satisfaction Rating]]&lt;4, "Medium", "High"))</f>
        <v>Medium</v>
      </c>
    </row>
    <row r="832" spans="1:23" ht="14" x14ac:dyDescent="0.2">
      <c r="A832" s="10" t="s">
        <v>1695</v>
      </c>
      <c r="B832" s="11">
        <v>44969.578275462962</v>
      </c>
      <c r="C832" s="11">
        <v>45571.244467592594</v>
      </c>
      <c r="D832" s="11" t="str">
        <f>IF(Table1[[#This Row],[Duration of Campaign]]=0, "Ongoing","Completed")</f>
        <v>Completed</v>
      </c>
      <c r="E832" s="12">
        <f>Table1[[#This Row],[End Date]]-Table1[[#This Row],[Start Date]]</f>
        <v>601.66619212963269</v>
      </c>
      <c r="F832" s="13">
        <v>2715</v>
      </c>
      <c r="G832" s="14" t="s">
        <v>47</v>
      </c>
      <c r="H832" s="15">
        <v>8769</v>
      </c>
      <c r="I832" s="15">
        <v>426</v>
      </c>
      <c r="J832" s="15">
        <v>242</v>
      </c>
      <c r="K832" s="16">
        <v>5611</v>
      </c>
      <c r="L832" s="17">
        <f t="shared" si="60"/>
        <v>4.8580225795415669E-2</v>
      </c>
      <c r="M832" s="17">
        <f t="shared" si="60"/>
        <v>0.568075117370892</v>
      </c>
      <c r="N832" s="18">
        <f t="shared" si="61"/>
        <v>16.572769953051644</v>
      </c>
      <c r="O832" s="18">
        <f t="shared" si="62"/>
        <v>29.173553719008265</v>
      </c>
      <c r="P832" s="17">
        <f t="shared" si="63"/>
        <v>2.6003683241252302</v>
      </c>
      <c r="Q832" s="17">
        <f t="shared" si="64"/>
        <v>0.7947592067988668</v>
      </c>
      <c r="R832" s="10" t="s">
        <v>1696</v>
      </c>
      <c r="S832" s="14" t="s">
        <v>31</v>
      </c>
      <c r="T832" s="14" t="s">
        <v>37</v>
      </c>
      <c r="U832" s="13">
        <v>7060</v>
      </c>
      <c r="V832" s="15">
        <v>3</v>
      </c>
      <c r="W832" s="9" t="str">
        <f>IF(Table1[[#This Row],[Satisfaction Rating]]&lt;2, "Low", IF(Table1[[#This Row],[Satisfaction Rating]]&lt;4, "Medium", "High"))</f>
        <v>Medium</v>
      </c>
    </row>
    <row r="833" spans="1:23" ht="14" x14ac:dyDescent="0.2">
      <c r="A833" s="10" t="s">
        <v>1697</v>
      </c>
      <c r="B833" s="11">
        <v>45235.860509259262</v>
      </c>
      <c r="C833" s="11">
        <v>45235.860509259262</v>
      </c>
      <c r="D833" s="11" t="str">
        <f>IF(Table1[[#This Row],[Duration of Campaign]]=0, "Ongoing","Completed")</f>
        <v>Ongoing</v>
      </c>
      <c r="E833" s="12">
        <f>Table1[[#This Row],[End Date]]-Table1[[#This Row],[Start Date]]</f>
        <v>0</v>
      </c>
      <c r="F833" s="13">
        <v>5356</v>
      </c>
      <c r="G833" s="14" t="s">
        <v>63</v>
      </c>
      <c r="H833" s="15">
        <v>7126</v>
      </c>
      <c r="I833" s="15">
        <v>1539</v>
      </c>
      <c r="J833" s="15">
        <v>150</v>
      </c>
      <c r="K833" s="16">
        <v>14860</v>
      </c>
      <c r="L833" s="17">
        <f t="shared" si="60"/>
        <v>0.21596968846477688</v>
      </c>
      <c r="M833" s="17">
        <f t="shared" si="60"/>
        <v>9.7465886939571145E-2</v>
      </c>
      <c r="N833" s="18">
        <f t="shared" si="61"/>
        <v>0.54515919428200132</v>
      </c>
      <c r="O833" s="18">
        <f t="shared" si="62"/>
        <v>5.5933333333333337</v>
      </c>
      <c r="P833" s="17">
        <f t="shared" si="63"/>
        <v>0.15664675130694547</v>
      </c>
      <c r="Q833" s="17">
        <f t="shared" si="64"/>
        <v>17.71156138259833</v>
      </c>
      <c r="R833" s="10" t="s">
        <v>1698</v>
      </c>
      <c r="S833" s="14" t="s">
        <v>45</v>
      </c>
      <c r="T833" s="14" t="s">
        <v>55</v>
      </c>
      <c r="U833" s="13">
        <v>839</v>
      </c>
      <c r="V833" s="15">
        <v>1</v>
      </c>
      <c r="W833" s="9" t="str">
        <f>IF(Table1[[#This Row],[Satisfaction Rating]]&lt;2, "Low", IF(Table1[[#This Row],[Satisfaction Rating]]&lt;4, "Medium", "High"))</f>
        <v>Low</v>
      </c>
    </row>
    <row r="834" spans="1:23" ht="14" x14ac:dyDescent="0.2">
      <c r="A834" s="10" t="s">
        <v>1699</v>
      </c>
      <c r="B834" s="11">
        <v>45431.694201388891</v>
      </c>
      <c r="C834" s="11">
        <v>45431.694201388891</v>
      </c>
      <c r="D834" s="11" t="str">
        <f>IF(Table1[[#This Row],[Duration of Campaign]]=0, "Ongoing","Completed")</f>
        <v>Ongoing</v>
      </c>
      <c r="E834" s="12">
        <f>Table1[[#This Row],[End Date]]-Table1[[#This Row],[Start Date]]</f>
        <v>0</v>
      </c>
      <c r="F834" s="13">
        <v>4989</v>
      </c>
      <c r="G834" s="14" t="s">
        <v>47</v>
      </c>
      <c r="H834" s="15">
        <v>14763</v>
      </c>
      <c r="I834" s="15">
        <v>461</v>
      </c>
      <c r="J834" s="15">
        <v>424</v>
      </c>
      <c r="K834" s="16">
        <v>8356</v>
      </c>
      <c r="L834" s="17">
        <f t="shared" si="60"/>
        <v>3.1226715437241752E-2</v>
      </c>
      <c r="M834" s="17">
        <f t="shared" si="60"/>
        <v>0.91973969631236441</v>
      </c>
      <c r="N834" s="18">
        <f t="shared" si="61"/>
        <v>30.759219088937094</v>
      </c>
      <c r="O834" s="18">
        <f t="shared" si="62"/>
        <v>33.443396226415096</v>
      </c>
      <c r="P834" s="17">
        <f t="shared" si="63"/>
        <v>2.8422529565043093</v>
      </c>
      <c r="Q834" s="17">
        <f t="shared" si="64"/>
        <v>0.58928067700987308</v>
      </c>
      <c r="R834" s="10" t="s">
        <v>1700</v>
      </c>
      <c r="S834" s="14" t="s">
        <v>31</v>
      </c>
      <c r="T834" s="14" t="s">
        <v>37</v>
      </c>
      <c r="U834" s="13">
        <v>14180</v>
      </c>
      <c r="V834" s="15">
        <v>3</v>
      </c>
      <c r="W834" s="9" t="str">
        <f>IF(Table1[[#This Row],[Satisfaction Rating]]&lt;2, "Low", IF(Table1[[#This Row],[Satisfaction Rating]]&lt;4, "Medium", "High"))</f>
        <v>Medium</v>
      </c>
    </row>
    <row r="835" spans="1:23" ht="14" x14ac:dyDescent="0.2">
      <c r="A835" s="10" t="s">
        <v>1701</v>
      </c>
      <c r="B835" s="11">
        <v>45446.919733796298</v>
      </c>
      <c r="C835" s="11">
        <v>45446.919733796298</v>
      </c>
      <c r="D835" s="11" t="str">
        <f>IF(Table1[[#This Row],[Duration of Campaign]]=0, "Ongoing","Completed")</f>
        <v>Ongoing</v>
      </c>
      <c r="E835" s="12">
        <f>Table1[[#This Row],[End Date]]-Table1[[#This Row],[Start Date]]</f>
        <v>0</v>
      </c>
      <c r="F835" s="13">
        <v>1548</v>
      </c>
      <c r="G835" s="14" t="s">
        <v>29</v>
      </c>
      <c r="H835" s="15">
        <v>5543</v>
      </c>
      <c r="I835" s="15">
        <v>458</v>
      </c>
      <c r="J835" s="15">
        <v>362</v>
      </c>
      <c r="K835" s="16">
        <v>710</v>
      </c>
      <c r="L835" s="17">
        <f t="shared" ref="L835:M898" si="65">I835/H835</f>
        <v>8.2626736424318961E-2</v>
      </c>
      <c r="M835" s="17">
        <f t="shared" si="65"/>
        <v>0.79039301310043664</v>
      </c>
      <c r="N835" s="18">
        <f t="shared" ref="N835:N898" si="66">U835/I835</f>
        <v>33.058951965065503</v>
      </c>
      <c r="O835" s="18">
        <f t="shared" ref="O835:O898" si="67">U835/J835</f>
        <v>41.825966850828728</v>
      </c>
      <c r="P835" s="17">
        <f t="shared" ref="P835:P898" si="68">U835/F835</f>
        <v>9.7810077519379846</v>
      </c>
      <c r="Q835" s="17">
        <f t="shared" ref="Q835:Q898" si="69">K835/U835</f>
        <v>4.6892543425137045E-2</v>
      </c>
      <c r="R835" s="10" t="s">
        <v>1702</v>
      </c>
      <c r="S835" s="14" t="s">
        <v>40</v>
      </c>
      <c r="T835" s="14" t="s">
        <v>27</v>
      </c>
      <c r="U835" s="13">
        <v>15141</v>
      </c>
      <c r="V835" s="15">
        <v>3</v>
      </c>
      <c r="W835" s="9" t="str">
        <f>IF(Table1[[#This Row],[Satisfaction Rating]]&lt;2, "Low", IF(Table1[[#This Row],[Satisfaction Rating]]&lt;4, "Medium", "High"))</f>
        <v>Medium</v>
      </c>
    </row>
    <row r="836" spans="1:23" ht="14" x14ac:dyDescent="0.2">
      <c r="A836" s="10" t="s">
        <v>1703</v>
      </c>
      <c r="B836" s="11">
        <v>45474.664097222223</v>
      </c>
      <c r="C836" s="11">
        <v>45474.664097222223</v>
      </c>
      <c r="D836" s="11" t="str">
        <f>IF(Table1[[#This Row],[Duration of Campaign]]=0, "Ongoing","Completed")</f>
        <v>Ongoing</v>
      </c>
      <c r="E836" s="12">
        <f>Table1[[#This Row],[End Date]]-Table1[[#This Row],[Start Date]]</f>
        <v>0</v>
      </c>
      <c r="F836" s="13">
        <v>9593</v>
      </c>
      <c r="G836" s="14" t="s">
        <v>29</v>
      </c>
      <c r="H836" s="15">
        <v>3383</v>
      </c>
      <c r="I836" s="15">
        <v>1510</v>
      </c>
      <c r="J836" s="15">
        <v>319</v>
      </c>
      <c r="K836" s="16">
        <v>13392</v>
      </c>
      <c r="L836" s="17">
        <f t="shared" si="65"/>
        <v>0.44634939402896839</v>
      </c>
      <c r="M836" s="17">
        <f t="shared" si="65"/>
        <v>0.21125827814569537</v>
      </c>
      <c r="N836" s="18">
        <f t="shared" si="66"/>
        <v>11.737086092715233</v>
      </c>
      <c r="O836" s="18">
        <f t="shared" si="67"/>
        <v>55.557993730407524</v>
      </c>
      <c r="P836" s="17">
        <f t="shared" si="68"/>
        <v>1.8474929636193058</v>
      </c>
      <c r="Q836" s="17">
        <f t="shared" si="69"/>
        <v>0.75562827963663037</v>
      </c>
      <c r="R836" s="10" t="s">
        <v>1704</v>
      </c>
      <c r="S836" s="14" t="s">
        <v>31</v>
      </c>
      <c r="T836" s="14" t="s">
        <v>55</v>
      </c>
      <c r="U836" s="13">
        <v>17723</v>
      </c>
      <c r="V836" s="15">
        <v>4</v>
      </c>
      <c r="W836" s="9" t="str">
        <f>IF(Table1[[#This Row],[Satisfaction Rating]]&lt;2, "Low", IF(Table1[[#This Row],[Satisfaction Rating]]&lt;4, "Medium", "High"))</f>
        <v>High</v>
      </c>
    </row>
    <row r="837" spans="1:23" ht="14" x14ac:dyDescent="0.2">
      <c r="A837" s="10" t="s">
        <v>1705</v>
      </c>
      <c r="B837" s="11">
        <v>45606.802812499998</v>
      </c>
      <c r="C837" s="11">
        <v>45606.802812499998</v>
      </c>
      <c r="D837" s="11" t="str">
        <f>IF(Table1[[#This Row],[Duration of Campaign]]=0, "Ongoing","Completed")</f>
        <v>Ongoing</v>
      </c>
      <c r="E837" s="12">
        <f>Table1[[#This Row],[End Date]]-Table1[[#This Row],[Start Date]]</f>
        <v>0</v>
      </c>
      <c r="F837" s="13">
        <v>1588</v>
      </c>
      <c r="G837" s="14" t="s">
        <v>63</v>
      </c>
      <c r="H837" s="15">
        <v>2721</v>
      </c>
      <c r="I837" s="15">
        <v>1670</v>
      </c>
      <c r="J837" s="15">
        <v>31</v>
      </c>
      <c r="K837" s="16">
        <v>14305</v>
      </c>
      <c r="L837" s="17">
        <f t="shared" si="65"/>
        <v>0.61374494671076807</v>
      </c>
      <c r="M837" s="17">
        <f t="shared" si="65"/>
        <v>1.8562874251497007E-2</v>
      </c>
      <c r="N837" s="18">
        <f t="shared" si="66"/>
        <v>2.4904191616766469</v>
      </c>
      <c r="O837" s="18">
        <f t="shared" si="67"/>
        <v>134.16129032258064</v>
      </c>
      <c r="P837" s="17">
        <f t="shared" si="68"/>
        <v>2.6190176322418135</v>
      </c>
      <c r="Q837" s="17">
        <f t="shared" si="69"/>
        <v>3.439528732868478</v>
      </c>
      <c r="R837" s="10" t="s">
        <v>1706</v>
      </c>
      <c r="S837" s="14" t="s">
        <v>40</v>
      </c>
      <c r="T837" s="14" t="s">
        <v>37</v>
      </c>
      <c r="U837" s="13">
        <v>4159</v>
      </c>
      <c r="V837" s="15">
        <v>1</v>
      </c>
      <c r="W837" s="9" t="str">
        <f>IF(Table1[[#This Row],[Satisfaction Rating]]&lt;2, "Low", IF(Table1[[#This Row],[Satisfaction Rating]]&lt;4, "Medium", "High"))</f>
        <v>Low</v>
      </c>
    </row>
    <row r="838" spans="1:23" ht="14" x14ac:dyDescent="0.2">
      <c r="A838" s="10" t="s">
        <v>1707</v>
      </c>
      <c r="B838" s="11">
        <v>45471.316701388889</v>
      </c>
      <c r="C838" s="11">
        <v>45471.316701388889</v>
      </c>
      <c r="D838" s="11" t="str">
        <f>IF(Table1[[#This Row],[Duration of Campaign]]=0, "Ongoing","Completed")</f>
        <v>Ongoing</v>
      </c>
      <c r="E838" s="12">
        <f>Table1[[#This Row],[End Date]]-Table1[[#This Row],[Start Date]]</f>
        <v>0</v>
      </c>
      <c r="F838" s="13">
        <v>2718</v>
      </c>
      <c r="G838" s="14" t="s">
        <v>24</v>
      </c>
      <c r="H838" s="15">
        <v>19544</v>
      </c>
      <c r="I838" s="15">
        <v>663</v>
      </c>
      <c r="J838" s="15">
        <v>389</v>
      </c>
      <c r="K838" s="16">
        <v>5743</v>
      </c>
      <c r="L838" s="17">
        <f t="shared" si="65"/>
        <v>3.3923454768726977E-2</v>
      </c>
      <c r="M838" s="17">
        <f t="shared" si="65"/>
        <v>0.5867269984917044</v>
      </c>
      <c r="N838" s="18">
        <f t="shared" si="66"/>
        <v>23.837104072398191</v>
      </c>
      <c r="O838" s="18">
        <f t="shared" si="67"/>
        <v>40.627249357326477</v>
      </c>
      <c r="P838" s="17">
        <f t="shared" si="68"/>
        <v>5.814569536423841</v>
      </c>
      <c r="Q838" s="17">
        <f t="shared" si="69"/>
        <v>0.36338901543912933</v>
      </c>
      <c r="R838" s="10" t="s">
        <v>1708</v>
      </c>
      <c r="S838" s="14" t="s">
        <v>40</v>
      </c>
      <c r="T838" s="14" t="s">
        <v>55</v>
      </c>
      <c r="U838" s="13">
        <v>15804</v>
      </c>
      <c r="V838" s="15">
        <v>1</v>
      </c>
      <c r="W838" s="9" t="str">
        <f>IF(Table1[[#This Row],[Satisfaction Rating]]&lt;2, "Low", IF(Table1[[#This Row],[Satisfaction Rating]]&lt;4, "Medium", "High"))</f>
        <v>Low</v>
      </c>
    </row>
    <row r="839" spans="1:23" ht="14" x14ac:dyDescent="0.2">
      <c r="A839" s="10" t="s">
        <v>1709</v>
      </c>
      <c r="B839" s="11">
        <v>45504.337627314817</v>
      </c>
      <c r="C839" s="11">
        <v>45504.337627314817</v>
      </c>
      <c r="D839" s="11" t="str">
        <f>IF(Table1[[#This Row],[Duration of Campaign]]=0, "Ongoing","Completed")</f>
        <v>Ongoing</v>
      </c>
      <c r="E839" s="12">
        <f>Table1[[#This Row],[End Date]]-Table1[[#This Row],[Start Date]]</f>
        <v>0</v>
      </c>
      <c r="F839" s="13">
        <v>2660</v>
      </c>
      <c r="G839" s="14" t="s">
        <v>29</v>
      </c>
      <c r="H839" s="15">
        <v>4588</v>
      </c>
      <c r="I839" s="15">
        <v>651</v>
      </c>
      <c r="J839" s="15">
        <v>26</v>
      </c>
      <c r="K839" s="16">
        <v>4608</v>
      </c>
      <c r="L839" s="17">
        <f t="shared" si="65"/>
        <v>0.14189189189189189</v>
      </c>
      <c r="M839" s="17">
        <f t="shared" si="65"/>
        <v>3.9938556067588324E-2</v>
      </c>
      <c r="N839" s="18">
        <f t="shared" si="66"/>
        <v>12.411674347158218</v>
      </c>
      <c r="O839" s="18">
        <f t="shared" si="67"/>
        <v>310.76923076923077</v>
      </c>
      <c r="P839" s="17">
        <f t="shared" si="68"/>
        <v>3.0375939849624061</v>
      </c>
      <c r="Q839" s="17">
        <f t="shared" si="69"/>
        <v>0.57029702970297025</v>
      </c>
      <c r="R839" s="10" t="s">
        <v>1710</v>
      </c>
      <c r="S839" s="14" t="s">
        <v>31</v>
      </c>
      <c r="T839" s="14" t="s">
        <v>37</v>
      </c>
      <c r="U839" s="13">
        <v>8080</v>
      </c>
      <c r="V839" s="15">
        <v>3</v>
      </c>
      <c r="W839" s="9" t="str">
        <f>IF(Table1[[#This Row],[Satisfaction Rating]]&lt;2, "Low", IF(Table1[[#This Row],[Satisfaction Rating]]&lt;4, "Medium", "High"))</f>
        <v>Medium</v>
      </c>
    </row>
    <row r="840" spans="1:23" ht="14" x14ac:dyDescent="0.2">
      <c r="A840" s="10" t="s">
        <v>1711</v>
      </c>
      <c r="B840" s="11">
        <v>45408.34814814815</v>
      </c>
      <c r="C840" s="11">
        <v>45408.34814814815</v>
      </c>
      <c r="D840" s="11" t="str">
        <f>IF(Table1[[#This Row],[Duration of Campaign]]=0, "Ongoing","Completed")</f>
        <v>Ongoing</v>
      </c>
      <c r="E840" s="12">
        <f>Table1[[#This Row],[End Date]]-Table1[[#This Row],[Start Date]]</f>
        <v>0</v>
      </c>
      <c r="F840" s="13">
        <v>1349</v>
      </c>
      <c r="G840" s="14" t="s">
        <v>63</v>
      </c>
      <c r="H840" s="15">
        <v>4640</v>
      </c>
      <c r="I840" s="15">
        <v>1508</v>
      </c>
      <c r="J840" s="15">
        <v>60</v>
      </c>
      <c r="K840" s="16">
        <v>9306</v>
      </c>
      <c r="L840" s="17">
        <f t="shared" si="65"/>
        <v>0.32500000000000001</v>
      </c>
      <c r="M840" s="17">
        <f t="shared" si="65"/>
        <v>3.9787798408488062E-2</v>
      </c>
      <c r="N840" s="18">
        <f t="shared" si="66"/>
        <v>10.669098143236074</v>
      </c>
      <c r="O840" s="18">
        <f t="shared" si="67"/>
        <v>268.14999999999998</v>
      </c>
      <c r="P840" s="17">
        <f t="shared" si="68"/>
        <v>11.926612305411416</v>
      </c>
      <c r="Q840" s="17">
        <f t="shared" si="69"/>
        <v>0.5784076076822674</v>
      </c>
      <c r="R840" s="10" t="s">
        <v>1712</v>
      </c>
      <c r="S840" s="14" t="s">
        <v>31</v>
      </c>
      <c r="T840" s="14" t="s">
        <v>55</v>
      </c>
      <c r="U840" s="13">
        <v>16089</v>
      </c>
      <c r="V840" s="15">
        <v>3</v>
      </c>
      <c r="W840" s="9" t="str">
        <f>IF(Table1[[#This Row],[Satisfaction Rating]]&lt;2, "Low", IF(Table1[[#This Row],[Satisfaction Rating]]&lt;4, "Medium", "High"))</f>
        <v>Medium</v>
      </c>
    </row>
    <row r="841" spans="1:23" ht="14" x14ac:dyDescent="0.2">
      <c r="A841" s="10" t="s">
        <v>1713</v>
      </c>
      <c r="B841" s="11">
        <v>45577.169409722221</v>
      </c>
      <c r="C841" s="11">
        <v>45577.169409722221</v>
      </c>
      <c r="D841" s="11" t="str">
        <f>IF(Table1[[#This Row],[Duration of Campaign]]=0, "Ongoing","Completed")</f>
        <v>Ongoing</v>
      </c>
      <c r="E841" s="12">
        <f>Table1[[#This Row],[End Date]]-Table1[[#This Row],[Start Date]]</f>
        <v>0</v>
      </c>
      <c r="F841" s="13">
        <v>6367</v>
      </c>
      <c r="G841" s="14" t="s">
        <v>29</v>
      </c>
      <c r="H841" s="15">
        <v>17983</v>
      </c>
      <c r="I841" s="15">
        <v>631</v>
      </c>
      <c r="J841" s="15">
        <v>61</v>
      </c>
      <c r="K841" s="16">
        <v>3045</v>
      </c>
      <c r="L841" s="17">
        <f t="shared" si="65"/>
        <v>3.5088694878496356E-2</v>
      </c>
      <c r="M841" s="17">
        <f t="shared" si="65"/>
        <v>9.6671949286846276E-2</v>
      </c>
      <c r="N841" s="18">
        <f t="shared" si="66"/>
        <v>2.4548335974643423</v>
      </c>
      <c r="O841" s="18">
        <f t="shared" si="67"/>
        <v>25.393442622950818</v>
      </c>
      <c r="P841" s="17">
        <f t="shared" si="68"/>
        <v>0.2432856918485943</v>
      </c>
      <c r="Q841" s="17">
        <f t="shared" si="69"/>
        <v>1.9657843770174306</v>
      </c>
      <c r="R841" s="10" t="s">
        <v>1714</v>
      </c>
      <c r="S841" s="14" t="s">
        <v>31</v>
      </c>
      <c r="T841" s="14" t="s">
        <v>27</v>
      </c>
      <c r="U841" s="13">
        <v>1549</v>
      </c>
      <c r="V841" s="15">
        <v>4</v>
      </c>
      <c r="W841" s="9" t="str">
        <f>IF(Table1[[#This Row],[Satisfaction Rating]]&lt;2, "Low", IF(Table1[[#This Row],[Satisfaction Rating]]&lt;4, "Medium", "High"))</f>
        <v>High</v>
      </c>
    </row>
    <row r="842" spans="1:23" ht="14" x14ac:dyDescent="0.2">
      <c r="A842" s="10" t="s">
        <v>1715</v>
      </c>
      <c r="B842" s="11">
        <v>45198.206203703703</v>
      </c>
      <c r="C842" s="11">
        <v>45198.206203703703</v>
      </c>
      <c r="D842" s="11" t="str">
        <f>IF(Table1[[#This Row],[Duration of Campaign]]=0, "Ongoing","Completed")</f>
        <v>Ongoing</v>
      </c>
      <c r="E842" s="12">
        <f>Table1[[#This Row],[End Date]]-Table1[[#This Row],[Start Date]]</f>
        <v>0</v>
      </c>
      <c r="F842" s="13">
        <v>5764</v>
      </c>
      <c r="G842" s="14" t="s">
        <v>63</v>
      </c>
      <c r="H842" s="15">
        <v>4571</v>
      </c>
      <c r="I842" s="15">
        <v>1873</v>
      </c>
      <c r="J842" s="15">
        <v>261</v>
      </c>
      <c r="K842" s="16">
        <v>4518</v>
      </c>
      <c r="L842" s="17">
        <f t="shared" si="65"/>
        <v>0.40975716473419382</v>
      </c>
      <c r="M842" s="17">
        <f t="shared" si="65"/>
        <v>0.13934863854778431</v>
      </c>
      <c r="N842" s="18">
        <f t="shared" si="66"/>
        <v>7.7474639615589966</v>
      </c>
      <c r="O842" s="18">
        <f t="shared" si="67"/>
        <v>55.597701149425291</v>
      </c>
      <c r="P842" s="17">
        <f t="shared" si="68"/>
        <v>2.5175225537820958</v>
      </c>
      <c r="Q842" s="17">
        <f t="shared" si="69"/>
        <v>0.31135001033698573</v>
      </c>
      <c r="R842" s="10" t="s">
        <v>1716</v>
      </c>
      <c r="S842" s="14" t="s">
        <v>45</v>
      </c>
      <c r="T842" s="14" t="s">
        <v>27</v>
      </c>
      <c r="U842" s="13">
        <v>14511</v>
      </c>
      <c r="V842" s="15">
        <v>5</v>
      </c>
      <c r="W842" s="9" t="str">
        <f>IF(Table1[[#This Row],[Satisfaction Rating]]&lt;2, "Low", IF(Table1[[#This Row],[Satisfaction Rating]]&lt;4, "Medium", "High"))</f>
        <v>High</v>
      </c>
    </row>
    <row r="843" spans="1:23" ht="14" x14ac:dyDescent="0.2">
      <c r="A843" s="10" t="s">
        <v>1717</v>
      </c>
      <c r="B843" s="11">
        <v>45406.671990740739</v>
      </c>
      <c r="C843" s="11">
        <v>45406.671990740739</v>
      </c>
      <c r="D843" s="11" t="str">
        <f>IF(Table1[[#This Row],[Duration of Campaign]]=0, "Ongoing","Completed")</f>
        <v>Ongoing</v>
      </c>
      <c r="E843" s="12">
        <f>Table1[[#This Row],[End Date]]-Table1[[#This Row],[Start Date]]</f>
        <v>0</v>
      </c>
      <c r="F843" s="13">
        <v>8138</v>
      </c>
      <c r="G843" s="14" t="s">
        <v>63</v>
      </c>
      <c r="H843" s="15">
        <v>10382</v>
      </c>
      <c r="I843" s="15">
        <v>633</v>
      </c>
      <c r="J843" s="15">
        <v>110</v>
      </c>
      <c r="K843" s="16">
        <v>14151</v>
      </c>
      <c r="L843" s="17">
        <f t="shared" si="65"/>
        <v>6.097091119244847E-2</v>
      </c>
      <c r="M843" s="17">
        <f t="shared" si="65"/>
        <v>0.17377567140600317</v>
      </c>
      <c r="N843" s="18">
        <f t="shared" si="66"/>
        <v>22.597156398104264</v>
      </c>
      <c r="O843" s="18">
        <f t="shared" si="67"/>
        <v>130.03636363636363</v>
      </c>
      <c r="P843" s="17">
        <f t="shared" si="68"/>
        <v>1.7576800196608504</v>
      </c>
      <c r="Q843" s="17">
        <f t="shared" si="69"/>
        <v>0.98930369127516782</v>
      </c>
      <c r="R843" s="10" t="s">
        <v>1718</v>
      </c>
      <c r="S843" s="14" t="s">
        <v>26</v>
      </c>
      <c r="T843" s="14" t="s">
        <v>55</v>
      </c>
      <c r="U843" s="13">
        <v>14304</v>
      </c>
      <c r="V843" s="15">
        <v>4</v>
      </c>
      <c r="W843" s="9" t="str">
        <f>IF(Table1[[#This Row],[Satisfaction Rating]]&lt;2, "Low", IF(Table1[[#This Row],[Satisfaction Rating]]&lt;4, "Medium", "High"))</f>
        <v>High</v>
      </c>
    </row>
    <row r="844" spans="1:23" ht="14" x14ac:dyDescent="0.2">
      <c r="A844" s="10" t="s">
        <v>1719</v>
      </c>
      <c r="B844" s="11">
        <v>44928.938125000001</v>
      </c>
      <c r="C844" s="11">
        <v>45145.684062499997</v>
      </c>
      <c r="D844" s="11" t="str">
        <f>IF(Table1[[#This Row],[Duration of Campaign]]=0, "Ongoing","Completed")</f>
        <v>Completed</v>
      </c>
      <c r="E844" s="12">
        <f>Table1[[#This Row],[End Date]]-Table1[[#This Row],[Start Date]]</f>
        <v>216.74593749999622</v>
      </c>
      <c r="F844" s="13">
        <v>2513</v>
      </c>
      <c r="G844" s="14" t="s">
        <v>24</v>
      </c>
      <c r="H844" s="15">
        <v>11489</v>
      </c>
      <c r="I844" s="15">
        <v>1582</v>
      </c>
      <c r="J844" s="15">
        <v>35</v>
      </c>
      <c r="K844" s="16">
        <v>7713</v>
      </c>
      <c r="L844" s="17">
        <f t="shared" si="65"/>
        <v>0.13769692749586562</v>
      </c>
      <c r="M844" s="17">
        <f t="shared" si="65"/>
        <v>2.2123893805309734E-2</v>
      </c>
      <c r="N844" s="18">
        <f t="shared" si="66"/>
        <v>11.525284450063211</v>
      </c>
      <c r="O844" s="18">
        <f t="shared" si="67"/>
        <v>520.94285714285718</v>
      </c>
      <c r="P844" s="17">
        <f t="shared" si="68"/>
        <v>7.2554715479506564</v>
      </c>
      <c r="Q844" s="17">
        <f t="shared" si="69"/>
        <v>0.42302418691383753</v>
      </c>
      <c r="R844" s="10" t="s">
        <v>1720</v>
      </c>
      <c r="S844" s="14" t="s">
        <v>40</v>
      </c>
      <c r="T844" s="14" t="s">
        <v>37</v>
      </c>
      <c r="U844" s="13">
        <v>18233</v>
      </c>
      <c r="V844" s="15">
        <v>2</v>
      </c>
      <c r="W844" s="9" t="str">
        <f>IF(Table1[[#This Row],[Satisfaction Rating]]&lt;2, "Low", IF(Table1[[#This Row],[Satisfaction Rating]]&lt;4, "Medium", "High"))</f>
        <v>Medium</v>
      </c>
    </row>
    <row r="845" spans="1:23" ht="14" x14ac:dyDescent="0.2">
      <c r="A845" s="10" t="s">
        <v>1721</v>
      </c>
      <c r="B845" s="11">
        <v>45474.956354166665</v>
      </c>
      <c r="C845" s="11">
        <v>45494.294733796298</v>
      </c>
      <c r="D845" s="11" t="str">
        <f>IF(Table1[[#This Row],[Duration of Campaign]]=0, "Ongoing","Completed")</f>
        <v>Completed</v>
      </c>
      <c r="E845" s="12">
        <f>Table1[[#This Row],[End Date]]-Table1[[#This Row],[Start Date]]</f>
        <v>19.338379629632982</v>
      </c>
      <c r="F845" s="13">
        <v>9388</v>
      </c>
      <c r="G845" s="14" t="s">
        <v>47</v>
      </c>
      <c r="H845" s="15">
        <v>6609</v>
      </c>
      <c r="I845" s="15">
        <v>1375</v>
      </c>
      <c r="J845" s="15">
        <v>373</v>
      </c>
      <c r="K845" s="16">
        <v>14614</v>
      </c>
      <c r="L845" s="17">
        <f t="shared" si="65"/>
        <v>0.2080496292933878</v>
      </c>
      <c r="M845" s="17">
        <f t="shared" si="65"/>
        <v>0.27127272727272728</v>
      </c>
      <c r="N845" s="18">
        <f t="shared" si="66"/>
        <v>10.197090909090909</v>
      </c>
      <c r="O845" s="18">
        <f t="shared" si="67"/>
        <v>37.589812332439678</v>
      </c>
      <c r="P845" s="17">
        <f t="shared" si="68"/>
        <v>1.4935023434171282</v>
      </c>
      <c r="Q845" s="17">
        <f t="shared" si="69"/>
        <v>1.0422937023036873</v>
      </c>
      <c r="R845" s="10" t="s">
        <v>1722</v>
      </c>
      <c r="S845" s="14" t="s">
        <v>26</v>
      </c>
      <c r="T845" s="14" t="s">
        <v>37</v>
      </c>
      <c r="U845" s="13">
        <v>14021</v>
      </c>
      <c r="V845" s="15">
        <v>4</v>
      </c>
      <c r="W845" s="9" t="str">
        <f>IF(Table1[[#This Row],[Satisfaction Rating]]&lt;2, "Low", IF(Table1[[#This Row],[Satisfaction Rating]]&lt;4, "Medium", "High"))</f>
        <v>High</v>
      </c>
    </row>
    <row r="846" spans="1:23" ht="14" x14ac:dyDescent="0.2">
      <c r="A846" s="10" t="s">
        <v>1723</v>
      </c>
      <c r="B846" s="11">
        <v>45577.933888888889</v>
      </c>
      <c r="C846" s="11">
        <v>45577.933888888889</v>
      </c>
      <c r="D846" s="11" t="str">
        <f>IF(Table1[[#This Row],[Duration of Campaign]]=0, "Ongoing","Completed")</f>
        <v>Ongoing</v>
      </c>
      <c r="E846" s="12">
        <f>Table1[[#This Row],[End Date]]-Table1[[#This Row],[Start Date]]</f>
        <v>0</v>
      </c>
      <c r="F846" s="13">
        <v>9112</v>
      </c>
      <c r="G846" s="14" t="s">
        <v>63</v>
      </c>
      <c r="H846" s="15">
        <v>17356</v>
      </c>
      <c r="I846" s="15">
        <v>574</v>
      </c>
      <c r="J846" s="15">
        <v>193</v>
      </c>
      <c r="K846" s="16">
        <v>10255</v>
      </c>
      <c r="L846" s="17">
        <f t="shared" si="65"/>
        <v>3.3072136436967041E-2</v>
      </c>
      <c r="M846" s="17">
        <f t="shared" si="65"/>
        <v>0.33623693379790942</v>
      </c>
      <c r="N846" s="18">
        <f t="shared" si="66"/>
        <v>30.851916376306619</v>
      </c>
      <c r="O846" s="18">
        <f t="shared" si="67"/>
        <v>91.756476683937819</v>
      </c>
      <c r="P846" s="17">
        <f t="shared" si="68"/>
        <v>1.9434811237928007</v>
      </c>
      <c r="Q846" s="17">
        <f t="shared" si="69"/>
        <v>0.57908408154045965</v>
      </c>
      <c r="R846" s="10" t="s">
        <v>1724</v>
      </c>
      <c r="S846" s="14" t="s">
        <v>31</v>
      </c>
      <c r="T846" s="14" t="s">
        <v>55</v>
      </c>
      <c r="U846" s="13">
        <v>17709</v>
      </c>
      <c r="V846" s="15">
        <v>1</v>
      </c>
      <c r="W846" s="9" t="str">
        <f>IF(Table1[[#This Row],[Satisfaction Rating]]&lt;2, "Low", IF(Table1[[#This Row],[Satisfaction Rating]]&lt;4, "Medium", "High"))</f>
        <v>Low</v>
      </c>
    </row>
    <row r="847" spans="1:23" ht="14" x14ac:dyDescent="0.2">
      <c r="A847" s="10" t="s">
        <v>1725</v>
      </c>
      <c r="B847" s="11">
        <v>45637.608032407406</v>
      </c>
      <c r="C847" s="11">
        <v>45637.608032407406</v>
      </c>
      <c r="D847" s="11" t="str">
        <f>IF(Table1[[#This Row],[Duration of Campaign]]=0, "Ongoing","Completed")</f>
        <v>Ongoing</v>
      </c>
      <c r="E847" s="12">
        <f>Table1[[#This Row],[End Date]]-Table1[[#This Row],[Start Date]]</f>
        <v>0</v>
      </c>
      <c r="F847" s="13">
        <v>3509</v>
      </c>
      <c r="G847" s="14" t="s">
        <v>24</v>
      </c>
      <c r="H847" s="15">
        <v>18097</v>
      </c>
      <c r="I847" s="15">
        <v>1537</v>
      </c>
      <c r="J847" s="15">
        <v>274</v>
      </c>
      <c r="K847" s="16">
        <v>12408</v>
      </c>
      <c r="L847" s="17">
        <f t="shared" si="65"/>
        <v>8.4931204066972424E-2</v>
      </c>
      <c r="M847" s="17">
        <f t="shared" si="65"/>
        <v>0.1782693558880937</v>
      </c>
      <c r="N847" s="18">
        <f t="shared" si="66"/>
        <v>4.8445022771633051</v>
      </c>
      <c r="O847" s="18">
        <f t="shared" si="67"/>
        <v>27.175182481751825</v>
      </c>
      <c r="P847" s="17">
        <f t="shared" si="68"/>
        <v>2.1219720718153319</v>
      </c>
      <c r="Q847" s="17">
        <f t="shared" si="69"/>
        <v>1.6663980660757454</v>
      </c>
      <c r="R847" s="10" t="s">
        <v>1726</v>
      </c>
      <c r="S847" s="14" t="s">
        <v>34</v>
      </c>
      <c r="T847" s="14" t="s">
        <v>37</v>
      </c>
      <c r="U847" s="13">
        <v>7446</v>
      </c>
      <c r="V847" s="15">
        <v>3</v>
      </c>
      <c r="W847" s="9" t="str">
        <f>IF(Table1[[#This Row],[Satisfaction Rating]]&lt;2, "Low", IF(Table1[[#This Row],[Satisfaction Rating]]&lt;4, "Medium", "High"))</f>
        <v>Medium</v>
      </c>
    </row>
    <row r="848" spans="1:23" ht="14" x14ac:dyDescent="0.2">
      <c r="A848" s="10" t="s">
        <v>1727</v>
      </c>
      <c r="B848" s="11">
        <v>45336.983425925922</v>
      </c>
      <c r="C848" s="11">
        <v>45531.179224537038</v>
      </c>
      <c r="D848" s="11" t="str">
        <f>IF(Table1[[#This Row],[Duration of Campaign]]=0, "Ongoing","Completed")</f>
        <v>Completed</v>
      </c>
      <c r="E848" s="12">
        <f>Table1[[#This Row],[End Date]]-Table1[[#This Row],[Start Date]]</f>
        <v>194.19579861111561</v>
      </c>
      <c r="F848" s="13">
        <v>6176</v>
      </c>
      <c r="G848" s="14" t="s">
        <v>29</v>
      </c>
      <c r="H848" s="15">
        <v>13609</v>
      </c>
      <c r="I848" s="15">
        <v>141</v>
      </c>
      <c r="J848" s="15">
        <v>114</v>
      </c>
      <c r="K848" s="16">
        <v>5956</v>
      </c>
      <c r="L848" s="17">
        <f t="shared" si="65"/>
        <v>1.0360790653244177E-2</v>
      </c>
      <c r="M848" s="17">
        <f t="shared" si="65"/>
        <v>0.80851063829787229</v>
      </c>
      <c r="N848" s="18">
        <f t="shared" si="66"/>
        <v>73.531914893617028</v>
      </c>
      <c r="O848" s="18">
        <f t="shared" si="67"/>
        <v>90.94736842105263</v>
      </c>
      <c r="P848" s="17">
        <f t="shared" si="68"/>
        <v>1.6787564766839378</v>
      </c>
      <c r="Q848" s="17">
        <f t="shared" si="69"/>
        <v>0.57445987654320985</v>
      </c>
      <c r="R848" s="10" t="s">
        <v>1728</v>
      </c>
      <c r="S848" s="14" t="s">
        <v>45</v>
      </c>
      <c r="T848" s="14" t="s">
        <v>55</v>
      </c>
      <c r="U848" s="13">
        <v>10368</v>
      </c>
      <c r="V848" s="15">
        <v>3</v>
      </c>
      <c r="W848" s="9" t="str">
        <f>IF(Table1[[#This Row],[Satisfaction Rating]]&lt;2, "Low", IF(Table1[[#This Row],[Satisfaction Rating]]&lt;4, "Medium", "High"))</f>
        <v>Medium</v>
      </c>
    </row>
    <row r="849" spans="1:23" ht="14" x14ac:dyDescent="0.2">
      <c r="A849" s="10" t="s">
        <v>1729</v>
      </c>
      <c r="B849" s="11">
        <v>45512.310196759259</v>
      </c>
      <c r="C849" s="11">
        <v>45637.022685185184</v>
      </c>
      <c r="D849" s="11" t="str">
        <f>IF(Table1[[#This Row],[Duration of Campaign]]=0, "Ongoing","Completed")</f>
        <v>Completed</v>
      </c>
      <c r="E849" s="12">
        <f>Table1[[#This Row],[End Date]]-Table1[[#This Row],[Start Date]]</f>
        <v>124.71248842592468</v>
      </c>
      <c r="F849" s="13">
        <v>6876</v>
      </c>
      <c r="G849" s="14" t="s">
        <v>24</v>
      </c>
      <c r="H849" s="15">
        <v>13928</v>
      </c>
      <c r="I849" s="15">
        <v>816</v>
      </c>
      <c r="J849" s="15">
        <v>21</v>
      </c>
      <c r="K849" s="16">
        <v>2901</v>
      </c>
      <c r="L849" s="17">
        <f t="shared" si="65"/>
        <v>5.858701895462378E-2</v>
      </c>
      <c r="M849" s="17">
        <f t="shared" si="65"/>
        <v>2.5735294117647058E-2</v>
      </c>
      <c r="N849" s="18">
        <f t="shared" si="66"/>
        <v>23.024509803921568</v>
      </c>
      <c r="O849" s="18">
        <f t="shared" si="67"/>
        <v>894.66666666666663</v>
      </c>
      <c r="P849" s="17">
        <f t="shared" si="68"/>
        <v>2.7324025596276904</v>
      </c>
      <c r="Q849" s="17">
        <f t="shared" si="69"/>
        <v>0.15440706834149456</v>
      </c>
      <c r="R849" s="10" t="s">
        <v>1730</v>
      </c>
      <c r="S849" s="14" t="s">
        <v>31</v>
      </c>
      <c r="T849" s="14" t="s">
        <v>55</v>
      </c>
      <c r="U849" s="13">
        <v>18788</v>
      </c>
      <c r="V849" s="15">
        <v>1</v>
      </c>
      <c r="W849" s="9" t="str">
        <f>IF(Table1[[#This Row],[Satisfaction Rating]]&lt;2, "Low", IF(Table1[[#This Row],[Satisfaction Rating]]&lt;4, "Medium", "High"))</f>
        <v>Low</v>
      </c>
    </row>
    <row r="850" spans="1:23" ht="14" x14ac:dyDescent="0.2">
      <c r="A850" s="10" t="s">
        <v>1731</v>
      </c>
      <c r="B850" s="11">
        <v>45262.060393518521</v>
      </c>
      <c r="C850" s="11">
        <v>45262.060393518521</v>
      </c>
      <c r="D850" s="11" t="str">
        <f>IF(Table1[[#This Row],[Duration of Campaign]]=0, "Ongoing","Completed")</f>
        <v>Ongoing</v>
      </c>
      <c r="E850" s="12">
        <f>Table1[[#This Row],[End Date]]-Table1[[#This Row],[Start Date]]</f>
        <v>0</v>
      </c>
      <c r="F850" s="13">
        <v>7983</v>
      </c>
      <c r="G850" s="14" t="s">
        <v>29</v>
      </c>
      <c r="H850" s="15">
        <v>11772</v>
      </c>
      <c r="I850" s="15">
        <v>1601</v>
      </c>
      <c r="J850" s="15">
        <v>212</v>
      </c>
      <c r="K850" s="16">
        <v>8508</v>
      </c>
      <c r="L850" s="17">
        <f t="shared" si="65"/>
        <v>0.13600067957866124</v>
      </c>
      <c r="M850" s="17">
        <f t="shared" si="65"/>
        <v>0.13241723922548407</v>
      </c>
      <c r="N850" s="18">
        <f t="shared" si="66"/>
        <v>3.919425359150531</v>
      </c>
      <c r="O850" s="18">
        <f t="shared" si="67"/>
        <v>29.599056603773583</v>
      </c>
      <c r="P850" s="17">
        <f t="shared" si="68"/>
        <v>0.78604534636101719</v>
      </c>
      <c r="Q850" s="17">
        <f t="shared" si="69"/>
        <v>1.3558565737051793</v>
      </c>
      <c r="R850" s="10" t="s">
        <v>1732</v>
      </c>
      <c r="S850" s="14" t="s">
        <v>40</v>
      </c>
      <c r="T850" s="14" t="s">
        <v>55</v>
      </c>
      <c r="U850" s="13">
        <v>6275</v>
      </c>
      <c r="V850" s="15">
        <v>5</v>
      </c>
      <c r="W850" s="9" t="str">
        <f>IF(Table1[[#This Row],[Satisfaction Rating]]&lt;2, "Low", IF(Table1[[#This Row],[Satisfaction Rating]]&lt;4, "Medium", "High"))</f>
        <v>High</v>
      </c>
    </row>
    <row r="851" spans="1:23" ht="14" x14ac:dyDescent="0.2">
      <c r="A851" s="10" t="s">
        <v>1733</v>
      </c>
      <c r="B851" s="11">
        <v>45123.721168981479</v>
      </c>
      <c r="C851" s="11">
        <v>45123.721168981479</v>
      </c>
      <c r="D851" s="11" t="str">
        <f>IF(Table1[[#This Row],[Duration of Campaign]]=0, "Ongoing","Completed")</f>
        <v>Ongoing</v>
      </c>
      <c r="E851" s="12">
        <f>Table1[[#This Row],[End Date]]-Table1[[#This Row],[Start Date]]</f>
        <v>0</v>
      </c>
      <c r="F851" s="13">
        <v>9067</v>
      </c>
      <c r="G851" s="14" t="s">
        <v>29</v>
      </c>
      <c r="H851" s="15">
        <v>14035</v>
      </c>
      <c r="I851" s="15">
        <v>746</v>
      </c>
      <c r="J851" s="15">
        <v>98</v>
      </c>
      <c r="K851" s="16">
        <v>9406</v>
      </c>
      <c r="L851" s="17">
        <f t="shared" si="65"/>
        <v>5.3152832205201284E-2</v>
      </c>
      <c r="M851" s="17">
        <f t="shared" si="65"/>
        <v>0.13136729222520108</v>
      </c>
      <c r="N851" s="18">
        <f t="shared" si="66"/>
        <v>21.833780160857909</v>
      </c>
      <c r="O851" s="18">
        <f t="shared" si="67"/>
        <v>166.20408163265307</v>
      </c>
      <c r="P851" s="17">
        <f t="shared" si="68"/>
        <v>1.79640454395059</v>
      </c>
      <c r="Q851" s="17">
        <f t="shared" si="69"/>
        <v>0.57748035363457761</v>
      </c>
      <c r="R851" s="10" t="s">
        <v>1734</v>
      </c>
      <c r="S851" s="14" t="s">
        <v>31</v>
      </c>
      <c r="T851" s="14" t="s">
        <v>27</v>
      </c>
      <c r="U851" s="13">
        <v>16288</v>
      </c>
      <c r="V851" s="15">
        <v>1</v>
      </c>
      <c r="W851" s="9" t="str">
        <f>IF(Table1[[#This Row],[Satisfaction Rating]]&lt;2, "Low", IF(Table1[[#This Row],[Satisfaction Rating]]&lt;4, "Medium", "High"))</f>
        <v>Low</v>
      </c>
    </row>
    <row r="852" spans="1:23" ht="14" x14ac:dyDescent="0.2">
      <c r="A852" s="10" t="s">
        <v>1735</v>
      </c>
      <c r="B852" s="11">
        <v>45255.857685185183</v>
      </c>
      <c r="C852" s="11">
        <v>45255.857685185183</v>
      </c>
      <c r="D852" s="11" t="str">
        <f>IF(Table1[[#This Row],[Duration of Campaign]]=0, "Ongoing","Completed")</f>
        <v>Ongoing</v>
      </c>
      <c r="E852" s="12">
        <f>Table1[[#This Row],[End Date]]-Table1[[#This Row],[Start Date]]</f>
        <v>0</v>
      </c>
      <c r="F852" s="13">
        <v>6554</v>
      </c>
      <c r="G852" s="14" t="s">
        <v>63</v>
      </c>
      <c r="H852" s="15">
        <v>13328</v>
      </c>
      <c r="I852" s="15">
        <v>685</v>
      </c>
      <c r="J852" s="15">
        <v>348</v>
      </c>
      <c r="K852" s="16">
        <v>8490</v>
      </c>
      <c r="L852" s="17">
        <f t="shared" si="65"/>
        <v>5.1395558223289319E-2</v>
      </c>
      <c r="M852" s="17">
        <f t="shared" si="65"/>
        <v>0.50802919708029193</v>
      </c>
      <c r="N852" s="18">
        <f t="shared" si="66"/>
        <v>11.217518248175182</v>
      </c>
      <c r="O852" s="18">
        <f t="shared" si="67"/>
        <v>22.080459770114942</v>
      </c>
      <c r="P852" s="17">
        <f t="shared" si="68"/>
        <v>1.1724137931034482</v>
      </c>
      <c r="Q852" s="17">
        <f t="shared" si="69"/>
        <v>1.1048932847475272</v>
      </c>
      <c r="R852" s="10" t="s">
        <v>1736</v>
      </c>
      <c r="S852" s="14" t="s">
        <v>40</v>
      </c>
      <c r="T852" s="14" t="s">
        <v>37</v>
      </c>
      <c r="U852" s="13">
        <v>7684</v>
      </c>
      <c r="V852" s="15">
        <v>4</v>
      </c>
      <c r="W852" s="9" t="str">
        <f>IF(Table1[[#This Row],[Satisfaction Rating]]&lt;2, "Low", IF(Table1[[#This Row],[Satisfaction Rating]]&lt;4, "Medium", "High"))</f>
        <v>High</v>
      </c>
    </row>
    <row r="853" spans="1:23" ht="14" x14ac:dyDescent="0.2">
      <c r="A853" s="10" t="s">
        <v>1737</v>
      </c>
      <c r="B853" s="11">
        <v>45560.528333333335</v>
      </c>
      <c r="C853" s="11">
        <v>45560.528333333335</v>
      </c>
      <c r="D853" s="11" t="str">
        <f>IF(Table1[[#This Row],[Duration of Campaign]]=0, "Ongoing","Completed")</f>
        <v>Ongoing</v>
      </c>
      <c r="E853" s="12">
        <f>Table1[[#This Row],[End Date]]-Table1[[#This Row],[Start Date]]</f>
        <v>0</v>
      </c>
      <c r="F853" s="13">
        <v>7743</v>
      </c>
      <c r="G853" s="14" t="s">
        <v>47</v>
      </c>
      <c r="H853" s="15">
        <v>6465</v>
      </c>
      <c r="I853" s="15">
        <v>1799</v>
      </c>
      <c r="J853" s="15">
        <v>430</v>
      </c>
      <c r="K853" s="16">
        <v>6723</v>
      </c>
      <c r="L853" s="17">
        <f t="shared" si="65"/>
        <v>0.27826759474091262</v>
      </c>
      <c r="M853" s="17">
        <f t="shared" si="65"/>
        <v>0.23902167871039467</v>
      </c>
      <c r="N853" s="18">
        <f t="shared" si="66"/>
        <v>10.58254585881045</v>
      </c>
      <c r="O853" s="18">
        <f t="shared" si="67"/>
        <v>44.27441860465116</v>
      </c>
      <c r="P853" s="17">
        <f t="shared" si="68"/>
        <v>2.458736923672995</v>
      </c>
      <c r="Q853" s="17">
        <f t="shared" si="69"/>
        <v>0.35313583359596595</v>
      </c>
      <c r="R853" s="10" t="s">
        <v>1738</v>
      </c>
      <c r="S853" s="14" t="s">
        <v>34</v>
      </c>
      <c r="T853" s="14" t="s">
        <v>37</v>
      </c>
      <c r="U853" s="13">
        <v>19038</v>
      </c>
      <c r="V853" s="15">
        <v>3</v>
      </c>
      <c r="W853" s="9" t="str">
        <f>IF(Table1[[#This Row],[Satisfaction Rating]]&lt;2, "Low", IF(Table1[[#This Row],[Satisfaction Rating]]&lt;4, "Medium", "High"))</f>
        <v>Medium</v>
      </c>
    </row>
    <row r="854" spans="1:23" ht="14" x14ac:dyDescent="0.2">
      <c r="A854" s="10" t="s">
        <v>1739</v>
      </c>
      <c r="B854" s="11">
        <v>45378.433240740742</v>
      </c>
      <c r="C854" s="11">
        <v>45388.307881944442</v>
      </c>
      <c r="D854" s="11" t="str">
        <f>IF(Table1[[#This Row],[Duration of Campaign]]=0, "Ongoing","Completed")</f>
        <v>Completed</v>
      </c>
      <c r="E854" s="12">
        <f>Table1[[#This Row],[End Date]]-Table1[[#This Row],[Start Date]]</f>
        <v>9.8746412036998663</v>
      </c>
      <c r="F854" s="13">
        <v>5347</v>
      </c>
      <c r="G854" s="14" t="s">
        <v>63</v>
      </c>
      <c r="H854" s="15">
        <v>3239</v>
      </c>
      <c r="I854" s="15">
        <v>1233</v>
      </c>
      <c r="J854" s="15">
        <v>69</v>
      </c>
      <c r="K854" s="16">
        <v>3866</v>
      </c>
      <c r="L854" s="17">
        <f t="shared" si="65"/>
        <v>0.38067304723680151</v>
      </c>
      <c r="M854" s="17">
        <f t="shared" si="65"/>
        <v>5.5961070559610707E-2</v>
      </c>
      <c r="N854" s="18">
        <f t="shared" si="66"/>
        <v>1.089213300892133</v>
      </c>
      <c r="O854" s="18">
        <f t="shared" si="67"/>
        <v>19.463768115942027</v>
      </c>
      <c r="P854" s="17">
        <f t="shared" si="68"/>
        <v>0.25116887974565177</v>
      </c>
      <c r="Q854" s="17">
        <f t="shared" si="69"/>
        <v>2.8786299329858527</v>
      </c>
      <c r="R854" s="10" t="s">
        <v>1740</v>
      </c>
      <c r="S854" s="14" t="s">
        <v>34</v>
      </c>
      <c r="T854" s="14" t="s">
        <v>55</v>
      </c>
      <c r="U854" s="13">
        <v>1343</v>
      </c>
      <c r="V854" s="15">
        <v>1</v>
      </c>
      <c r="W854" s="9" t="str">
        <f>IF(Table1[[#This Row],[Satisfaction Rating]]&lt;2, "Low", IF(Table1[[#This Row],[Satisfaction Rating]]&lt;4, "Medium", "High"))</f>
        <v>Low</v>
      </c>
    </row>
    <row r="855" spans="1:23" ht="14" x14ac:dyDescent="0.2">
      <c r="A855" s="10" t="s">
        <v>1741</v>
      </c>
      <c r="B855" s="11">
        <v>45010.608113425929</v>
      </c>
      <c r="C855" s="11">
        <v>45397.978356481479</v>
      </c>
      <c r="D855" s="11" t="str">
        <f>IF(Table1[[#This Row],[Duration of Campaign]]=0, "Ongoing","Completed")</f>
        <v>Completed</v>
      </c>
      <c r="E855" s="12">
        <f>Table1[[#This Row],[End Date]]-Table1[[#This Row],[Start Date]]</f>
        <v>387.37024305554951</v>
      </c>
      <c r="F855" s="13">
        <v>3952</v>
      </c>
      <c r="G855" s="14" t="s">
        <v>47</v>
      </c>
      <c r="H855" s="15">
        <v>4153</v>
      </c>
      <c r="I855" s="15">
        <v>473</v>
      </c>
      <c r="J855" s="15">
        <v>311</v>
      </c>
      <c r="K855" s="16">
        <v>585</v>
      </c>
      <c r="L855" s="17">
        <f t="shared" si="65"/>
        <v>0.11389357091259331</v>
      </c>
      <c r="M855" s="17">
        <f t="shared" si="65"/>
        <v>0.65750528541226216</v>
      </c>
      <c r="N855" s="18">
        <f t="shared" si="66"/>
        <v>22.598308668076111</v>
      </c>
      <c r="O855" s="18">
        <f t="shared" si="67"/>
        <v>34.369774919614144</v>
      </c>
      <c r="P855" s="17">
        <f t="shared" si="68"/>
        <v>2.7047064777327936</v>
      </c>
      <c r="Q855" s="17">
        <f t="shared" si="69"/>
        <v>5.4729160819534099E-2</v>
      </c>
      <c r="R855" s="10" t="s">
        <v>1742</v>
      </c>
      <c r="S855" s="14" t="s">
        <v>45</v>
      </c>
      <c r="T855" s="14" t="s">
        <v>37</v>
      </c>
      <c r="U855" s="13">
        <v>10689</v>
      </c>
      <c r="V855" s="15">
        <v>5</v>
      </c>
      <c r="W855" s="9" t="str">
        <f>IF(Table1[[#This Row],[Satisfaction Rating]]&lt;2, "Low", IF(Table1[[#This Row],[Satisfaction Rating]]&lt;4, "Medium", "High"))</f>
        <v>High</v>
      </c>
    </row>
    <row r="856" spans="1:23" ht="14" x14ac:dyDescent="0.2">
      <c r="A856" s="10" t="s">
        <v>1743</v>
      </c>
      <c r="B856" s="11">
        <v>45510.85261574074</v>
      </c>
      <c r="C856" s="11">
        <v>45510.85261574074</v>
      </c>
      <c r="D856" s="11" t="str">
        <f>IF(Table1[[#This Row],[Duration of Campaign]]=0, "Ongoing","Completed")</f>
        <v>Ongoing</v>
      </c>
      <c r="E856" s="12">
        <f>Table1[[#This Row],[End Date]]-Table1[[#This Row],[Start Date]]</f>
        <v>0</v>
      </c>
      <c r="F856" s="13">
        <v>2216</v>
      </c>
      <c r="G856" s="14" t="s">
        <v>63</v>
      </c>
      <c r="H856" s="15">
        <v>3798</v>
      </c>
      <c r="I856" s="15">
        <v>1158</v>
      </c>
      <c r="J856" s="15">
        <v>136</v>
      </c>
      <c r="K856" s="16">
        <v>13920</v>
      </c>
      <c r="L856" s="17">
        <f t="shared" si="65"/>
        <v>0.30489731437598738</v>
      </c>
      <c r="M856" s="17">
        <f t="shared" si="65"/>
        <v>0.11744386873920552</v>
      </c>
      <c r="N856" s="18">
        <f t="shared" si="66"/>
        <v>16.273747841105354</v>
      </c>
      <c r="O856" s="18">
        <f t="shared" si="67"/>
        <v>138.56617647058823</v>
      </c>
      <c r="P856" s="17">
        <f t="shared" si="68"/>
        <v>8.5040613718411553</v>
      </c>
      <c r="Q856" s="17">
        <f t="shared" si="69"/>
        <v>0.73865746882462191</v>
      </c>
      <c r="R856" s="10" t="s">
        <v>1744</v>
      </c>
      <c r="S856" s="14" t="s">
        <v>26</v>
      </c>
      <c r="T856" s="14" t="s">
        <v>27</v>
      </c>
      <c r="U856" s="13">
        <v>18845</v>
      </c>
      <c r="V856" s="15">
        <v>5</v>
      </c>
      <c r="W856" s="9" t="str">
        <f>IF(Table1[[#This Row],[Satisfaction Rating]]&lt;2, "Low", IF(Table1[[#This Row],[Satisfaction Rating]]&lt;4, "Medium", "High"))</f>
        <v>High</v>
      </c>
    </row>
    <row r="857" spans="1:23" ht="14" x14ac:dyDescent="0.2">
      <c r="A857" s="10" t="s">
        <v>1745</v>
      </c>
      <c r="B857" s="11">
        <v>45371.412534722222</v>
      </c>
      <c r="C857" s="11">
        <v>45484.734675925924</v>
      </c>
      <c r="D857" s="11" t="str">
        <f>IF(Table1[[#This Row],[Duration of Campaign]]=0, "Ongoing","Completed")</f>
        <v>Completed</v>
      </c>
      <c r="E857" s="12">
        <f>Table1[[#This Row],[End Date]]-Table1[[#This Row],[Start Date]]</f>
        <v>113.3221412037019</v>
      </c>
      <c r="F857" s="13">
        <v>9676</v>
      </c>
      <c r="G857" s="14" t="s">
        <v>63</v>
      </c>
      <c r="H857" s="15">
        <v>13175</v>
      </c>
      <c r="I857" s="15">
        <v>1160</v>
      </c>
      <c r="J857" s="15">
        <v>445</v>
      </c>
      <c r="K857" s="16">
        <v>13603</v>
      </c>
      <c r="L857" s="17">
        <f t="shared" si="65"/>
        <v>8.8045540796963945E-2</v>
      </c>
      <c r="M857" s="17">
        <f t="shared" si="65"/>
        <v>0.38362068965517243</v>
      </c>
      <c r="N857" s="18">
        <f t="shared" si="66"/>
        <v>8.3870689655172406</v>
      </c>
      <c r="O857" s="18">
        <f t="shared" si="67"/>
        <v>21.862921348314607</v>
      </c>
      <c r="P857" s="17">
        <f t="shared" si="68"/>
        <v>1.0054774700289375</v>
      </c>
      <c r="Q857" s="17">
        <f t="shared" si="69"/>
        <v>1.3981909754342687</v>
      </c>
      <c r="R857" s="10" t="s">
        <v>1746</v>
      </c>
      <c r="S857" s="14" t="s">
        <v>45</v>
      </c>
      <c r="T857" s="14" t="s">
        <v>55</v>
      </c>
      <c r="U857" s="13">
        <v>9729</v>
      </c>
      <c r="V857" s="15">
        <v>5</v>
      </c>
      <c r="W857" s="9" t="str">
        <f>IF(Table1[[#This Row],[Satisfaction Rating]]&lt;2, "Low", IF(Table1[[#This Row],[Satisfaction Rating]]&lt;4, "Medium", "High"))</f>
        <v>High</v>
      </c>
    </row>
    <row r="858" spans="1:23" ht="14" x14ac:dyDescent="0.2">
      <c r="A858" s="10" t="s">
        <v>1747</v>
      </c>
      <c r="B858" s="11">
        <v>45120.644976851851</v>
      </c>
      <c r="C858" s="11">
        <v>45120.644976851851</v>
      </c>
      <c r="D858" s="11" t="str">
        <f>IF(Table1[[#This Row],[Duration of Campaign]]=0, "Ongoing","Completed")</f>
        <v>Ongoing</v>
      </c>
      <c r="E858" s="12">
        <f>Table1[[#This Row],[End Date]]-Table1[[#This Row],[Start Date]]</f>
        <v>0</v>
      </c>
      <c r="F858" s="13">
        <v>6546</v>
      </c>
      <c r="G858" s="14" t="s">
        <v>47</v>
      </c>
      <c r="H858" s="15">
        <v>10434</v>
      </c>
      <c r="I858" s="15">
        <v>1567</v>
      </c>
      <c r="J858" s="15">
        <v>114</v>
      </c>
      <c r="K858" s="16">
        <v>9032</v>
      </c>
      <c r="L858" s="17">
        <f t="shared" si="65"/>
        <v>0.15018209699060764</v>
      </c>
      <c r="M858" s="17">
        <f t="shared" si="65"/>
        <v>7.2750478621569872E-2</v>
      </c>
      <c r="N858" s="18">
        <f t="shared" si="66"/>
        <v>2.0446713465220165</v>
      </c>
      <c r="O858" s="18">
        <f t="shared" si="67"/>
        <v>28.105263157894736</v>
      </c>
      <c r="P858" s="17">
        <f t="shared" si="68"/>
        <v>0.48945921173235563</v>
      </c>
      <c r="Q858" s="17">
        <f t="shared" si="69"/>
        <v>2.8189762796504367</v>
      </c>
      <c r="R858" s="10" t="s">
        <v>1748</v>
      </c>
      <c r="S858" s="14" t="s">
        <v>31</v>
      </c>
      <c r="T858" s="14" t="s">
        <v>27</v>
      </c>
      <c r="U858" s="13">
        <v>3204</v>
      </c>
      <c r="V858" s="15">
        <v>2</v>
      </c>
      <c r="W858" s="9" t="str">
        <f>IF(Table1[[#This Row],[Satisfaction Rating]]&lt;2, "Low", IF(Table1[[#This Row],[Satisfaction Rating]]&lt;4, "Medium", "High"))</f>
        <v>Medium</v>
      </c>
    </row>
    <row r="859" spans="1:23" ht="14" x14ac:dyDescent="0.2">
      <c r="A859" s="10" t="s">
        <v>1749</v>
      </c>
      <c r="B859" s="11">
        <v>45179.37841435185</v>
      </c>
      <c r="C859" s="11">
        <v>45648.615717592591</v>
      </c>
      <c r="D859" s="11" t="str">
        <f>IF(Table1[[#This Row],[Duration of Campaign]]=0, "Ongoing","Completed")</f>
        <v>Completed</v>
      </c>
      <c r="E859" s="12">
        <f>Table1[[#This Row],[End Date]]-Table1[[#This Row],[Start Date]]</f>
        <v>469.23730324074131</v>
      </c>
      <c r="F859" s="13">
        <v>3392</v>
      </c>
      <c r="G859" s="14" t="s">
        <v>29</v>
      </c>
      <c r="H859" s="15">
        <v>4257</v>
      </c>
      <c r="I859" s="15">
        <v>1266</v>
      </c>
      <c r="J859" s="15">
        <v>468</v>
      </c>
      <c r="K859" s="16">
        <v>11176</v>
      </c>
      <c r="L859" s="17">
        <f t="shared" si="65"/>
        <v>0.2973925299506695</v>
      </c>
      <c r="M859" s="17">
        <f t="shared" si="65"/>
        <v>0.36966824644549762</v>
      </c>
      <c r="N859" s="18">
        <f t="shared" si="66"/>
        <v>10.785150078988941</v>
      </c>
      <c r="O859" s="18">
        <f t="shared" si="67"/>
        <v>29.175213675213676</v>
      </c>
      <c r="P859" s="17">
        <f t="shared" si="68"/>
        <v>4.0253537735849054</v>
      </c>
      <c r="Q859" s="17">
        <f t="shared" si="69"/>
        <v>0.81851472096089062</v>
      </c>
      <c r="R859" s="10" t="s">
        <v>1750</v>
      </c>
      <c r="S859" s="14" t="s">
        <v>26</v>
      </c>
      <c r="T859" s="14" t="s">
        <v>55</v>
      </c>
      <c r="U859" s="13">
        <v>13654</v>
      </c>
      <c r="V859" s="15">
        <v>3</v>
      </c>
      <c r="W859" s="9" t="str">
        <f>IF(Table1[[#This Row],[Satisfaction Rating]]&lt;2, "Low", IF(Table1[[#This Row],[Satisfaction Rating]]&lt;4, "Medium", "High"))</f>
        <v>Medium</v>
      </c>
    </row>
    <row r="860" spans="1:23" ht="14" x14ac:dyDescent="0.2">
      <c r="A860" s="10" t="s">
        <v>1751</v>
      </c>
      <c r="B860" s="11">
        <v>45206.771944444445</v>
      </c>
      <c r="C860" s="11">
        <v>45577.584814814814</v>
      </c>
      <c r="D860" s="11" t="str">
        <f>IF(Table1[[#This Row],[Duration of Campaign]]=0, "Ongoing","Completed")</f>
        <v>Completed</v>
      </c>
      <c r="E860" s="12">
        <f>Table1[[#This Row],[End Date]]-Table1[[#This Row],[Start Date]]</f>
        <v>370.81287037036964</v>
      </c>
      <c r="F860" s="13">
        <v>8863</v>
      </c>
      <c r="G860" s="14" t="s">
        <v>63</v>
      </c>
      <c r="H860" s="15">
        <v>16217</v>
      </c>
      <c r="I860" s="15">
        <v>993</v>
      </c>
      <c r="J860" s="15">
        <v>287</v>
      </c>
      <c r="K860" s="16">
        <v>9928</v>
      </c>
      <c r="L860" s="17">
        <f t="shared" si="65"/>
        <v>6.1232040451378186E-2</v>
      </c>
      <c r="M860" s="17">
        <f t="shared" si="65"/>
        <v>0.28902316213494461</v>
      </c>
      <c r="N860" s="18">
        <f t="shared" si="66"/>
        <v>19.831822759315205</v>
      </c>
      <c r="O860" s="18">
        <f t="shared" si="67"/>
        <v>68.616724738675956</v>
      </c>
      <c r="P860" s="17">
        <f t="shared" si="68"/>
        <v>2.2219338824325847</v>
      </c>
      <c r="Q860" s="17">
        <f t="shared" si="69"/>
        <v>0.50413852637993195</v>
      </c>
      <c r="R860" s="10" t="s">
        <v>1752</v>
      </c>
      <c r="S860" s="14" t="s">
        <v>31</v>
      </c>
      <c r="T860" s="14" t="s">
        <v>37</v>
      </c>
      <c r="U860" s="13">
        <v>19693</v>
      </c>
      <c r="V860" s="15">
        <v>3</v>
      </c>
      <c r="W860" s="9" t="str">
        <f>IF(Table1[[#This Row],[Satisfaction Rating]]&lt;2, "Low", IF(Table1[[#This Row],[Satisfaction Rating]]&lt;4, "Medium", "High"))</f>
        <v>Medium</v>
      </c>
    </row>
    <row r="861" spans="1:23" ht="14" x14ac:dyDescent="0.2">
      <c r="A861" s="10" t="s">
        <v>1753</v>
      </c>
      <c r="B861" s="11">
        <v>45315.044525462959</v>
      </c>
      <c r="C861" s="11">
        <v>45315.044525462959</v>
      </c>
      <c r="D861" s="11" t="str">
        <f>IF(Table1[[#This Row],[Duration of Campaign]]=0, "Ongoing","Completed")</f>
        <v>Ongoing</v>
      </c>
      <c r="E861" s="12">
        <f>Table1[[#This Row],[End Date]]-Table1[[#This Row],[Start Date]]</f>
        <v>0</v>
      </c>
      <c r="F861" s="13">
        <v>3529</v>
      </c>
      <c r="G861" s="14" t="s">
        <v>24</v>
      </c>
      <c r="H861" s="15">
        <v>16290</v>
      </c>
      <c r="I861" s="15">
        <v>839</v>
      </c>
      <c r="J861" s="15">
        <v>459</v>
      </c>
      <c r="K861" s="16">
        <v>7333</v>
      </c>
      <c r="L861" s="17">
        <f t="shared" si="65"/>
        <v>5.1503990178023325E-2</v>
      </c>
      <c r="M861" s="17">
        <f t="shared" si="65"/>
        <v>0.54707985697258643</v>
      </c>
      <c r="N861" s="18">
        <f t="shared" si="66"/>
        <v>18.837902264600714</v>
      </c>
      <c r="O861" s="18">
        <f t="shared" si="67"/>
        <v>34.433551198257078</v>
      </c>
      <c r="P861" s="17">
        <f t="shared" si="68"/>
        <v>4.4786058373476907</v>
      </c>
      <c r="Q861" s="17">
        <f t="shared" si="69"/>
        <v>0.46396709901929767</v>
      </c>
      <c r="R861" s="10" t="s">
        <v>1754</v>
      </c>
      <c r="S861" s="14" t="s">
        <v>45</v>
      </c>
      <c r="T861" s="14" t="s">
        <v>37</v>
      </c>
      <c r="U861" s="13">
        <v>15805</v>
      </c>
      <c r="V861" s="15">
        <v>2</v>
      </c>
      <c r="W861" s="9" t="str">
        <f>IF(Table1[[#This Row],[Satisfaction Rating]]&lt;2, "Low", IF(Table1[[#This Row],[Satisfaction Rating]]&lt;4, "Medium", "High"))</f>
        <v>Medium</v>
      </c>
    </row>
    <row r="862" spans="1:23" ht="14" x14ac:dyDescent="0.2">
      <c r="A862" s="10" t="s">
        <v>1755</v>
      </c>
      <c r="B862" s="11">
        <v>45067.388090277775</v>
      </c>
      <c r="C862" s="11">
        <v>45394.413310185184</v>
      </c>
      <c r="D862" s="11" t="str">
        <f>IF(Table1[[#This Row],[Duration of Campaign]]=0, "Ongoing","Completed")</f>
        <v>Completed</v>
      </c>
      <c r="E862" s="12">
        <f>Table1[[#This Row],[End Date]]-Table1[[#This Row],[Start Date]]</f>
        <v>327.02521990740934</v>
      </c>
      <c r="F862" s="13">
        <v>6543</v>
      </c>
      <c r="G862" s="14" t="s">
        <v>63</v>
      </c>
      <c r="H862" s="15">
        <v>17594</v>
      </c>
      <c r="I862" s="15">
        <v>1428</v>
      </c>
      <c r="J862" s="15">
        <v>320</v>
      </c>
      <c r="K862" s="16">
        <v>4458</v>
      </c>
      <c r="L862" s="17">
        <f t="shared" si="65"/>
        <v>8.1164033193134019E-2</v>
      </c>
      <c r="M862" s="17">
        <f t="shared" si="65"/>
        <v>0.22408963585434175</v>
      </c>
      <c r="N862" s="18">
        <f t="shared" si="66"/>
        <v>5.927871148459384</v>
      </c>
      <c r="O862" s="18">
        <f t="shared" si="67"/>
        <v>26.453125</v>
      </c>
      <c r="P862" s="17">
        <f t="shared" si="68"/>
        <v>1.2937490447806816</v>
      </c>
      <c r="Q862" s="17">
        <f t="shared" si="69"/>
        <v>0.52663910218546961</v>
      </c>
      <c r="R862" s="10" t="s">
        <v>1756</v>
      </c>
      <c r="S862" s="14" t="s">
        <v>40</v>
      </c>
      <c r="T862" s="14" t="s">
        <v>55</v>
      </c>
      <c r="U862" s="13">
        <v>8465</v>
      </c>
      <c r="V862" s="15">
        <v>5</v>
      </c>
      <c r="W862" s="9" t="str">
        <f>IF(Table1[[#This Row],[Satisfaction Rating]]&lt;2, "Low", IF(Table1[[#This Row],[Satisfaction Rating]]&lt;4, "Medium", "High"))</f>
        <v>High</v>
      </c>
    </row>
    <row r="863" spans="1:23" ht="14" x14ac:dyDescent="0.2">
      <c r="A863" s="10" t="s">
        <v>1757</v>
      </c>
      <c r="B863" s="11">
        <v>45391.510324074072</v>
      </c>
      <c r="C863" s="11">
        <v>45391.510324074072</v>
      </c>
      <c r="D863" s="11" t="str">
        <f>IF(Table1[[#This Row],[Duration of Campaign]]=0, "Ongoing","Completed")</f>
        <v>Ongoing</v>
      </c>
      <c r="E863" s="12">
        <f>Table1[[#This Row],[End Date]]-Table1[[#This Row],[Start Date]]</f>
        <v>0</v>
      </c>
      <c r="F863" s="13">
        <v>6186</v>
      </c>
      <c r="G863" s="14" t="s">
        <v>29</v>
      </c>
      <c r="H863" s="15">
        <v>19595</v>
      </c>
      <c r="I863" s="15">
        <v>860</v>
      </c>
      <c r="J863" s="15">
        <v>345</v>
      </c>
      <c r="K863" s="16">
        <v>3395</v>
      </c>
      <c r="L863" s="17">
        <f t="shared" si="65"/>
        <v>4.3888747129369736E-2</v>
      </c>
      <c r="M863" s="17">
        <f t="shared" si="65"/>
        <v>0.40116279069767441</v>
      </c>
      <c r="N863" s="18">
        <f t="shared" si="66"/>
        <v>8.4988372093023248</v>
      </c>
      <c r="O863" s="18">
        <f t="shared" si="67"/>
        <v>21.185507246376812</v>
      </c>
      <c r="P863" s="17">
        <f t="shared" si="68"/>
        <v>1.1815389589395409</v>
      </c>
      <c r="Q863" s="17">
        <f t="shared" si="69"/>
        <v>0.46449582706252568</v>
      </c>
      <c r="R863" s="10" t="s">
        <v>1758</v>
      </c>
      <c r="S863" s="14" t="s">
        <v>26</v>
      </c>
      <c r="T863" s="14" t="s">
        <v>55</v>
      </c>
      <c r="U863" s="13">
        <v>7309</v>
      </c>
      <c r="V863" s="15">
        <v>1</v>
      </c>
      <c r="W863" s="9" t="str">
        <f>IF(Table1[[#This Row],[Satisfaction Rating]]&lt;2, "Low", IF(Table1[[#This Row],[Satisfaction Rating]]&lt;4, "Medium", "High"))</f>
        <v>Low</v>
      </c>
    </row>
    <row r="864" spans="1:23" ht="14" x14ac:dyDescent="0.2">
      <c r="A864" s="10" t="s">
        <v>1759</v>
      </c>
      <c r="B864" s="11">
        <v>45565.867858796293</v>
      </c>
      <c r="C864" s="11">
        <v>45565.867858796293</v>
      </c>
      <c r="D864" s="11" t="str">
        <f>IF(Table1[[#This Row],[Duration of Campaign]]=0, "Ongoing","Completed")</f>
        <v>Ongoing</v>
      </c>
      <c r="E864" s="12">
        <f>Table1[[#This Row],[End Date]]-Table1[[#This Row],[Start Date]]</f>
        <v>0</v>
      </c>
      <c r="F864" s="13">
        <v>6583</v>
      </c>
      <c r="G864" s="14" t="s">
        <v>24</v>
      </c>
      <c r="H864" s="15">
        <v>8548</v>
      </c>
      <c r="I864" s="15">
        <v>471</v>
      </c>
      <c r="J864" s="15">
        <v>452</v>
      </c>
      <c r="K864" s="16">
        <v>4667</v>
      </c>
      <c r="L864" s="17">
        <f t="shared" si="65"/>
        <v>5.5100608329433788E-2</v>
      </c>
      <c r="M864" s="17">
        <f t="shared" si="65"/>
        <v>0.95966029723991508</v>
      </c>
      <c r="N864" s="18">
        <f t="shared" si="66"/>
        <v>35.666666666666664</v>
      </c>
      <c r="O864" s="18">
        <f t="shared" si="67"/>
        <v>37.165929203539825</v>
      </c>
      <c r="P864" s="17">
        <f t="shared" si="68"/>
        <v>2.5518760443566761</v>
      </c>
      <c r="Q864" s="17">
        <f t="shared" si="69"/>
        <v>0.27781415560450029</v>
      </c>
      <c r="R864" s="10" t="s">
        <v>1760</v>
      </c>
      <c r="S864" s="14" t="s">
        <v>45</v>
      </c>
      <c r="T864" s="14" t="s">
        <v>27</v>
      </c>
      <c r="U864" s="13">
        <v>16799</v>
      </c>
      <c r="V864" s="15">
        <v>5</v>
      </c>
      <c r="W864" s="9" t="str">
        <f>IF(Table1[[#This Row],[Satisfaction Rating]]&lt;2, "Low", IF(Table1[[#This Row],[Satisfaction Rating]]&lt;4, "Medium", "High"))</f>
        <v>High</v>
      </c>
    </row>
    <row r="865" spans="1:23" ht="14" x14ac:dyDescent="0.2">
      <c r="A865" s="10" t="s">
        <v>1761</v>
      </c>
      <c r="B865" s="11">
        <v>45321.857349537036</v>
      </c>
      <c r="C865" s="11">
        <v>45321.857349537036</v>
      </c>
      <c r="D865" s="11" t="str">
        <f>IF(Table1[[#This Row],[Duration of Campaign]]=0, "Ongoing","Completed")</f>
        <v>Ongoing</v>
      </c>
      <c r="E865" s="12">
        <f>Table1[[#This Row],[End Date]]-Table1[[#This Row],[Start Date]]</f>
        <v>0</v>
      </c>
      <c r="F865" s="13">
        <v>7754</v>
      </c>
      <c r="G865" s="14" t="s">
        <v>29</v>
      </c>
      <c r="H865" s="15">
        <v>6690</v>
      </c>
      <c r="I865" s="15">
        <v>1579</v>
      </c>
      <c r="J865" s="15">
        <v>330</v>
      </c>
      <c r="K865" s="16">
        <v>7370</v>
      </c>
      <c r="L865" s="17">
        <f t="shared" si="65"/>
        <v>0.23602391629297459</v>
      </c>
      <c r="M865" s="17">
        <f t="shared" si="65"/>
        <v>0.20899303356554783</v>
      </c>
      <c r="N865" s="18">
        <f t="shared" si="66"/>
        <v>0.9119696010132996</v>
      </c>
      <c r="O865" s="18">
        <f t="shared" si="67"/>
        <v>4.3636363636363633</v>
      </c>
      <c r="P865" s="17">
        <f t="shared" si="68"/>
        <v>0.18571060098013928</v>
      </c>
      <c r="Q865" s="17">
        <f t="shared" si="69"/>
        <v>5.1180555555555554</v>
      </c>
      <c r="R865" s="10" t="s">
        <v>1762</v>
      </c>
      <c r="S865" s="14" t="s">
        <v>26</v>
      </c>
      <c r="T865" s="14" t="s">
        <v>37</v>
      </c>
      <c r="U865" s="13">
        <v>1440</v>
      </c>
      <c r="V865" s="15">
        <v>1</v>
      </c>
      <c r="W865" s="9" t="str">
        <f>IF(Table1[[#This Row],[Satisfaction Rating]]&lt;2, "Low", IF(Table1[[#This Row],[Satisfaction Rating]]&lt;4, "Medium", "High"))</f>
        <v>Low</v>
      </c>
    </row>
    <row r="866" spans="1:23" ht="14" x14ac:dyDescent="0.2">
      <c r="A866" s="10" t="s">
        <v>1763</v>
      </c>
      <c r="B866" s="11">
        <v>45036.164351851854</v>
      </c>
      <c r="C866" s="11">
        <v>45454.912233796298</v>
      </c>
      <c r="D866" s="11" t="str">
        <f>IF(Table1[[#This Row],[Duration of Campaign]]=0, "Ongoing","Completed")</f>
        <v>Completed</v>
      </c>
      <c r="E866" s="12">
        <f>Table1[[#This Row],[End Date]]-Table1[[#This Row],[Start Date]]</f>
        <v>418.74788194444409</v>
      </c>
      <c r="F866" s="13">
        <v>9909</v>
      </c>
      <c r="G866" s="14" t="s">
        <v>29</v>
      </c>
      <c r="H866" s="15">
        <v>8460</v>
      </c>
      <c r="I866" s="15">
        <v>1773</v>
      </c>
      <c r="J866" s="15">
        <v>455</v>
      </c>
      <c r="K866" s="16">
        <v>11917</v>
      </c>
      <c r="L866" s="17">
        <f t="shared" si="65"/>
        <v>0.20957446808510638</v>
      </c>
      <c r="M866" s="17">
        <f t="shared" si="65"/>
        <v>0.25662718556119574</v>
      </c>
      <c r="N866" s="18">
        <f t="shared" si="66"/>
        <v>2.3981951494641849</v>
      </c>
      <c r="O866" s="18">
        <f t="shared" si="67"/>
        <v>9.3450549450549456</v>
      </c>
      <c r="P866" s="17">
        <f t="shared" si="68"/>
        <v>0.42910485417297406</v>
      </c>
      <c r="Q866" s="17">
        <f t="shared" si="69"/>
        <v>2.8026810912511757</v>
      </c>
      <c r="R866" s="10" t="s">
        <v>1764</v>
      </c>
      <c r="S866" s="14" t="s">
        <v>31</v>
      </c>
      <c r="T866" s="14" t="s">
        <v>27</v>
      </c>
      <c r="U866" s="13">
        <v>4252</v>
      </c>
      <c r="V866" s="15">
        <v>5</v>
      </c>
      <c r="W866" s="9" t="str">
        <f>IF(Table1[[#This Row],[Satisfaction Rating]]&lt;2, "Low", IF(Table1[[#This Row],[Satisfaction Rating]]&lt;4, "Medium", "High"))</f>
        <v>High</v>
      </c>
    </row>
    <row r="867" spans="1:23" ht="14" x14ac:dyDescent="0.2">
      <c r="A867" s="10" t="s">
        <v>1765</v>
      </c>
      <c r="B867" s="11">
        <v>45404.968078703707</v>
      </c>
      <c r="C867" s="11">
        <v>45404.968078703707</v>
      </c>
      <c r="D867" s="11" t="str">
        <f>IF(Table1[[#This Row],[Duration of Campaign]]=0, "Ongoing","Completed")</f>
        <v>Ongoing</v>
      </c>
      <c r="E867" s="12">
        <f>Table1[[#This Row],[End Date]]-Table1[[#This Row],[Start Date]]</f>
        <v>0</v>
      </c>
      <c r="F867" s="13">
        <v>7817</v>
      </c>
      <c r="G867" s="14" t="s">
        <v>29</v>
      </c>
      <c r="H867" s="15">
        <v>6636</v>
      </c>
      <c r="I867" s="15">
        <v>1821</v>
      </c>
      <c r="J867" s="15">
        <v>30</v>
      </c>
      <c r="K867" s="16">
        <v>3711</v>
      </c>
      <c r="L867" s="17">
        <f t="shared" si="65"/>
        <v>0.2744122965641953</v>
      </c>
      <c r="M867" s="17">
        <f t="shared" si="65"/>
        <v>1.6474464579901153E-2</v>
      </c>
      <c r="N867" s="18">
        <f t="shared" si="66"/>
        <v>4.7276221856123009</v>
      </c>
      <c r="O867" s="18">
        <f t="shared" si="67"/>
        <v>286.96666666666664</v>
      </c>
      <c r="P867" s="17">
        <f t="shared" si="68"/>
        <v>1.1013176410387617</v>
      </c>
      <c r="Q867" s="17">
        <f t="shared" si="69"/>
        <v>0.43106051806249274</v>
      </c>
      <c r="R867" s="10" t="s">
        <v>1766</v>
      </c>
      <c r="S867" s="14" t="s">
        <v>45</v>
      </c>
      <c r="T867" s="14" t="s">
        <v>37</v>
      </c>
      <c r="U867" s="13">
        <v>8609</v>
      </c>
      <c r="V867" s="15">
        <v>1</v>
      </c>
      <c r="W867" s="9" t="str">
        <f>IF(Table1[[#This Row],[Satisfaction Rating]]&lt;2, "Low", IF(Table1[[#This Row],[Satisfaction Rating]]&lt;4, "Medium", "High"))</f>
        <v>Low</v>
      </c>
    </row>
    <row r="868" spans="1:23" ht="14" x14ac:dyDescent="0.2">
      <c r="A868" s="10" t="s">
        <v>1767</v>
      </c>
      <c r="B868" s="11">
        <v>45263.661400462966</v>
      </c>
      <c r="C868" s="11">
        <v>45263.661400462966</v>
      </c>
      <c r="D868" s="11" t="str">
        <f>IF(Table1[[#This Row],[Duration of Campaign]]=0, "Ongoing","Completed")</f>
        <v>Ongoing</v>
      </c>
      <c r="E868" s="12">
        <f>Table1[[#This Row],[End Date]]-Table1[[#This Row],[Start Date]]</f>
        <v>0</v>
      </c>
      <c r="F868" s="13">
        <v>5958</v>
      </c>
      <c r="G868" s="14" t="s">
        <v>29</v>
      </c>
      <c r="H868" s="15">
        <v>16109</v>
      </c>
      <c r="I868" s="15">
        <v>481</v>
      </c>
      <c r="J868" s="15">
        <v>172</v>
      </c>
      <c r="K868" s="16">
        <v>13488</v>
      </c>
      <c r="L868" s="17">
        <f t="shared" si="65"/>
        <v>2.9859084983549569E-2</v>
      </c>
      <c r="M868" s="17">
        <f t="shared" si="65"/>
        <v>0.35758835758835761</v>
      </c>
      <c r="N868" s="18">
        <f t="shared" si="66"/>
        <v>27.534303534303536</v>
      </c>
      <c r="O868" s="18">
        <f t="shared" si="67"/>
        <v>77</v>
      </c>
      <c r="P868" s="17">
        <f t="shared" si="68"/>
        <v>2.222893588452501</v>
      </c>
      <c r="Q868" s="17">
        <f t="shared" si="69"/>
        <v>1.0184234370280882</v>
      </c>
      <c r="R868" s="10" t="s">
        <v>1768</v>
      </c>
      <c r="S868" s="14" t="s">
        <v>34</v>
      </c>
      <c r="T868" s="14" t="s">
        <v>27</v>
      </c>
      <c r="U868" s="13">
        <v>13244</v>
      </c>
      <c r="V868" s="15">
        <v>4</v>
      </c>
      <c r="W868" s="9" t="str">
        <f>IF(Table1[[#This Row],[Satisfaction Rating]]&lt;2, "Low", IF(Table1[[#This Row],[Satisfaction Rating]]&lt;4, "Medium", "High"))</f>
        <v>High</v>
      </c>
    </row>
    <row r="869" spans="1:23" ht="14" x14ac:dyDescent="0.2">
      <c r="A869" s="10" t="s">
        <v>1769</v>
      </c>
      <c r="B869" s="11">
        <v>45399.520115740743</v>
      </c>
      <c r="C869" s="11">
        <v>45399.520115740743</v>
      </c>
      <c r="D869" s="11" t="str">
        <f>IF(Table1[[#This Row],[Duration of Campaign]]=0, "Ongoing","Completed")</f>
        <v>Ongoing</v>
      </c>
      <c r="E869" s="12">
        <f>Table1[[#This Row],[End Date]]-Table1[[#This Row],[Start Date]]</f>
        <v>0</v>
      </c>
      <c r="F869" s="13">
        <v>7039</v>
      </c>
      <c r="G869" s="14" t="s">
        <v>29</v>
      </c>
      <c r="H869" s="15">
        <v>15355</v>
      </c>
      <c r="I869" s="15">
        <v>1172</v>
      </c>
      <c r="J869" s="15">
        <v>194</v>
      </c>
      <c r="K869" s="16">
        <v>715</v>
      </c>
      <c r="L869" s="17">
        <f t="shared" si="65"/>
        <v>7.6326929338977528E-2</v>
      </c>
      <c r="M869" s="17">
        <f t="shared" si="65"/>
        <v>0.16552901023890784</v>
      </c>
      <c r="N869" s="18">
        <f t="shared" si="66"/>
        <v>16.581058020477816</v>
      </c>
      <c r="O869" s="18">
        <f t="shared" si="67"/>
        <v>100.17010309278351</v>
      </c>
      <c r="P869" s="17">
        <f t="shared" si="68"/>
        <v>2.7607614717999716</v>
      </c>
      <c r="Q869" s="17">
        <f t="shared" si="69"/>
        <v>3.6793083929398444E-2</v>
      </c>
      <c r="R869" s="10" t="s">
        <v>1770</v>
      </c>
      <c r="S869" s="14" t="s">
        <v>45</v>
      </c>
      <c r="T869" s="14" t="s">
        <v>27</v>
      </c>
      <c r="U869" s="13">
        <v>19433</v>
      </c>
      <c r="V869" s="15">
        <v>3</v>
      </c>
      <c r="W869" s="9" t="str">
        <f>IF(Table1[[#This Row],[Satisfaction Rating]]&lt;2, "Low", IF(Table1[[#This Row],[Satisfaction Rating]]&lt;4, "Medium", "High"))</f>
        <v>Medium</v>
      </c>
    </row>
    <row r="870" spans="1:23" ht="14" x14ac:dyDescent="0.2">
      <c r="A870" s="10" t="s">
        <v>1771</v>
      </c>
      <c r="B870" s="11">
        <v>45595.794652777775</v>
      </c>
      <c r="C870" s="11">
        <v>45595.794652777775</v>
      </c>
      <c r="D870" s="11" t="str">
        <f>IF(Table1[[#This Row],[Duration of Campaign]]=0, "Ongoing","Completed")</f>
        <v>Ongoing</v>
      </c>
      <c r="E870" s="12">
        <f>Table1[[#This Row],[End Date]]-Table1[[#This Row],[Start Date]]</f>
        <v>0</v>
      </c>
      <c r="F870" s="13">
        <v>9717</v>
      </c>
      <c r="G870" s="14" t="s">
        <v>47</v>
      </c>
      <c r="H870" s="15">
        <v>8035</v>
      </c>
      <c r="I870" s="15">
        <v>578</v>
      </c>
      <c r="J870" s="15">
        <v>283</v>
      </c>
      <c r="K870" s="16">
        <v>3567</v>
      </c>
      <c r="L870" s="17">
        <f t="shared" si="65"/>
        <v>7.1935283136278783E-2</v>
      </c>
      <c r="M870" s="17">
        <f t="shared" si="65"/>
        <v>0.48961937716262977</v>
      </c>
      <c r="N870" s="18">
        <f t="shared" si="66"/>
        <v>22.027681660899653</v>
      </c>
      <c r="O870" s="18">
        <f t="shared" si="67"/>
        <v>44.989399293286219</v>
      </c>
      <c r="P870" s="17">
        <f t="shared" si="68"/>
        <v>1.3102809509107749</v>
      </c>
      <c r="Q870" s="17">
        <f t="shared" si="69"/>
        <v>0.28016022620169651</v>
      </c>
      <c r="R870" s="10" t="s">
        <v>1772</v>
      </c>
      <c r="S870" s="14" t="s">
        <v>31</v>
      </c>
      <c r="T870" s="14" t="s">
        <v>55</v>
      </c>
      <c r="U870" s="13">
        <v>12732</v>
      </c>
      <c r="V870" s="15">
        <v>5</v>
      </c>
      <c r="W870" s="9" t="str">
        <f>IF(Table1[[#This Row],[Satisfaction Rating]]&lt;2, "Low", IF(Table1[[#This Row],[Satisfaction Rating]]&lt;4, "Medium", "High"))</f>
        <v>High</v>
      </c>
    </row>
    <row r="871" spans="1:23" ht="14" x14ac:dyDescent="0.2">
      <c r="A871" s="10" t="s">
        <v>1773</v>
      </c>
      <c r="B871" s="11">
        <v>45017.87363425926</v>
      </c>
      <c r="C871" s="11">
        <v>45419.041006944448</v>
      </c>
      <c r="D871" s="11" t="str">
        <f>IF(Table1[[#This Row],[Duration of Campaign]]=0, "Ongoing","Completed")</f>
        <v>Completed</v>
      </c>
      <c r="E871" s="12">
        <f>Table1[[#This Row],[End Date]]-Table1[[#This Row],[Start Date]]</f>
        <v>401.16737268518773</v>
      </c>
      <c r="F871" s="13">
        <v>8295</v>
      </c>
      <c r="G871" s="14" t="s">
        <v>63</v>
      </c>
      <c r="H871" s="15">
        <v>12489</v>
      </c>
      <c r="I871" s="15">
        <v>322</v>
      </c>
      <c r="J871" s="15">
        <v>26</v>
      </c>
      <c r="K871" s="16">
        <v>7987</v>
      </c>
      <c r="L871" s="17">
        <f t="shared" si="65"/>
        <v>2.5782688766114181E-2</v>
      </c>
      <c r="M871" s="17">
        <f t="shared" si="65"/>
        <v>8.0745341614906832E-2</v>
      </c>
      <c r="N871" s="18">
        <f t="shared" si="66"/>
        <v>24.363354037267079</v>
      </c>
      <c r="O871" s="18">
        <f t="shared" si="67"/>
        <v>301.73076923076923</v>
      </c>
      <c r="P871" s="17">
        <f t="shared" si="68"/>
        <v>0.94575045207956598</v>
      </c>
      <c r="Q871" s="17">
        <f t="shared" si="69"/>
        <v>1.0181007010834926</v>
      </c>
      <c r="R871" s="10" t="s">
        <v>1774</v>
      </c>
      <c r="S871" s="14" t="s">
        <v>34</v>
      </c>
      <c r="T871" s="14" t="s">
        <v>27</v>
      </c>
      <c r="U871" s="13">
        <v>7845</v>
      </c>
      <c r="V871" s="15">
        <v>4</v>
      </c>
      <c r="W871" s="9" t="str">
        <f>IF(Table1[[#This Row],[Satisfaction Rating]]&lt;2, "Low", IF(Table1[[#This Row],[Satisfaction Rating]]&lt;4, "Medium", "High"))</f>
        <v>High</v>
      </c>
    </row>
    <row r="872" spans="1:23" ht="14" x14ac:dyDescent="0.2">
      <c r="A872" s="10" t="s">
        <v>1775</v>
      </c>
      <c r="B872" s="11">
        <v>45015.415706018517</v>
      </c>
      <c r="C872" s="11">
        <v>45431.601388888892</v>
      </c>
      <c r="D872" s="11" t="str">
        <f>IF(Table1[[#This Row],[Duration of Campaign]]=0, "Ongoing","Completed")</f>
        <v>Completed</v>
      </c>
      <c r="E872" s="12">
        <f>Table1[[#This Row],[End Date]]-Table1[[#This Row],[Start Date]]</f>
        <v>416.18568287037488</v>
      </c>
      <c r="F872" s="13">
        <v>9994</v>
      </c>
      <c r="G872" s="14" t="s">
        <v>24</v>
      </c>
      <c r="H872" s="15">
        <v>5586</v>
      </c>
      <c r="I872" s="15">
        <v>1663</v>
      </c>
      <c r="J872" s="15">
        <v>213</v>
      </c>
      <c r="K872" s="16">
        <v>13929</v>
      </c>
      <c r="L872" s="17">
        <f t="shared" si="65"/>
        <v>0.29770855710705335</v>
      </c>
      <c r="M872" s="17">
        <f t="shared" si="65"/>
        <v>0.12808177991581479</v>
      </c>
      <c r="N872" s="18">
        <f t="shared" si="66"/>
        <v>10.728803367408299</v>
      </c>
      <c r="O872" s="18">
        <f t="shared" si="67"/>
        <v>83.765258215962447</v>
      </c>
      <c r="P872" s="17">
        <f t="shared" si="68"/>
        <v>1.7852711626976185</v>
      </c>
      <c r="Q872" s="17">
        <f t="shared" si="69"/>
        <v>0.78068602174644097</v>
      </c>
      <c r="R872" s="10" t="s">
        <v>1776</v>
      </c>
      <c r="S872" s="14" t="s">
        <v>26</v>
      </c>
      <c r="T872" s="14" t="s">
        <v>37</v>
      </c>
      <c r="U872" s="13">
        <v>17842</v>
      </c>
      <c r="V872" s="15">
        <v>5</v>
      </c>
      <c r="W872" s="9" t="str">
        <f>IF(Table1[[#This Row],[Satisfaction Rating]]&lt;2, "Low", IF(Table1[[#This Row],[Satisfaction Rating]]&lt;4, "Medium", "High"))</f>
        <v>High</v>
      </c>
    </row>
    <row r="873" spans="1:23" ht="14" x14ac:dyDescent="0.2">
      <c r="A873" s="10" t="s">
        <v>1777</v>
      </c>
      <c r="B873" s="11">
        <v>45144.52548611111</v>
      </c>
      <c r="C873" s="11">
        <v>45509.654398148145</v>
      </c>
      <c r="D873" s="11" t="str">
        <f>IF(Table1[[#This Row],[Duration of Campaign]]=0, "Ongoing","Completed")</f>
        <v>Completed</v>
      </c>
      <c r="E873" s="12">
        <f>Table1[[#This Row],[End Date]]-Table1[[#This Row],[Start Date]]</f>
        <v>365.12891203703475</v>
      </c>
      <c r="F873" s="13">
        <v>2343</v>
      </c>
      <c r="G873" s="14" t="s">
        <v>63</v>
      </c>
      <c r="H873" s="15">
        <v>6508</v>
      </c>
      <c r="I873" s="15">
        <v>1450</v>
      </c>
      <c r="J873" s="15">
        <v>422</v>
      </c>
      <c r="K873" s="16">
        <v>9445</v>
      </c>
      <c r="L873" s="17">
        <f t="shared" si="65"/>
        <v>0.22280270436385988</v>
      </c>
      <c r="M873" s="17">
        <f t="shared" si="65"/>
        <v>0.29103448275862071</v>
      </c>
      <c r="N873" s="18">
        <f t="shared" si="66"/>
        <v>8.6448275862068957</v>
      </c>
      <c r="O873" s="18">
        <f t="shared" si="67"/>
        <v>29.703791469194314</v>
      </c>
      <c r="P873" s="17">
        <f t="shared" si="68"/>
        <v>5.3499786598378147</v>
      </c>
      <c r="Q873" s="17">
        <f t="shared" si="69"/>
        <v>0.75349022736338256</v>
      </c>
      <c r="R873" s="10" t="s">
        <v>1778</v>
      </c>
      <c r="S873" s="14" t="s">
        <v>40</v>
      </c>
      <c r="T873" s="14" t="s">
        <v>55</v>
      </c>
      <c r="U873" s="13">
        <v>12535</v>
      </c>
      <c r="V873" s="15">
        <v>3</v>
      </c>
      <c r="W873" s="9" t="str">
        <f>IF(Table1[[#This Row],[Satisfaction Rating]]&lt;2, "Low", IF(Table1[[#This Row],[Satisfaction Rating]]&lt;4, "Medium", "High"))</f>
        <v>Medium</v>
      </c>
    </row>
    <row r="874" spans="1:23" ht="14" x14ac:dyDescent="0.2">
      <c r="A874" s="10" t="s">
        <v>1779</v>
      </c>
      <c r="B874" s="11">
        <v>45464.925127314818</v>
      </c>
      <c r="C874" s="11">
        <v>45464.925127314818</v>
      </c>
      <c r="D874" s="11" t="str">
        <f>IF(Table1[[#This Row],[Duration of Campaign]]=0, "Ongoing","Completed")</f>
        <v>Ongoing</v>
      </c>
      <c r="E874" s="12">
        <f>Table1[[#This Row],[End Date]]-Table1[[#This Row],[Start Date]]</f>
        <v>0</v>
      </c>
      <c r="F874" s="13">
        <v>3084</v>
      </c>
      <c r="G874" s="14" t="s">
        <v>63</v>
      </c>
      <c r="H874" s="15">
        <v>17790</v>
      </c>
      <c r="I874" s="15">
        <v>759</v>
      </c>
      <c r="J874" s="15">
        <v>141</v>
      </c>
      <c r="K874" s="16">
        <v>6853</v>
      </c>
      <c r="L874" s="17">
        <f t="shared" si="65"/>
        <v>4.2664418212478919E-2</v>
      </c>
      <c r="M874" s="17">
        <f t="shared" si="65"/>
        <v>0.1857707509881423</v>
      </c>
      <c r="N874" s="18">
        <f t="shared" si="66"/>
        <v>5.6930171277997363</v>
      </c>
      <c r="O874" s="18">
        <f t="shared" si="67"/>
        <v>30.645390070921987</v>
      </c>
      <c r="P874" s="17">
        <f t="shared" si="68"/>
        <v>1.4011024643320362</v>
      </c>
      <c r="Q874" s="17">
        <f t="shared" si="69"/>
        <v>1.5859754686415182</v>
      </c>
      <c r="R874" s="10" t="s">
        <v>1780</v>
      </c>
      <c r="S874" s="14" t="s">
        <v>26</v>
      </c>
      <c r="T874" s="14" t="s">
        <v>27</v>
      </c>
      <c r="U874" s="13">
        <v>4321</v>
      </c>
      <c r="V874" s="15">
        <v>4</v>
      </c>
      <c r="W874" s="9" t="str">
        <f>IF(Table1[[#This Row],[Satisfaction Rating]]&lt;2, "Low", IF(Table1[[#This Row],[Satisfaction Rating]]&lt;4, "Medium", "High"))</f>
        <v>High</v>
      </c>
    </row>
    <row r="875" spans="1:23" ht="14" x14ac:dyDescent="0.2">
      <c r="A875" s="10" t="s">
        <v>1781</v>
      </c>
      <c r="B875" s="11">
        <v>45050.712256944447</v>
      </c>
      <c r="C875" s="11">
        <v>45050.712256944447</v>
      </c>
      <c r="D875" s="11" t="str">
        <f>IF(Table1[[#This Row],[Duration of Campaign]]=0, "Ongoing","Completed")</f>
        <v>Ongoing</v>
      </c>
      <c r="E875" s="12">
        <f>Table1[[#This Row],[End Date]]-Table1[[#This Row],[Start Date]]</f>
        <v>0</v>
      </c>
      <c r="F875" s="13">
        <v>3151</v>
      </c>
      <c r="G875" s="14" t="s">
        <v>47</v>
      </c>
      <c r="H875" s="15">
        <v>9326</v>
      </c>
      <c r="I875" s="15">
        <v>1157</v>
      </c>
      <c r="J875" s="15">
        <v>384</v>
      </c>
      <c r="K875" s="16">
        <v>3864</v>
      </c>
      <c r="L875" s="17">
        <f t="shared" si="65"/>
        <v>0.12406176281363929</v>
      </c>
      <c r="M875" s="17">
        <f t="shared" si="65"/>
        <v>0.33189282627484873</v>
      </c>
      <c r="N875" s="18">
        <f t="shared" si="66"/>
        <v>7.182368193604149</v>
      </c>
      <c r="O875" s="18">
        <f t="shared" si="67"/>
        <v>21.640625</v>
      </c>
      <c r="P875" s="17">
        <f t="shared" si="68"/>
        <v>2.6372580133291019</v>
      </c>
      <c r="Q875" s="17">
        <f t="shared" si="69"/>
        <v>0.46498194945848376</v>
      </c>
      <c r="R875" s="10" t="s">
        <v>1782</v>
      </c>
      <c r="S875" s="14" t="s">
        <v>26</v>
      </c>
      <c r="T875" s="14" t="s">
        <v>37</v>
      </c>
      <c r="U875" s="13">
        <v>8310</v>
      </c>
      <c r="V875" s="15">
        <v>2</v>
      </c>
      <c r="W875" s="9" t="str">
        <f>IF(Table1[[#This Row],[Satisfaction Rating]]&lt;2, "Low", IF(Table1[[#This Row],[Satisfaction Rating]]&lt;4, "Medium", "High"))</f>
        <v>Medium</v>
      </c>
    </row>
    <row r="876" spans="1:23" ht="14" x14ac:dyDescent="0.2">
      <c r="A876" s="10" t="s">
        <v>1783</v>
      </c>
      <c r="B876" s="11">
        <v>45353.261840277781</v>
      </c>
      <c r="C876" s="11">
        <v>45610.927719907406</v>
      </c>
      <c r="D876" s="11" t="str">
        <f>IF(Table1[[#This Row],[Duration of Campaign]]=0, "Ongoing","Completed")</f>
        <v>Completed</v>
      </c>
      <c r="E876" s="12">
        <f>Table1[[#This Row],[End Date]]-Table1[[#This Row],[Start Date]]</f>
        <v>257.66587962962512</v>
      </c>
      <c r="F876" s="13">
        <v>9861</v>
      </c>
      <c r="G876" s="14" t="s">
        <v>24</v>
      </c>
      <c r="H876" s="15">
        <v>2177</v>
      </c>
      <c r="I876" s="15">
        <v>687</v>
      </c>
      <c r="J876" s="15">
        <v>212</v>
      </c>
      <c r="K876" s="16">
        <v>9680</v>
      </c>
      <c r="L876" s="17">
        <f t="shared" si="65"/>
        <v>0.3155718879191548</v>
      </c>
      <c r="M876" s="17">
        <f t="shared" si="65"/>
        <v>0.30858806404657935</v>
      </c>
      <c r="N876" s="18">
        <f t="shared" si="66"/>
        <v>7.2343522561863169</v>
      </c>
      <c r="O876" s="18">
        <f t="shared" si="67"/>
        <v>23.443396226415093</v>
      </c>
      <c r="P876" s="17">
        <f t="shared" si="68"/>
        <v>0.50400567893722747</v>
      </c>
      <c r="Q876" s="17">
        <f t="shared" si="69"/>
        <v>1.9476861167002013</v>
      </c>
      <c r="R876" s="10" t="s">
        <v>1784</v>
      </c>
      <c r="S876" s="14" t="s">
        <v>40</v>
      </c>
      <c r="T876" s="14" t="s">
        <v>37</v>
      </c>
      <c r="U876" s="13">
        <v>4970</v>
      </c>
      <c r="V876" s="15">
        <v>2</v>
      </c>
      <c r="W876" s="9" t="str">
        <f>IF(Table1[[#This Row],[Satisfaction Rating]]&lt;2, "Low", IF(Table1[[#This Row],[Satisfaction Rating]]&lt;4, "Medium", "High"))</f>
        <v>Medium</v>
      </c>
    </row>
    <row r="877" spans="1:23" ht="14" x14ac:dyDescent="0.2">
      <c r="A877" s="10" t="s">
        <v>1785</v>
      </c>
      <c r="B877" s="11">
        <v>45569.295624999999</v>
      </c>
      <c r="C877" s="11">
        <v>45569.295624999999</v>
      </c>
      <c r="D877" s="11" t="str">
        <f>IF(Table1[[#This Row],[Duration of Campaign]]=0, "Ongoing","Completed")</f>
        <v>Ongoing</v>
      </c>
      <c r="E877" s="12">
        <f>Table1[[#This Row],[End Date]]-Table1[[#This Row],[Start Date]]</f>
        <v>0</v>
      </c>
      <c r="F877" s="13">
        <v>2680</v>
      </c>
      <c r="G877" s="14" t="s">
        <v>29</v>
      </c>
      <c r="H877" s="15">
        <v>1797</v>
      </c>
      <c r="I877" s="15">
        <v>485</v>
      </c>
      <c r="J877" s="15">
        <v>468</v>
      </c>
      <c r="K877" s="16">
        <v>10166</v>
      </c>
      <c r="L877" s="17">
        <f t="shared" si="65"/>
        <v>0.26989426822481916</v>
      </c>
      <c r="M877" s="17">
        <f t="shared" si="65"/>
        <v>0.96494845360824744</v>
      </c>
      <c r="N877" s="18">
        <f t="shared" si="66"/>
        <v>16.905154639175258</v>
      </c>
      <c r="O877" s="18">
        <f t="shared" si="67"/>
        <v>17.51923076923077</v>
      </c>
      <c r="P877" s="17">
        <f t="shared" si="68"/>
        <v>3.0593283582089552</v>
      </c>
      <c r="Q877" s="17">
        <f t="shared" si="69"/>
        <v>1.2399073057689962</v>
      </c>
      <c r="R877" s="10" t="s">
        <v>1786</v>
      </c>
      <c r="S877" s="14" t="s">
        <v>31</v>
      </c>
      <c r="T877" s="14" t="s">
        <v>27</v>
      </c>
      <c r="U877" s="13">
        <v>8199</v>
      </c>
      <c r="V877" s="15">
        <v>1</v>
      </c>
      <c r="W877" s="9" t="str">
        <f>IF(Table1[[#This Row],[Satisfaction Rating]]&lt;2, "Low", IF(Table1[[#This Row],[Satisfaction Rating]]&lt;4, "Medium", "High"))</f>
        <v>Low</v>
      </c>
    </row>
    <row r="878" spans="1:23" ht="14" x14ac:dyDescent="0.2">
      <c r="A878" s="10" t="s">
        <v>1787</v>
      </c>
      <c r="B878" s="11">
        <v>45385.19568287037</v>
      </c>
      <c r="C878" s="11">
        <v>45558.557534722226</v>
      </c>
      <c r="D878" s="11" t="str">
        <f>IF(Table1[[#This Row],[Duration of Campaign]]=0, "Ongoing","Completed")</f>
        <v>Completed</v>
      </c>
      <c r="E878" s="12">
        <f>Table1[[#This Row],[End Date]]-Table1[[#This Row],[Start Date]]</f>
        <v>173.36185185185604</v>
      </c>
      <c r="F878" s="13">
        <v>8100</v>
      </c>
      <c r="G878" s="14" t="s">
        <v>47</v>
      </c>
      <c r="H878" s="15">
        <v>6069</v>
      </c>
      <c r="I878" s="15">
        <v>617</v>
      </c>
      <c r="J878" s="15">
        <v>394</v>
      </c>
      <c r="K878" s="16">
        <v>7757</v>
      </c>
      <c r="L878" s="17">
        <f t="shared" si="65"/>
        <v>0.10166419508980062</v>
      </c>
      <c r="M878" s="17">
        <f t="shared" si="65"/>
        <v>0.63857374392220423</v>
      </c>
      <c r="N878" s="18">
        <f t="shared" si="66"/>
        <v>17.651539708265801</v>
      </c>
      <c r="O878" s="18">
        <f t="shared" si="67"/>
        <v>27.642131979695431</v>
      </c>
      <c r="P878" s="17">
        <f t="shared" si="68"/>
        <v>1.3445679012345679</v>
      </c>
      <c r="Q878" s="17">
        <f t="shared" si="69"/>
        <v>0.71223946377743086</v>
      </c>
      <c r="R878" s="10" t="s">
        <v>1788</v>
      </c>
      <c r="S878" s="14" t="s">
        <v>31</v>
      </c>
      <c r="T878" s="14" t="s">
        <v>55</v>
      </c>
      <c r="U878" s="13">
        <v>10891</v>
      </c>
      <c r="V878" s="15">
        <v>4</v>
      </c>
      <c r="W878" s="9" t="str">
        <f>IF(Table1[[#This Row],[Satisfaction Rating]]&lt;2, "Low", IF(Table1[[#This Row],[Satisfaction Rating]]&lt;4, "Medium", "High"))</f>
        <v>High</v>
      </c>
    </row>
    <row r="879" spans="1:23" ht="14" x14ac:dyDescent="0.2">
      <c r="A879" s="10" t="s">
        <v>1789</v>
      </c>
      <c r="B879" s="11">
        <v>44970.398541666669</v>
      </c>
      <c r="C879" s="11">
        <v>45360.9768287037</v>
      </c>
      <c r="D879" s="11" t="str">
        <f>IF(Table1[[#This Row],[Duration of Campaign]]=0, "Ongoing","Completed")</f>
        <v>Completed</v>
      </c>
      <c r="E879" s="12">
        <f>Table1[[#This Row],[End Date]]-Table1[[#This Row],[Start Date]]</f>
        <v>390.57828703703126</v>
      </c>
      <c r="F879" s="13">
        <v>6120</v>
      </c>
      <c r="G879" s="14" t="s">
        <v>63</v>
      </c>
      <c r="H879" s="15">
        <v>10568</v>
      </c>
      <c r="I879" s="15">
        <v>472</v>
      </c>
      <c r="J879" s="15">
        <v>315</v>
      </c>
      <c r="K879" s="16">
        <v>4890</v>
      </c>
      <c r="L879" s="17">
        <f t="shared" si="65"/>
        <v>4.4663133989401971E-2</v>
      </c>
      <c r="M879" s="17">
        <f t="shared" si="65"/>
        <v>0.6673728813559322</v>
      </c>
      <c r="N879" s="18">
        <f t="shared" si="66"/>
        <v>10.625</v>
      </c>
      <c r="O879" s="18">
        <f t="shared" si="67"/>
        <v>15.920634920634921</v>
      </c>
      <c r="P879" s="17">
        <f t="shared" si="68"/>
        <v>0.81944444444444442</v>
      </c>
      <c r="Q879" s="17">
        <f t="shared" si="69"/>
        <v>0.97507477567298106</v>
      </c>
      <c r="R879" s="10" t="s">
        <v>1790</v>
      </c>
      <c r="S879" s="14" t="s">
        <v>31</v>
      </c>
      <c r="T879" s="14" t="s">
        <v>37</v>
      </c>
      <c r="U879" s="13">
        <v>5015</v>
      </c>
      <c r="V879" s="15">
        <v>5</v>
      </c>
      <c r="W879" s="9" t="str">
        <f>IF(Table1[[#This Row],[Satisfaction Rating]]&lt;2, "Low", IF(Table1[[#This Row],[Satisfaction Rating]]&lt;4, "Medium", "High"))</f>
        <v>High</v>
      </c>
    </row>
    <row r="880" spans="1:23" ht="14" x14ac:dyDescent="0.2">
      <c r="A880" s="10" t="s">
        <v>1791</v>
      </c>
      <c r="B880" s="11">
        <v>45029.574756944443</v>
      </c>
      <c r="C880" s="11">
        <v>45054.920208333337</v>
      </c>
      <c r="D880" s="11" t="str">
        <f>IF(Table1[[#This Row],[Duration of Campaign]]=0, "Ongoing","Completed")</f>
        <v>Completed</v>
      </c>
      <c r="E880" s="12">
        <f>Table1[[#This Row],[End Date]]-Table1[[#This Row],[Start Date]]</f>
        <v>25.345451388893707</v>
      </c>
      <c r="F880" s="13">
        <v>3245</v>
      </c>
      <c r="G880" s="14" t="s">
        <v>63</v>
      </c>
      <c r="H880" s="15">
        <v>8124</v>
      </c>
      <c r="I880" s="15">
        <v>999</v>
      </c>
      <c r="J880" s="15">
        <v>192</v>
      </c>
      <c r="K880" s="16">
        <v>8445</v>
      </c>
      <c r="L880" s="17">
        <f t="shared" si="65"/>
        <v>0.12296898079763663</v>
      </c>
      <c r="M880" s="17">
        <f t="shared" si="65"/>
        <v>0.19219219219219219</v>
      </c>
      <c r="N880" s="18">
        <f t="shared" si="66"/>
        <v>19.522522522522522</v>
      </c>
      <c r="O880" s="18">
        <f t="shared" si="67"/>
        <v>101.578125</v>
      </c>
      <c r="P880" s="17">
        <f t="shared" si="68"/>
        <v>6.0101694915254233</v>
      </c>
      <c r="Q880" s="17">
        <f t="shared" si="69"/>
        <v>0.43301030610675278</v>
      </c>
      <c r="R880" s="10" t="s">
        <v>1792</v>
      </c>
      <c r="S880" s="14" t="s">
        <v>45</v>
      </c>
      <c r="T880" s="14" t="s">
        <v>27</v>
      </c>
      <c r="U880" s="13">
        <v>19503</v>
      </c>
      <c r="V880" s="15">
        <v>5</v>
      </c>
      <c r="W880" s="9" t="str">
        <f>IF(Table1[[#This Row],[Satisfaction Rating]]&lt;2, "Low", IF(Table1[[#This Row],[Satisfaction Rating]]&lt;4, "Medium", "High"))</f>
        <v>High</v>
      </c>
    </row>
    <row r="881" spans="1:23" ht="14" x14ac:dyDescent="0.2">
      <c r="A881" s="10" t="s">
        <v>1793</v>
      </c>
      <c r="B881" s="11">
        <v>45290.123148148145</v>
      </c>
      <c r="C881" s="11">
        <v>45422.401030092595</v>
      </c>
      <c r="D881" s="11" t="str">
        <f>IF(Table1[[#This Row],[Duration of Campaign]]=0, "Ongoing","Completed")</f>
        <v>Completed</v>
      </c>
      <c r="E881" s="12">
        <f>Table1[[#This Row],[End Date]]-Table1[[#This Row],[Start Date]]</f>
        <v>132.2778819444502</v>
      </c>
      <c r="F881" s="13">
        <v>6089</v>
      </c>
      <c r="G881" s="14" t="s">
        <v>29</v>
      </c>
      <c r="H881" s="15">
        <v>1923</v>
      </c>
      <c r="I881" s="15">
        <v>1498</v>
      </c>
      <c r="J881" s="15">
        <v>325</v>
      </c>
      <c r="K881" s="16">
        <v>1060</v>
      </c>
      <c r="L881" s="17">
        <f t="shared" si="65"/>
        <v>0.77899115964638588</v>
      </c>
      <c r="M881" s="17">
        <f t="shared" si="65"/>
        <v>0.21695594125500667</v>
      </c>
      <c r="N881" s="18">
        <f t="shared" si="66"/>
        <v>4.2616822429906538</v>
      </c>
      <c r="O881" s="18">
        <f t="shared" si="67"/>
        <v>19.643076923076922</v>
      </c>
      <c r="P881" s="17">
        <f t="shared" si="68"/>
        <v>1.0484480210215141</v>
      </c>
      <c r="Q881" s="17">
        <f t="shared" si="69"/>
        <v>0.16604010025062657</v>
      </c>
      <c r="R881" s="10" t="s">
        <v>1794</v>
      </c>
      <c r="S881" s="14" t="s">
        <v>45</v>
      </c>
      <c r="T881" s="14" t="s">
        <v>27</v>
      </c>
      <c r="U881" s="13">
        <v>6384</v>
      </c>
      <c r="V881" s="15">
        <v>4</v>
      </c>
      <c r="W881" s="9" t="str">
        <f>IF(Table1[[#This Row],[Satisfaction Rating]]&lt;2, "Low", IF(Table1[[#This Row],[Satisfaction Rating]]&lt;4, "Medium", "High"))</f>
        <v>High</v>
      </c>
    </row>
    <row r="882" spans="1:23" ht="14" x14ac:dyDescent="0.2">
      <c r="A882" s="10" t="s">
        <v>1795</v>
      </c>
      <c r="B882" s="11">
        <v>44975.397719907407</v>
      </c>
      <c r="C882" s="11">
        <v>45397.944097222222</v>
      </c>
      <c r="D882" s="11" t="str">
        <f>IF(Table1[[#This Row],[Duration of Campaign]]=0, "Ongoing","Completed")</f>
        <v>Completed</v>
      </c>
      <c r="E882" s="12">
        <f>Table1[[#This Row],[End Date]]-Table1[[#This Row],[Start Date]]</f>
        <v>422.54637731481489</v>
      </c>
      <c r="F882" s="13">
        <v>8220</v>
      </c>
      <c r="G882" s="14" t="s">
        <v>29</v>
      </c>
      <c r="H882" s="15">
        <v>13926</v>
      </c>
      <c r="I882" s="15">
        <v>1742</v>
      </c>
      <c r="J882" s="15">
        <v>215</v>
      </c>
      <c r="K882" s="16">
        <v>3134</v>
      </c>
      <c r="L882" s="17">
        <f t="shared" si="65"/>
        <v>0.12508976016085022</v>
      </c>
      <c r="M882" s="17">
        <f t="shared" si="65"/>
        <v>0.12342135476463835</v>
      </c>
      <c r="N882" s="18">
        <f t="shared" si="66"/>
        <v>4.6808266360505169</v>
      </c>
      <c r="O882" s="18">
        <f t="shared" si="67"/>
        <v>37.925581395348836</v>
      </c>
      <c r="P882" s="17">
        <f t="shared" si="68"/>
        <v>0.99197080291970807</v>
      </c>
      <c r="Q882" s="17">
        <f t="shared" si="69"/>
        <v>0.38435123865587439</v>
      </c>
      <c r="R882" s="10" t="s">
        <v>1796</v>
      </c>
      <c r="S882" s="14" t="s">
        <v>40</v>
      </c>
      <c r="T882" s="14" t="s">
        <v>37</v>
      </c>
      <c r="U882" s="13">
        <v>8154</v>
      </c>
      <c r="V882" s="15">
        <v>2</v>
      </c>
      <c r="W882" s="9" t="str">
        <f>IF(Table1[[#This Row],[Satisfaction Rating]]&lt;2, "Low", IF(Table1[[#This Row],[Satisfaction Rating]]&lt;4, "Medium", "High"))</f>
        <v>Medium</v>
      </c>
    </row>
    <row r="883" spans="1:23" ht="14" x14ac:dyDescent="0.2">
      <c r="A883" s="10" t="s">
        <v>1797</v>
      </c>
      <c r="B883" s="11">
        <v>45115.625069444446</v>
      </c>
      <c r="C883" s="11">
        <v>45115.625069444446</v>
      </c>
      <c r="D883" s="11" t="str">
        <f>IF(Table1[[#This Row],[Duration of Campaign]]=0, "Ongoing","Completed")</f>
        <v>Ongoing</v>
      </c>
      <c r="E883" s="12">
        <f>Table1[[#This Row],[End Date]]-Table1[[#This Row],[Start Date]]</f>
        <v>0</v>
      </c>
      <c r="F883" s="13">
        <v>6965</v>
      </c>
      <c r="G883" s="14" t="s">
        <v>29</v>
      </c>
      <c r="H883" s="15">
        <v>15136</v>
      </c>
      <c r="I883" s="15">
        <v>843</v>
      </c>
      <c r="J883" s="15">
        <v>94</v>
      </c>
      <c r="K883" s="16">
        <v>6117</v>
      </c>
      <c r="L883" s="17">
        <f t="shared" si="65"/>
        <v>5.5695031712473572E-2</v>
      </c>
      <c r="M883" s="17">
        <f t="shared" si="65"/>
        <v>0.11150652431791222</v>
      </c>
      <c r="N883" s="18">
        <f t="shared" si="66"/>
        <v>10.98576512455516</v>
      </c>
      <c r="O883" s="18">
        <f t="shared" si="67"/>
        <v>98.521276595744681</v>
      </c>
      <c r="P883" s="17">
        <f t="shared" si="68"/>
        <v>1.3296482412060302</v>
      </c>
      <c r="Q883" s="17">
        <f t="shared" si="69"/>
        <v>0.66051182377712991</v>
      </c>
      <c r="R883" s="10" t="s">
        <v>1798</v>
      </c>
      <c r="S883" s="14" t="s">
        <v>40</v>
      </c>
      <c r="T883" s="14" t="s">
        <v>55</v>
      </c>
      <c r="U883" s="13">
        <v>9261</v>
      </c>
      <c r="V883" s="15">
        <v>1</v>
      </c>
      <c r="W883" s="9" t="str">
        <f>IF(Table1[[#This Row],[Satisfaction Rating]]&lt;2, "Low", IF(Table1[[#This Row],[Satisfaction Rating]]&lt;4, "Medium", "High"))</f>
        <v>Low</v>
      </c>
    </row>
    <row r="884" spans="1:23" ht="14" x14ac:dyDescent="0.2">
      <c r="A884" s="10" t="s">
        <v>1799</v>
      </c>
      <c r="B884" s="11">
        <v>44952.588287037041</v>
      </c>
      <c r="C884" s="11">
        <v>45555.66815972222</v>
      </c>
      <c r="D884" s="11" t="str">
        <f>IF(Table1[[#This Row],[Duration of Campaign]]=0, "Ongoing","Completed")</f>
        <v>Completed</v>
      </c>
      <c r="E884" s="12">
        <f>Table1[[#This Row],[End Date]]-Table1[[#This Row],[Start Date]]</f>
        <v>603.079872685179</v>
      </c>
      <c r="F884" s="13">
        <v>4962</v>
      </c>
      <c r="G884" s="14" t="s">
        <v>63</v>
      </c>
      <c r="H884" s="15">
        <v>4585</v>
      </c>
      <c r="I884" s="15">
        <v>708</v>
      </c>
      <c r="J884" s="15">
        <v>52</v>
      </c>
      <c r="K884" s="16">
        <v>11563</v>
      </c>
      <c r="L884" s="17">
        <f t="shared" si="65"/>
        <v>0.1544165757906216</v>
      </c>
      <c r="M884" s="17">
        <f t="shared" si="65"/>
        <v>7.3446327683615822E-2</v>
      </c>
      <c r="N884" s="18">
        <f t="shared" si="66"/>
        <v>16.07909604519774</v>
      </c>
      <c r="O884" s="18">
        <f t="shared" si="67"/>
        <v>218.92307692307693</v>
      </c>
      <c r="P884" s="17">
        <f t="shared" si="68"/>
        <v>2.294236195082628</v>
      </c>
      <c r="Q884" s="17">
        <f t="shared" si="69"/>
        <v>1.0157238229093464</v>
      </c>
      <c r="R884" s="10" t="s">
        <v>1800</v>
      </c>
      <c r="S884" s="14" t="s">
        <v>34</v>
      </c>
      <c r="T884" s="14" t="s">
        <v>27</v>
      </c>
      <c r="U884" s="13">
        <v>11384</v>
      </c>
      <c r="V884" s="15">
        <v>2</v>
      </c>
      <c r="W884" s="9" t="str">
        <f>IF(Table1[[#This Row],[Satisfaction Rating]]&lt;2, "Low", IF(Table1[[#This Row],[Satisfaction Rating]]&lt;4, "Medium", "High"))</f>
        <v>Medium</v>
      </c>
    </row>
    <row r="885" spans="1:23" ht="14" x14ac:dyDescent="0.2">
      <c r="A885" s="10" t="s">
        <v>1801</v>
      </c>
      <c r="B885" s="11">
        <v>45175.016932870371</v>
      </c>
      <c r="C885" s="11">
        <v>45175.016932870371</v>
      </c>
      <c r="D885" s="11" t="str">
        <f>IF(Table1[[#This Row],[Duration of Campaign]]=0, "Ongoing","Completed")</f>
        <v>Ongoing</v>
      </c>
      <c r="E885" s="12">
        <f>Table1[[#This Row],[End Date]]-Table1[[#This Row],[Start Date]]</f>
        <v>0</v>
      </c>
      <c r="F885" s="13">
        <v>3410</v>
      </c>
      <c r="G885" s="14" t="s">
        <v>29</v>
      </c>
      <c r="H885" s="15">
        <v>3242</v>
      </c>
      <c r="I885" s="15">
        <v>614</v>
      </c>
      <c r="J885" s="15">
        <v>194</v>
      </c>
      <c r="K885" s="16">
        <v>1482</v>
      </c>
      <c r="L885" s="17">
        <f t="shared" si="65"/>
        <v>0.18938926588525601</v>
      </c>
      <c r="M885" s="17">
        <f t="shared" si="65"/>
        <v>0.31596091205211724</v>
      </c>
      <c r="N885" s="18">
        <f t="shared" si="66"/>
        <v>1.281758957654723</v>
      </c>
      <c r="O885" s="18">
        <f t="shared" si="67"/>
        <v>4.0567010309278349</v>
      </c>
      <c r="P885" s="17">
        <f t="shared" si="68"/>
        <v>0.230791788856305</v>
      </c>
      <c r="Q885" s="17">
        <f t="shared" si="69"/>
        <v>1.8831003811944091</v>
      </c>
      <c r="R885" s="10" t="s">
        <v>1802</v>
      </c>
      <c r="S885" s="14" t="s">
        <v>26</v>
      </c>
      <c r="T885" s="14" t="s">
        <v>37</v>
      </c>
      <c r="U885" s="13">
        <v>787</v>
      </c>
      <c r="V885" s="15">
        <v>4</v>
      </c>
      <c r="W885" s="9" t="str">
        <f>IF(Table1[[#This Row],[Satisfaction Rating]]&lt;2, "Low", IF(Table1[[#This Row],[Satisfaction Rating]]&lt;4, "Medium", "High"))</f>
        <v>High</v>
      </c>
    </row>
    <row r="886" spans="1:23" ht="14" x14ac:dyDescent="0.2">
      <c r="A886" s="10" t="s">
        <v>1803</v>
      </c>
      <c r="B886" s="11">
        <v>45320.912986111114</v>
      </c>
      <c r="C886" s="11">
        <v>45407.160104166665</v>
      </c>
      <c r="D886" s="11" t="str">
        <f>IF(Table1[[#This Row],[Duration of Campaign]]=0, "Ongoing","Completed")</f>
        <v>Completed</v>
      </c>
      <c r="E886" s="12">
        <f>Table1[[#This Row],[End Date]]-Table1[[#This Row],[Start Date]]</f>
        <v>86.247118055551255</v>
      </c>
      <c r="F886" s="13">
        <v>8941</v>
      </c>
      <c r="G886" s="14" t="s">
        <v>63</v>
      </c>
      <c r="H886" s="15">
        <v>8668</v>
      </c>
      <c r="I886" s="15">
        <v>311</v>
      </c>
      <c r="J886" s="15">
        <v>294</v>
      </c>
      <c r="K886" s="16">
        <v>5267</v>
      </c>
      <c r="L886" s="17">
        <f t="shared" si="65"/>
        <v>3.5879095523765572E-2</v>
      </c>
      <c r="M886" s="17">
        <f t="shared" si="65"/>
        <v>0.94533762057877813</v>
      </c>
      <c r="N886" s="18">
        <f t="shared" si="66"/>
        <v>19.65273311897106</v>
      </c>
      <c r="O886" s="18">
        <f t="shared" si="67"/>
        <v>20.789115646258505</v>
      </c>
      <c r="P886" s="17">
        <f t="shared" si="68"/>
        <v>0.68359243932446034</v>
      </c>
      <c r="Q886" s="17">
        <f t="shared" si="69"/>
        <v>0.86174738219895286</v>
      </c>
      <c r="R886" s="10" t="s">
        <v>1804</v>
      </c>
      <c r="S886" s="14" t="s">
        <v>34</v>
      </c>
      <c r="T886" s="14" t="s">
        <v>37</v>
      </c>
      <c r="U886" s="13">
        <v>6112</v>
      </c>
      <c r="V886" s="15">
        <v>2</v>
      </c>
      <c r="W886" s="9" t="str">
        <f>IF(Table1[[#This Row],[Satisfaction Rating]]&lt;2, "Low", IF(Table1[[#This Row],[Satisfaction Rating]]&lt;4, "Medium", "High"))</f>
        <v>Medium</v>
      </c>
    </row>
    <row r="887" spans="1:23" ht="14" x14ac:dyDescent="0.2">
      <c r="A887" s="10" t="s">
        <v>1805</v>
      </c>
      <c r="B887" s="11">
        <v>45301.115798611114</v>
      </c>
      <c r="C887" s="11">
        <v>45452.355381944442</v>
      </c>
      <c r="D887" s="11" t="str">
        <f>IF(Table1[[#This Row],[Duration of Campaign]]=0, "Ongoing","Completed")</f>
        <v>Completed</v>
      </c>
      <c r="E887" s="12">
        <f>Table1[[#This Row],[End Date]]-Table1[[#This Row],[Start Date]]</f>
        <v>151.23958333332848</v>
      </c>
      <c r="F887" s="13">
        <v>6133</v>
      </c>
      <c r="G887" s="14" t="s">
        <v>47</v>
      </c>
      <c r="H887" s="15">
        <v>16009</v>
      </c>
      <c r="I887" s="15">
        <v>763</v>
      </c>
      <c r="J887" s="15">
        <v>394</v>
      </c>
      <c r="K887" s="16">
        <v>7519</v>
      </c>
      <c r="L887" s="17">
        <f t="shared" si="65"/>
        <v>4.7660690861390465E-2</v>
      </c>
      <c r="M887" s="17">
        <f t="shared" si="65"/>
        <v>0.51638269986893837</v>
      </c>
      <c r="N887" s="18">
        <f t="shared" si="66"/>
        <v>12.002621231979029</v>
      </c>
      <c r="O887" s="18">
        <f t="shared" si="67"/>
        <v>23.243654822335024</v>
      </c>
      <c r="P887" s="17">
        <f t="shared" si="68"/>
        <v>1.4932333278982552</v>
      </c>
      <c r="Q887" s="17">
        <f t="shared" si="69"/>
        <v>0.82103079274950863</v>
      </c>
      <c r="R887" s="10" t="s">
        <v>1806</v>
      </c>
      <c r="S887" s="14" t="s">
        <v>34</v>
      </c>
      <c r="T887" s="14" t="s">
        <v>27</v>
      </c>
      <c r="U887" s="13">
        <v>9158</v>
      </c>
      <c r="V887" s="15">
        <v>2</v>
      </c>
      <c r="W887" s="9" t="str">
        <f>IF(Table1[[#This Row],[Satisfaction Rating]]&lt;2, "Low", IF(Table1[[#This Row],[Satisfaction Rating]]&lt;4, "Medium", "High"))</f>
        <v>Medium</v>
      </c>
    </row>
    <row r="888" spans="1:23" ht="14" x14ac:dyDescent="0.2">
      <c r="A888" s="10" t="s">
        <v>1807</v>
      </c>
      <c r="B888" s="11">
        <v>45536.81287037037</v>
      </c>
      <c r="C888" s="11">
        <v>45536.81287037037</v>
      </c>
      <c r="D888" s="11" t="str">
        <f>IF(Table1[[#This Row],[Duration of Campaign]]=0, "Ongoing","Completed")</f>
        <v>Ongoing</v>
      </c>
      <c r="E888" s="12">
        <f>Table1[[#This Row],[End Date]]-Table1[[#This Row],[Start Date]]</f>
        <v>0</v>
      </c>
      <c r="F888" s="13">
        <v>3865</v>
      </c>
      <c r="G888" s="14" t="s">
        <v>24</v>
      </c>
      <c r="H888" s="15">
        <v>10285</v>
      </c>
      <c r="I888" s="15">
        <v>1081</v>
      </c>
      <c r="J888" s="15">
        <v>261</v>
      </c>
      <c r="K888" s="16">
        <v>1962</v>
      </c>
      <c r="L888" s="17">
        <f t="shared" si="65"/>
        <v>0.1051045211473019</v>
      </c>
      <c r="M888" s="17">
        <f t="shared" si="65"/>
        <v>0.24144310823311749</v>
      </c>
      <c r="N888" s="18">
        <f t="shared" si="66"/>
        <v>14.2895467160037</v>
      </c>
      <c r="O888" s="18">
        <f t="shared" si="67"/>
        <v>59.183908045977013</v>
      </c>
      <c r="P888" s="17">
        <f t="shared" si="68"/>
        <v>3.9966364812419148</v>
      </c>
      <c r="Q888" s="17">
        <f t="shared" si="69"/>
        <v>0.1270149543600699</v>
      </c>
      <c r="R888" s="10" t="s">
        <v>1808</v>
      </c>
      <c r="S888" s="14" t="s">
        <v>31</v>
      </c>
      <c r="T888" s="14" t="s">
        <v>27</v>
      </c>
      <c r="U888" s="13">
        <v>15447</v>
      </c>
      <c r="V888" s="15">
        <v>3</v>
      </c>
      <c r="W888" s="9" t="str">
        <f>IF(Table1[[#This Row],[Satisfaction Rating]]&lt;2, "Low", IF(Table1[[#This Row],[Satisfaction Rating]]&lt;4, "Medium", "High"))</f>
        <v>Medium</v>
      </c>
    </row>
    <row r="889" spans="1:23" ht="14" x14ac:dyDescent="0.2">
      <c r="A889" s="10" t="s">
        <v>1809</v>
      </c>
      <c r="B889" s="11">
        <v>45548.425069444442</v>
      </c>
      <c r="C889" s="11">
        <v>45597.732152777775</v>
      </c>
      <c r="D889" s="11" t="str">
        <f>IF(Table1[[#This Row],[Duration of Campaign]]=0, "Ongoing","Completed")</f>
        <v>Completed</v>
      </c>
      <c r="E889" s="12">
        <f>Table1[[#This Row],[End Date]]-Table1[[#This Row],[Start Date]]</f>
        <v>49.307083333333139</v>
      </c>
      <c r="F889" s="13">
        <v>9002</v>
      </c>
      <c r="G889" s="14" t="s">
        <v>47</v>
      </c>
      <c r="H889" s="15">
        <v>12044</v>
      </c>
      <c r="I889" s="15">
        <v>288</v>
      </c>
      <c r="J889" s="15">
        <v>303</v>
      </c>
      <c r="K889" s="16">
        <v>7743</v>
      </c>
      <c r="L889" s="17">
        <f t="shared" si="65"/>
        <v>2.391232148787778E-2</v>
      </c>
      <c r="M889" s="17">
        <f t="shared" si="65"/>
        <v>1.0520833333333333</v>
      </c>
      <c r="N889" s="18">
        <f t="shared" si="66"/>
        <v>16.645833333333332</v>
      </c>
      <c r="O889" s="18">
        <f t="shared" si="67"/>
        <v>15.821782178217822</v>
      </c>
      <c r="P889" s="17">
        <f t="shared" si="68"/>
        <v>0.53254832259497886</v>
      </c>
      <c r="Q889" s="17">
        <f t="shared" si="69"/>
        <v>1.6151439299123904</v>
      </c>
      <c r="R889" s="10" t="s">
        <v>1810</v>
      </c>
      <c r="S889" s="14" t="s">
        <v>31</v>
      </c>
      <c r="T889" s="14" t="s">
        <v>27</v>
      </c>
      <c r="U889" s="13">
        <v>4794</v>
      </c>
      <c r="V889" s="15">
        <v>2</v>
      </c>
      <c r="W889" s="9" t="str">
        <f>IF(Table1[[#This Row],[Satisfaction Rating]]&lt;2, "Low", IF(Table1[[#This Row],[Satisfaction Rating]]&lt;4, "Medium", "High"))</f>
        <v>Medium</v>
      </c>
    </row>
    <row r="890" spans="1:23" ht="14" x14ac:dyDescent="0.2">
      <c r="A890" s="10" t="s">
        <v>1811</v>
      </c>
      <c r="B890" s="11">
        <v>45473.753333333334</v>
      </c>
      <c r="C890" s="11">
        <v>45473.753333333334</v>
      </c>
      <c r="D890" s="11" t="str">
        <f>IF(Table1[[#This Row],[Duration of Campaign]]=0, "Ongoing","Completed")</f>
        <v>Ongoing</v>
      </c>
      <c r="E890" s="12">
        <f>Table1[[#This Row],[End Date]]-Table1[[#This Row],[Start Date]]</f>
        <v>0</v>
      </c>
      <c r="F890" s="13">
        <v>9529</v>
      </c>
      <c r="G890" s="14" t="s">
        <v>24</v>
      </c>
      <c r="H890" s="15">
        <v>17715</v>
      </c>
      <c r="I890" s="15">
        <v>1693</v>
      </c>
      <c r="J890" s="15">
        <v>120</v>
      </c>
      <c r="K890" s="16">
        <v>7979</v>
      </c>
      <c r="L890" s="17">
        <f t="shared" si="65"/>
        <v>9.5568727067456963E-2</v>
      </c>
      <c r="M890" s="17">
        <f t="shared" si="65"/>
        <v>7.0880094506792682E-2</v>
      </c>
      <c r="N890" s="18">
        <f t="shared" si="66"/>
        <v>7.9545186060248083</v>
      </c>
      <c r="O890" s="18">
        <f t="shared" si="67"/>
        <v>112.22499999999999</v>
      </c>
      <c r="P890" s="17">
        <f t="shared" si="68"/>
        <v>1.4132647706999686</v>
      </c>
      <c r="Q890" s="17">
        <f t="shared" si="69"/>
        <v>0.59248533452142271</v>
      </c>
      <c r="R890" s="10" t="s">
        <v>1812</v>
      </c>
      <c r="S890" s="14" t="s">
        <v>45</v>
      </c>
      <c r="T890" s="14" t="s">
        <v>37</v>
      </c>
      <c r="U890" s="13">
        <v>13467</v>
      </c>
      <c r="V890" s="15">
        <v>2</v>
      </c>
      <c r="W890" s="9" t="str">
        <f>IF(Table1[[#This Row],[Satisfaction Rating]]&lt;2, "Low", IF(Table1[[#This Row],[Satisfaction Rating]]&lt;4, "Medium", "High"))</f>
        <v>Medium</v>
      </c>
    </row>
    <row r="891" spans="1:23" ht="14" x14ac:dyDescent="0.2">
      <c r="A891" s="10" t="s">
        <v>1813</v>
      </c>
      <c r="B891" s="11">
        <v>45458.33388888889</v>
      </c>
      <c r="C891" s="11">
        <v>45458.33388888889</v>
      </c>
      <c r="D891" s="11" t="str">
        <f>IF(Table1[[#This Row],[Duration of Campaign]]=0, "Ongoing","Completed")</f>
        <v>Ongoing</v>
      </c>
      <c r="E891" s="12">
        <f>Table1[[#This Row],[End Date]]-Table1[[#This Row],[Start Date]]</f>
        <v>0</v>
      </c>
      <c r="F891" s="13">
        <v>5639</v>
      </c>
      <c r="G891" s="14" t="s">
        <v>24</v>
      </c>
      <c r="H891" s="15">
        <v>11784</v>
      </c>
      <c r="I891" s="15">
        <v>1637</v>
      </c>
      <c r="J891" s="15">
        <v>422</v>
      </c>
      <c r="K891" s="16">
        <v>10439</v>
      </c>
      <c r="L891" s="17">
        <f t="shared" si="65"/>
        <v>0.13891717583163612</v>
      </c>
      <c r="M891" s="17">
        <f t="shared" si="65"/>
        <v>0.25778863775198535</v>
      </c>
      <c r="N891" s="18">
        <f t="shared" si="66"/>
        <v>7.2406841783750764</v>
      </c>
      <c r="O891" s="18">
        <f t="shared" si="67"/>
        <v>28.087677725118482</v>
      </c>
      <c r="P891" s="17">
        <f t="shared" si="68"/>
        <v>2.1019684341195246</v>
      </c>
      <c r="Q891" s="17">
        <f t="shared" si="69"/>
        <v>0.88070530667341607</v>
      </c>
      <c r="R891" s="10" t="s">
        <v>1814</v>
      </c>
      <c r="S891" s="14" t="s">
        <v>40</v>
      </c>
      <c r="T891" s="14" t="s">
        <v>37</v>
      </c>
      <c r="U891" s="13">
        <v>11853</v>
      </c>
      <c r="V891" s="15">
        <v>3</v>
      </c>
      <c r="W891" s="9" t="str">
        <f>IF(Table1[[#This Row],[Satisfaction Rating]]&lt;2, "Low", IF(Table1[[#This Row],[Satisfaction Rating]]&lt;4, "Medium", "High"))</f>
        <v>Medium</v>
      </c>
    </row>
    <row r="892" spans="1:23" ht="14" x14ac:dyDescent="0.2">
      <c r="A892" s="10" t="s">
        <v>1815</v>
      </c>
      <c r="B892" s="11">
        <v>45059.62699074074</v>
      </c>
      <c r="C892" s="11">
        <v>45059.62699074074</v>
      </c>
      <c r="D892" s="11" t="str">
        <f>IF(Table1[[#This Row],[Duration of Campaign]]=0, "Ongoing","Completed")</f>
        <v>Ongoing</v>
      </c>
      <c r="E892" s="12">
        <f>Table1[[#This Row],[End Date]]-Table1[[#This Row],[Start Date]]</f>
        <v>0</v>
      </c>
      <c r="F892" s="13">
        <v>3487</v>
      </c>
      <c r="G892" s="14" t="s">
        <v>47</v>
      </c>
      <c r="H892" s="15">
        <v>14350</v>
      </c>
      <c r="I892" s="15">
        <v>1618</v>
      </c>
      <c r="J892" s="15">
        <v>109</v>
      </c>
      <c r="K892" s="16">
        <v>10598</v>
      </c>
      <c r="L892" s="17">
        <f t="shared" si="65"/>
        <v>0.11275261324041812</v>
      </c>
      <c r="M892" s="17">
        <f t="shared" si="65"/>
        <v>6.7367119901112479E-2</v>
      </c>
      <c r="N892" s="18">
        <f t="shared" si="66"/>
        <v>7.5778739184177999</v>
      </c>
      <c r="O892" s="18">
        <f t="shared" si="67"/>
        <v>112.48623853211009</v>
      </c>
      <c r="P892" s="17">
        <f t="shared" si="68"/>
        <v>3.5162030398623458</v>
      </c>
      <c r="Q892" s="17">
        <f t="shared" si="69"/>
        <v>0.86436669113449149</v>
      </c>
      <c r="R892" s="10" t="s">
        <v>1816</v>
      </c>
      <c r="S892" s="14" t="s">
        <v>31</v>
      </c>
      <c r="T892" s="14" t="s">
        <v>37</v>
      </c>
      <c r="U892" s="13">
        <v>12261</v>
      </c>
      <c r="V892" s="15">
        <v>4</v>
      </c>
      <c r="W892" s="9" t="str">
        <f>IF(Table1[[#This Row],[Satisfaction Rating]]&lt;2, "Low", IF(Table1[[#This Row],[Satisfaction Rating]]&lt;4, "Medium", "High"))</f>
        <v>High</v>
      </c>
    </row>
    <row r="893" spans="1:23" ht="14" x14ac:dyDescent="0.2">
      <c r="A893" s="10" t="s">
        <v>1817</v>
      </c>
      <c r="B893" s="11">
        <v>45124.045532407406</v>
      </c>
      <c r="C893" s="11">
        <v>45578.713495370372</v>
      </c>
      <c r="D893" s="11" t="str">
        <f>IF(Table1[[#This Row],[Duration of Campaign]]=0, "Ongoing","Completed")</f>
        <v>Completed</v>
      </c>
      <c r="E893" s="12">
        <f>Table1[[#This Row],[End Date]]-Table1[[#This Row],[Start Date]]</f>
        <v>454.66796296296525</v>
      </c>
      <c r="F893" s="13">
        <v>9623</v>
      </c>
      <c r="G893" s="14" t="s">
        <v>47</v>
      </c>
      <c r="H893" s="15">
        <v>6750</v>
      </c>
      <c r="I893" s="15">
        <v>1885</v>
      </c>
      <c r="J893" s="15">
        <v>257</v>
      </c>
      <c r="K893" s="16">
        <v>2492</v>
      </c>
      <c r="L893" s="17">
        <f t="shared" si="65"/>
        <v>0.27925925925925926</v>
      </c>
      <c r="M893" s="17">
        <f t="shared" si="65"/>
        <v>0.1363395225464191</v>
      </c>
      <c r="N893" s="18">
        <f t="shared" si="66"/>
        <v>2.8960212201591511</v>
      </c>
      <c r="O893" s="18">
        <f t="shared" si="67"/>
        <v>21.24124513618677</v>
      </c>
      <c r="P893" s="17">
        <f t="shared" si="68"/>
        <v>0.56728670892653021</v>
      </c>
      <c r="Q893" s="17">
        <f t="shared" si="69"/>
        <v>0.45649386334493497</v>
      </c>
      <c r="R893" s="10" t="s">
        <v>1818</v>
      </c>
      <c r="S893" s="14" t="s">
        <v>34</v>
      </c>
      <c r="T893" s="14" t="s">
        <v>37</v>
      </c>
      <c r="U893" s="13">
        <v>5459</v>
      </c>
      <c r="V893" s="15">
        <v>2</v>
      </c>
      <c r="W893" s="9" t="str">
        <f>IF(Table1[[#This Row],[Satisfaction Rating]]&lt;2, "Low", IF(Table1[[#This Row],[Satisfaction Rating]]&lt;4, "Medium", "High"))</f>
        <v>Medium</v>
      </c>
    </row>
    <row r="894" spans="1:23" ht="14" x14ac:dyDescent="0.2">
      <c r="A894" s="10" t="s">
        <v>1819</v>
      </c>
      <c r="B894" s="11">
        <v>45186.08494212963</v>
      </c>
      <c r="C894" s="11">
        <v>45289.13721064815</v>
      </c>
      <c r="D894" s="11" t="str">
        <f>IF(Table1[[#This Row],[Duration of Campaign]]=0, "Ongoing","Completed")</f>
        <v>Completed</v>
      </c>
      <c r="E894" s="12">
        <f>Table1[[#This Row],[End Date]]-Table1[[#This Row],[Start Date]]</f>
        <v>103.05226851852058</v>
      </c>
      <c r="F894" s="13">
        <v>8084</v>
      </c>
      <c r="G894" s="14" t="s">
        <v>63</v>
      </c>
      <c r="H894" s="15">
        <v>9705</v>
      </c>
      <c r="I894" s="15">
        <v>1994</v>
      </c>
      <c r="J894" s="15">
        <v>361</v>
      </c>
      <c r="K894" s="16">
        <v>7143</v>
      </c>
      <c r="L894" s="17">
        <f t="shared" si="65"/>
        <v>0.20546110252447192</v>
      </c>
      <c r="M894" s="17">
        <f t="shared" si="65"/>
        <v>0.1810431293881645</v>
      </c>
      <c r="N894" s="18">
        <f t="shared" si="66"/>
        <v>8.0672016048144428</v>
      </c>
      <c r="O894" s="18">
        <f t="shared" si="67"/>
        <v>44.559556786703602</v>
      </c>
      <c r="P894" s="17">
        <f t="shared" si="68"/>
        <v>1.9898565066798615</v>
      </c>
      <c r="Q894" s="17">
        <f t="shared" si="69"/>
        <v>0.44405072734054457</v>
      </c>
      <c r="R894" s="10" t="s">
        <v>1820</v>
      </c>
      <c r="S894" s="14" t="s">
        <v>31</v>
      </c>
      <c r="T894" s="14" t="s">
        <v>27</v>
      </c>
      <c r="U894" s="13">
        <v>16086</v>
      </c>
      <c r="V894" s="15">
        <v>4</v>
      </c>
      <c r="W894" s="9" t="str">
        <f>IF(Table1[[#This Row],[Satisfaction Rating]]&lt;2, "Low", IF(Table1[[#This Row],[Satisfaction Rating]]&lt;4, "Medium", "High"))</f>
        <v>High</v>
      </c>
    </row>
    <row r="895" spans="1:23" ht="14" x14ac:dyDescent="0.2">
      <c r="A895" s="10" t="s">
        <v>1821</v>
      </c>
      <c r="B895" s="11">
        <v>45385.920115740744</v>
      </c>
      <c r="C895" s="11">
        <v>45385.920115740744</v>
      </c>
      <c r="D895" s="11" t="str">
        <f>IF(Table1[[#This Row],[Duration of Campaign]]=0, "Ongoing","Completed")</f>
        <v>Ongoing</v>
      </c>
      <c r="E895" s="12">
        <f>Table1[[#This Row],[End Date]]-Table1[[#This Row],[Start Date]]</f>
        <v>0</v>
      </c>
      <c r="F895" s="13">
        <v>9957</v>
      </c>
      <c r="G895" s="14" t="s">
        <v>47</v>
      </c>
      <c r="H895" s="15">
        <v>18228</v>
      </c>
      <c r="I895" s="15">
        <v>596</v>
      </c>
      <c r="J895" s="15">
        <v>449</v>
      </c>
      <c r="K895" s="16">
        <v>4028</v>
      </c>
      <c r="L895" s="17">
        <f t="shared" si="65"/>
        <v>3.2696949747640994E-2</v>
      </c>
      <c r="M895" s="17">
        <f t="shared" si="65"/>
        <v>0.75335570469798663</v>
      </c>
      <c r="N895" s="18">
        <f t="shared" si="66"/>
        <v>28.914429530201343</v>
      </c>
      <c r="O895" s="18">
        <f t="shared" si="67"/>
        <v>38.380846325167035</v>
      </c>
      <c r="P895" s="17">
        <f t="shared" si="68"/>
        <v>1.7307421914231194</v>
      </c>
      <c r="Q895" s="17">
        <f t="shared" si="69"/>
        <v>0.23373759647188533</v>
      </c>
      <c r="R895" s="10" t="s">
        <v>1822</v>
      </c>
      <c r="S895" s="14" t="s">
        <v>26</v>
      </c>
      <c r="T895" s="14" t="s">
        <v>37</v>
      </c>
      <c r="U895" s="13">
        <v>17233</v>
      </c>
      <c r="V895" s="15">
        <v>5</v>
      </c>
      <c r="W895" s="9" t="str">
        <f>IF(Table1[[#This Row],[Satisfaction Rating]]&lt;2, "Low", IF(Table1[[#This Row],[Satisfaction Rating]]&lt;4, "Medium", "High"))</f>
        <v>High</v>
      </c>
    </row>
    <row r="896" spans="1:23" ht="14" x14ac:dyDescent="0.2">
      <c r="A896" s="10" t="s">
        <v>1823</v>
      </c>
      <c r="B896" s="11">
        <v>45147.083067129628</v>
      </c>
      <c r="C896" s="11">
        <v>45374.093310185184</v>
      </c>
      <c r="D896" s="11" t="str">
        <f>IF(Table1[[#This Row],[Duration of Campaign]]=0, "Ongoing","Completed")</f>
        <v>Completed</v>
      </c>
      <c r="E896" s="12">
        <f>Table1[[#This Row],[End Date]]-Table1[[#This Row],[Start Date]]</f>
        <v>227.0102430555562</v>
      </c>
      <c r="F896" s="13">
        <v>4980</v>
      </c>
      <c r="G896" s="14" t="s">
        <v>29</v>
      </c>
      <c r="H896" s="15">
        <v>12260</v>
      </c>
      <c r="I896" s="15">
        <v>926</v>
      </c>
      <c r="J896" s="15">
        <v>197</v>
      </c>
      <c r="K896" s="16">
        <v>6580</v>
      </c>
      <c r="L896" s="17">
        <f t="shared" si="65"/>
        <v>7.5530179445350731E-2</v>
      </c>
      <c r="M896" s="17">
        <f t="shared" si="65"/>
        <v>0.21274298056155508</v>
      </c>
      <c r="N896" s="18">
        <f t="shared" si="66"/>
        <v>10.981641468682506</v>
      </c>
      <c r="O896" s="18">
        <f t="shared" si="67"/>
        <v>51.619289340101524</v>
      </c>
      <c r="P896" s="17">
        <f t="shared" si="68"/>
        <v>2.0419678714859439</v>
      </c>
      <c r="Q896" s="17">
        <f t="shared" si="69"/>
        <v>0.64706460812272593</v>
      </c>
      <c r="R896" s="10" t="s">
        <v>1824</v>
      </c>
      <c r="S896" s="14" t="s">
        <v>26</v>
      </c>
      <c r="T896" s="14" t="s">
        <v>55</v>
      </c>
      <c r="U896" s="13">
        <v>10169</v>
      </c>
      <c r="V896" s="15">
        <v>2</v>
      </c>
      <c r="W896" s="9" t="str">
        <f>IF(Table1[[#This Row],[Satisfaction Rating]]&lt;2, "Low", IF(Table1[[#This Row],[Satisfaction Rating]]&lt;4, "Medium", "High"))</f>
        <v>Medium</v>
      </c>
    </row>
    <row r="897" spans="1:23" ht="14" x14ac:dyDescent="0.2">
      <c r="A897" s="10" t="s">
        <v>1825</v>
      </c>
      <c r="B897" s="11">
        <v>45191.79446759259</v>
      </c>
      <c r="C897" s="11">
        <v>45191.79446759259</v>
      </c>
      <c r="D897" s="11" t="str">
        <f>IF(Table1[[#This Row],[Duration of Campaign]]=0, "Ongoing","Completed")</f>
        <v>Ongoing</v>
      </c>
      <c r="E897" s="12">
        <f>Table1[[#This Row],[End Date]]-Table1[[#This Row],[Start Date]]</f>
        <v>0</v>
      </c>
      <c r="F897" s="13">
        <v>4258</v>
      </c>
      <c r="G897" s="14" t="s">
        <v>29</v>
      </c>
      <c r="H897" s="15">
        <v>3659</v>
      </c>
      <c r="I897" s="15">
        <v>1372</v>
      </c>
      <c r="J897" s="15">
        <v>381</v>
      </c>
      <c r="K897" s="16">
        <v>5207</v>
      </c>
      <c r="L897" s="17">
        <f t="shared" si="65"/>
        <v>0.37496583766056302</v>
      </c>
      <c r="M897" s="17">
        <f t="shared" si="65"/>
        <v>0.27769679300291544</v>
      </c>
      <c r="N897" s="18">
        <f t="shared" si="66"/>
        <v>3.8979591836734695</v>
      </c>
      <c r="O897" s="18">
        <f t="shared" si="67"/>
        <v>14.036745406824148</v>
      </c>
      <c r="P897" s="17">
        <f t="shared" si="68"/>
        <v>1.2559887271019259</v>
      </c>
      <c r="Q897" s="17">
        <f t="shared" si="69"/>
        <v>0.97363500373971579</v>
      </c>
      <c r="R897" s="10" t="s">
        <v>1826</v>
      </c>
      <c r="S897" s="14" t="s">
        <v>34</v>
      </c>
      <c r="T897" s="14" t="s">
        <v>55</v>
      </c>
      <c r="U897" s="13">
        <v>5348</v>
      </c>
      <c r="V897" s="15">
        <v>5</v>
      </c>
      <c r="W897" s="9" t="str">
        <f>IF(Table1[[#This Row],[Satisfaction Rating]]&lt;2, "Low", IF(Table1[[#This Row],[Satisfaction Rating]]&lt;4, "Medium", "High"))</f>
        <v>High</v>
      </c>
    </row>
    <row r="898" spans="1:23" ht="14" x14ac:dyDescent="0.2">
      <c r="A898" s="10" t="s">
        <v>1827</v>
      </c>
      <c r="B898" s="11">
        <v>45514.877881944441</v>
      </c>
      <c r="C898" s="11">
        <v>45514.877881944441</v>
      </c>
      <c r="D898" s="11" t="str">
        <f>IF(Table1[[#This Row],[Duration of Campaign]]=0, "Ongoing","Completed")</f>
        <v>Ongoing</v>
      </c>
      <c r="E898" s="12">
        <f>Table1[[#This Row],[End Date]]-Table1[[#This Row],[Start Date]]</f>
        <v>0</v>
      </c>
      <c r="F898" s="13">
        <v>6987</v>
      </c>
      <c r="G898" s="14" t="s">
        <v>47</v>
      </c>
      <c r="H898" s="15">
        <v>14011</v>
      </c>
      <c r="I898" s="15">
        <v>681</v>
      </c>
      <c r="J898" s="15">
        <v>52</v>
      </c>
      <c r="K898" s="16">
        <v>11442</v>
      </c>
      <c r="L898" s="17">
        <f t="shared" si="65"/>
        <v>4.8604667761044891E-2</v>
      </c>
      <c r="M898" s="17">
        <f t="shared" si="65"/>
        <v>7.63582966226138E-2</v>
      </c>
      <c r="N898" s="18">
        <f t="shared" si="66"/>
        <v>20.772393538913363</v>
      </c>
      <c r="O898" s="18">
        <f t="shared" si="67"/>
        <v>272.03846153846155</v>
      </c>
      <c r="P898" s="17">
        <f t="shared" si="68"/>
        <v>2.0246171461285245</v>
      </c>
      <c r="Q898" s="17">
        <f t="shared" si="69"/>
        <v>0.80885055846175602</v>
      </c>
      <c r="R898" s="10" t="s">
        <v>1828</v>
      </c>
      <c r="S898" s="14" t="s">
        <v>45</v>
      </c>
      <c r="T898" s="14" t="s">
        <v>27</v>
      </c>
      <c r="U898" s="13">
        <v>14146</v>
      </c>
      <c r="V898" s="15">
        <v>4</v>
      </c>
      <c r="W898" s="9" t="str">
        <f>IF(Table1[[#This Row],[Satisfaction Rating]]&lt;2, "Low", IF(Table1[[#This Row],[Satisfaction Rating]]&lt;4, "Medium", "High"))</f>
        <v>High</v>
      </c>
    </row>
    <row r="899" spans="1:23" ht="14" x14ac:dyDescent="0.2">
      <c r="A899" s="10" t="s">
        <v>1829</v>
      </c>
      <c r="B899" s="11">
        <v>45043.061631944445</v>
      </c>
      <c r="C899" s="11">
        <v>45442.284780092596</v>
      </c>
      <c r="D899" s="11" t="str">
        <f>IF(Table1[[#This Row],[Duration of Campaign]]=0, "Ongoing","Completed")</f>
        <v>Completed</v>
      </c>
      <c r="E899" s="12">
        <f>Table1[[#This Row],[End Date]]-Table1[[#This Row],[Start Date]]</f>
        <v>399.22314814815036</v>
      </c>
      <c r="F899" s="13">
        <v>9688</v>
      </c>
      <c r="G899" s="14" t="s">
        <v>63</v>
      </c>
      <c r="H899" s="15">
        <v>7005</v>
      </c>
      <c r="I899" s="15">
        <v>541</v>
      </c>
      <c r="J899" s="15">
        <v>10</v>
      </c>
      <c r="K899" s="16">
        <v>6734</v>
      </c>
      <c r="L899" s="17">
        <f t="shared" ref="L899:M962" si="70">I899/H899</f>
        <v>7.7230549607423274E-2</v>
      </c>
      <c r="M899" s="17">
        <f t="shared" si="70"/>
        <v>1.8484288354898338E-2</v>
      </c>
      <c r="N899" s="18">
        <f t="shared" ref="N899:N962" si="71">U899/I899</f>
        <v>34.918669131238445</v>
      </c>
      <c r="O899" s="18">
        <f t="shared" ref="O899:O962" si="72">U899/J899</f>
        <v>1889.1</v>
      </c>
      <c r="P899" s="17">
        <f t="shared" ref="P899:P962" si="73">U899/F899</f>
        <v>1.9499380677126341</v>
      </c>
      <c r="Q899" s="17">
        <f t="shared" ref="Q899:Q962" si="74">K899/U899</f>
        <v>0.35646604203059656</v>
      </c>
      <c r="R899" s="10" t="s">
        <v>1830</v>
      </c>
      <c r="S899" s="14" t="s">
        <v>40</v>
      </c>
      <c r="T899" s="14" t="s">
        <v>37</v>
      </c>
      <c r="U899" s="13">
        <v>18891</v>
      </c>
      <c r="V899" s="15">
        <v>5</v>
      </c>
      <c r="W899" s="9" t="str">
        <f>IF(Table1[[#This Row],[Satisfaction Rating]]&lt;2, "Low", IF(Table1[[#This Row],[Satisfaction Rating]]&lt;4, "Medium", "High"))</f>
        <v>High</v>
      </c>
    </row>
    <row r="900" spans="1:23" ht="14" x14ac:dyDescent="0.2">
      <c r="A900" s="10" t="s">
        <v>1831</v>
      </c>
      <c r="B900" s="11">
        <v>45339.527511574073</v>
      </c>
      <c r="C900" s="11">
        <v>45339.527511574073</v>
      </c>
      <c r="D900" s="11" t="str">
        <f>IF(Table1[[#This Row],[Duration of Campaign]]=0, "Ongoing","Completed")</f>
        <v>Ongoing</v>
      </c>
      <c r="E900" s="12">
        <f>Table1[[#This Row],[End Date]]-Table1[[#This Row],[Start Date]]</f>
        <v>0</v>
      </c>
      <c r="F900" s="13">
        <v>5564</v>
      </c>
      <c r="G900" s="14" t="s">
        <v>24</v>
      </c>
      <c r="H900" s="15">
        <v>13883</v>
      </c>
      <c r="I900" s="15">
        <v>1191</v>
      </c>
      <c r="J900" s="15">
        <v>91</v>
      </c>
      <c r="K900" s="16">
        <v>4383</v>
      </c>
      <c r="L900" s="17">
        <f t="shared" si="70"/>
        <v>8.5788374270690776E-2</v>
      </c>
      <c r="M900" s="17">
        <f t="shared" si="70"/>
        <v>7.6406381192275399E-2</v>
      </c>
      <c r="N900" s="18">
        <f t="shared" si="71"/>
        <v>0.96977329974811088</v>
      </c>
      <c r="O900" s="18">
        <f t="shared" si="72"/>
        <v>12.692307692307692</v>
      </c>
      <c r="P900" s="17">
        <f t="shared" si="73"/>
        <v>0.20758447160316318</v>
      </c>
      <c r="Q900" s="17">
        <f t="shared" si="74"/>
        <v>3.7948051948051948</v>
      </c>
      <c r="R900" s="10" t="s">
        <v>1832</v>
      </c>
      <c r="S900" s="14" t="s">
        <v>26</v>
      </c>
      <c r="T900" s="14" t="s">
        <v>37</v>
      </c>
      <c r="U900" s="13">
        <v>1155</v>
      </c>
      <c r="V900" s="15">
        <v>3</v>
      </c>
      <c r="W900" s="9" t="str">
        <f>IF(Table1[[#This Row],[Satisfaction Rating]]&lt;2, "Low", IF(Table1[[#This Row],[Satisfaction Rating]]&lt;4, "Medium", "High"))</f>
        <v>Medium</v>
      </c>
    </row>
    <row r="901" spans="1:23" ht="14" x14ac:dyDescent="0.2">
      <c r="A901" s="10" t="s">
        <v>1833</v>
      </c>
      <c r="B901" s="11">
        <v>44993.725474537037</v>
      </c>
      <c r="C901" s="11">
        <v>45257.37300925926</v>
      </c>
      <c r="D901" s="11" t="str">
        <f>IF(Table1[[#This Row],[Duration of Campaign]]=0, "Ongoing","Completed")</f>
        <v>Completed</v>
      </c>
      <c r="E901" s="12">
        <f>Table1[[#This Row],[End Date]]-Table1[[#This Row],[Start Date]]</f>
        <v>263.64753472222219</v>
      </c>
      <c r="F901" s="13">
        <v>9122</v>
      </c>
      <c r="G901" s="14" t="s">
        <v>47</v>
      </c>
      <c r="H901" s="15">
        <v>19916</v>
      </c>
      <c r="I901" s="15">
        <v>1769</v>
      </c>
      <c r="J901" s="15">
        <v>247</v>
      </c>
      <c r="K901" s="16">
        <v>4460</v>
      </c>
      <c r="L901" s="17">
        <f t="shared" si="70"/>
        <v>8.882305683872263E-2</v>
      </c>
      <c r="M901" s="17">
        <f t="shared" si="70"/>
        <v>0.13962690785754664</v>
      </c>
      <c r="N901" s="18">
        <f t="shared" si="71"/>
        <v>9.1102317693612207</v>
      </c>
      <c r="O901" s="18">
        <f t="shared" si="72"/>
        <v>65.246963562753038</v>
      </c>
      <c r="P901" s="17">
        <f t="shared" si="73"/>
        <v>1.7667178250383688</v>
      </c>
      <c r="Q901" s="17">
        <f t="shared" si="74"/>
        <v>0.27674360883593946</v>
      </c>
      <c r="R901" s="10" t="s">
        <v>1834</v>
      </c>
      <c r="S901" s="14" t="s">
        <v>26</v>
      </c>
      <c r="T901" s="14" t="s">
        <v>55</v>
      </c>
      <c r="U901" s="13">
        <v>16116</v>
      </c>
      <c r="V901" s="15">
        <v>3</v>
      </c>
      <c r="W901" s="9" t="str">
        <f>IF(Table1[[#This Row],[Satisfaction Rating]]&lt;2, "Low", IF(Table1[[#This Row],[Satisfaction Rating]]&lt;4, "Medium", "High"))</f>
        <v>Medium</v>
      </c>
    </row>
    <row r="902" spans="1:23" ht="14" x14ac:dyDescent="0.2">
      <c r="A902" s="10" t="s">
        <v>1835</v>
      </c>
      <c r="B902" s="11">
        <v>45040.456875000003</v>
      </c>
      <c r="C902" s="11">
        <v>45362.204872685186</v>
      </c>
      <c r="D902" s="11" t="str">
        <f>IF(Table1[[#This Row],[Duration of Campaign]]=0, "Ongoing","Completed")</f>
        <v>Completed</v>
      </c>
      <c r="E902" s="12">
        <f>Table1[[#This Row],[End Date]]-Table1[[#This Row],[Start Date]]</f>
        <v>321.74799768518278</v>
      </c>
      <c r="F902" s="13">
        <v>2561</v>
      </c>
      <c r="G902" s="14" t="s">
        <v>29</v>
      </c>
      <c r="H902" s="15">
        <v>10277</v>
      </c>
      <c r="I902" s="15">
        <v>1537</v>
      </c>
      <c r="J902" s="15">
        <v>88</v>
      </c>
      <c r="K902" s="16">
        <v>13697</v>
      </c>
      <c r="L902" s="17">
        <f t="shared" si="70"/>
        <v>0.14955726379293569</v>
      </c>
      <c r="M902" s="17">
        <f t="shared" si="70"/>
        <v>5.7254391672088484E-2</v>
      </c>
      <c r="N902" s="18">
        <f t="shared" si="71"/>
        <v>4.1496421600520499</v>
      </c>
      <c r="O902" s="18">
        <f t="shared" si="72"/>
        <v>72.477272727272734</v>
      </c>
      <c r="P902" s="17">
        <f t="shared" si="73"/>
        <v>2.4904334244435766</v>
      </c>
      <c r="Q902" s="17">
        <f t="shared" si="74"/>
        <v>2.1475384132957038</v>
      </c>
      <c r="R902" s="10" t="s">
        <v>1836</v>
      </c>
      <c r="S902" s="14" t="s">
        <v>40</v>
      </c>
      <c r="T902" s="14" t="s">
        <v>55</v>
      </c>
      <c r="U902" s="13">
        <v>6378</v>
      </c>
      <c r="V902" s="15">
        <v>1</v>
      </c>
      <c r="W902" s="9" t="str">
        <f>IF(Table1[[#This Row],[Satisfaction Rating]]&lt;2, "Low", IF(Table1[[#This Row],[Satisfaction Rating]]&lt;4, "Medium", "High"))</f>
        <v>Low</v>
      </c>
    </row>
    <row r="903" spans="1:23" ht="14" x14ac:dyDescent="0.2">
      <c r="A903" s="10" t="s">
        <v>1837</v>
      </c>
      <c r="B903" s="11">
        <v>45151.113321759258</v>
      </c>
      <c r="C903" s="11">
        <v>45260.874062499999</v>
      </c>
      <c r="D903" s="11" t="str">
        <f>IF(Table1[[#This Row],[Duration of Campaign]]=0, "Ongoing","Completed")</f>
        <v>Completed</v>
      </c>
      <c r="E903" s="12">
        <f>Table1[[#This Row],[End Date]]-Table1[[#This Row],[Start Date]]</f>
        <v>109.76074074074131</v>
      </c>
      <c r="F903" s="13">
        <v>5844</v>
      </c>
      <c r="G903" s="14" t="s">
        <v>47</v>
      </c>
      <c r="H903" s="15">
        <v>17817</v>
      </c>
      <c r="I903" s="15">
        <v>210</v>
      </c>
      <c r="J903" s="15">
        <v>167</v>
      </c>
      <c r="K903" s="16">
        <v>4487</v>
      </c>
      <c r="L903" s="17">
        <f t="shared" si="70"/>
        <v>1.17864960431049E-2</v>
      </c>
      <c r="M903" s="17">
        <f t="shared" si="70"/>
        <v>0.79523809523809519</v>
      </c>
      <c r="N903" s="18">
        <f t="shared" si="71"/>
        <v>13.771428571428572</v>
      </c>
      <c r="O903" s="18">
        <f t="shared" si="72"/>
        <v>17.317365269461078</v>
      </c>
      <c r="P903" s="17">
        <f t="shared" si="73"/>
        <v>0.49486652977412732</v>
      </c>
      <c r="Q903" s="17">
        <f t="shared" si="74"/>
        <v>1.5515214384508991</v>
      </c>
      <c r="R903" s="10" t="s">
        <v>1838</v>
      </c>
      <c r="S903" s="14" t="s">
        <v>26</v>
      </c>
      <c r="T903" s="14" t="s">
        <v>55</v>
      </c>
      <c r="U903" s="13">
        <v>2892</v>
      </c>
      <c r="V903" s="15">
        <v>3</v>
      </c>
      <c r="W903" s="9" t="str">
        <f>IF(Table1[[#This Row],[Satisfaction Rating]]&lt;2, "Low", IF(Table1[[#This Row],[Satisfaction Rating]]&lt;4, "Medium", "High"))</f>
        <v>Medium</v>
      </c>
    </row>
    <row r="904" spans="1:23" ht="14" x14ac:dyDescent="0.2">
      <c r="A904" s="10" t="s">
        <v>1839</v>
      </c>
      <c r="B904" s="11">
        <v>45510.632418981484</v>
      </c>
      <c r="C904" s="11">
        <v>45510.632418981484</v>
      </c>
      <c r="D904" s="11" t="str">
        <f>IF(Table1[[#This Row],[Duration of Campaign]]=0, "Ongoing","Completed")</f>
        <v>Ongoing</v>
      </c>
      <c r="E904" s="12">
        <f>Table1[[#This Row],[End Date]]-Table1[[#This Row],[Start Date]]</f>
        <v>0</v>
      </c>
      <c r="F904" s="13">
        <v>7272</v>
      </c>
      <c r="G904" s="14" t="s">
        <v>47</v>
      </c>
      <c r="H904" s="15">
        <v>3936</v>
      </c>
      <c r="I904" s="15">
        <v>1467</v>
      </c>
      <c r="J904" s="15">
        <v>188</v>
      </c>
      <c r="K904" s="16">
        <v>13424</v>
      </c>
      <c r="L904" s="17">
        <f t="shared" si="70"/>
        <v>0.37271341463414637</v>
      </c>
      <c r="M904" s="17">
        <f t="shared" si="70"/>
        <v>0.1281526925698705</v>
      </c>
      <c r="N904" s="18">
        <f t="shared" si="71"/>
        <v>6.4594410361281529</v>
      </c>
      <c r="O904" s="18">
        <f t="shared" si="72"/>
        <v>50.404255319148938</v>
      </c>
      <c r="P904" s="17">
        <f t="shared" si="73"/>
        <v>1.3030803080308031</v>
      </c>
      <c r="Q904" s="17">
        <f t="shared" si="74"/>
        <v>1.4166314900802026</v>
      </c>
      <c r="R904" s="10" t="s">
        <v>1840</v>
      </c>
      <c r="S904" s="14" t="s">
        <v>31</v>
      </c>
      <c r="T904" s="14" t="s">
        <v>55</v>
      </c>
      <c r="U904" s="13">
        <v>9476</v>
      </c>
      <c r="V904" s="15">
        <v>3</v>
      </c>
      <c r="W904" s="9" t="str">
        <f>IF(Table1[[#This Row],[Satisfaction Rating]]&lt;2, "Low", IF(Table1[[#This Row],[Satisfaction Rating]]&lt;4, "Medium", "High"))</f>
        <v>Medium</v>
      </c>
    </row>
    <row r="905" spans="1:23" ht="14" x14ac:dyDescent="0.2">
      <c r="A905" s="10" t="s">
        <v>1841</v>
      </c>
      <c r="B905" s="11">
        <v>45227.159687500003</v>
      </c>
      <c r="C905" s="11">
        <v>45227.159687500003</v>
      </c>
      <c r="D905" s="11" t="str">
        <f>IF(Table1[[#This Row],[Duration of Campaign]]=0, "Ongoing","Completed")</f>
        <v>Ongoing</v>
      </c>
      <c r="E905" s="12">
        <f>Table1[[#This Row],[End Date]]-Table1[[#This Row],[Start Date]]</f>
        <v>0</v>
      </c>
      <c r="F905" s="13">
        <v>5304</v>
      </c>
      <c r="G905" s="14" t="s">
        <v>29</v>
      </c>
      <c r="H905" s="15">
        <v>16807</v>
      </c>
      <c r="I905" s="15">
        <v>287</v>
      </c>
      <c r="J905" s="15">
        <v>38</v>
      </c>
      <c r="K905" s="16">
        <v>7376</v>
      </c>
      <c r="L905" s="17">
        <f t="shared" si="70"/>
        <v>1.7076218242399001E-2</v>
      </c>
      <c r="M905" s="17">
        <f t="shared" si="70"/>
        <v>0.13240418118466898</v>
      </c>
      <c r="N905" s="18">
        <f t="shared" si="71"/>
        <v>33.310104529616723</v>
      </c>
      <c r="O905" s="18">
        <f t="shared" si="72"/>
        <v>251.57894736842104</v>
      </c>
      <c r="P905" s="17">
        <f t="shared" si="73"/>
        <v>1.8024132730015083</v>
      </c>
      <c r="Q905" s="17">
        <f t="shared" si="74"/>
        <v>0.77154811715481175</v>
      </c>
      <c r="R905" s="10" t="s">
        <v>1842</v>
      </c>
      <c r="S905" s="14" t="s">
        <v>26</v>
      </c>
      <c r="T905" s="14" t="s">
        <v>27</v>
      </c>
      <c r="U905" s="13">
        <v>9560</v>
      </c>
      <c r="V905" s="15">
        <v>3</v>
      </c>
      <c r="W905" s="9" t="str">
        <f>IF(Table1[[#This Row],[Satisfaction Rating]]&lt;2, "Low", IF(Table1[[#This Row],[Satisfaction Rating]]&lt;4, "Medium", "High"))</f>
        <v>Medium</v>
      </c>
    </row>
    <row r="906" spans="1:23" ht="14" x14ac:dyDescent="0.2">
      <c r="A906" s="10" t="s">
        <v>1843</v>
      </c>
      <c r="B906" s="11">
        <v>45184.828900462962</v>
      </c>
      <c r="C906" s="11">
        <v>45254.541365740741</v>
      </c>
      <c r="D906" s="11" t="str">
        <f>IF(Table1[[#This Row],[Duration of Campaign]]=0, "Ongoing","Completed")</f>
        <v>Completed</v>
      </c>
      <c r="E906" s="12">
        <f>Table1[[#This Row],[End Date]]-Table1[[#This Row],[Start Date]]</f>
        <v>69.712465277778392</v>
      </c>
      <c r="F906" s="13">
        <v>7308</v>
      </c>
      <c r="G906" s="14" t="s">
        <v>47</v>
      </c>
      <c r="H906" s="15">
        <v>13796</v>
      </c>
      <c r="I906" s="15">
        <v>478</v>
      </c>
      <c r="J906" s="15">
        <v>392</v>
      </c>
      <c r="K906" s="16">
        <v>12761</v>
      </c>
      <c r="L906" s="17">
        <f t="shared" si="70"/>
        <v>3.4647723977964624E-2</v>
      </c>
      <c r="M906" s="17">
        <f t="shared" si="70"/>
        <v>0.82008368200836823</v>
      </c>
      <c r="N906" s="18">
        <f t="shared" si="71"/>
        <v>32.410041841004187</v>
      </c>
      <c r="O906" s="18">
        <f t="shared" si="72"/>
        <v>39.520408163265309</v>
      </c>
      <c r="P906" s="17">
        <f t="shared" si="73"/>
        <v>2.1198686371100166</v>
      </c>
      <c r="Q906" s="17">
        <f t="shared" si="74"/>
        <v>0.82371546604699197</v>
      </c>
      <c r="R906" s="10" t="s">
        <v>1844</v>
      </c>
      <c r="S906" s="14" t="s">
        <v>40</v>
      </c>
      <c r="T906" s="14" t="s">
        <v>55</v>
      </c>
      <c r="U906" s="13">
        <v>15492</v>
      </c>
      <c r="V906" s="15">
        <v>4</v>
      </c>
      <c r="W906" s="9" t="str">
        <f>IF(Table1[[#This Row],[Satisfaction Rating]]&lt;2, "Low", IF(Table1[[#This Row],[Satisfaction Rating]]&lt;4, "Medium", "High"))</f>
        <v>High</v>
      </c>
    </row>
    <row r="907" spans="1:23" ht="14" x14ac:dyDescent="0.2">
      <c r="A907" s="10" t="s">
        <v>1845</v>
      </c>
      <c r="B907" s="11">
        <v>45451.421238425923</v>
      </c>
      <c r="C907" s="11">
        <v>45451.421238425923</v>
      </c>
      <c r="D907" s="11" t="str">
        <f>IF(Table1[[#This Row],[Duration of Campaign]]=0, "Ongoing","Completed")</f>
        <v>Ongoing</v>
      </c>
      <c r="E907" s="12">
        <f>Table1[[#This Row],[End Date]]-Table1[[#This Row],[Start Date]]</f>
        <v>0</v>
      </c>
      <c r="F907" s="13">
        <v>1374</v>
      </c>
      <c r="G907" s="14" t="s">
        <v>63</v>
      </c>
      <c r="H907" s="15">
        <v>4968</v>
      </c>
      <c r="I907" s="15">
        <v>345</v>
      </c>
      <c r="J907" s="15">
        <v>466</v>
      </c>
      <c r="K907" s="16">
        <v>6259</v>
      </c>
      <c r="L907" s="17">
        <f t="shared" si="70"/>
        <v>6.9444444444444448E-2</v>
      </c>
      <c r="M907" s="17">
        <f t="shared" si="70"/>
        <v>1.3507246376811595</v>
      </c>
      <c r="N907" s="18">
        <f t="shared" si="71"/>
        <v>57.823188405797104</v>
      </c>
      <c r="O907" s="18">
        <f t="shared" si="72"/>
        <v>42.809012875536482</v>
      </c>
      <c r="P907" s="17">
        <f t="shared" si="73"/>
        <v>14.518922852983989</v>
      </c>
      <c r="Q907" s="17">
        <f t="shared" si="74"/>
        <v>0.31375006265978245</v>
      </c>
      <c r="R907" s="10" t="s">
        <v>1846</v>
      </c>
      <c r="S907" s="14" t="s">
        <v>34</v>
      </c>
      <c r="T907" s="14" t="s">
        <v>37</v>
      </c>
      <c r="U907" s="13">
        <v>19949</v>
      </c>
      <c r="V907" s="15">
        <v>3</v>
      </c>
      <c r="W907" s="9" t="str">
        <f>IF(Table1[[#This Row],[Satisfaction Rating]]&lt;2, "Low", IF(Table1[[#This Row],[Satisfaction Rating]]&lt;4, "Medium", "High"))</f>
        <v>Medium</v>
      </c>
    </row>
    <row r="908" spans="1:23" ht="14" x14ac:dyDescent="0.2">
      <c r="A908" s="10" t="s">
        <v>1847</v>
      </c>
      <c r="B908" s="11">
        <v>45415.455057870371</v>
      </c>
      <c r="C908" s="11">
        <v>45620.642928240741</v>
      </c>
      <c r="D908" s="11" t="str">
        <f>IF(Table1[[#This Row],[Duration of Campaign]]=0, "Ongoing","Completed")</f>
        <v>Completed</v>
      </c>
      <c r="E908" s="12">
        <f>Table1[[#This Row],[End Date]]-Table1[[#This Row],[Start Date]]</f>
        <v>205.18787037036964</v>
      </c>
      <c r="F908" s="13">
        <v>5767</v>
      </c>
      <c r="G908" s="14" t="s">
        <v>63</v>
      </c>
      <c r="H908" s="15">
        <v>17354</v>
      </c>
      <c r="I908" s="15">
        <v>1014</v>
      </c>
      <c r="J908" s="15">
        <v>194</v>
      </c>
      <c r="K908" s="16">
        <v>8820</v>
      </c>
      <c r="L908" s="17">
        <f t="shared" si="70"/>
        <v>5.843033306442319E-2</v>
      </c>
      <c r="M908" s="17">
        <f t="shared" si="70"/>
        <v>0.19132149901380671</v>
      </c>
      <c r="N908" s="18">
        <f t="shared" si="71"/>
        <v>0.76134122287968442</v>
      </c>
      <c r="O908" s="18">
        <f t="shared" si="72"/>
        <v>3.9793814432989691</v>
      </c>
      <c r="P908" s="17">
        <f t="shared" si="73"/>
        <v>0.13386509450320791</v>
      </c>
      <c r="Q908" s="17">
        <f t="shared" si="74"/>
        <v>11.424870466321243</v>
      </c>
      <c r="R908" s="10" t="s">
        <v>1848</v>
      </c>
      <c r="S908" s="14" t="s">
        <v>45</v>
      </c>
      <c r="T908" s="14" t="s">
        <v>37</v>
      </c>
      <c r="U908" s="13">
        <v>772</v>
      </c>
      <c r="V908" s="15">
        <v>4</v>
      </c>
      <c r="W908" s="9" t="str">
        <f>IF(Table1[[#This Row],[Satisfaction Rating]]&lt;2, "Low", IF(Table1[[#This Row],[Satisfaction Rating]]&lt;4, "Medium", "High"))</f>
        <v>High</v>
      </c>
    </row>
    <row r="909" spans="1:23" ht="14" x14ac:dyDescent="0.2">
      <c r="A909" s="10" t="s">
        <v>1849</v>
      </c>
      <c r="B909" s="11">
        <v>45217.83971064815</v>
      </c>
      <c r="C909" s="11">
        <v>45351.723333333335</v>
      </c>
      <c r="D909" s="11" t="str">
        <f>IF(Table1[[#This Row],[Duration of Campaign]]=0, "Ongoing","Completed")</f>
        <v>Completed</v>
      </c>
      <c r="E909" s="12">
        <f>Table1[[#This Row],[End Date]]-Table1[[#This Row],[Start Date]]</f>
        <v>133.8836226851854</v>
      </c>
      <c r="F909" s="13">
        <v>6383</v>
      </c>
      <c r="G909" s="14" t="s">
        <v>29</v>
      </c>
      <c r="H909" s="15">
        <v>18572</v>
      </c>
      <c r="I909" s="15">
        <v>681</v>
      </c>
      <c r="J909" s="15">
        <v>444</v>
      </c>
      <c r="K909" s="16">
        <v>3195</v>
      </c>
      <c r="L909" s="17">
        <f t="shared" si="70"/>
        <v>3.6668102519922467E-2</v>
      </c>
      <c r="M909" s="17">
        <f t="shared" si="70"/>
        <v>0.65198237885462551</v>
      </c>
      <c r="N909" s="18">
        <f t="shared" si="71"/>
        <v>5.7327459618208518</v>
      </c>
      <c r="O909" s="18">
        <f t="shared" si="72"/>
        <v>8.7927927927927936</v>
      </c>
      <c r="P909" s="17">
        <f t="shared" si="73"/>
        <v>0.61162462791790695</v>
      </c>
      <c r="Q909" s="17">
        <f t="shared" si="74"/>
        <v>0.81839139344262291</v>
      </c>
      <c r="R909" s="10" t="s">
        <v>1850</v>
      </c>
      <c r="S909" s="14" t="s">
        <v>26</v>
      </c>
      <c r="T909" s="14" t="s">
        <v>37</v>
      </c>
      <c r="U909" s="13">
        <v>3904</v>
      </c>
      <c r="V909" s="15">
        <v>2</v>
      </c>
      <c r="W909" s="9" t="str">
        <f>IF(Table1[[#This Row],[Satisfaction Rating]]&lt;2, "Low", IF(Table1[[#This Row],[Satisfaction Rating]]&lt;4, "Medium", "High"))</f>
        <v>Medium</v>
      </c>
    </row>
    <row r="910" spans="1:23" ht="14" x14ac:dyDescent="0.2">
      <c r="A910" s="10" t="s">
        <v>1851</v>
      </c>
      <c r="B910" s="11">
        <v>44937.261608796296</v>
      </c>
      <c r="C910" s="11">
        <v>44966.588576388887</v>
      </c>
      <c r="D910" s="11" t="str">
        <f>IF(Table1[[#This Row],[Duration of Campaign]]=0, "Ongoing","Completed")</f>
        <v>Completed</v>
      </c>
      <c r="E910" s="12">
        <f>Table1[[#This Row],[End Date]]-Table1[[#This Row],[Start Date]]</f>
        <v>29.326967592591245</v>
      </c>
      <c r="F910" s="13">
        <v>6442</v>
      </c>
      <c r="G910" s="14" t="s">
        <v>47</v>
      </c>
      <c r="H910" s="15">
        <v>9147</v>
      </c>
      <c r="I910" s="15">
        <v>1359</v>
      </c>
      <c r="J910" s="15">
        <v>315</v>
      </c>
      <c r="K910" s="16">
        <v>11123</v>
      </c>
      <c r="L910" s="17">
        <f t="shared" si="70"/>
        <v>0.14857330272220401</v>
      </c>
      <c r="M910" s="17">
        <f t="shared" si="70"/>
        <v>0.23178807947019867</v>
      </c>
      <c r="N910" s="18">
        <f t="shared" si="71"/>
        <v>6.8844738778513612</v>
      </c>
      <c r="O910" s="18">
        <f t="shared" si="72"/>
        <v>29.701587301587303</v>
      </c>
      <c r="P910" s="17">
        <f t="shared" si="73"/>
        <v>1.4523439925488979</v>
      </c>
      <c r="Q910" s="17">
        <f t="shared" si="74"/>
        <v>1.1888627618640444</v>
      </c>
      <c r="R910" s="10" t="s">
        <v>1852</v>
      </c>
      <c r="S910" s="14" t="s">
        <v>26</v>
      </c>
      <c r="T910" s="14" t="s">
        <v>27</v>
      </c>
      <c r="U910" s="13">
        <v>9356</v>
      </c>
      <c r="V910" s="15">
        <v>3</v>
      </c>
      <c r="W910" s="9" t="str">
        <f>IF(Table1[[#This Row],[Satisfaction Rating]]&lt;2, "Low", IF(Table1[[#This Row],[Satisfaction Rating]]&lt;4, "Medium", "High"))</f>
        <v>Medium</v>
      </c>
    </row>
    <row r="911" spans="1:23" ht="14" x14ac:dyDescent="0.2">
      <c r="A911" s="10" t="s">
        <v>1853</v>
      </c>
      <c r="B911" s="11">
        <v>45283.295069444444</v>
      </c>
      <c r="C911" s="11">
        <v>45378.761111111111</v>
      </c>
      <c r="D911" s="11" t="str">
        <f>IF(Table1[[#This Row],[Duration of Campaign]]=0, "Ongoing","Completed")</f>
        <v>Completed</v>
      </c>
      <c r="E911" s="12">
        <f>Table1[[#This Row],[End Date]]-Table1[[#This Row],[Start Date]]</f>
        <v>95.46604166666657</v>
      </c>
      <c r="F911" s="13">
        <v>1919</v>
      </c>
      <c r="G911" s="14" t="s">
        <v>24</v>
      </c>
      <c r="H911" s="15">
        <v>17211</v>
      </c>
      <c r="I911" s="15">
        <v>1320</v>
      </c>
      <c r="J911" s="15">
        <v>15</v>
      </c>
      <c r="K911" s="16">
        <v>5404</v>
      </c>
      <c r="L911" s="17">
        <f t="shared" si="70"/>
        <v>7.6695136831096397E-2</v>
      </c>
      <c r="M911" s="17">
        <f t="shared" si="70"/>
        <v>1.1363636363636364E-2</v>
      </c>
      <c r="N911" s="18">
        <f t="shared" si="71"/>
        <v>6.6219696969696971</v>
      </c>
      <c r="O911" s="18">
        <f t="shared" si="72"/>
        <v>582.73333333333335</v>
      </c>
      <c r="P911" s="17">
        <f t="shared" si="73"/>
        <v>4.5549765502866073</v>
      </c>
      <c r="Q911" s="17">
        <f t="shared" si="74"/>
        <v>0.6182358997826336</v>
      </c>
      <c r="R911" s="10" t="s">
        <v>1854</v>
      </c>
      <c r="S911" s="14" t="s">
        <v>40</v>
      </c>
      <c r="T911" s="14" t="s">
        <v>55</v>
      </c>
      <c r="U911" s="13">
        <v>8741</v>
      </c>
      <c r="V911" s="15">
        <v>1</v>
      </c>
      <c r="W911" s="9" t="str">
        <f>IF(Table1[[#This Row],[Satisfaction Rating]]&lt;2, "Low", IF(Table1[[#This Row],[Satisfaction Rating]]&lt;4, "Medium", "High"))</f>
        <v>Low</v>
      </c>
    </row>
    <row r="912" spans="1:23" ht="14" x14ac:dyDescent="0.2">
      <c r="A912" s="10" t="s">
        <v>1855</v>
      </c>
      <c r="B912" s="11">
        <v>45118.316724537035</v>
      </c>
      <c r="C912" s="11">
        <v>45328.70853009259</v>
      </c>
      <c r="D912" s="11" t="str">
        <f>IF(Table1[[#This Row],[Duration of Campaign]]=0, "Ongoing","Completed")</f>
        <v>Completed</v>
      </c>
      <c r="E912" s="12">
        <f>Table1[[#This Row],[End Date]]-Table1[[#This Row],[Start Date]]</f>
        <v>210.39180555555504</v>
      </c>
      <c r="F912" s="13">
        <v>6742</v>
      </c>
      <c r="G912" s="14" t="s">
        <v>29</v>
      </c>
      <c r="H912" s="15">
        <v>1433</v>
      </c>
      <c r="I912" s="15">
        <v>703</v>
      </c>
      <c r="J912" s="15">
        <v>260</v>
      </c>
      <c r="K912" s="16">
        <v>10372</v>
      </c>
      <c r="L912" s="17">
        <f t="shared" si="70"/>
        <v>0.49057920446615494</v>
      </c>
      <c r="M912" s="17">
        <f t="shared" si="70"/>
        <v>0.36984352773826457</v>
      </c>
      <c r="N912" s="18">
        <f t="shared" si="71"/>
        <v>21.348506401137978</v>
      </c>
      <c r="O912" s="18">
        <f t="shared" si="72"/>
        <v>57.723076923076924</v>
      </c>
      <c r="P912" s="17">
        <f t="shared" si="73"/>
        <v>2.2260456837733611</v>
      </c>
      <c r="Q912" s="17">
        <f t="shared" si="74"/>
        <v>0.69109808102345416</v>
      </c>
      <c r="R912" s="10" t="s">
        <v>1856</v>
      </c>
      <c r="S912" s="14" t="s">
        <v>40</v>
      </c>
      <c r="T912" s="14" t="s">
        <v>27</v>
      </c>
      <c r="U912" s="13">
        <v>15008</v>
      </c>
      <c r="V912" s="15">
        <v>5</v>
      </c>
      <c r="W912" s="9" t="str">
        <f>IF(Table1[[#This Row],[Satisfaction Rating]]&lt;2, "Low", IF(Table1[[#This Row],[Satisfaction Rating]]&lt;4, "Medium", "High"))</f>
        <v>High</v>
      </c>
    </row>
    <row r="913" spans="1:23" ht="14" x14ac:dyDescent="0.2">
      <c r="A913" s="10" t="s">
        <v>1857</v>
      </c>
      <c r="B913" s="11">
        <v>45021.444120370368</v>
      </c>
      <c r="C913" s="11">
        <v>45588.886493055557</v>
      </c>
      <c r="D913" s="11" t="str">
        <f>IF(Table1[[#This Row],[Duration of Campaign]]=0, "Ongoing","Completed")</f>
        <v>Completed</v>
      </c>
      <c r="E913" s="12">
        <f>Table1[[#This Row],[End Date]]-Table1[[#This Row],[Start Date]]</f>
        <v>567.44237268518918</v>
      </c>
      <c r="F913" s="13">
        <v>3351</v>
      </c>
      <c r="G913" s="14" t="s">
        <v>63</v>
      </c>
      <c r="H913" s="15">
        <v>10678</v>
      </c>
      <c r="I913" s="15">
        <v>684</v>
      </c>
      <c r="J913" s="15">
        <v>81</v>
      </c>
      <c r="K913" s="16">
        <v>9380</v>
      </c>
      <c r="L913" s="17">
        <f t="shared" si="70"/>
        <v>6.4056939501779361E-2</v>
      </c>
      <c r="M913" s="17">
        <f t="shared" si="70"/>
        <v>0.11842105263157894</v>
      </c>
      <c r="N913" s="18">
        <f t="shared" si="71"/>
        <v>4.2105263157894735</v>
      </c>
      <c r="O913" s="18">
        <f t="shared" si="72"/>
        <v>35.555555555555557</v>
      </c>
      <c r="P913" s="17">
        <f t="shared" si="73"/>
        <v>0.85944494180841535</v>
      </c>
      <c r="Q913" s="17">
        <f t="shared" si="74"/>
        <v>3.2569444444444446</v>
      </c>
      <c r="R913" s="10" t="s">
        <v>1858</v>
      </c>
      <c r="S913" s="14" t="s">
        <v>31</v>
      </c>
      <c r="T913" s="14" t="s">
        <v>55</v>
      </c>
      <c r="U913" s="13">
        <v>2880</v>
      </c>
      <c r="V913" s="15">
        <v>1</v>
      </c>
      <c r="W913" s="9" t="str">
        <f>IF(Table1[[#This Row],[Satisfaction Rating]]&lt;2, "Low", IF(Table1[[#This Row],[Satisfaction Rating]]&lt;4, "Medium", "High"))</f>
        <v>Low</v>
      </c>
    </row>
    <row r="914" spans="1:23" ht="14" x14ac:dyDescent="0.2">
      <c r="A914" s="10" t="s">
        <v>1859</v>
      </c>
      <c r="B914" s="11">
        <v>45517.70621527778</v>
      </c>
      <c r="C914" s="11">
        <v>45517.70621527778</v>
      </c>
      <c r="D914" s="11" t="str">
        <f>IF(Table1[[#This Row],[Duration of Campaign]]=0, "Ongoing","Completed")</f>
        <v>Ongoing</v>
      </c>
      <c r="E914" s="12">
        <f>Table1[[#This Row],[End Date]]-Table1[[#This Row],[Start Date]]</f>
        <v>0</v>
      </c>
      <c r="F914" s="13">
        <v>2981</v>
      </c>
      <c r="G914" s="14" t="s">
        <v>47</v>
      </c>
      <c r="H914" s="15">
        <v>18873</v>
      </c>
      <c r="I914" s="15">
        <v>512</v>
      </c>
      <c r="J914" s="15">
        <v>364</v>
      </c>
      <c r="K914" s="16">
        <v>2239</v>
      </c>
      <c r="L914" s="17">
        <f t="shared" si="70"/>
        <v>2.7128702379060034E-2</v>
      </c>
      <c r="M914" s="17">
        <f t="shared" si="70"/>
        <v>0.7109375</v>
      </c>
      <c r="N914" s="18">
        <f t="shared" si="71"/>
        <v>21.513671875</v>
      </c>
      <c r="O914" s="18">
        <f t="shared" si="72"/>
        <v>30.260989010989011</v>
      </c>
      <c r="P914" s="17">
        <f t="shared" si="73"/>
        <v>3.6950687688695067</v>
      </c>
      <c r="Q914" s="17">
        <f t="shared" si="74"/>
        <v>0.20326827054017249</v>
      </c>
      <c r="R914" s="10" t="s">
        <v>1860</v>
      </c>
      <c r="S914" s="14" t="s">
        <v>34</v>
      </c>
      <c r="T914" s="14" t="s">
        <v>27</v>
      </c>
      <c r="U914" s="13">
        <v>11015</v>
      </c>
      <c r="V914" s="15">
        <v>5</v>
      </c>
      <c r="W914" s="9" t="str">
        <f>IF(Table1[[#This Row],[Satisfaction Rating]]&lt;2, "Low", IF(Table1[[#This Row],[Satisfaction Rating]]&lt;4, "Medium", "High"))</f>
        <v>High</v>
      </c>
    </row>
    <row r="915" spans="1:23" ht="14" x14ac:dyDescent="0.2">
      <c r="A915" s="10" t="s">
        <v>1861</v>
      </c>
      <c r="B915" s="11">
        <v>45276.264398148145</v>
      </c>
      <c r="C915" s="11">
        <v>45276.264398148145</v>
      </c>
      <c r="D915" s="11" t="str">
        <f>IF(Table1[[#This Row],[Duration of Campaign]]=0, "Ongoing","Completed")</f>
        <v>Ongoing</v>
      </c>
      <c r="E915" s="12">
        <f>Table1[[#This Row],[End Date]]-Table1[[#This Row],[Start Date]]</f>
        <v>0</v>
      </c>
      <c r="F915" s="13">
        <v>5743</v>
      </c>
      <c r="G915" s="14" t="s">
        <v>47</v>
      </c>
      <c r="H915" s="15">
        <v>5924</v>
      </c>
      <c r="I915" s="15">
        <v>667</v>
      </c>
      <c r="J915" s="15">
        <v>289</v>
      </c>
      <c r="K915" s="16">
        <v>7993</v>
      </c>
      <c r="L915" s="17">
        <f t="shared" si="70"/>
        <v>0.112592842673869</v>
      </c>
      <c r="M915" s="17">
        <f t="shared" si="70"/>
        <v>0.43328335832083958</v>
      </c>
      <c r="N915" s="18">
        <f t="shared" si="71"/>
        <v>4.5982008995502248</v>
      </c>
      <c r="O915" s="18">
        <f t="shared" si="72"/>
        <v>10.612456747404844</v>
      </c>
      <c r="P915" s="17">
        <f t="shared" si="73"/>
        <v>0.5340414417551802</v>
      </c>
      <c r="Q915" s="17">
        <f t="shared" si="74"/>
        <v>2.6061297685034237</v>
      </c>
      <c r="R915" s="10" t="s">
        <v>1862</v>
      </c>
      <c r="S915" s="14" t="s">
        <v>45</v>
      </c>
      <c r="T915" s="14" t="s">
        <v>55</v>
      </c>
      <c r="U915" s="13">
        <v>3067</v>
      </c>
      <c r="V915" s="15">
        <v>2</v>
      </c>
      <c r="W915" s="9" t="str">
        <f>IF(Table1[[#This Row],[Satisfaction Rating]]&lt;2, "Low", IF(Table1[[#This Row],[Satisfaction Rating]]&lt;4, "Medium", "High"))</f>
        <v>Medium</v>
      </c>
    </row>
    <row r="916" spans="1:23" ht="14" x14ac:dyDescent="0.2">
      <c r="A916" s="10" t="s">
        <v>1863</v>
      </c>
      <c r="B916" s="11">
        <v>45137.239583333336</v>
      </c>
      <c r="C916" s="11">
        <v>45137.239583333336</v>
      </c>
      <c r="D916" s="11" t="str">
        <f>IF(Table1[[#This Row],[Duration of Campaign]]=0, "Ongoing","Completed")</f>
        <v>Ongoing</v>
      </c>
      <c r="E916" s="12">
        <f>Table1[[#This Row],[End Date]]-Table1[[#This Row],[Start Date]]</f>
        <v>0</v>
      </c>
      <c r="F916" s="13">
        <v>8172</v>
      </c>
      <c r="G916" s="14" t="s">
        <v>24</v>
      </c>
      <c r="H916" s="15">
        <v>18554</v>
      </c>
      <c r="I916" s="15">
        <v>134</v>
      </c>
      <c r="J916" s="15">
        <v>374</v>
      </c>
      <c r="K916" s="16">
        <v>11415</v>
      </c>
      <c r="L916" s="17">
        <f t="shared" si="70"/>
        <v>7.2221623369623797E-3</v>
      </c>
      <c r="M916" s="17">
        <f t="shared" si="70"/>
        <v>2.7910447761194028</v>
      </c>
      <c r="N916" s="18">
        <f t="shared" si="71"/>
        <v>27.738805970149254</v>
      </c>
      <c r="O916" s="18">
        <f t="shared" si="72"/>
        <v>9.9385026737967923</v>
      </c>
      <c r="P916" s="17">
        <f t="shared" si="73"/>
        <v>0.45484581497797355</v>
      </c>
      <c r="Q916" s="17">
        <f t="shared" si="74"/>
        <v>3.0710250201775624</v>
      </c>
      <c r="R916" s="10" t="s">
        <v>1864</v>
      </c>
      <c r="S916" s="14" t="s">
        <v>31</v>
      </c>
      <c r="T916" s="14" t="s">
        <v>37</v>
      </c>
      <c r="U916" s="13">
        <v>3717</v>
      </c>
      <c r="V916" s="15">
        <v>4</v>
      </c>
      <c r="W916" s="9" t="str">
        <f>IF(Table1[[#This Row],[Satisfaction Rating]]&lt;2, "Low", IF(Table1[[#This Row],[Satisfaction Rating]]&lt;4, "Medium", "High"))</f>
        <v>High</v>
      </c>
    </row>
    <row r="917" spans="1:23" ht="14" x14ac:dyDescent="0.2">
      <c r="A917" s="10" t="s">
        <v>1865</v>
      </c>
      <c r="B917" s="11">
        <v>45526.908900462964</v>
      </c>
      <c r="C917" s="11">
        <v>45619.5940162037</v>
      </c>
      <c r="D917" s="11" t="str">
        <f>IF(Table1[[#This Row],[Duration of Campaign]]=0, "Ongoing","Completed")</f>
        <v>Completed</v>
      </c>
      <c r="E917" s="12">
        <f>Table1[[#This Row],[End Date]]-Table1[[#This Row],[Start Date]]</f>
        <v>92.685115740736364</v>
      </c>
      <c r="F917" s="13">
        <v>4167</v>
      </c>
      <c r="G917" s="14" t="s">
        <v>63</v>
      </c>
      <c r="H917" s="15">
        <v>3398</v>
      </c>
      <c r="I917" s="15">
        <v>519</v>
      </c>
      <c r="J917" s="15">
        <v>337</v>
      </c>
      <c r="K917" s="16">
        <v>664</v>
      </c>
      <c r="L917" s="17">
        <f t="shared" si="70"/>
        <v>0.15273690406121249</v>
      </c>
      <c r="M917" s="17">
        <f t="shared" si="70"/>
        <v>0.64932562620423895</v>
      </c>
      <c r="N917" s="18">
        <f t="shared" si="71"/>
        <v>21.96339113680154</v>
      </c>
      <c r="O917" s="18">
        <f t="shared" si="72"/>
        <v>33.824925816023736</v>
      </c>
      <c r="P917" s="17">
        <f t="shared" si="73"/>
        <v>2.7355411567074635</v>
      </c>
      <c r="Q917" s="17">
        <f t="shared" si="74"/>
        <v>5.8250723747697165E-2</v>
      </c>
      <c r="R917" s="10" t="s">
        <v>1866</v>
      </c>
      <c r="S917" s="14" t="s">
        <v>45</v>
      </c>
      <c r="T917" s="14" t="s">
        <v>37</v>
      </c>
      <c r="U917" s="13">
        <v>11399</v>
      </c>
      <c r="V917" s="15">
        <v>5</v>
      </c>
      <c r="W917" s="9" t="str">
        <f>IF(Table1[[#This Row],[Satisfaction Rating]]&lt;2, "Low", IF(Table1[[#This Row],[Satisfaction Rating]]&lt;4, "Medium", "High"))</f>
        <v>High</v>
      </c>
    </row>
    <row r="918" spans="1:23" ht="14" x14ac:dyDescent="0.2">
      <c r="A918" s="10" t="s">
        <v>1867</v>
      </c>
      <c r="B918" s="11">
        <v>45131.202777777777</v>
      </c>
      <c r="C918" s="11">
        <v>45289.647939814815</v>
      </c>
      <c r="D918" s="11" t="str">
        <f>IF(Table1[[#This Row],[Duration of Campaign]]=0, "Ongoing","Completed")</f>
        <v>Completed</v>
      </c>
      <c r="E918" s="12">
        <f>Table1[[#This Row],[End Date]]-Table1[[#This Row],[Start Date]]</f>
        <v>158.44516203703824</v>
      </c>
      <c r="F918" s="13">
        <v>8567</v>
      </c>
      <c r="G918" s="14" t="s">
        <v>29</v>
      </c>
      <c r="H918" s="15">
        <v>6486</v>
      </c>
      <c r="I918" s="15">
        <v>1589</v>
      </c>
      <c r="J918" s="15">
        <v>468</v>
      </c>
      <c r="K918" s="16">
        <v>9620</v>
      </c>
      <c r="L918" s="17">
        <f t="shared" si="70"/>
        <v>0.24498920752389763</v>
      </c>
      <c r="M918" s="17">
        <f t="shared" si="70"/>
        <v>0.29452485840151038</v>
      </c>
      <c r="N918" s="18">
        <f t="shared" si="71"/>
        <v>5.7205789804908749</v>
      </c>
      <c r="O918" s="18">
        <f t="shared" si="72"/>
        <v>19.423076923076923</v>
      </c>
      <c r="P918" s="17">
        <f t="shared" si="73"/>
        <v>1.0610482082409245</v>
      </c>
      <c r="Q918" s="17">
        <f t="shared" si="74"/>
        <v>1.0583058305830584</v>
      </c>
      <c r="R918" s="10" t="s">
        <v>1868</v>
      </c>
      <c r="S918" s="14" t="s">
        <v>40</v>
      </c>
      <c r="T918" s="14" t="s">
        <v>27</v>
      </c>
      <c r="U918" s="13">
        <v>9090</v>
      </c>
      <c r="V918" s="15">
        <v>2</v>
      </c>
      <c r="W918" s="9" t="str">
        <f>IF(Table1[[#This Row],[Satisfaction Rating]]&lt;2, "Low", IF(Table1[[#This Row],[Satisfaction Rating]]&lt;4, "Medium", "High"))</f>
        <v>Medium</v>
      </c>
    </row>
    <row r="919" spans="1:23" ht="14" x14ac:dyDescent="0.2">
      <c r="A919" s="10" t="s">
        <v>1869</v>
      </c>
      <c r="B919" s="11">
        <v>45397.667847222219</v>
      </c>
      <c r="C919" s="11">
        <v>45397.667847222219</v>
      </c>
      <c r="D919" s="11" t="str">
        <f>IF(Table1[[#This Row],[Duration of Campaign]]=0, "Ongoing","Completed")</f>
        <v>Ongoing</v>
      </c>
      <c r="E919" s="12">
        <f>Table1[[#This Row],[End Date]]-Table1[[#This Row],[Start Date]]</f>
        <v>0</v>
      </c>
      <c r="F919" s="13">
        <v>2550</v>
      </c>
      <c r="G919" s="14" t="s">
        <v>63</v>
      </c>
      <c r="H919" s="15">
        <v>6571</v>
      </c>
      <c r="I919" s="15">
        <v>1647</v>
      </c>
      <c r="J919" s="15">
        <v>391</v>
      </c>
      <c r="K919" s="16">
        <v>8781</v>
      </c>
      <c r="L919" s="17">
        <f t="shared" si="70"/>
        <v>0.25064678131182466</v>
      </c>
      <c r="M919" s="17">
        <f t="shared" si="70"/>
        <v>0.23740133576199149</v>
      </c>
      <c r="N919" s="18">
        <f t="shared" si="71"/>
        <v>1.3879781420765027</v>
      </c>
      <c r="O919" s="18">
        <f t="shared" si="72"/>
        <v>5.8465473145780047</v>
      </c>
      <c r="P919" s="17">
        <f t="shared" si="73"/>
        <v>0.89647058823529413</v>
      </c>
      <c r="Q919" s="17">
        <f t="shared" si="74"/>
        <v>3.841207349081365</v>
      </c>
      <c r="R919" s="10" t="s">
        <v>1870</v>
      </c>
      <c r="S919" s="14" t="s">
        <v>31</v>
      </c>
      <c r="T919" s="14" t="s">
        <v>55</v>
      </c>
      <c r="U919" s="13">
        <v>2286</v>
      </c>
      <c r="V919" s="15">
        <v>5</v>
      </c>
      <c r="W919" s="9" t="str">
        <f>IF(Table1[[#This Row],[Satisfaction Rating]]&lt;2, "Low", IF(Table1[[#This Row],[Satisfaction Rating]]&lt;4, "Medium", "High"))</f>
        <v>High</v>
      </c>
    </row>
    <row r="920" spans="1:23" ht="14" x14ac:dyDescent="0.2">
      <c r="A920" s="10" t="s">
        <v>1871</v>
      </c>
      <c r="B920" s="11">
        <v>45115.534837962965</v>
      </c>
      <c r="C920" s="11">
        <v>45458.416516203702</v>
      </c>
      <c r="D920" s="11" t="str">
        <f>IF(Table1[[#This Row],[Duration of Campaign]]=0, "Ongoing","Completed")</f>
        <v>Completed</v>
      </c>
      <c r="E920" s="12">
        <f>Table1[[#This Row],[End Date]]-Table1[[#This Row],[Start Date]]</f>
        <v>342.88167824073753</v>
      </c>
      <c r="F920" s="13">
        <v>7230</v>
      </c>
      <c r="G920" s="14" t="s">
        <v>47</v>
      </c>
      <c r="H920" s="15">
        <v>12930</v>
      </c>
      <c r="I920" s="15">
        <v>368</v>
      </c>
      <c r="J920" s="15">
        <v>448</v>
      </c>
      <c r="K920" s="16">
        <v>8987</v>
      </c>
      <c r="L920" s="17">
        <f t="shared" si="70"/>
        <v>2.8460943542150039E-2</v>
      </c>
      <c r="M920" s="17">
        <f t="shared" si="70"/>
        <v>1.2173913043478262</v>
      </c>
      <c r="N920" s="18">
        <f t="shared" si="71"/>
        <v>16.190217391304348</v>
      </c>
      <c r="O920" s="18">
        <f t="shared" si="72"/>
        <v>13.299107142857142</v>
      </c>
      <c r="P920" s="17">
        <f t="shared" si="73"/>
        <v>0.82406639004149373</v>
      </c>
      <c r="Q920" s="17">
        <f t="shared" si="74"/>
        <v>1.5083920778784827</v>
      </c>
      <c r="R920" s="10" t="s">
        <v>1872</v>
      </c>
      <c r="S920" s="14" t="s">
        <v>40</v>
      </c>
      <c r="T920" s="14" t="s">
        <v>27</v>
      </c>
      <c r="U920" s="13">
        <v>5958</v>
      </c>
      <c r="V920" s="15">
        <v>2</v>
      </c>
      <c r="W920" s="9" t="str">
        <f>IF(Table1[[#This Row],[Satisfaction Rating]]&lt;2, "Low", IF(Table1[[#This Row],[Satisfaction Rating]]&lt;4, "Medium", "High"))</f>
        <v>Medium</v>
      </c>
    </row>
    <row r="921" spans="1:23" ht="14" x14ac:dyDescent="0.2">
      <c r="A921" s="10" t="s">
        <v>1873</v>
      </c>
      <c r="B921" s="11">
        <v>45044.877453703702</v>
      </c>
      <c r="C921" s="11">
        <v>45044.877453703702</v>
      </c>
      <c r="D921" s="11" t="str">
        <f>IF(Table1[[#This Row],[Duration of Campaign]]=0, "Ongoing","Completed")</f>
        <v>Ongoing</v>
      </c>
      <c r="E921" s="12">
        <f>Table1[[#This Row],[End Date]]-Table1[[#This Row],[Start Date]]</f>
        <v>0</v>
      </c>
      <c r="F921" s="13">
        <v>9979</v>
      </c>
      <c r="G921" s="14" t="s">
        <v>63</v>
      </c>
      <c r="H921" s="15">
        <v>1708</v>
      </c>
      <c r="I921" s="15">
        <v>1609</v>
      </c>
      <c r="J921" s="15">
        <v>357</v>
      </c>
      <c r="K921" s="16">
        <v>1030</v>
      </c>
      <c r="L921" s="17">
        <f t="shared" si="70"/>
        <v>0.94203747072599531</v>
      </c>
      <c r="M921" s="17">
        <f t="shared" si="70"/>
        <v>0.2218769422001243</v>
      </c>
      <c r="N921" s="18">
        <f t="shared" si="71"/>
        <v>9.4686140459912984</v>
      </c>
      <c r="O921" s="18">
        <f t="shared" si="72"/>
        <v>42.675070028011206</v>
      </c>
      <c r="P921" s="17">
        <f t="shared" si="73"/>
        <v>1.526706082773825</v>
      </c>
      <c r="Q921" s="17">
        <f t="shared" si="74"/>
        <v>6.7607482769937638E-2</v>
      </c>
      <c r="R921" s="10" t="s">
        <v>1874</v>
      </c>
      <c r="S921" s="14" t="s">
        <v>45</v>
      </c>
      <c r="T921" s="14" t="s">
        <v>55</v>
      </c>
      <c r="U921" s="13">
        <v>15235</v>
      </c>
      <c r="V921" s="15">
        <v>5</v>
      </c>
      <c r="W921" s="9" t="str">
        <f>IF(Table1[[#This Row],[Satisfaction Rating]]&lt;2, "Low", IF(Table1[[#This Row],[Satisfaction Rating]]&lt;4, "Medium", "High"))</f>
        <v>High</v>
      </c>
    </row>
    <row r="922" spans="1:23" ht="14" x14ac:dyDescent="0.2">
      <c r="A922" s="10" t="s">
        <v>1875</v>
      </c>
      <c r="B922" s="11">
        <v>45558.974108796298</v>
      </c>
      <c r="C922" s="11">
        <v>45558.974108796298</v>
      </c>
      <c r="D922" s="11" t="str">
        <f>IF(Table1[[#This Row],[Duration of Campaign]]=0, "Ongoing","Completed")</f>
        <v>Ongoing</v>
      </c>
      <c r="E922" s="12">
        <f>Table1[[#This Row],[End Date]]-Table1[[#This Row],[Start Date]]</f>
        <v>0</v>
      </c>
      <c r="F922" s="13">
        <v>6938</v>
      </c>
      <c r="G922" s="14" t="s">
        <v>47</v>
      </c>
      <c r="H922" s="15">
        <v>10856</v>
      </c>
      <c r="I922" s="15">
        <v>142</v>
      </c>
      <c r="J922" s="15">
        <v>262</v>
      </c>
      <c r="K922" s="16">
        <v>8920</v>
      </c>
      <c r="L922" s="17">
        <f t="shared" si="70"/>
        <v>1.3080324244657332E-2</v>
      </c>
      <c r="M922" s="17">
        <f t="shared" si="70"/>
        <v>1.8450704225352113</v>
      </c>
      <c r="N922" s="18">
        <f t="shared" si="71"/>
        <v>34.08450704225352</v>
      </c>
      <c r="O922" s="18">
        <f t="shared" si="72"/>
        <v>18.47328244274809</v>
      </c>
      <c r="P922" s="17">
        <f t="shared" si="73"/>
        <v>0.69760737964831365</v>
      </c>
      <c r="Q922" s="17">
        <f t="shared" si="74"/>
        <v>1.8429752066115703</v>
      </c>
      <c r="R922" s="10" t="s">
        <v>1876</v>
      </c>
      <c r="S922" s="14" t="s">
        <v>34</v>
      </c>
      <c r="T922" s="14" t="s">
        <v>37</v>
      </c>
      <c r="U922" s="13">
        <v>4840</v>
      </c>
      <c r="V922" s="15">
        <v>1</v>
      </c>
      <c r="W922" s="9" t="str">
        <f>IF(Table1[[#This Row],[Satisfaction Rating]]&lt;2, "Low", IF(Table1[[#This Row],[Satisfaction Rating]]&lt;4, "Medium", "High"))</f>
        <v>Low</v>
      </c>
    </row>
    <row r="923" spans="1:23" ht="14" x14ac:dyDescent="0.2">
      <c r="A923" s="10" t="s">
        <v>1877</v>
      </c>
      <c r="B923" s="11">
        <v>45298.009398148148</v>
      </c>
      <c r="C923" s="11">
        <v>45335.871539351851</v>
      </c>
      <c r="D923" s="11" t="str">
        <f>IF(Table1[[#This Row],[Duration of Campaign]]=0, "Ongoing","Completed")</f>
        <v>Completed</v>
      </c>
      <c r="E923" s="12">
        <f>Table1[[#This Row],[End Date]]-Table1[[#This Row],[Start Date]]</f>
        <v>37.862141203702777</v>
      </c>
      <c r="F923" s="13">
        <v>2716</v>
      </c>
      <c r="G923" s="14" t="s">
        <v>29</v>
      </c>
      <c r="H923" s="15">
        <v>16152</v>
      </c>
      <c r="I923" s="15">
        <v>1050</v>
      </c>
      <c r="J923" s="15">
        <v>424</v>
      </c>
      <c r="K923" s="16">
        <v>13655</v>
      </c>
      <c r="L923" s="17">
        <f t="shared" si="70"/>
        <v>6.5007429420505206E-2</v>
      </c>
      <c r="M923" s="17">
        <f t="shared" si="70"/>
        <v>0.40380952380952378</v>
      </c>
      <c r="N923" s="18">
        <f t="shared" si="71"/>
        <v>2.9895238095238095</v>
      </c>
      <c r="O923" s="18">
        <f t="shared" si="72"/>
        <v>7.4033018867924527</v>
      </c>
      <c r="P923" s="17">
        <f t="shared" si="73"/>
        <v>1.1557437407952871</v>
      </c>
      <c r="Q923" s="17">
        <f t="shared" si="74"/>
        <v>4.3501115004778592</v>
      </c>
      <c r="R923" s="10" t="s">
        <v>1878</v>
      </c>
      <c r="S923" s="14" t="s">
        <v>31</v>
      </c>
      <c r="T923" s="14" t="s">
        <v>37</v>
      </c>
      <c r="U923" s="13">
        <v>3139</v>
      </c>
      <c r="V923" s="15">
        <v>2</v>
      </c>
      <c r="W923" s="9" t="str">
        <f>IF(Table1[[#This Row],[Satisfaction Rating]]&lt;2, "Low", IF(Table1[[#This Row],[Satisfaction Rating]]&lt;4, "Medium", "High"))</f>
        <v>Medium</v>
      </c>
    </row>
    <row r="924" spans="1:23" ht="14" x14ac:dyDescent="0.2">
      <c r="A924" s="10" t="s">
        <v>1879</v>
      </c>
      <c r="B924" s="11">
        <v>45102.82371527778</v>
      </c>
      <c r="C924" s="11">
        <v>45341.187048611115</v>
      </c>
      <c r="D924" s="11" t="str">
        <f>IF(Table1[[#This Row],[Duration of Campaign]]=0, "Ongoing","Completed")</f>
        <v>Completed</v>
      </c>
      <c r="E924" s="12">
        <f>Table1[[#This Row],[End Date]]-Table1[[#This Row],[Start Date]]</f>
        <v>238.36333333333459</v>
      </c>
      <c r="F924" s="13">
        <v>7702</v>
      </c>
      <c r="G924" s="14" t="s">
        <v>29</v>
      </c>
      <c r="H924" s="15">
        <v>19929</v>
      </c>
      <c r="I924" s="15">
        <v>136</v>
      </c>
      <c r="J924" s="15">
        <v>379</v>
      </c>
      <c r="K924" s="16">
        <v>4913</v>
      </c>
      <c r="L924" s="17">
        <f t="shared" si="70"/>
        <v>6.8242260023081945E-3</v>
      </c>
      <c r="M924" s="17">
        <f t="shared" si="70"/>
        <v>2.7867647058823528</v>
      </c>
      <c r="N924" s="18">
        <f t="shared" si="71"/>
        <v>40.948529411764703</v>
      </c>
      <c r="O924" s="18">
        <f t="shared" si="72"/>
        <v>14.693931398416886</v>
      </c>
      <c r="P924" s="17">
        <f t="shared" si="73"/>
        <v>0.72305894572838225</v>
      </c>
      <c r="Q924" s="17">
        <f t="shared" si="74"/>
        <v>0.88220506374573537</v>
      </c>
      <c r="R924" s="10" t="s">
        <v>1880</v>
      </c>
      <c r="S924" s="14" t="s">
        <v>45</v>
      </c>
      <c r="T924" s="14" t="s">
        <v>55</v>
      </c>
      <c r="U924" s="13">
        <v>5569</v>
      </c>
      <c r="V924" s="15">
        <v>5</v>
      </c>
      <c r="W924" s="9" t="str">
        <f>IF(Table1[[#This Row],[Satisfaction Rating]]&lt;2, "Low", IF(Table1[[#This Row],[Satisfaction Rating]]&lt;4, "Medium", "High"))</f>
        <v>High</v>
      </c>
    </row>
    <row r="925" spans="1:23" ht="14" x14ac:dyDescent="0.2">
      <c r="A925" s="10" t="s">
        <v>1881</v>
      </c>
      <c r="B925" s="11">
        <v>45618.045983796299</v>
      </c>
      <c r="C925" s="11">
        <v>45618.045983796299</v>
      </c>
      <c r="D925" s="11" t="str">
        <f>IF(Table1[[#This Row],[Duration of Campaign]]=0, "Ongoing","Completed")</f>
        <v>Ongoing</v>
      </c>
      <c r="E925" s="12">
        <f>Table1[[#This Row],[End Date]]-Table1[[#This Row],[Start Date]]</f>
        <v>0</v>
      </c>
      <c r="F925" s="13">
        <v>9059</v>
      </c>
      <c r="G925" s="14" t="s">
        <v>29</v>
      </c>
      <c r="H925" s="15">
        <v>14400</v>
      </c>
      <c r="I925" s="15">
        <v>1388</v>
      </c>
      <c r="J925" s="15">
        <v>79</v>
      </c>
      <c r="K925" s="16">
        <v>14408</v>
      </c>
      <c r="L925" s="17">
        <f t="shared" si="70"/>
        <v>9.6388888888888885E-2</v>
      </c>
      <c r="M925" s="17">
        <f t="shared" si="70"/>
        <v>5.6916426512968299E-2</v>
      </c>
      <c r="N925" s="18">
        <f t="shared" si="71"/>
        <v>12.036023054755043</v>
      </c>
      <c r="O925" s="18">
        <f t="shared" si="72"/>
        <v>211.46835443037975</v>
      </c>
      <c r="P925" s="17">
        <f t="shared" si="73"/>
        <v>1.8441329065018215</v>
      </c>
      <c r="Q925" s="17">
        <f t="shared" si="74"/>
        <v>0.86244463067161503</v>
      </c>
      <c r="R925" s="10" t="s">
        <v>1882</v>
      </c>
      <c r="S925" s="14" t="s">
        <v>40</v>
      </c>
      <c r="T925" s="14" t="s">
        <v>55</v>
      </c>
      <c r="U925" s="13">
        <v>16706</v>
      </c>
      <c r="V925" s="15">
        <v>2</v>
      </c>
      <c r="W925" s="9" t="str">
        <f>IF(Table1[[#This Row],[Satisfaction Rating]]&lt;2, "Low", IF(Table1[[#This Row],[Satisfaction Rating]]&lt;4, "Medium", "High"))</f>
        <v>Medium</v>
      </c>
    </row>
    <row r="926" spans="1:23" ht="14" x14ac:dyDescent="0.2">
      <c r="A926" s="10" t="s">
        <v>1883</v>
      </c>
      <c r="B926" s="11">
        <v>45209.348252314812</v>
      </c>
      <c r="C926" s="11">
        <v>45209.348252314812</v>
      </c>
      <c r="D926" s="11" t="str">
        <f>IF(Table1[[#This Row],[Duration of Campaign]]=0, "Ongoing","Completed")</f>
        <v>Ongoing</v>
      </c>
      <c r="E926" s="12">
        <f>Table1[[#This Row],[End Date]]-Table1[[#This Row],[Start Date]]</f>
        <v>0</v>
      </c>
      <c r="F926" s="13">
        <v>4638</v>
      </c>
      <c r="G926" s="14" t="s">
        <v>47</v>
      </c>
      <c r="H926" s="15">
        <v>19024</v>
      </c>
      <c r="I926" s="15">
        <v>638</v>
      </c>
      <c r="J926" s="15">
        <v>84</v>
      </c>
      <c r="K926" s="16">
        <v>3074</v>
      </c>
      <c r="L926" s="17">
        <f t="shared" si="70"/>
        <v>3.3536585365853661E-2</v>
      </c>
      <c r="M926" s="17">
        <f t="shared" si="70"/>
        <v>0.13166144200626959</v>
      </c>
      <c r="N926" s="18">
        <f t="shared" si="71"/>
        <v>2.330721003134796</v>
      </c>
      <c r="O926" s="18">
        <f t="shared" si="72"/>
        <v>17.702380952380953</v>
      </c>
      <c r="P926" s="17">
        <f t="shared" si="73"/>
        <v>0.320612332902113</v>
      </c>
      <c r="Q926" s="17">
        <f t="shared" si="74"/>
        <v>2.0672494956287828</v>
      </c>
      <c r="R926" s="10" t="s">
        <v>1884</v>
      </c>
      <c r="S926" s="14" t="s">
        <v>45</v>
      </c>
      <c r="T926" s="14" t="s">
        <v>55</v>
      </c>
      <c r="U926" s="13">
        <v>1487</v>
      </c>
      <c r="V926" s="15">
        <v>1</v>
      </c>
      <c r="W926" s="9" t="str">
        <f>IF(Table1[[#This Row],[Satisfaction Rating]]&lt;2, "Low", IF(Table1[[#This Row],[Satisfaction Rating]]&lt;4, "Medium", "High"))</f>
        <v>Low</v>
      </c>
    </row>
    <row r="927" spans="1:23" ht="14" x14ac:dyDescent="0.2">
      <c r="A927" s="10" t="s">
        <v>1885</v>
      </c>
      <c r="B927" s="11">
        <v>45644.384305555555</v>
      </c>
      <c r="C927" s="11">
        <v>45644.384305555555</v>
      </c>
      <c r="D927" s="11" t="str">
        <f>IF(Table1[[#This Row],[Duration of Campaign]]=0, "Ongoing","Completed")</f>
        <v>Ongoing</v>
      </c>
      <c r="E927" s="12">
        <f>Table1[[#This Row],[End Date]]-Table1[[#This Row],[Start Date]]</f>
        <v>0</v>
      </c>
      <c r="F927" s="13">
        <v>7483</v>
      </c>
      <c r="G927" s="14" t="s">
        <v>29</v>
      </c>
      <c r="H927" s="15">
        <v>5567</v>
      </c>
      <c r="I927" s="15">
        <v>808</v>
      </c>
      <c r="J927" s="15">
        <v>146</v>
      </c>
      <c r="K927" s="16">
        <v>11557</v>
      </c>
      <c r="L927" s="17">
        <f t="shared" si="70"/>
        <v>0.145141009520388</v>
      </c>
      <c r="M927" s="17">
        <f t="shared" si="70"/>
        <v>0.18069306930693069</v>
      </c>
      <c r="N927" s="18">
        <f t="shared" si="71"/>
        <v>7.8539603960396036</v>
      </c>
      <c r="O927" s="18">
        <f t="shared" si="72"/>
        <v>43.465753424657535</v>
      </c>
      <c r="P927" s="17">
        <f t="shared" si="73"/>
        <v>0.84805559267673392</v>
      </c>
      <c r="Q927" s="17">
        <f t="shared" si="74"/>
        <v>1.8211471793255594</v>
      </c>
      <c r="R927" s="10" t="s">
        <v>1886</v>
      </c>
      <c r="S927" s="14" t="s">
        <v>40</v>
      </c>
      <c r="T927" s="14" t="s">
        <v>27</v>
      </c>
      <c r="U927" s="13">
        <v>6346</v>
      </c>
      <c r="V927" s="15">
        <v>5</v>
      </c>
      <c r="W927" s="9" t="str">
        <f>IF(Table1[[#This Row],[Satisfaction Rating]]&lt;2, "Low", IF(Table1[[#This Row],[Satisfaction Rating]]&lt;4, "Medium", "High"))</f>
        <v>High</v>
      </c>
    </row>
    <row r="928" spans="1:23" ht="14" x14ac:dyDescent="0.2">
      <c r="A928" s="10" t="s">
        <v>1887</v>
      </c>
      <c r="B928" s="11">
        <v>45487.602627314816</v>
      </c>
      <c r="C928" s="11">
        <v>45487.602627314816</v>
      </c>
      <c r="D928" s="11" t="str">
        <f>IF(Table1[[#This Row],[Duration of Campaign]]=0, "Ongoing","Completed")</f>
        <v>Ongoing</v>
      </c>
      <c r="E928" s="12">
        <f>Table1[[#This Row],[End Date]]-Table1[[#This Row],[Start Date]]</f>
        <v>0</v>
      </c>
      <c r="F928" s="13">
        <v>7316</v>
      </c>
      <c r="G928" s="14" t="s">
        <v>29</v>
      </c>
      <c r="H928" s="15">
        <v>1157</v>
      </c>
      <c r="I928" s="15">
        <v>125</v>
      </c>
      <c r="J928" s="15">
        <v>312</v>
      </c>
      <c r="K928" s="16">
        <v>5278</v>
      </c>
      <c r="L928" s="17">
        <f t="shared" si="70"/>
        <v>0.10803802938634399</v>
      </c>
      <c r="M928" s="17">
        <f t="shared" si="70"/>
        <v>2.496</v>
      </c>
      <c r="N928" s="18">
        <f t="shared" si="71"/>
        <v>19.071999999999999</v>
      </c>
      <c r="O928" s="18">
        <f t="shared" si="72"/>
        <v>7.6410256410256414</v>
      </c>
      <c r="P928" s="17">
        <f t="shared" si="73"/>
        <v>0.32586112629852376</v>
      </c>
      <c r="Q928" s="17">
        <f t="shared" si="74"/>
        <v>2.2139261744966441</v>
      </c>
      <c r="R928" s="10" t="s">
        <v>1888</v>
      </c>
      <c r="S928" s="14" t="s">
        <v>26</v>
      </c>
      <c r="T928" s="14" t="s">
        <v>27</v>
      </c>
      <c r="U928" s="13">
        <v>2384</v>
      </c>
      <c r="V928" s="15">
        <v>4</v>
      </c>
      <c r="W928" s="9" t="str">
        <f>IF(Table1[[#This Row],[Satisfaction Rating]]&lt;2, "Low", IF(Table1[[#This Row],[Satisfaction Rating]]&lt;4, "Medium", "High"))</f>
        <v>High</v>
      </c>
    </row>
    <row r="929" spans="1:23" ht="14" x14ac:dyDescent="0.2">
      <c r="A929" s="10" t="s">
        <v>1889</v>
      </c>
      <c r="B929" s="11">
        <v>45592.62767361111</v>
      </c>
      <c r="C929" s="11">
        <v>45592.62767361111</v>
      </c>
      <c r="D929" s="11" t="str">
        <f>IF(Table1[[#This Row],[Duration of Campaign]]=0, "Ongoing","Completed")</f>
        <v>Ongoing</v>
      </c>
      <c r="E929" s="12">
        <f>Table1[[#This Row],[End Date]]-Table1[[#This Row],[Start Date]]</f>
        <v>0</v>
      </c>
      <c r="F929" s="13">
        <v>2544</v>
      </c>
      <c r="G929" s="14" t="s">
        <v>47</v>
      </c>
      <c r="H929" s="15">
        <v>14037</v>
      </c>
      <c r="I929" s="15">
        <v>159</v>
      </c>
      <c r="J929" s="15">
        <v>158</v>
      </c>
      <c r="K929" s="16">
        <v>6651</v>
      </c>
      <c r="L929" s="17">
        <f t="shared" si="70"/>
        <v>1.1327206668091472E-2</v>
      </c>
      <c r="M929" s="17">
        <f t="shared" si="70"/>
        <v>0.99371069182389937</v>
      </c>
      <c r="N929" s="18">
        <f t="shared" si="71"/>
        <v>50.119496855345915</v>
      </c>
      <c r="O929" s="18">
        <f t="shared" si="72"/>
        <v>50.436708860759495</v>
      </c>
      <c r="P929" s="17">
        <f t="shared" si="73"/>
        <v>3.1324685534591197</v>
      </c>
      <c r="Q929" s="17">
        <f t="shared" si="74"/>
        <v>0.83460911030242191</v>
      </c>
      <c r="R929" s="10" t="s">
        <v>1890</v>
      </c>
      <c r="S929" s="14" t="s">
        <v>26</v>
      </c>
      <c r="T929" s="14" t="s">
        <v>37</v>
      </c>
      <c r="U929" s="13">
        <v>7969</v>
      </c>
      <c r="V929" s="15">
        <v>5</v>
      </c>
      <c r="W929" s="9" t="str">
        <f>IF(Table1[[#This Row],[Satisfaction Rating]]&lt;2, "Low", IF(Table1[[#This Row],[Satisfaction Rating]]&lt;4, "Medium", "High"))</f>
        <v>High</v>
      </c>
    </row>
    <row r="930" spans="1:23" ht="14" x14ac:dyDescent="0.2">
      <c r="A930" s="10" t="s">
        <v>1891</v>
      </c>
      <c r="B930" s="11">
        <v>45545.89335648148</v>
      </c>
      <c r="C930" s="11">
        <v>45581.928090277775</v>
      </c>
      <c r="D930" s="11" t="str">
        <f>IF(Table1[[#This Row],[Duration of Campaign]]=0, "Ongoing","Completed")</f>
        <v>Completed</v>
      </c>
      <c r="E930" s="12">
        <f>Table1[[#This Row],[End Date]]-Table1[[#This Row],[Start Date]]</f>
        <v>36.034733796295768</v>
      </c>
      <c r="F930" s="13">
        <v>7835</v>
      </c>
      <c r="G930" s="14" t="s">
        <v>63</v>
      </c>
      <c r="H930" s="15">
        <v>11716</v>
      </c>
      <c r="I930" s="15">
        <v>1754</v>
      </c>
      <c r="J930" s="15">
        <v>48</v>
      </c>
      <c r="K930" s="16">
        <v>6948</v>
      </c>
      <c r="L930" s="17">
        <f t="shared" si="70"/>
        <v>0.14970979856606351</v>
      </c>
      <c r="M930" s="17">
        <f t="shared" si="70"/>
        <v>2.7366020524515394E-2</v>
      </c>
      <c r="N930" s="18">
        <f t="shared" si="71"/>
        <v>8.8072976054732042</v>
      </c>
      <c r="O930" s="18">
        <f t="shared" si="72"/>
        <v>321.83333333333331</v>
      </c>
      <c r="P930" s="17">
        <f t="shared" si="73"/>
        <v>1.9716656030631781</v>
      </c>
      <c r="Q930" s="17">
        <f t="shared" si="74"/>
        <v>0.44976696012428791</v>
      </c>
      <c r="R930" s="10" t="s">
        <v>1892</v>
      </c>
      <c r="S930" s="14" t="s">
        <v>45</v>
      </c>
      <c r="T930" s="14" t="s">
        <v>37</v>
      </c>
      <c r="U930" s="13">
        <v>15448</v>
      </c>
      <c r="V930" s="15">
        <v>5</v>
      </c>
      <c r="W930" s="9" t="str">
        <f>IF(Table1[[#This Row],[Satisfaction Rating]]&lt;2, "Low", IF(Table1[[#This Row],[Satisfaction Rating]]&lt;4, "Medium", "High"))</f>
        <v>High</v>
      </c>
    </row>
    <row r="931" spans="1:23" ht="14" x14ac:dyDescent="0.2">
      <c r="A931" s="10" t="s">
        <v>1893</v>
      </c>
      <c r="B931" s="11">
        <v>44976.544560185182</v>
      </c>
      <c r="C931" s="11">
        <v>45023.443449074075</v>
      </c>
      <c r="D931" s="11" t="str">
        <f>IF(Table1[[#This Row],[Duration of Campaign]]=0, "Ongoing","Completed")</f>
        <v>Completed</v>
      </c>
      <c r="E931" s="12">
        <f>Table1[[#This Row],[End Date]]-Table1[[#This Row],[Start Date]]</f>
        <v>46.898888888892543</v>
      </c>
      <c r="F931" s="13">
        <v>9576</v>
      </c>
      <c r="G931" s="14" t="s">
        <v>29</v>
      </c>
      <c r="H931" s="15">
        <v>14489</v>
      </c>
      <c r="I931" s="15">
        <v>644</v>
      </c>
      <c r="J931" s="15">
        <v>81</v>
      </c>
      <c r="K931" s="16">
        <v>8556</v>
      </c>
      <c r="L931" s="17">
        <f t="shared" si="70"/>
        <v>4.4447511905583548E-2</v>
      </c>
      <c r="M931" s="17">
        <f t="shared" si="70"/>
        <v>0.12577639751552794</v>
      </c>
      <c r="N931" s="18">
        <f t="shared" si="71"/>
        <v>22.153726708074533</v>
      </c>
      <c r="O931" s="18">
        <f t="shared" si="72"/>
        <v>176.1358024691358</v>
      </c>
      <c r="P931" s="17">
        <f t="shared" si="73"/>
        <v>1.4898705096073517</v>
      </c>
      <c r="Q931" s="17">
        <f t="shared" si="74"/>
        <v>0.59970561435480474</v>
      </c>
      <c r="R931" s="10" t="s">
        <v>1894</v>
      </c>
      <c r="S931" s="14" t="s">
        <v>31</v>
      </c>
      <c r="T931" s="14" t="s">
        <v>55</v>
      </c>
      <c r="U931" s="13">
        <v>14267</v>
      </c>
      <c r="V931" s="15">
        <v>3</v>
      </c>
      <c r="W931" s="9" t="str">
        <f>IF(Table1[[#This Row],[Satisfaction Rating]]&lt;2, "Low", IF(Table1[[#This Row],[Satisfaction Rating]]&lt;4, "Medium", "High"))</f>
        <v>Medium</v>
      </c>
    </row>
    <row r="932" spans="1:23" ht="14" x14ac:dyDescent="0.2">
      <c r="A932" s="10" t="s">
        <v>1895</v>
      </c>
      <c r="B932" s="11">
        <v>45214.285613425927</v>
      </c>
      <c r="C932" s="11">
        <v>45214.285613425927</v>
      </c>
      <c r="D932" s="11" t="str">
        <f>IF(Table1[[#This Row],[Duration of Campaign]]=0, "Ongoing","Completed")</f>
        <v>Ongoing</v>
      </c>
      <c r="E932" s="12">
        <f>Table1[[#This Row],[End Date]]-Table1[[#This Row],[Start Date]]</f>
        <v>0</v>
      </c>
      <c r="F932" s="13">
        <v>5777</v>
      </c>
      <c r="G932" s="14" t="s">
        <v>47</v>
      </c>
      <c r="H932" s="15">
        <v>17568</v>
      </c>
      <c r="I932" s="15">
        <v>359</v>
      </c>
      <c r="J932" s="15">
        <v>337</v>
      </c>
      <c r="K932" s="16">
        <v>1015</v>
      </c>
      <c r="L932" s="17">
        <f t="shared" si="70"/>
        <v>2.0434881602914391E-2</v>
      </c>
      <c r="M932" s="17">
        <f t="shared" si="70"/>
        <v>0.93871866295264628</v>
      </c>
      <c r="N932" s="18">
        <f t="shared" si="71"/>
        <v>26.022284122562674</v>
      </c>
      <c r="O932" s="18">
        <f t="shared" si="72"/>
        <v>27.72106824925816</v>
      </c>
      <c r="P932" s="17">
        <f t="shared" si="73"/>
        <v>1.6171023022329929</v>
      </c>
      <c r="Q932" s="17">
        <f t="shared" si="74"/>
        <v>0.10864911153928496</v>
      </c>
      <c r="R932" s="10" t="s">
        <v>1896</v>
      </c>
      <c r="S932" s="14" t="s">
        <v>40</v>
      </c>
      <c r="T932" s="14" t="s">
        <v>55</v>
      </c>
      <c r="U932" s="13">
        <v>9342</v>
      </c>
      <c r="V932" s="15">
        <v>5</v>
      </c>
      <c r="W932" s="9" t="str">
        <f>IF(Table1[[#This Row],[Satisfaction Rating]]&lt;2, "Low", IF(Table1[[#This Row],[Satisfaction Rating]]&lt;4, "Medium", "High"))</f>
        <v>High</v>
      </c>
    </row>
    <row r="933" spans="1:23" ht="14" x14ac:dyDescent="0.2">
      <c r="A933" s="10" t="s">
        <v>1897</v>
      </c>
      <c r="B933" s="11">
        <v>45346.342430555553</v>
      </c>
      <c r="C933" s="11">
        <v>45346.342430555553</v>
      </c>
      <c r="D933" s="11" t="str">
        <f>IF(Table1[[#This Row],[Duration of Campaign]]=0, "Ongoing","Completed")</f>
        <v>Ongoing</v>
      </c>
      <c r="E933" s="12">
        <f>Table1[[#This Row],[End Date]]-Table1[[#This Row],[Start Date]]</f>
        <v>0</v>
      </c>
      <c r="F933" s="13">
        <v>3008</v>
      </c>
      <c r="G933" s="14" t="s">
        <v>63</v>
      </c>
      <c r="H933" s="15">
        <v>5572</v>
      </c>
      <c r="I933" s="15">
        <v>891</v>
      </c>
      <c r="J933" s="15">
        <v>218</v>
      </c>
      <c r="K933" s="16">
        <v>6476</v>
      </c>
      <c r="L933" s="17">
        <f t="shared" si="70"/>
        <v>0.15990667623833452</v>
      </c>
      <c r="M933" s="17">
        <f t="shared" si="70"/>
        <v>0.244668911335578</v>
      </c>
      <c r="N933" s="18">
        <f t="shared" si="71"/>
        <v>4.3378226711560046</v>
      </c>
      <c r="O933" s="18">
        <f t="shared" si="72"/>
        <v>17.729357798165136</v>
      </c>
      <c r="P933" s="17">
        <f t="shared" si="73"/>
        <v>1.284906914893617</v>
      </c>
      <c r="Q933" s="17">
        <f t="shared" si="74"/>
        <v>1.6755498059508409</v>
      </c>
      <c r="R933" s="10" t="s">
        <v>1898</v>
      </c>
      <c r="S933" s="14" t="s">
        <v>45</v>
      </c>
      <c r="T933" s="14" t="s">
        <v>37</v>
      </c>
      <c r="U933" s="13">
        <v>3865</v>
      </c>
      <c r="V933" s="15">
        <v>1</v>
      </c>
      <c r="W933" s="9" t="str">
        <f>IF(Table1[[#This Row],[Satisfaction Rating]]&lt;2, "Low", IF(Table1[[#This Row],[Satisfaction Rating]]&lt;4, "Medium", "High"))</f>
        <v>Low</v>
      </c>
    </row>
    <row r="934" spans="1:23" ht="14" x14ac:dyDescent="0.2">
      <c r="A934" s="10" t="s">
        <v>1899</v>
      </c>
      <c r="B934" s="11">
        <v>45228.44935185185</v>
      </c>
      <c r="C934" s="11">
        <v>45228.44935185185</v>
      </c>
      <c r="D934" s="11" t="str">
        <f>IF(Table1[[#This Row],[Duration of Campaign]]=0, "Ongoing","Completed")</f>
        <v>Ongoing</v>
      </c>
      <c r="E934" s="12">
        <f>Table1[[#This Row],[End Date]]-Table1[[#This Row],[Start Date]]</f>
        <v>0</v>
      </c>
      <c r="F934" s="13">
        <v>9136</v>
      </c>
      <c r="G934" s="14" t="s">
        <v>47</v>
      </c>
      <c r="H934" s="15">
        <v>5361</v>
      </c>
      <c r="I934" s="15">
        <v>935</v>
      </c>
      <c r="J934" s="15">
        <v>197</v>
      </c>
      <c r="K934" s="16">
        <v>14569</v>
      </c>
      <c r="L934" s="17">
        <f t="shared" si="70"/>
        <v>0.17440775974631598</v>
      </c>
      <c r="M934" s="17">
        <f t="shared" si="70"/>
        <v>0.2106951871657754</v>
      </c>
      <c r="N934" s="18">
        <f t="shared" si="71"/>
        <v>8.4406417112299472</v>
      </c>
      <c r="O934" s="18">
        <f t="shared" si="72"/>
        <v>40.060913705583758</v>
      </c>
      <c r="P934" s="17">
        <f t="shared" si="73"/>
        <v>0.86383537653239928</v>
      </c>
      <c r="Q934" s="17">
        <f t="shared" si="74"/>
        <v>1.8460466294982261</v>
      </c>
      <c r="R934" s="10" t="s">
        <v>1900</v>
      </c>
      <c r="S934" s="14" t="s">
        <v>45</v>
      </c>
      <c r="T934" s="14" t="s">
        <v>55</v>
      </c>
      <c r="U934" s="13">
        <v>7892</v>
      </c>
      <c r="V934" s="15">
        <v>5</v>
      </c>
      <c r="W934" s="9" t="str">
        <f>IF(Table1[[#This Row],[Satisfaction Rating]]&lt;2, "Low", IF(Table1[[#This Row],[Satisfaction Rating]]&lt;4, "Medium", "High"))</f>
        <v>High</v>
      </c>
    </row>
    <row r="935" spans="1:23" ht="14" x14ac:dyDescent="0.2">
      <c r="A935" s="10" t="s">
        <v>1901</v>
      </c>
      <c r="B935" s="11">
        <v>45624.841365740744</v>
      </c>
      <c r="C935" s="11">
        <v>45624.841365740744</v>
      </c>
      <c r="D935" s="11" t="str">
        <f>IF(Table1[[#This Row],[Duration of Campaign]]=0, "Ongoing","Completed")</f>
        <v>Ongoing</v>
      </c>
      <c r="E935" s="12">
        <f>Table1[[#This Row],[End Date]]-Table1[[#This Row],[Start Date]]</f>
        <v>0</v>
      </c>
      <c r="F935" s="13">
        <v>2880</v>
      </c>
      <c r="G935" s="14" t="s">
        <v>63</v>
      </c>
      <c r="H935" s="15">
        <v>11334</v>
      </c>
      <c r="I935" s="15">
        <v>404</v>
      </c>
      <c r="J935" s="15">
        <v>222</v>
      </c>
      <c r="K935" s="16">
        <v>6971</v>
      </c>
      <c r="L935" s="17">
        <f t="shared" si="70"/>
        <v>3.5644962061055233E-2</v>
      </c>
      <c r="M935" s="17">
        <f t="shared" si="70"/>
        <v>0.54950495049504955</v>
      </c>
      <c r="N935" s="18">
        <f t="shared" si="71"/>
        <v>33.611386138613859</v>
      </c>
      <c r="O935" s="18">
        <f t="shared" si="72"/>
        <v>61.166666666666664</v>
      </c>
      <c r="P935" s="17">
        <f t="shared" si="73"/>
        <v>4.7149305555555552</v>
      </c>
      <c r="Q935" s="17">
        <f t="shared" si="74"/>
        <v>0.51336622726268499</v>
      </c>
      <c r="R935" s="10" t="s">
        <v>1902</v>
      </c>
      <c r="S935" s="14" t="s">
        <v>26</v>
      </c>
      <c r="T935" s="14" t="s">
        <v>37</v>
      </c>
      <c r="U935" s="13">
        <v>13579</v>
      </c>
      <c r="V935" s="15">
        <v>1</v>
      </c>
      <c r="W935" s="9" t="str">
        <f>IF(Table1[[#This Row],[Satisfaction Rating]]&lt;2, "Low", IF(Table1[[#This Row],[Satisfaction Rating]]&lt;4, "Medium", "High"))</f>
        <v>Low</v>
      </c>
    </row>
    <row r="936" spans="1:23" ht="14" x14ac:dyDescent="0.2">
      <c r="A936" s="10" t="s">
        <v>1903</v>
      </c>
      <c r="B936" s="11">
        <v>45263.802835648145</v>
      </c>
      <c r="C936" s="11">
        <v>45564.534456018519</v>
      </c>
      <c r="D936" s="11" t="str">
        <f>IF(Table1[[#This Row],[Duration of Campaign]]=0, "Ongoing","Completed")</f>
        <v>Completed</v>
      </c>
      <c r="E936" s="12">
        <f>Table1[[#This Row],[End Date]]-Table1[[#This Row],[Start Date]]</f>
        <v>300.731620370374</v>
      </c>
      <c r="F936" s="13">
        <v>5600</v>
      </c>
      <c r="G936" s="14" t="s">
        <v>63</v>
      </c>
      <c r="H936" s="15">
        <v>18642</v>
      </c>
      <c r="I936" s="15">
        <v>1877</v>
      </c>
      <c r="J936" s="15">
        <v>69</v>
      </c>
      <c r="K936" s="16">
        <v>1143</v>
      </c>
      <c r="L936" s="17">
        <f t="shared" si="70"/>
        <v>0.1006866216071237</v>
      </c>
      <c r="M936" s="17">
        <f t="shared" si="70"/>
        <v>3.6760788492274904E-2</v>
      </c>
      <c r="N936" s="18">
        <f t="shared" si="71"/>
        <v>5.6734150239744272</v>
      </c>
      <c r="O936" s="18">
        <f t="shared" si="72"/>
        <v>154.33333333333334</v>
      </c>
      <c r="P936" s="17">
        <f t="shared" si="73"/>
        <v>1.9016071428571428</v>
      </c>
      <c r="Q936" s="17">
        <f t="shared" si="74"/>
        <v>0.10733402197389426</v>
      </c>
      <c r="R936" s="10" t="s">
        <v>1904</v>
      </c>
      <c r="S936" s="14" t="s">
        <v>26</v>
      </c>
      <c r="T936" s="14" t="s">
        <v>27</v>
      </c>
      <c r="U936" s="13">
        <v>10649</v>
      </c>
      <c r="V936" s="15">
        <v>1</v>
      </c>
      <c r="W936" s="9" t="str">
        <f>IF(Table1[[#This Row],[Satisfaction Rating]]&lt;2, "Low", IF(Table1[[#This Row],[Satisfaction Rating]]&lt;4, "Medium", "High"))</f>
        <v>Low</v>
      </c>
    </row>
    <row r="937" spans="1:23" ht="14" x14ac:dyDescent="0.2">
      <c r="A937" s="10" t="s">
        <v>1905</v>
      </c>
      <c r="B937" s="11">
        <v>45330.240613425929</v>
      </c>
      <c r="C937" s="11">
        <v>45330.240613425929</v>
      </c>
      <c r="D937" s="11" t="str">
        <f>IF(Table1[[#This Row],[Duration of Campaign]]=0, "Ongoing","Completed")</f>
        <v>Ongoing</v>
      </c>
      <c r="E937" s="12">
        <f>Table1[[#This Row],[End Date]]-Table1[[#This Row],[Start Date]]</f>
        <v>0</v>
      </c>
      <c r="F937" s="13">
        <v>2241</v>
      </c>
      <c r="G937" s="14" t="s">
        <v>24</v>
      </c>
      <c r="H937" s="15">
        <v>2544</v>
      </c>
      <c r="I937" s="15">
        <v>734</v>
      </c>
      <c r="J937" s="15">
        <v>202</v>
      </c>
      <c r="K937" s="16">
        <v>1994</v>
      </c>
      <c r="L937" s="17">
        <f t="shared" si="70"/>
        <v>0.28852201257861637</v>
      </c>
      <c r="M937" s="17">
        <f t="shared" si="70"/>
        <v>0.27520435967302453</v>
      </c>
      <c r="N937" s="18">
        <f t="shared" si="71"/>
        <v>12.610354223433243</v>
      </c>
      <c r="O937" s="18">
        <f t="shared" si="72"/>
        <v>45.821782178217823</v>
      </c>
      <c r="P937" s="17">
        <f t="shared" si="73"/>
        <v>4.1302989736724678</v>
      </c>
      <c r="Q937" s="17">
        <f t="shared" si="74"/>
        <v>0.21542783059636991</v>
      </c>
      <c r="R937" s="10" t="s">
        <v>1906</v>
      </c>
      <c r="S937" s="14" t="s">
        <v>31</v>
      </c>
      <c r="T937" s="14" t="s">
        <v>55</v>
      </c>
      <c r="U937" s="13">
        <v>9256</v>
      </c>
      <c r="V937" s="15">
        <v>1</v>
      </c>
      <c r="W937" s="9" t="str">
        <f>IF(Table1[[#This Row],[Satisfaction Rating]]&lt;2, "Low", IF(Table1[[#This Row],[Satisfaction Rating]]&lt;4, "Medium", "High"))</f>
        <v>Low</v>
      </c>
    </row>
    <row r="938" spans="1:23" ht="14" x14ac:dyDescent="0.2">
      <c r="A938" s="10" t="s">
        <v>1907</v>
      </c>
      <c r="B938" s="11">
        <v>45147.040902777779</v>
      </c>
      <c r="C938" s="11">
        <v>45147.040902777779</v>
      </c>
      <c r="D938" s="11" t="str">
        <f>IF(Table1[[#This Row],[Duration of Campaign]]=0, "Ongoing","Completed")</f>
        <v>Ongoing</v>
      </c>
      <c r="E938" s="12">
        <f>Table1[[#This Row],[End Date]]-Table1[[#This Row],[Start Date]]</f>
        <v>0</v>
      </c>
      <c r="F938" s="13">
        <v>1856</v>
      </c>
      <c r="G938" s="14" t="s">
        <v>47</v>
      </c>
      <c r="H938" s="15">
        <v>5365</v>
      </c>
      <c r="I938" s="15">
        <v>1619</v>
      </c>
      <c r="J938" s="15">
        <v>18</v>
      </c>
      <c r="K938" s="16">
        <v>4165</v>
      </c>
      <c r="L938" s="17">
        <f t="shared" si="70"/>
        <v>0.30177073625349488</v>
      </c>
      <c r="M938" s="17">
        <f t="shared" si="70"/>
        <v>1.1117974058060531E-2</v>
      </c>
      <c r="N938" s="18">
        <f t="shared" si="71"/>
        <v>7.3119209388511424</v>
      </c>
      <c r="O938" s="18">
        <f t="shared" si="72"/>
        <v>657.66666666666663</v>
      </c>
      <c r="P938" s="17">
        <f t="shared" si="73"/>
        <v>6.3782327586206895</v>
      </c>
      <c r="Q938" s="17">
        <f t="shared" si="74"/>
        <v>0.3518330799121473</v>
      </c>
      <c r="R938" s="10" t="s">
        <v>1908</v>
      </c>
      <c r="S938" s="14" t="s">
        <v>45</v>
      </c>
      <c r="T938" s="14" t="s">
        <v>27</v>
      </c>
      <c r="U938" s="13">
        <v>11838</v>
      </c>
      <c r="V938" s="15">
        <v>4</v>
      </c>
      <c r="W938" s="9" t="str">
        <f>IF(Table1[[#This Row],[Satisfaction Rating]]&lt;2, "Low", IF(Table1[[#This Row],[Satisfaction Rating]]&lt;4, "Medium", "High"))</f>
        <v>High</v>
      </c>
    </row>
    <row r="939" spans="1:23" ht="14" x14ac:dyDescent="0.2">
      <c r="A939" s="10" t="s">
        <v>1909</v>
      </c>
      <c r="B939" s="11">
        <v>45444.493958333333</v>
      </c>
      <c r="C939" s="11">
        <v>45444.493958333333</v>
      </c>
      <c r="D939" s="11" t="str">
        <f>IF(Table1[[#This Row],[Duration of Campaign]]=0, "Ongoing","Completed")</f>
        <v>Ongoing</v>
      </c>
      <c r="E939" s="12">
        <f>Table1[[#This Row],[End Date]]-Table1[[#This Row],[Start Date]]</f>
        <v>0</v>
      </c>
      <c r="F939" s="13">
        <v>9185</v>
      </c>
      <c r="G939" s="14" t="s">
        <v>29</v>
      </c>
      <c r="H939" s="15">
        <v>5732</v>
      </c>
      <c r="I939" s="15">
        <v>723</v>
      </c>
      <c r="J939" s="15">
        <v>241</v>
      </c>
      <c r="K939" s="16">
        <v>4621</v>
      </c>
      <c r="L939" s="17">
        <f t="shared" si="70"/>
        <v>0.12613398464759246</v>
      </c>
      <c r="M939" s="17">
        <f t="shared" si="70"/>
        <v>0.33333333333333331</v>
      </c>
      <c r="N939" s="18">
        <f t="shared" si="71"/>
        <v>18.975103734439834</v>
      </c>
      <c r="O939" s="18">
        <f t="shared" si="72"/>
        <v>56.925311203319502</v>
      </c>
      <c r="P939" s="17">
        <f t="shared" si="73"/>
        <v>1.4936309199782254</v>
      </c>
      <c r="Q939" s="17">
        <f t="shared" si="74"/>
        <v>0.33683213062176542</v>
      </c>
      <c r="R939" s="10" t="s">
        <v>1910</v>
      </c>
      <c r="S939" s="14" t="s">
        <v>45</v>
      </c>
      <c r="T939" s="14" t="s">
        <v>27</v>
      </c>
      <c r="U939" s="13">
        <v>13719</v>
      </c>
      <c r="V939" s="15">
        <v>1</v>
      </c>
      <c r="W939" s="9" t="str">
        <f>IF(Table1[[#This Row],[Satisfaction Rating]]&lt;2, "Low", IF(Table1[[#This Row],[Satisfaction Rating]]&lt;4, "Medium", "High"))</f>
        <v>Low</v>
      </c>
    </row>
    <row r="940" spans="1:23" ht="14" x14ac:dyDescent="0.2">
      <c r="A940" s="10" t="s">
        <v>1911</v>
      </c>
      <c r="B940" s="11">
        <v>44974.401747685188</v>
      </c>
      <c r="C940" s="11">
        <v>45648.327222222222</v>
      </c>
      <c r="D940" s="11" t="str">
        <f>IF(Table1[[#This Row],[Duration of Campaign]]=0, "Ongoing","Completed")</f>
        <v>Completed</v>
      </c>
      <c r="E940" s="12">
        <f>Table1[[#This Row],[End Date]]-Table1[[#This Row],[Start Date]]</f>
        <v>673.92547453703446</v>
      </c>
      <c r="F940" s="13">
        <v>7182</v>
      </c>
      <c r="G940" s="14" t="s">
        <v>63</v>
      </c>
      <c r="H940" s="15">
        <v>15257</v>
      </c>
      <c r="I940" s="15">
        <v>1942</v>
      </c>
      <c r="J940" s="15">
        <v>208</v>
      </c>
      <c r="K940" s="16">
        <v>14877</v>
      </c>
      <c r="L940" s="17">
        <f t="shared" si="70"/>
        <v>0.12728583600970048</v>
      </c>
      <c r="M940" s="17">
        <f t="shared" si="70"/>
        <v>0.10710607621009269</v>
      </c>
      <c r="N940" s="18">
        <f t="shared" si="71"/>
        <v>2.7785787847579813</v>
      </c>
      <c r="O940" s="18">
        <f t="shared" si="72"/>
        <v>25.942307692307693</v>
      </c>
      <c r="P940" s="17">
        <f t="shared" si="73"/>
        <v>0.75132275132275128</v>
      </c>
      <c r="Q940" s="17">
        <f t="shared" si="74"/>
        <v>2.757042253521127</v>
      </c>
      <c r="R940" s="10" t="s">
        <v>1912</v>
      </c>
      <c r="S940" s="14" t="s">
        <v>45</v>
      </c>
      <c r="T940" s="14" t="s">
        <v>55</v>
      </c>
      <c r="U940" s="13">
        <v>5396</v>
      </c>
      <c r="V940" s="15">
        <v>1</v>
      </c>
      <c r="W940" s="9" t="str">
        <f>IF(Table1[[#This Row],[Satisfaction Rating]]&lt;2, "Low", IF(Table1[[#This Row],[Satisfaction Rating]]&lt;4, "Medium", "High"))</f>
        <v>Low</v>
      </c>
    </row>
    <row r="941" spans="1:23" ht="14" x14ac:dyDescent="0.2">
      <c r="A941" s="10" t="s">
        <v>1913</v>
      </c>
      <c r="B941" s="11">
        <v>45163.536782407406</v>
      </c>
      <c r="C941" s="11">
        <v>45590.86445601852</v>
      </c>
      <c r="D941" s="11" t="str">
        <f>IF(Table1[[#This Row],[Duration of Campaign]]=0, "Ongoing","Completed")</f>
        <v>Completed</v>
      </c>
      <c r="E941" s="12">
        <f>Table1[[#This Row],[End Date]]-Table1[[#This Row],[Start Date]]</f>
        <v>427.32767361111473</v>
      </c>
      <c r="F941" s="13">
        <v>5449</v>
      </c>
      <c r="G941" s="14" t="s">
        <v>47</v>
      </c>
      <c r="H941" s="15">
        <v>4483</v>
      </c>
      <c r="I941" s="15">
        <v>1846</v>
      </c>
      <c r="J941" s="15">
        <v>65</v>
      </c>
      <c r="K941" s="16">
        <v>2456</v>
      </c>
      <c r="L941" s="17">
        <f t="shared" si="70"/>
        <v>0.4117778273477582</v>
      </c>
      <c r="M941" s="17">
        <f t="shared" si="70"/>
        <v>3.5211267605633804E-2</v>
      </c>
      <c r="N941" s="18">
        <f t="shared" si="71"/>
        <v>6.7177681473456126</v>
      </c>
      <c r="O941" s="18">
        <f t="shared" si="72"/>
        <v>190.78461538461539</v>
      </c>
      <c r="P941" s="17">
        <f t="shared" si="73"/>
        <v>2.2758304276013948</v>
      </c>
      <c r="Q941" s="17">
        <f t="shared" si="74"/>
        <v>0.19804854447221998</v>
      </c>
      <c r="R941" s="10" t="s">
        <v>1914</v>
      </c>
      <c r="S941" s="14" t="s">
        <v>34</v>
      </c>
      <c r="T941" s="14" t="s">
        <v>55</v>
      </c>
      <c r="U941" s="13">
        <v>12401</v>
      </c>
      <c r="V941" s="15">
        <v>4</v>
      </c>
      <c r="W941" s="9" t="str">
        <f>IF(Table1[[#This Row],[Satisfaction Rating]]&lt;2, "Low", IF(Table1[[#This Row],[Satisfaction Rating]]&lt;4, "Medium", "High"))</f>
        <v>High</v>
      </c>
    </row>
    <row r="942" spans="1:23" ht="14" x14ac:dyDescent="0.2">
      <c r="A942" s="10" t="s">
        <v>1915</v>
      </c>
      <c r="B942" s="11">
        <v>45064.23646990741</v>
      </c>
      <c r="C942" s="11">
        <v>45178.348391203705</v>
      </c>
      <c r="D942" s="11" t="str">
        <f>IF(Table1[[#This Row],[Duration of Campaign]]=0, "Ongoing","Completed")</f>
        <v>Completed</v>
      </c>
      <c r="E942" s="12">
        <f>Table1[[#This Row],[End Date]]-Table1[[#This Row],[Start Date]]</f>
        <v>114.1119212962949</v>
      </c>
      <c r="F942" s="13">
        <v>6788</v>
      </c>
      <c r="G942" s="14" t="s">
        <v>63</v>
      </c>
      <c r="H942" s="15">
        <v>16114</v>
      </c>
      <c r="I942" s="15">
        <v>1581</v>
      </c>
      <c r="J942" s="15">
        <v>108</v>
      </c>
      <c r="K942" s="16">
        <v>1804</v>
      </c>
      <c r="L942" s="17">
        <f t="shared" si="70"/>
        <v>9.8113441727690209E-2</v>
      </c>
      <c r="M942" s="17">
        <f t="shared" si="70"/>
        <v>6.8311195445920306E-2</v>
      </c>
      <c r="N942" s="18">
        <f t="shared" si="71"/>
        <v>9.0695762175838084</v>
      </c>
      <c r="O942" s="18">
        <f t="shared" si="72"/>
        <v>132.7685185185185</v>
      </c>
      <c r="P942" s="17">
        <f t="shared" si="73"/>
        <v>2.1124042427813787</v>
      </c>
      <c r="Q942" s="17">
        <f t="shared" si="74"/>
        <v>0.12581072599204965</v>
      </c>
      <c r="R942" s="10" t="s">
        <v>1916</v>
      </c>
      <c r="S942" s="14" t="s">
        <v>40</v>
      </c>
      <c r="T942" s="14" t="s">
        <v>37</v>
      </c>
      <c r="U942" s="13">
        <v>14339</v>
      </c>
      <c r="V942" s="15">
        <v>2</v>
      </c>
      <c r="W942" s="9" t="str">
        <f>IF(Table1[[#This Row],[Satisfaction Rating]]&lt;2, "Low", IF(Table1[[#This Row],[Satisfaction Rating]]&lt;4, "Medium", "High"))</f>
        <v>Medium</v>
      </c>
    </row>
    <row r="943" spans="1:23" ht="14" x14ac:dyDescent="0.2">
      <c r="A943" s="10" t="s">
        <v>1917</v>
      </c>
      <c r="B943" s="11">
        <v>45600.536840277775</v>
      </c>
      <c r="C943" s="11">
        <v>45600.536840277775</v>
      </c>
      <c r="D943" s="11" t="str">
        <f>IF(Table1[[#This Row],[Duration of Campaign]]=0, "Ongoing","Completed")</f>
        <v>Ongoing</v>
      </c>
      <c r="E943" s="12">
        <f>Table1[[#This Row],[End Date]]-Table1[[#This Row],[Start Date]]</f>
        <v>0</v>
      </c>
      <c r="F943" s="13">
        <v>3845</v>
      </c>
      <c r="G943" s="14" t="s">
        <v>29</v>
      </c>
      <c r="H943" s="15">
        <v>10525</v>
      </c>
      <c r="I943" s="15">
        <v>938</v>
      </c>
      <c r="J943" s="15">
        <v>174</v>
      </c>
      <c r="K943" s="16">
        <v>5044</v>
      </c>
      <c r="L943" s="17">
        <f t="shared" si="70"/>
        <v>8.9121140142517818E-2</v>
      </c>
      <c r="M943" s="17">
        <f t="shared" si="70"/>
        <v>0.18550106609808104</v>
      </c>
      <c r="N943" s="18">
        <f t="shared" si="71"/>
        <v>15.857142857142858</v>
      </c>
      <c r="O943" s="18">
        <f t="shared" si="72"/>
        <v>85.482758620689651</v>
      </c>
      <c r="P943" s="17">
        <f t="shared" si="73"/>
        <v>3.868400520156047</v>
      </c>
      <c r="Q943" s="17">
        <f t="shared" si="74"/>
        <v>0.33911523463762272</v>
      </c>
      <c r="R943" s="10" t="s">
        <v>1918</v>
      </c>
      <c r="S943" s="14" t="s">
        <v>26</v>
      </c>
      <c r="T943" s="14" t="s">
        <v>27</v>
      </c>
      <c r="U943" s="13">
        <v>14874</v>
      </c>
      <c r="V943" s="15">
        <v>1</v>
      </c>
      <c r="W943" s="9" t="str">
        <f>IF(Table1[[#This Row],[Satisfaction Rating]]&lt;2, "Low", IF(Table1[[#This Row],[Satisfaction Rating]]&lt;4, "Medium", "High"))</f>
        <v>Low</v>
      </c>
    </row>
    <row r="944" spans="1:23" ht="14" x14ac:dyDescent="0.2">
      <c r="A944" s="10" t="s">
        <v>1919</v>
      </c>
      <c r="B944" s="11">
        <v>45354.884965277779</v>
      </c>
      <c r="C944" s="11">
        <v>45615.628900462965</v>
      </c>
      <c r="D944" s="11" t="str">
        <f>IF(Table1[[#This Row],[Duration of Campaign]]=0, "Ongoing","Completed")</f>
        <v>Completed</v>
      </c>
      <c r="E944" s="12">
        <f>Table1[[#This Row],[End Date]]-Table1[[#This Row],[Start Date]]</f>
        <v>260.74393518518627</v>
      </c>
      <c r="F944" s="13">
        <v>5352</v>
      </c>
      <c r="G944" s="14" t="s">
        <v>29</v>
      </c>
      <c r="H944" s="15">
        <v>7843</v>
      </c>
      <c r="I944" s="15">
        <v>433</v>
      </c>
      <c r="J944" s="15">
        <v>178</v>
      </c>
      <c r="K944" s="16">
        <v>14684</v>
      </c>
      <c r="L944" s="17">
        <f t="shared" si="70"/>
        <v>5.5208466148157595E-2</v>
      </c>
      <c r="M944" s="17">
        <f t="shared" si="70"/>
        <v>0.4110854503464203</v>
      </c>
      <c r="N944" s="18">
        <f t="shared" si="71"/>
        <v>10.868360277136258</v>
      </c>
      <c r="O944" s="18">
        <f t="shared" si="72"/>
        <v>26.438202247191011</v>
      </c>
      <c r="P944" s="17">
        <f t="shared" si="73"/>
        <v>0.87929745889387145</v>
      </c>
      <c r="Q944" s="17">
        <f t="shared" si="74"/>
        <v>3.1202719932001699</v>
      </c>
      <c r="R944" s="10" t="s">
        <v>1920</v>
      </c>
      <c r="S944" s="14" t="s">
        <v>26</v>
      </c>
      <c r="T944" s="14" t="s">
        <v>27</v>
      </c>
      <c r="U944" s="13">
        <v>4706</v>
      </c>
      <c r="V944" s="15">
        <v>4</v>
      </c>
      <c r="W944" s="9" t="str">
        <f>IF(Table1[[#This Row],[Satisfaction Rating]]&lt;2, "Low", IF(Table1[[#This Row],[Satisfaction Rating]]&lt;4, "Medium", "High"))</f>
        <v>High</v>
      </c>
    </row>
    <row r="945" spans="1:23" ht="14" x14ac:dyDescent="0.2">
      <c r="A945" s="10" t="s">
        <v>1921</v>
      </c>
      <c r="B945" s="11">
        <v>45468.736064814817</v>
      </c>
      <c r="C945" s="11">
        <v>45552.326226851852</v>
      </c>
      <c r="D945" s="11" t="str">
        <f>IF(Table1[[#This Row],[Duration of Campaign]]=0, "Ongoing","Completed")</f>
        <v>Completed</v>
      </c>
      <c r="E945" s="12">
        <f>Table1[[#This Row],[End Date]]-Table1[[#This Row],[Start Date]]</f>
        <v>83.590162037035043</v>
      </c>
      <c r="F945" s="13">
        <v>7193</v>
      </c>
      <c r="G945" s="14" t="s">
        <v>63</v>
      </c>
      <c r="H945" s="15">
        <v>13154</v>
      </c>
      <c r="I945" s="15">
        <v>324</v>
      </c>
      <c r="J945" s="15">
        <v>25</v>
      </c>
      <c r="K945" s="16">
        <v>2631</v>
      </c>
      <c r="L945" s="17">
        <f t="shared" si="70"/>
        <v>2.463129086209518E-2</v>
      </c>
      <c r="M945" s="17">
        <f t="shared" si="70"/>
        <v>7.716049382716049E-2</v>
      </c>
      <c r="N945" s="18">
        <f t="shared" si="71"/>
        <v>47.561728395061728</v>
      </c>
      <c r="O945" s="18">
        <f t="shared" si="72"/>
        <v>616.4</v>
      </c>
      <c r="P945" s="17">
        <f t="shared" si="73"/>
        <v>2.1423606283887113</v>
      </c>
      <c r="Q945" s="17">
        <f t="shared" si="74"/>
        <v>0.17073329007138222</v>
      </c>
      <c r="R945" s="10" t="s">
        <v>1922</v>
      </c>
      <c r="S945" s="14" t="s">
        <v>45</v>
      </c>
      <c r="T945" s="14" t="s">
        <v>37</v>
      </c>
      <c r="U945" s="13">
        <v>15410</v>
      </c>
      <c r="V945" s="15">
        <v>5</v>
      </c>
      <c r="W945" s="9" t="str">
        <f>IF(Table1[[#This Row],[Satisfaction Rating]]&lt;2, "Low", IF(Table1[[#This Row],[Satisfaction Rating]]&lt;4, "Medium", "High"))</f>
        <v>High</v>
      </c>
    </row>
    <row r="946" spans="1:23" ht="14" x14ac:dyDescent="0.2">
      <c r="A946" s="10" t="s">
        <v>1923</v>
      </c>
      <c r="B946" s="11">
        <v>45414.403032407405</v>
      </c>
      <c r="C946" s="11">
        <v>45414.403032407405</v>
      </c>
      <c r="D946" s="11" t="str">
        <f>IF(Table1[[#This Row],[Duration of Campaign]]=0, "Ongoing","Completed")</f>
        <v>Ongoing</v>
      </c>
      <c r="E946" s="12">
        <f>Table1[[#This Row],[End Date]]-Table1[[#This Row],[Start Date]]</f>
        <v>0</v>
      </c>
      <c r="F946" s="13">
        <v>7135</v>
      </c>
      <c r="G946" s="14" t="s">
        <v>47</v>
      </c>
      <c r="H946" s="15">
        <v>17144</v>
      </c>
      <c r="I946" s="15">
        <v>1346</v>
      </c>
      <c r="J946" s="15">
        <v>12</v>
      </c>
      <c r="K946" s="16">
        <v>9382</v>
      </c>
      <c r="L946" s="17">
        <f t="shared" si="70"/>
        <v>7.8511432571161929E-2</v>
      </c>
      <c r="M946" s="17">
        <f t="shared" si="70"/>
        <v>8.9153046062407128E-3</v>
      </c>
      <c r="N946" s="18">
        <f t="shared" si="71"/>
        <v>7.4138187221396734</v>
      </c>
      <c r="O946" s="18">
        <f t="shared" si="72"/>
        <v>831.58333333333337</v>
      </c>
      <c r="P946" s="17">
        <f t="shared" si="73"/>
        <v>1.3985984583041347</v>
      </c>
      <c r="Q946" s="17">
        <f t="shared" si="74"/>
        <v>0.94017436616895478</v>
      </c>
      <c r="R946" s="10" t="s">
        <v>1924</v>
      </c>
      <c r="S946" s="14" t="s">
        <v>40</v>
      </c>
      <c r="T946" s="14" t="s">
        <v>55</v>
      </c>
      <c r="U946" s="13">
        <v>9979</v>
      </c>
      <c r="V946" s="15">
        <v>2</v>
      </c>
      <c r="W946" s="9" t="str">
        <f>IF(Table1[[#This Row],[Satisfaction Rating]]&lt;2, "Low", IF(Table1[[#This Row],[Satisfaction Rating]]&lt;4, "Medium", "High"))</f>
        <v>Medium</v>
      </c>
    </row>
    <row r="947" spans="1:23" ht="14" x14ac:dyDescent="0.2">
      <c r="A947" s="10" t="s">
        <v>1925</v>
      </c>
      <c r="B947" s="11">
        <v>45504.901979166665</v>
      </c>
      <c r="C947" s="11">
        <v>45504.901979166665</v>
      </c>
      <c r="D947" s="11" t="str">
        <f>IF(Table1[[#This Row],[Duration of Campaign]]=0, "Ongoing","Completed")</f>
        <v>Ongoing</v>
      </c>
      <c r="E947" s="12">
        <f>Table1[[#This Row],[End Date]]-Table1[[#This Row],[Start Date]]</f>
        <v>0</v>
      </c>
      <c r="F947" s="13">
        <v>6232</v>
      </c>
      <c r="G947" s="14" t="s">
        <v>63</v>
      </c>
      <c r="H947" s="15">
        <v>9244</v>
      </c>
      <c r="I947" s="15">
        <v>667</v>
      </c>
      <c r="J947" s="15">
        <v>291</v>
      </c>
      <c r="K947" s="16">
        <v>2770</v>
      </c>
      <c r="L947" s="17">
        <f t="shared" si="70"/>
        <v>7.2154911293812199E-2</v>
      </c>
      <c r="M947" s="17">
        <f t="shared" si="70"/>
        <v>0.43628185907046479</v>
      </c>
      <c r="N947" s="18">
        <f t="shared" si="71"/>
        <v>18.545727136431783</v>
      </c>
      <c r="O947" s="18">
        <f t="shared" si="72"/>
        <v>42.508591065292094</v>
      </c>
      <c r="P947" s="17">
        <f t="shared" si="73"/>
        <v>1.9849165596919127</v>
      </c>
      <c r="Q947" s="17">
        <f t="shared" si="74"/>
        <v>0.22392886014551333</v>
      </c>
      <c r="R947" s="10" t="s">
        <v>1926</v>
      </c>
      <c r="S947" s="14" t="s">
        <v>40</v>
      </c>
      <c r="T947" s="14" t="s">
        <v>55</v>
      </c>
      <c r="U947" s="13">
        <v>12370</v>
      </c>
      <c r="V947" s="15">
        <v>1</v>
      </c>
      <c r="W947" s="9" t="str">
        <f>IF(Table1[[#This Row],[Satisfaction Rating]]&lt;2, "Low", IF(Table1[[#This Row],[Satisfaction Rating]]&lt;4, "Medium", "High"))</f>
        <v>Low</v>
      </c>
    </row>
    <row r="948" spans="1:23" ht="14" x14ac:dyDescent="0.2">
      <c r="A948" s="10" t="s">
        <v>1927</v>
      </c>
      <c r="B948" s="11">
        <v>45196.737754629627</v>
      </c>
      <c r="C948" s="11">
        <v>45196.737754629627</v>
      </c>
      <c r="D948" s="11" t="str">
        <f>IF(Table1[[#This Row],[Duration of Campaign]]=0, "Ongoing","Completed")</f>
        <v>Ongoing</v>
      </c>
      <c r="E948" s="12">
        <f>Table1[[#This Row],[End Date]]-Table1[[#This Row],[Start Date]]</f>
        <v>0</v>
      </c>
      <c r="F948" s="13">
        <v>5050</v>
      </c>
      <c r="G948" s="14" t="s">
        <v>63</v>
      </c>
      <c r="H948" s="15">
        <v>7220</v>
      </c>
      <c r="I948" s="15">
        <v>1159</v>
      </c>
      <c r="J948" s="15">
        <v>63</v>
      </c>
      <c r="K948" s="16">
        <v>9871</v>
      </c>
      <c r="L948" s="17">
        <f t="shared" si="70"/>
        <v>0.16052631578947368</v>
      </c>
      <c r="M948" s="17">
        <f t="shared" si="70"/>
        <v>5.4357204486626405E-2</v>
      </c>
      <c r="N948" s="18">
        <f t="shared" si="71"/>
        <v>2.1604831751509921</v>
      </c>
      <c r="O948" s="18">
        <f t="shared" si="72"/>
        <v>39.746031746031747</v>
      </c>
      <c r="P948" s="17">
        <f t="shared" si="73"/>
        <v>0.49584158415841584</v>
      </c>
      <c r="Q948" s="17">
        <f t="shared" si="74"/>
        <v>3.9420926517571884</v>
      </c>
      <c r="R948" s="10" t="s">
        <v>1928</v>
      </c>
      <c r="S948" s="14" t="s">
        <v>31</v>
      </c>
      <c r="T948" s="14" t="s">
        <v>55</v>
      </c>
      <c r="U948" s="13">
        <v>2504</v>
      </c>
      <c r="V948" s="15">
        <v>1</v>
      </c>
      <c r="W948" s="9" t="str">
        <f>IF(Table1[[#This Row],[Satisfaction Rating]]&lt;2, "Low", IF(Table1[[#This Row],[Satisfaction Rating]]&lt;4, "Medium", "High"))</f>
        <v>Low</v>
      </c>
    </row>
    <row r="949" spans="1:23" ht="14" x14ac:dyDescent="0.2">
      <c r="A949" s="10" t="s">
        <v>1929</v>
      </c>
      <c r="B949" s="11">
        <v>45075.81894675926</v>
      </c>
      <c r="C949" s="11">
        <v>45524.43476851852</v>
      </c>
      <c r="D949" s="11" t="str">
        <f>IF(Table1[[#This Row],[Duration of Campaign]]=0, "Ongoing","Completed")</f>
        <v>Completed</v>
      </c>
      <c r="E949" s="12">
        <f>Table1[[#This Row],[End Date]]-Table1[[#This Row],[Start Date]]</f>
        <v>448.61582175926014</v>
      </c>
      <c r="F949" s="13">
        <v>1955</v>
      </c>
      <c r="G949" s="14" t="s">
        <v>29</v>
      </c>
      <c r="H949" s="15">
        <v>11080</v>
      </c>
      <c r="I949" s="15">
        <v>1651</v>
      </c>
      <c r="J949" s="15">
        <v>329</v>
      </c>
      <c r="K949" s="16">
        <v>2638</v>
      </c>
      <c r="L949" s="17">
        <f t="shared" si="70"/>
        <v>0.14900722021660651</v>
      </c>
      <c r="M949" s="17">
        <f t="shared" si="70"/>
        <v>0.1992731677771048</v>
      </c>
      <c r="N949" s="18">
        <f t="shared" si="71"/>
        <v>1.6910963052695336</v>
      </c>
      <c r="O949" s="18">
        <f t="shared" si="72"/>
        <v>8.4863221884498472</v>
      </c>
      <c r="P949" s="17">
        <f t="shared" si="73"/>
        <v>1.4281329923273658</v>
      </c>
      <c r="Q949" s="17">
        <f t="shared" si="74"/>
        <v>0.94484240687679089</v>
      </c>
      <c r="R949" s="10" t="s">
        <v>1930</v>
      </c>
      <c r="S949" s="14" t="s">
        <v>26</v>
      </c>
      <c r="T949" s="14" t="s">
        <v>37</v>
      </c>
      <c r="U949" s="13">
        <v>2792</v>
      </c>
      <c r="V949" s="15">
        <v>2</v>
      </c>
      <c r="W949" s="9" t="str">
        <f>IF(Table1[[#This Row],[Satisfaction Rating]]&lt;2, "Low", IF(Table1[[#This Row],[Satisfaction Rating]]&lt;4, "Medium", "High"))</f>
        <v>Medium</v>
      </c>
    </row>
    <row r="950" spans="1:23" ht="14" x14ac:dyDescent="0.2">
      <c r="A950" s="10" t="s">
        <v>1931</v>
      </c>
      <c r="B950" s="11">
        <v>45071.774317129632</v>
      </c>
      <c r="C950" s="11">
        <v>45579.088564814818</v>
      </c>
      <c r="D950" s="11" t="str">
        <f>IF(Table1[[#This Row],[Duration of Campaign]]=0, "Ongoing","Completed")</f>
        <v>Completed</v>
      </c>
      <c r="E950" s="12">
        <f>Table1[[#This Row],[End Date]]-Table1[[#This Row],[Start Date]]</f>
        <v>507.31424768518627</v>
      </c>
      <c r="F950" s="13">
        <v>4335</v>
      </c>
      <c r="G950" s="14" t="s">
        <v>24</v>
      </c>
      <c r="H950" s="15">
        <v>3608</v>
      </c>
      <c r="I950" s="15">
        <v>471</v>
      </c>
      <c r="J950" s="15">
        <v>476</v>
      </c>
      <c r="K950" s="16">
        <v>536</v>
      </c>
      <c r="L950" s="17">
        <f t="shared" si="70"/>
        <v>0.13054323725055433</v>
      </c>
      <c r="M950" s="17">
        <f t="shared" si="70"/>
        <v>1.0106157112526539</v>
      </c>
      <c r="N950" s="18">
        <f t="shared" si="71"/>
        <v>28.307855626326965</v>
      </c>
      <c r="O950" s="18">
        <f t="shared" si="72"/>
        <v>28.010504201680671</v>
      </c>
      <c r="P950" s="17">
        <f t="shared" si="73"/>
        <v>3.0756632064590543</v>
      </c>
      <c r="Q950" s="17">
        <f t="shared" si="74"/>
        <v>4.0201005025125629E-2</v>
      </c>
      <c r="R950" s="10" t="s">
        <v>1932</v>
      </c>
      <c r="S950" s="14" t="s">
        <v>34</v>
      </c>
      <c r="T950" s="14" t="s">
        <v>37</v>
      </c>
      <c r="U950" s="13">
        <v>13333</v>
      </c>
      <c r="V950" s="15">
        <v>3</v>
      </c>
      <c r="W950" s="9" t="str">
        <f>IF(Table1[[#This Row],[Satisfaction Rating]]&lt;2, "Low", IF(Table1[[#This Row],[Satisfaction Rating]]&lt;4, "Medium", "High"))</f>
        <v>Medium</v>
      </c>
    </row>
    <row r="951" spans="1:23" ht="14" x14ac:dyDescent="0.2">
      <c r="A951" s="10" t="s">
        <v>1933</v>
      </c>
      <c r="B951" s="11">
        <v>45336.186469907407</v>
      </c>
      <c r="C951" s="11">
        <v>45336.186469907407</v>
      </c>
      <c r="D951" s="11" t="str">
        <f>IF(Table1[[#This Row],[Duration of Campaign]]=0, "Ongoing","Completed")</f>
        <v>Ongoing</v>
      </c>
      <c r="E951" s="12">
        <f>Table1[[#This Row],[End Date]]-Table1[[#This Row],[Start Date]]</f>
        <v>0</v>
      </c>
      <c r="F951" s="13">
        <v>4900</v>
      </c>
      <c r="G951" s="14" t="s">
        <v>47</v>
      </c>
      <c r="H951" s="15">
        <v>18181</v>
      </c>
      <c r="I951" s="15">
        <v>265</v>
      </c>
      <c r="J951" s="15">
        <v>429</v>
      </c>
      <c r="K951" s="16">
        <v>13476</v>
      </c>
      <c r="L951" s="17">
        <f t="shared" si="70"/>
        <v>1.4575655904515704E-2</v>
      </c>
      <c r="M951" s="17">
        <f t="shared" si="70"/>
        <v>1.618867924528302</v>
      </c>
      <c r="N951" s="18">
        <f t="shared" si="71"/>
        <v>6.0981132075471702</v>
      </c>
      <c r="O951" s="18">
        <f t="shared" si="72"/>
        <v>3.7668997668997668</v>
      </c>
      <c r="P951" s="17">
        <f t="shared" si="73"/>
        <v>0.32979591836734695</v>
      </c>
      <c r="Q951" s="17">
        <f t="shared" si="74"/>
        <v>8.3391089108910883</v>
      </c>
      <c r="R951" s="10" t="s">
        <v>1934</v>
      </c>
      <c r="S951" s="14" t="s">
        <v>31</v>
      </c>
      <c r="T951" s="14" t="s">
        <v>55</v>
      </c>
      <c r="U951" s="13">
        <v>1616</v>
      </c>
      <c r="V951" s="15">
        <v>3</v>
      </c>
      <c r="W951" s="9" t="str">
        <f>IF(Table1[[#This Row],[Satisfaction Rating]]&lt;2, "Low", IF(Table1[[#This Row],[Satisfaction Rating]]&lt;4, "Medium", "High"))</f>
        <v>Medium</v>
      </c>
    </row>
    <row r="952" spans="1:23" ht="14" x14ac:dyDescent="0.2">
      <c r="A952" s="10" t="s">
        <v>1935</v>
      </c>
      <c r="B952" s="11">
        <v>45210.506597222222</v>
      </c>
      <c r="C952" s="11">
        <v>45366.160196759258</v>
      </c>
      <c r="D952" s="11" t="str">
        <f>IF(Table1[[#This Row],[Duration of Campaign]]=0, "Ongoing","Completed")</f>
        <v>Completed</v>
      </c>
      <c r="E952" s="12">
        <f>Table1[[#This Row],[End Date]]-Table1[[#This Row],[Start Date]]</f>
        <v>155.65359953703592</v>
      </c>
      <c r="F952" s="13">
        <v>3589</v>
      </c>
      <c r="G952" s="14" t="s">
        <v>63</v>
      </c>
      <c r="H952" s="15">
        <v>3035</v>
      </c>
      <c r="I952" s="15">
        <v>1459</v>
      </c>
      <c r="J952" s="15">
        <v>345</v>
      </c>
      <c r="K952" s="16">
        <v>9747</v>
      </c>
      <c r="L952" s="17">
        <f t="shared" si="70"/>
        <v>0.48072487644151563</v>
      </c>
      <c r="M952" s="17">
        <f t="shared" si="70"/>
        <v>0.23646333104866346</v>
      </c>
      <c r="N952" s="18">
        <f t="shared" si="71"/>
        <v>9.9403701165181637</v>
      </c>
      <c r="O952" s="18">
        <f t="shared" si="72"/>
        <v>42.037681159420288</v>
      </c>
      <c r="P952" s="17">
        <f t="shared" si="73"/>
        <v>4.0409584842574535</v>
      </c>
      <c r="Q952" s="17">
        <f t="shared" si="74"/>
        <v>0.67206784803144182</v>
      </c>
      <c r="R952" s="10" t="s">
        <v>1936</v>
      </c>
      <c r="S952" s="14" t="s">
        <v>40</v>
      </c>
      <c r="T952" s="14" t="s">
        <v>37</v>
      </c>
      <c r="U952" s="13">
        <v>14503</v>
      </c>
      <c r="V952" s="15">
        <v>4</v>
      </c>
      <c r="W952" s="9" t="str">
        <f>IF(Table1[[#This Row],[Satisfaction Rating]]&lt;2, "Low", IF(Table1[[#This Row],[Satisfaction Rating]]&lt;4, "Medium", "High"))</f>
        <v>High</v>
      </c>
    </row>
    <row r="953" spans="1:23" ht="14" x14ac:dyDescent="0.2">
      <c r="A953" s="10" t="s">
        <v>1937</v>
      </c>
      <c r="B953" s="11">
        <v>45447.031759259262</v>
      </c>
      <c r="C953" s="11">
        <v>45447.031759259262</v>
      </c>
      <c r="D953" s="11" t="str">
        <f>IF(Table1[[#This Row],[Duration of Campaign]]=0, "Ongoing","Completed")</f>
        <v>Ongoing</v>
      </c>
      <c r="E953" s="12">
        <f>Table1[[#This Row],[End Date]]-Table1[[#This Row],[Start Date]]</f>
        <v>0</v>
      </c>
      <c r="F953" s="13">
        <v>9485</v>
      </c>
      <c r="G953" s="14" t="s">
        <v>47</v>
      </c>
      <c r="H953" s="15">
        <v>11763</v>
      </c>
      <c r="I953" s="15">
        <v>907</v>
      </c>
      <c r="J953" s="15">
        <v>214</v>
      </c>
      <c r="K953" s="16">
        <v>12553</v>
      </c>
      <c r="L953" s="17">
        <f t="shared" si="70"/>
        <v>7.7106180396157437E-2</v>
      </c>
      <c r="M953" s="17">
        <f t="shared" si="70"/>
        <v>0.23594266813671444</v>
      </c>
      <c r="N953" s="18">
        <f t="shared" si="71"/>
        <v>21.853362734288865</v>
      </c>
      <c r="O953" s="18">
        <f t="shared" si="72"/>
        <v>92.621495327102807</v>
      </c>
      <c r="P953" s="17">
        <f t="shared" si="73"/>
        <v>2.0897206114918294</v>
      </c>
      <c r="Q953" s="17">
        <f t="shared" si="74"/>
        <v>0.63331819787094501</v>
      </c>
      <c r="R953" s="10" t="s">
        <v>1938</v>
      </c>
      <c r="S953" s="14" t="s">
        <v>34</v>
      </c>
      <c r="T953" s="14" t="s">
        <v>55</v>
      </c>
      <c r="U953" s="13">
        <v>19821</v>
      </c>
      <c r="V953" s="15">
        <v>1</v>
      </c>
      <c r="W953" s="9" t="str">
        <f>IF(Table1[[#This Row],[Satisfaction Rating]]&lt;2, "Low", IF(Table1[[#This Row],[Satisfaction Rating]]&lt;4, "Medium", "High"))</f>
        <v>Low</v>
      </c>
    </row>
    <row r="954" spans="1:23" ht="14" x14ac:dyDescent="0.2">
      <c r="A954" s="10" t="s">
        <v>1939</v>
      </c>
      <c r="B954" s="11">
        <v>45656.924490740741</v>
      </c>
      <c r="C954" s="11">
        <v>45656.924490740741</v>
      </c>
      <c r="D954" s="11" t="str">
        <f>IF(Table1[[#This Row],[Duration of Campaign]]=0, "Ongoing","Completed")</f>
        <v>Ongoing</v>
      </c>
      <c r="E954" s="12">
        <f>Table1[[#This Row],[End Date]]-Table1[[#This Row],[Start Date]]</f>
        <v>0</v>
      </c>
      <c r="F954" s="13">
        <v>5452</v>
      </c>
      <c r="G954" s="14" t="s">
        <v>63</v>
      </c>
      <c r="H954" s="15">
        <v>18926</v>
      </c>
      <c r="I954" s="15">
        <v>1395</v>
      </c>
      <c r="J954" s="15">
        <v>279</v>
      </c>
      <c r="K954" s="16">
        <v>14162</v>
      </c>
      <c r="L954" s="17">
        <f t="shared" si="70"/>
        <v>7.3708126386980877E-2</v>
      </c>
      <c r="M954" s="17">
        <f t="shared" si="70"/>
        <v>0.2</v>
      </c>
      <c r="N954" s="18">
        <f t="shared" si="71"/>
        <v>12.835125448028673</v>
      </c>
      <c r="O954" s="18">
        <f t="shared" si="72"/>
        <v>64.17562724014337</v>
      </c>
      <c r="P954" s="17">
        <f t="shared" si="73"/>
        <v>3.2841159207630226</v>
      </c>
      <c r="Q954" s="17">
        <f t="shared" si="74"/>
        <v>0.79095224797542585</v>
      </c>
      <c r="R954" s="10" t="s">
        <v>1940</v>
      </c>
      <c r="S954" s="14" t="s">
        <v>34</v>
      </c>
      <c r="T954" s="14" t="s">
        <v>27</v>
      </c>
      <c r="U954" s="13">
        <v>17905</v>
      </c>
      <c r="V954" s="15">
        <v>1</v>
      </c>
      <c r="W954" s="9" t="str">
        <f>IF(Table1[[#This Row],[Satisfaction Rating]]&lt;2, "Low", IF(Table1[[#This Row],[Satisfaction Rating]]&lt;4, "Medium", "High"))</f>
        <v>Low</v>
      </c>
    </row>
    <row r="955" spans="1:23" ht="14" x14ac:dyDescent="0.2">
      <c r="A955" s="10" t="s">
        <v>1941</v>
      </c>
      <c r="B955" s="11">
        <v>45005.002835648149</v>
      </c>
      <c r="C955" s="11">
        <v>45627.659525462965</v>
      </c>
      <c r="D955" s="11" t="str">
        <f>IF(Table1[[#This Row],[Duration of Campaign]]=0, "Ongoing","Completed")</f>
        <v>Completed</v>
      </c>
      <c r="E955" s="12">
        <f>Table1[[#This Row],[End Date]]-Table1[[#This Row],[Start Date]]</f>
        <v>622.65668981481576</v>
      </c>
      <c r="F955" s="13">
        <v>8675</v>
      </c>
      <c r="G955" s="14" t="s">
        <v>47</v>
      </c>
      <c r="H955" s="15">
        <v>13790</v>
      </c>
      <c r="I955" s="15">
        <v>721</v>
      </c>
      <c r="J955" s="15">
        <v>397</v>
      </c>
      <c r="K955" s="16">
        <v>3125</v>
      </c>
      <c r="L955" s="17">
        <f t="shared" si="70"/>
        <v>5.2284263959390863E-2</v>
      </c>
      <c r="M955" s="17">
        <f t="shared" si="70"/>
        <v>0.55062413314840497</v>
      </c>
      <c r="N955" s="18">
        <f t="shared" si="71"/>
        <v>19.572815533980581</v>
      </c>
      <c r="O955" s="18">
        <f t="shared" si="72"/>
        <v>35.54659949622166</v>
      </c>
      <c r="P955" s="17">
        <f t="shared" si="73"/>
        <v>1.626743515850144</v>
      </c>
      <c r="Q955" s="17">
        <f t="shared" si="74"/>
        <v>0.22144274376417233</v>
      </c>
      <c r="R955" s="10" t="s">
        <v>1942</v>
      </c>
      <c r="S955" s="14" t="s">
        <v>31</v>
      </c>
      <c r="T955" s="14" t="s">
        <v>27</v>
      </c>
      <c r="U955" s="13">
        <v>14112</v>
      </c>
      <c r="V955" s="15">
        <v>3</v>
      </c>
      <c r="W955" s="9" t="str">
        <f>IF(Table1[[#This Row],[Satisfaction Rating]]&lt;2, "Low", IF(Table1[[#This Row],[Satisfaction Rating]]&lt;4, "Medium", "High"))</f>
        <v>Medium</v>
      </c>
    </row>
    <row r="956" spans="1:23" ht="14" x14ac:dyDescent="0.2">
      <c r="A956" s="10" t="s">
        <v>1943</v>
      </c>
      <c r="B956" s="11">
        <v>45560.856539351851</v>
      </c>
      <c r="C956" s="11">
        <v>45560.856539351851</v>
      </c>
      <c r="D956" s="11" t="str">
        <f>IF(Table1[[#This Row],[Duration of Campaign]]=0, "Ongoing","Completed")</f>
        <v>Ongoing</v>
      </c>
      <c r="E956" s="12">
        <f>Table1[[#This Row],[End Date]]-Table1[[#This Row],[Start Date]]</f>
        <v>0</v>
      </c>
      <c r="F956" s="13">
        <v>8688</v>
      </c>
      <c r="G956" s="14" t="s">
        <v>24</v>
      </c>
      <c r="H956" s="15">
        <v>13795</v>
      </c>
      <c r="I956" s="15">
        <v>1304</v>
      </c>
      <c r="J956" s="15">
        <v>22</v>
      </c>
      <c r="K956" s="16">
        <v>13969</v>
      </c>
      <c r="L956" s="17">
        <f t="shared" si="70"/>
        <v>9.4527002537151142E-2</v>
      </c>
      <c r="M956" s="17">
        <f t="shared" si="70"/>
        <v>1.6871165644171779E-2</v>
      </c>
      <c r="N956" s="18">
        <f t="shared" si="71"/>
        <v>9.1963190184049086</v>
      </c>
      <c r="O956" s="18">
        <f t="shared" si="72"/>
        <v>545.09090909090912</v>
      </c>
      <c r="P956" s="17">
        <f t="shared" si="73"/>
        <v>1.3802946593001841</v>
      </c>
      <c r="Q956" s="17">
        <f t="shared" si="74"/>
        <v>1.164859906604403</v>
      </c>
      <c r="R956" s="10" t="s">
        <v>1944</v>
      </c>
      <c r="S956" s="14" t="s">
        <v>34</v>
      </c>
      <c r="T956" s="14" t="s">
        <v>37</v>
      </c>
      <c r="U956" s="13">
        <v>11992</v>
      </c>
      <c r="V956" s="15">
        <v>3</v>
      </c>
      <c r="W956" s="9" t="str">
        <f>IF(Table1[[#This Row],[Satisfaction Rating]]&lt;2, "Low", IF(Table1[[#This Row],[Satisfaction Rating]]&lt;4, "Medium", "High"))</f>
        <v>Medium</v>
      </c>
    </row>
    <row r="957" spans="1:23" ht="14" x14ac:dyDescent="0.2">
      <c r="A957" s="10" t="s">
        <v>1945</v>
      </c>
      <c r="B957" s="11">
        <v>45554.487824074073</v>
      </c>
      <c r="C957" s="11">
        <v>45554.487824074073</v>
      </c>
      <c r="D957" s="11" t="str">
        <f>IF(Table1[[#This Row],[Duration of Campaign]]=0, "Ongoing","Completed")</f>
        <v>Ongoing</v>
      </c>
      <c r="E957" s="12">
        <f>Table1[[#This Row],[End Date]]-Table1[[#This Row],[Start Date]]</f>
        <v>0</v>
      </c>
      <c r="F957" s="13">
        <v>1187</v>
      </c>
      <c r="G957" s="14" t="s">
        <v>24</v>
      </c>
      <c r="H957" s="15">
        <v>16468</v>
      </c>
      <c r="I957" s="15">
        <v>1663</v>
      </c>
      <c r="J957" s="15">
        <v>430</v>
      </c>
      <c r="K957" s="16">
        <v>7150</v>
      </c>
      <c r="L957" s="17">
        <f t="shared" si="70"/>
        <v>0.10098372601408794</v>
      </c>
      <c r="M957" s="17">
        <f t="shared" si="70"/>
        <v>0.25856885147324116</v>
      </c>
      <c r="N957" s="18">
        <f t="shared" si="71"/>
        <v>7.5129284425736618</v>
      </c>
      <c r="O957" s="18">
        <f t="shared" si="72"/>
        <v>29.055813953488371</v>
      </c>
      <c r="P957" s="17">
        <f t="shared" si="73"/>
        <v>10.5256950294861</v>
      </c>
      <c r="Q957" s="17">
        <f t="shared" si="74"/>
        <v>0.57227469185208901</v>
      </c>
      <c r="R957" s="10" t="s">
        <v>1946</v>
      </c>
      <c r="S957" s="14" t="s">
        <v>26</v>
      </c>
      <c r="T957" s="14" t="s">
        <v>55</v>
      </c>
      <c r="U957" s="13">
        <v>12494</v>
      </c>
      <c r="V957" s="15">
        <v>4</v>
      </c>
      <c r="W957" s="9" t="str">
        <f>IF(Table1[[#This Row],[Satisfaction Rating]]&lt;2, "Low", IF(Table1[[#This Row],[Satisfaction Rating]]&lt;4, "Medium", "High"))</f>
        <v>High</v>
      </c>
    </row>
    <row r="958" spans="1:23" ht="14" x14ac:dyDescent="0.2">
      <c r="A958" s="10" t="s">
        <v>1947</v>
      </c>
      <c r="B958" s="11">
        <v>45073.839629629627</v>
      </c>
      <c r="C958" s="11">
        <v>45622.636793981481</v>
      </c>
      <c r="D958" s="11" t="str">
        <f>IF(Table1[[#This Row],[Duration of Campaign]]=0, "Ongoing","Completed")</f>
        <v>Completed</v>
      </c>
      <c r="E958" s="12">
        <f>Table1[[#This Row],[End Date]]-Table1[[#This Row],[Start Date]]</f>
        <v>548.79716435185401</v>
      </c>
      <c r="F958" s="13">
        <v>9428</v>
      </c>
      <c r="G958" s="14" t="s">
        <v>24</v>
      </c>
      <c r="H958" s="15">
        <v>18253</v>
      </c>
      <c r="I958" s="15">
        <v>339</v>
      </c>
      <c r="J958" s="15">
        <v>165</v>
      </c>
      <c r="K958" s="16">
        <v>1781</v>
      </c>
      <c r="L958" s="17">
        <f t="shared" si="70"/>
        <v>1.8572289486659729E-2</v>
      </c>
      <c r="M958" s="17">
        <f t="shared" si="70"/>
        <v>0.48672566371681414</v>
      </c>
      <c r="N958" s="18">
        <f t="shared" si="71"/>
        <v>11.471976401179941</v>
      </c>
      <c r="O958" s="18">
        <f t="shared" si="72"/>
        <v>23.56969696969697</v>
      </c>
      <c r="P958" s="17">
        <f t="shared" si="73"/>
        <v>0.4124946966482817</v>
      </c>
      <c r="Q958" s="17">
        <f t="shared" si="74"/>
        <v>0.45795834404731295</v>
      </c>
      <c r="R958" s="10" t="s">
        <v>1948</v>
      </c>
      <c r="S958" s="14" t="s">
        <v>31</v>
      </c>
      <c r="T958" s="14" t="s">
        <v>55</v>
      </c>
      <c r="U958" s="13">
        <v>3889</v>
      </c>
      <c r="V958" s="15">
        <v>3</v>
      </c>
      <c r="W958" s="9" t="str">
        <f>IF(Table1[[#This Row],[Satisfaction Rating]]&lt;2, "Low", IF(Table1[[#This Row],[Satisfaction Rating]]&lt;4, "Medium", "High"))</f>
        <v>Medium</v>
      </c>
    </row>
    <row r="959" spans="1:23" ht="14" x14ac:dyDescent="0.2">
      <c r="A959" s="10" t="s">
        <v>1949</v>
      </c>
      <c r="B959" s="11">
        <v>45572.703935185185</v>
      </c>
      <c r="C959" s="11">
        <v>45572.703935185185</v>
      </c>
      <c r="D959" s="11" t="str">
        <f>IF(Table1[[#This Row],[Duration of Campaign]]=0, "Ongoing","Completed")</f>
        <v>Ongoing</v>
      </c>
      <c r="E959" s="12">
        <f>Table1[[#This Row],[End Date]]-Table1[[#This Row],[Start Date]]</f>
        <v>0</v>
      </c>
      <c r="F959" s="13">
        <v>9029</v>
      </c>
      <c r="G959" s="14" t="s">
        <v>63</v>
      </c>
      <c r="H959" s="15">
        <v>16954</v>
      </c>
      <c r="I959" s="15">
        <v>1092</v>
      </c>
      <c r="J959" s="15">
        <v>428</v>
      </c>
      <c r="K959" s="16">
        <v>5437</v>
      </c>
      <c r="L959" s="17">
        <f t="shared" si="70"/>
        <v>6.4409578860445918E-2</v>
      </c>
      <c r="M959" s="17">
        <f t="shared" si="70"/>
        <v>0.39194139194139194</v>
      </c>
      <c r="N959" s="18">
        <f t="shared" si="71"/>
        <v>3.5119047619047619</v>
      </c>
      <c r="O959" s="18">
        <f t="shared" si="72"/>
        <v>8.9602803738317753</v>
      </c>
      <c r="P959" s="17">
        <f t="shared" si="73"/>
        <v>0.42474249640048733</v>
      </c>
      <c r="Q959" s="17">
        <f t="shared" si="74"/>
        <v>1.4177314211212517</v>
      </c>
      <c r="R959" s="10" t="s">
        <v>1950</v>
      </c>
      <c r="S959" s="14" t="s">
        <v>40</v>
      </c>
      <c r="T959" s="14" t="s">
        <v>27</v>
      </c>
      <c r="U959" s="13">
        <v>3835</v>
      </c>
      <c r="V959" s="15">
        <v>2</v>
      </c>
      <c r="W959" s="9" t="str">
        <f>IF(Table1[[#This Row],[Satisfaction Rating]]&lt;2, "Low", IF(Table1[[#This Row],[Satisfaction Rating]]&lt;4, "Medium", "High"))</f>
        <v>Medium</v>
      </c>
    </row>
    <row r="960" spans="1:23" ht="14" x14ac:dyDescent="0.2">
      <c r="A960" s="10" t="s">
        <v>1951</v>
      </c>
      <c r="B960" s="11">
        <v>45117.001099537039</v>
      </c>
      <c r="C960" s="11">
        <v>45250.821944444448</v>
      </c>
      <c r="D960" s="11" t="str">
        <f>IF(Table1[[#This Row],[Duration of Campaign]]=0, "Ongoing","Completed")</f>
        <v>Completed</v>
      </c>
      <c r="E960" s="12">
        <f>Table1[[#This Row],[End Date]]-Table1[[#This Row],[Start Date]]</f>
        <v>133.82084490740817</v>
      </c>
      <c r="F960" s="13">
        <v>3712</v>
      </c>
      <c r="G960" s="14" t="s">
        <v>24</v>
      </c>
      <c r="H960" s="15">
        <v>8689</v>
      </c>
      <c r="I960" s="15">
        <v>1860</v>
      </c>
      <c r="J960" s="15">
        <v>144</v>
      </c>
      <c r="K960" s="16">
        <v>5809</v>
      </c>
      <c r="L960" s="17">
        <f t="shared" si="70"/>
        <v>0.21406375877546324</v>
      </c>
      <c r="M960" s="17">
        <f t="shared" si="70"/>
        <v>7.7419354838709681E-2</v>
      </c>
      <c r="N960" s="18">
        <f t="shared" si="71"/>
        <v>8.8349462365591389</v>
      </c>
      <c r="O960" s="18">
        <f t="shared" si="72"/>
        <v>114.11805555555556</v>
      </c>
      <c r="P960" s="17">
        <f t="shared" si="73"/>
        <v>4.4269935344827589</v>
      </c>
      <c r="Q960" s="17">
        <f t="shared" si="74"/>
        <v>0.35349601411793341</v>
      </c>
      <c r="R960" s="10" t="s">
        <v>1952</v>
      </c>
      <c r="S960" s="14" t="s">
        <v>40</v>
      </c>
      <c r="T960" s="14" t="s">
        <v>27</v>
      </c>
      <c r="U960" s="13">
        <v>16433</v>
      </c>
      <c r="V960" s="15">
        <v>4</v>
      </c>
      <c r="W960" s="9" t="str">
        <f>IF(Table1[[#This Row],[Satisfaction Rating]]&lt;2, "Low", IF(Table1[[#This Row],[Satisfaction Rating]]&lt;4, "Medium", "High"))</f>
        <v>High</v>
      </c>
    </row>
    <row r="961" spans="1:23" ht="14" x14ac:dyDescent="0.2">
      <c r="A961" s="10" t="s">
        <v>1953</v>
      </c>
      <c r="B961" s="11">
        <v>45010.754629629628</v>
      </c>
      <c r="C961" s="11">
        <v>45089.249664351853</v>
      </c>
      <c r="D961" s="11" t="str">
        <f>IF(Table1[[#This Row],[Duration of Campaign]]=0, "Ongoing","Completed")</f>
        <v>Completed</v>
      </c>
      <c r="E961" s="12">
        <f>Table1[[#This Row],[End Date]]-Table1[[#This Row],[Start Date]]</f>
        <v>78.495034722225682</v>
      </c>
      <c r="F961" s="13">
        <v>7784</v>
      </c>
      <c r="G961" s="14" t="s">
        <v>47</v>
      </c>
      <c r="H961" s="15">
        <v>3057</v>
      </c>
      <c r="I961" s="15">
        <v>231</v>
      </c>
      <c r="J961" s="15">
        <v>259</v>
      </c>
      <c r="K961" s="16">
        <v>2025</v>
      </c>
      <c r="L961" s="17">
        <f t="shared" si="70"/>
        <v>7.5564278704612367E-2</v>
      </c>
      <c r="M961" s="17">
        <f t="shared" si="70"/>
        <v>1.1212121212121211</v>
      </c>
      <c r="N961" s="18">
        <f t="shared" si="71"/>
        <v>44.445887445887443</v>
      </c>
      <c r="O961" s="18">
        <f t="shared" si="72"/>
        <v>39.640926640926644</v>
      </c>
      <c r="P961" s="17">
        <f t="shared" si="73"/>
        <v>1.3189876670092497</v>
      </c>
      <c r="Q961" s="17">
        <f t="shared" si="74"/>
        <v>0.19723385604363494</v>
      </c>
      <c r="R961" s="10" t="s">
        <v>1954</v>
      </c>
      <c r="S961" s="14" t="s">
        <v>26</v>
      </c>
      <c r="T961" s="14" t="s">
        <v>27</v>
      </c>
      <c r="U961" s="13">
        <v>10267</v>
      </c>
      <c r="V961" s="15">
        <v>4</v>
      </c>
      <c r="W961" s="9" t="str">
        <f>IF(Table1[[#This Row],[Satisfaction Rating]]&lt;2, "Low", IF(Table1[[#This Row],[Satisfaction Rating]]&lt;4, "Medium", "High"))</f>
        <v>High</v>
      </c>
    </row>
    <row r="962" spans="1:23" ht="14" x14ac:dyDescent="0.2">
      <c r="A962" s="10" t="s">
        <v>1955</v>
      </c>
      <c r="B962" s="11">
        <v>45656.436620370368</v>
      </c>
      <c r="C962" s="11">
        <v>45656.436620370368</v>
      </c>
      <c r="D962" s="11" t="str">
        <f>IF(Table1[[#This Row],[Duration of Campaign]]=0, "Ongoing","Completed")</f>
        <v>Ongoing</v>
      </c>
      <c r="E962" s="12">
        <f>Table1[[#This Row],[End Date]]-Table1[[#This Row],[Start Date]]</f>
        <v>0</v>
      </c>
      <c r="F962" s="13">
        <v>8653</v>
      </c>
      <c r="G962" s="14" t="s">
        <v>63</v>
      </c>
      <c r="H962" s="15">
        <v>10851</v>
      </c>
      <c r="I962" s="15">
        <v>1122</v>
      </c>
      <c r="J962" s="15">
        <v>313</v>
      </c>
      <c r="K962" s="16">
        <v>9579</v>
      </c>
      <c r="L962" s="17">
        <f t="shared" si="70"/>
        <v>0.103400608238872</v>
      </c>
      <c r="M962" s="17">
        <f t="shared" si="70"/>
        <v>0.2789661319073084</v>
      </c>
      <c r="N962" s="18">
        <f t="shared" si="71"/>
        <v>13.729055258467023</v>
      </c>
      <c r="O962" s="18">
        <f t="shared" si="72"/>
        <v>49.214057507987221</v>
      </c>
      <c r="P962" s="17">
        <f t="shared" si="73"/>
        <v>1.7801918409800068</v>
      </c>
      <c r="Q962" s="17">
        <f t="shared" si="74"/>
        <v>0.62185146715138928</v>
      </c>
      <c r="R962" s="10" t="s">
        <v>1956</v>
      </c>
      <c r="S962" s="14" t="s">
        <v>26</v>
      </c>
      <c r="T962" s="14" t="s">
        <v>55</v>
      </c>
      <c r="U962" s="13">
        <v>15404</v>
      </c>
      <c r="V962" s="15">
        <v>3</v>
      </c>
      <c r="W962" s="9" t="str">
        <f>IF(Table1[[#This Row],[Satisfaction Rating]]&lt;2, "Low", IF(Table1[[#This Row],[Satisfaction Rating]]&lt;4, "Medium", "High"))</f>
        <v>Medium</v>
      </c>
    </row>
    <row r="963" spans="1:23" ht="14" x14ac:dyDescent="0.2">
      <c r="A963" s="10" t="s">
        <v>1957</v>
      </c>
      <c r="B963" s="11">
        <v>45398.46398148148</v>
      </c>
      <c r="C963" s="11">
        <v>45398.46398148148</v>
      </c>
      <c r="D963" s="11" t="str">
        <f>IF(Table1[[#This Row],[Duration of Campaign]]=0, "Ongoing","Completed")</f>
        <v>Ongoing</v>
      </c>
      <c r="E963" s="12">
        <f>Table1[[#This Row],[End Date]]-Table1[[#This Row],[Start Date]]</f>
        <v>0</v>
      </c>
      <c r="F963" s="13">
        <v>7856</v>
      </c>
      <c r="G963" s="14" t="s">
        <v>47</v>
      </c>
      <c r="H963" s="15">
        <v>3259</v>
      </c>
      <c r="I963" s="15">
        <v>675</v>
      </c>
      <c r="J963" s="15">
        <v>103</v>
      </c>
      <c r="K963" s="16">
        <v>7741</v>
      </c>
      <c r="L963" s="17">
        <f t="shared" ref="L963:M1001" si="75">I963/H963</f>
        <v>0.20711874808223382</v>
      </c>
      <c r="M963" s="17">
        <f t="shared" si="75"/>
        <v>0.15259259259259259</v>
      </c>
      <c r="N963" s="18">
        <f t="shared" ref="N963:N1001" si="76">U963/I963</f>
        <v>19.746666666666666</v>
      </c>
      <c r="O963" s="18">
        <f t="shared" ref="O963:O1001" si="77">U963/J963</f>
        <v>129.40776699029126</v>
      </c>
      <c r="P963" s="17">
        <f t="shared" ref="P963:P1001" si="78">U963/F963</f>
        <v>1.6966649694501019</v>
      </c>
      <c r="Q963" s="17">
        <f t="shared" ref="Q963:Q1001" si="79">K963/U963</f>
        <v>0.58076374821817089</v>
      </c>
      <c r="R963" s="10" t="s">
        <v>1958</v>
      </c>
      <c r="S963" s="14" t="s">
        <v>45</v>
      </c>
      <c r="T963" s="14" t="s">
        <v>37</v>
      </c>
      <c r="U963" s="13">
        <v>13329</v>
      </c>
      <c r="V963" s="15">
        <v>5</v>
      </c>
      <c r="W963" s="9" t="str">
        <f>IF(Table1[[#This Row],[Satisfaction Rating]]&lt;2, "Low", IF(Table1[[#This Row],[Satisfaction Rating]]&lt;4, "Medium", "High"))</f>
        <v>High</v>
      </c>
    </row>
    <row r="964" spans="1:23" ht="14" x14ac:dyDescent="0.2">
      <c r="A964" s="10" t="s">
        <v>1959</v>
      </c>
      <c r="B964" s="11">
        <v>45566.913495370369</v>
      </c>
      <c r="C964" s="11">
        <v>45566.913495370369</v>
      </c>
      <c r="D964" s="11" t="str">
        <f>IF(Table1[[#This Row],[Duration of Campaign]]=0, "Ongoing","Completed")</f>
        <v>Ongoing</v>
      </c>
      <c r="E964" s="12">
        <f>Table1[[#This Row],[End Date]]-Table1[[#This Row],[Start Date]]</f>
        <v>0</v>
      </c>
      <c r="F964" s="13">
        <v>2220</v>
      </c>
      <c r="G964" s="14" t="s">
        <v>24</v>
      </c>
      <c r="H964" s="15">
        <v>1223</v>
      </c>
      <c r="I964" s="15">
        <v>798</v>
      </c>
      <c r="J964" s="15">
        <v>460</v>
      </c>
      <c r="K964" s="16">
        <v>7373</v>
      </c>
      <c r="L964" s="17">
        <f t="shared" si="75"/>
        <v>0.65249386753883887</v>
      </c>
      <c r="M964" s="17">
        <f t="shared" si="75"/>
        <v>0.5764411027568922</v>
      </c>
      <c r="N964" s="18">
        <f t="shared" si="76"/>
        <v>23.283208020050125</v>
      </c>
      <c r="O964" s="18">
        <f t="shared" si="77"/>
        <v>40.391304347826086</v>
      </c>
      <c r="P964" s="17">
        <f t="shared" si="78"/>
        <v>8.3693693693693696</v>
      </c>
      <c r="Q964" s="17">
        <f t="shared" si="79"/>
        <v>0.39682454251883748</v>
      </c>
      <c r="R964" s="10" t="s">
        <v>1960</v>
      </c>
      <c r="S964" s="14" t="s">
        <v>26</v>
      </c>
      <c r="T964" s="14" t="s">
        <v>55</v>
      </c>
      <c r="U964" s="13">
        <v>18580</v>
      </c>
      <c r="V964" s="15">
        <v>1</v>
      </c>
      <c r="W964" s="9" t="str">
        <f>IF(Table1[[#This Row],[Satisfaction Rating]]&lt;2, "Low", IF(Table1[[#This Row],[Satisfaction Rating]]&lt;4, "Medium", "High"))</f>
        <v>Low</v>
      </c>
    </row>
    <row r="965" spans="1:23" ht="14" x14ac:dyDescent="0.2">
      <c r="A965" s="10" t="s">
        <v>1961</v>
      </c>
      <c r="B965" s="11">
        <v>45018.536666666667</v>
      </c>
      <c r="C965" s="11">
        <v>45421.23709490741</v>
      </c>
      <c r="D965" s="11" t="str">
        <f>IF(Table1[[#This Row],[Duration of Campaign]]=0, "Ongoing","Completed")</f>
        <v>Completed</v>
      </c>
      <c r="E965" s="12">
        <f>Table1[[#This Row],[End Date]]-Table1[[#This Row],[Start Date]]</f>
        <v>402.70042824074335</v>
      </c>
      <c r="F965" s="13">
        <v>2785</v>
      </c>
      <c r="G965" s="14" t="s">
        <v>29</v>
      </c>
      <c r="H965" s="15">
        <v>16400</v>
      </c>
      <c r="I965" s="15">
        <v>386</v>
      </c>
      <c r="J965" s="15">
        <v>314</v>
      </c>
      <c r="K965" s="16">
        <v>3193</v>
      </c>
      <c r="L965" s="17">
        <f t="shared" si="75"/>
        <v>2.3536585365853659E-2</v>
      </c>
      <c r="M965" s="17">
        <f t="shared" si="75"/>
        <v>0.81347150259067358</v>
      </c>
      <c r="N965" s="18">
        <f t="shared" si="76"/>
        <v>22.357512953367877</v>
      </c>
      <c r="O965" s="18">
        <f t="shared" si="77"/>
        <v>27.484076433121018</v>
      </c>
      <c r="P965" s="17">
        <f t="shared" si="78"/>
        <v>3.0987432675044881</v>
      </c>
      <c r="Q965" s="17">
        <f t="shared" si="79"/>
        <v>0.36998841251448433</v>
      </c>
      <c r="R965" s="10" t="s">
        <v>1962</v>
      </c>
      <c r="S965" s="14" t="s">
        <v>34</v>
      </c>
      <c r="T965" s="14" t="s">
        <v>55</v>
      </c>
      <c r="U965" s="13">
        <v>8630</v>
      </c>
      <c r="V965" s="15">
        <v>1</v>
      </c>
      <c r="W965" s="9" t="str">
        <f>IF(Table1[[#This Row],[Satisfaction Rating]]&lt;2, "Low", IF(Table1[[#This Row],[Satisfaction Rating]]&lt;4, "Medium", "High"))</f>
        <v>Low</v>
      </c>
    </row>
    <row r="966" spans="1:23" ht="14" x14ac:dyDescent="0.2">
      <c r="A966" s="10" t="s">
        <v>1963</v>
      </c>
      <c r="B966" s="11">
        <v>45562.538807870369</v>
      </c>
      <c r="C966" s="11">
        <v>45562.538807870369</v>
      </c>
      <c r="D966" s="11" t="str">
        <f>IF(Table1[[#This Row],[Duration of Campaign]]=0, "Ongoing","Completed")</f>
        <v>Ongoing</v>
      </c>
      <c r="E966" s="12">
        <f>Table1[[#This Row],[End Date]]-Table1[[#This Row],[Start Date]]</f>
        <v>0</v>
      </c>
      <c r="F966" s="13">
        <v>6131</v>
      </c>
      <c r="G966" s="14" t="s">
        <v>29</v>
      </c>
      <c r="H966" s="15">
        <v>1834</v>
      </c>
      <c r="I966" s="15">
        <v>1564</v>
      </c>
      <c r="J966" s="15">
        <v>388</v>
      </c>
      <c r="K966" s="16">
        <v>2972</v>
      </c>
      <c r="L966" s="17">
        <f t="shared" si="75"/>
        <v>0.85278080697928027</v>
      </c>
      <c r="M966" s="17">
        <f t="shared" si="75"/>
        <v>0.24808184143222506</v>
      </c>
      <c r="N966" s="18">
        <f t="shared" si="76"/>
        <v>6.3011508951406654</v>
      </c>
      <c r="O966" s="18">
        <f t="shared" si="77"/>
        <v>25.399484536082475</v>
      </c>
      <c r="P966" s="17">
        <f t="shared" si="78"/>
        <v>1.6074049910291959</v>
      </c>
      <c r="Q966" s="17">
        <f t="shared" si="79"/>
        <v>0.30157280568239475</v>
      </c>
      <c r="R966" s="10" t="s">
        <v>1964</v>
      </c>
      <c r="S966" s="14" t="s">
        <v>31</v>
      </c>
      <c r="T966" s="14" t="s">
        <v>27</v>
      </c>
      <c r="U966" s="13">
        <v>9855</v>
      </c>
      <c r="V966" s="15">
        <v>3</v>
      </c>
      <c r="W966" s="9" t="str">
        <f>IF(Table1[[#This Row],[Satisfaction Rating]]&lt;2, "Low", IF(Table1[[#This Row],[Satisfaction Rating]]&lt;4, "Medium", "High"))</f>
        <v>Medium</v>
      </c>
    </row>
    <row r="967" spans="1:23" ht="14" x14ac:dyDescent="0.2">
      <c r="A967" s="10" t="s">
        <v>1965</v>
      </c>
      <c r="B967" s="11">
        <v>45094.62740740741</v>
      </c>
      <c r="C967" s="11">
        <v>45094.62740740741</v>
      </c>
      <c r="D967" s="11" t="str">
        <f>IF(Table1[[#This Row],[Duration of Campaign]]=0, "Ongoing","Completed")</f>
        <v>Ongoing</v>
      </c>
      <c r="E967" s="12">
        <f>Table1[[#This Row],[End Date]]-Table1[[#This Row],[Start Date]]</f>
        <v>0</v>
      </c>
      <c r="F967" s="13">
        <v>4433</v>
      </c>
      <c r="G967" s="14" t="s">
        <v>24</v>
      </c>
      <c r="H967" s="15">
        <v>15587</v>
      </c>
      <c r="I967" s="15">
        <v>1650</v>
      </c>
      <c r="J967" s="15">
        <v>485</v>
      </c>
      <c r="K967" s="16">
        <v>5928</v>
      </c>
      <c r="L967" s="17">
        <f t="shared" si="75"/>
        <v>0.1058574453069866</v>
      </c>
      <c r="M967" s="17">
        <f t="shared" si="75"/>
        <v>0.29393939393939394</v>
      </c>
      <c r="N967" s="18">
        <f t="shared" si="76"/>
        <v>2.978787878787879</v>
      </c>
      <c r="O967" s="18">
        <f t="shared" si="77"/>
        <v>10.134020618556701</v>
      </c>
      <c r="P967" s="17">
        <f t="shared" si="78"/>
        <v>1.1087299796977217</v>
      </c>
      <c r="Q967" s="17">
        <f t="shared" si="79"/>
        <v>1.2061037639877925</v>
      </c>
      <c r="R967" s="10" t="s">
        <v>1966</v>
      </c>
      <c r="S967" s="14" t="s">
        <v>31</v>
      </c>
      <c r="T967" s="14" t="s">
        <v>55</v>
      </c>
      <c r="U967" s="13">
        <v>4915</v>
      </c>
      <c r="V967" s="15">
        <v>2</v>
      </c>
      <c r="W967" s="9" t="str">
        <f>IF(Table1[[#This Row],[Satisfaction Rating]]&lt;2, "Low", IF(Table1[[#This Row],[Satisfaction Rating]]&lt;4, "Medium", "High"))</f>
        <v>Medium</v>
      </c>
    </row>
    <row r="968" spans="1:23" ht="14" x14ac:dyDescent="0.2">
      <c r="A968" s="10" t="s">
        <v>1967</v>
      </c>
      <c r="B968" s="11">
        <v>45338.609733796293</v>
      </c>
      <c r="C968" s="11">
        <v>45342.539756944447</v>
      </c>
      <c r="D968" s="11" t="str">
        <f>IF(Table1[[#This Row],[Duration of Campaign]]=0, "Ongoing","Completed")</f>
        <v>Completed</v>
      </c>
      <c r="E968" s="12">
        <f>Table1[[#This Row],[End Date]]-Table1[[#This Row],[Start Date]]</f>
        <v>3.9300231481538503</v>
      </c>
      <c r="F968" s="13">
        <v>7773</v>
      </c>
      <c r="G968" s="14" t="s">
        <v>63</v>
      </c>
      <c r="H968" s="15">
        <v>6610</v>
      </c>
      <c r="I968" s="15">
        <v>307</v>
      </c>
      <c r="J968" s="15">
        <v>448</v>
      </c>
      <c r="K968" s="16">
        <v>10970</v>
      </c>
      <c r="L968" s="17">
        <f t="shared" si="75"/>
        <v>4.644478063540091E-2</v>
      </c>
      <c r="M968" s="17">
        <f t="shared" si="75"/>
        <v>1.4592833876221498</v>
      </c>
      <c r="N968" s="18">
        <f t="shared" si="76"/>
        <v>50.140065146579808</v>
      </c>
      <c r="O968" s="18">
        <f t="shared" si="77"/>
        <v>34.359375</v>
      </c>
      <c r="P968" s="17">
        <f t="shared" si="78"/>
        <v>1.9803164801235045</v>
      </c>
      <c r="Q968" s="17">
        <f t="shared" si="79"/>
        <v>0.71266159942831153</v>
      </c>
      <c r="R968" s="10" t="s">
        <v>1968</v>
      </c>
      <c r="S968" s="14" t="s">
        <v>45</v>
      </c>
      <c r="T968" s="14" t="s">
        <v>27</v>
      </c>
      <c r="U968" s="13">
        <v>15393</v>
      </c>
      <c r="V968" s="15">
        <v>2</v>
      </c>
      <c r="W968" s="9" t="str">
        <f>IF(Table1[[#This Row],[Satisfaction Rating]]&lt;2, "Low", IF(Table1[[#This Row],[Satisfaction Rating]]&lt;4, "Medium", "High"))</f>
        <v>Medium</v>
      </c>
    </row>
    <row r="969" spans="1:23" ht="14" x14ac:dyDescent="0.2">
      <c r="A969" s="10" t="s">
        <v>1969</v>
      </c>
      <c r="B969" s="11">
        <v>45460.054583333331</v>
      </c>
      <c r="C969" s="11">
        <v>45600.84611111111</v>
      </c>
      <c r="D969" s="11" t="str">
        <f>IF(Table1[[#This Row],[Duration of Campaign]]=0, "Ongoing","Completed")</f>
        <v>Completed</v>
      </c>
      <c r="E969" s="12">
        <f>Table1[[#This Row],[End Date]]-Table1[[#This Row],[Start Date]]</f>
        <v>140.79152777777927</v>
      </c>
      <c r="F969" s="13">
        <v>5301</v>
      </c>
      <c r="G969" s="14" t="s">
        <v>24</v>
      </c>
      <c r="H969" s="15">
        <v>2558</v>
      </c>
      <c r="I969" s="15">
        <v>954</v>
      </c>
      <c r="J969" s="15">
        <v>439</v>
      </c>
      <c r="K969" s="16">
        <v>14084</v>
      </c>
      <c r="L969" s="17">
        <f t="shared" si="75"/>
        <v>0.37294761532447224</v>
      </c>
      <c r="M969" s="17">
        <f t="shared" si="75"/>
        <v>0.46016771488469604</v>
      </c>
      <c r="N969" s="18">
        <f t="shared" si="76"/>
        <v>19.789308176100629</v>
      </c>
      <c r="O969" s="18">
        <f t="shared" si="77"/>
        <v>43.004555808656036</v>
      </c>
      <c r="P969" s="17">
        <f t="shared" si="78"/>
        <v>3.5614035087719298</v>
      </c>
      <c r="Q969" s="17">
        <f t="shared" si="79"/>
        <v>0.74601408972932892</v>
      </c>
      <c r="R969" s="10" t="s">
        <v>1970</v>
      </c>
      <c r="S969" s="14" t="s">
        <v>40</v>
      </c>
      <c r="T969" s="14" t="s">
        <v>27</v>
      </c>
      <c r="U969" s="13">
        <v>18879</v>
      </c>
      <c r="V969" s="15">
        <v>1</v>
      </c>
      <c r="W969" s="9" t="str">
        <f>IF(Table1[[#This Row],[Satisfaction Rating]]&lt;2, "Low", IF(Table1[[#This Row],[Satisfaction Rating]]&lt;4, "Medium", "High"))</f>
        <v>Low</v>
      </c>
    </row>
    <row r="970" spans="1:23" ht="14" x14ac:dyDescent="0.2">
      <c r="A970" s="10" t="s">
        <v>1971</v>
      </c>
      <c r="B970" s="11">
        <v>45164.243506944447</v>
      </c>
      <c r="C970" s="11">
        <v>45182.723657407405</v>
      </c>
      <c r="D970" s="11" t="str">
        <f>IF(Table1[[#This Row],[Duration of Campaign]]=0, "Ongoing","Completed")</f>
        <v>Completed</v>
      </c>
      <c r="E970" s="12">
        <f>Table1[[#This Row],[End Date]]-Table1[[#This Row],[Start Date]]</f>
        <v>18.480150462957681</v>
      </c>
      <c r="F970" s="13">
        <v>7551</v>
      </c>
      <c r="G970" s="14" t="s">
        <v>24</v>
      </c>
      <c r="H970" s="15">
        <v>18571</v>
      </c>
      <c r="I970" s="15">
        <v>1866</v>
      </c>
      <c r="J970" s="15">
        <v>296</v>
      </c>
      <c r="K970" s="16">
        <v>7106</v>
      </c>
      <c r="L970" s="17">
        <f t="shared" si="75"/>
        <v>0.10047924182865758</v>
      </c>
      <c r="M970" s="17">
        <f t="shared" si="75"/>
        <v>0.15862808145766344</v>
      </c>
      <c r="N970" s="18">
        <f t="shared" si="76"/>
        <v>6.030010718113612</v>
      </c>
      <c r="O970" s="18">
        <f t="shared" si="77"/>
        <v>38.013513513513516</v>
      </c>
      <c r="P970" s="17">
        <f t="shared" si="78"/>
        <v>1.4901337571182625</v>
      </c>
      <c r="Q970" s="17">
        <f t="shared" si="79"/>
        <v>0.6315321720583007</v>
      </c>
      <c r="R970" s="10" t="s">
        <v>1972</v>
      </c>
      <c r="S970" s="14" t="s">
        <v>31</v>
      </c>
      <c r="T970" s="14" t="s">
        <v>37</v>
      </c>
      <c r="U970" s="13">
        <v>11252</v>
      </c>
      <c r="V970" s="15">
        <v>3</v>
      </c>
      <c r="W970" s="9" t="str">
        <f>IF(Table1[[#This Row],[Satisfaction Rating]]&lt;2, "Low", IF(Table1[[#This Row],[Satisfaction Rating]]&lt;4, "Medium", "High"))</f>
        <v>Medium</v>
      </c>
    </row>
    <row r="971" spans="1:23" ht="14" x14ac:dyDescent="0.2">
      <c r="A971" s="10" t="s">
        <v>1973</v>
      </c>
      <c r="B971" s="11">
        <v>45305.628703703704</v>
      </c>
      <c r="C971" s="11">
        <v>45305.628703703704</v>
      </c>
      <c r="D971" s="11" t="str">
        <f>IF(Table1[[#This Row],[Duration of Campaign]]=0, "Ongoing","Completed")</f>
        <v>Ongoing</v>
      </c>
      <c r="E971" s="12">
        <f>Table1[[#This Row],[End Date]]-Table1[[#This Row],[Start Date]]</f>
        <v>0</v>
      </c>
      <c r="F971" s="13">
        <v>9125</v>
      </c>
      <c r="G971" s="14" t="s">
        <v>29</v>
      </c>
      <c r="H971" s="15">
        <v>13787</v>
      </c>
      <c r="I971" s="15">
        <v>850</v>
      </c>
      <c r="J971" s="15">
        <v>455</v>
      </c>
      <c r="K971" s="16">
        <v>741</v>
      </c>
      <c r="L971" s="17">
        <f t="shared" si="75"/>
        <v>6.1652281134401972E-2</v>
      </c>
      <c r="M971" s="17">
        <f t="shared" si="75"/>
        <v>0.53529411764705881</v>
      </c>
      <c r="N971" s="18">
        <f t="shared" si="76"/>
        <v>19.182352941176472</v>
      </c>
      <c r="O971" s="18">
        <f t="shared" si="77"/>
        <v>35.835164835164832</v>
      </c>
      <c r="P971" s="17">
        <f t="shared" si="78"/>
        <v>1.7868493150684932</v>
      </c>
      <c r="Q971" s="17">
        <f t="shared" si="79"/>
        <v>4.5446182152713892E-2</v>
      </c>
      <c r="R971" s="10" t="s">
        <v>1974</v>
      </c>
      <c r="S971" s="14" t="s">
        <v>40</v>
      </c>
      <c r="T971" s="14" t="s">
        <v>27</v>
      </c>
      <c r="U971" s="13">
        <v>16305</v>
      </c>
      <c r="V971" s="15">
        <v>4</v>
      </c>
      <c r="W971" s="9" t="str">
        <f>IF(Table1[[#This Row],[Satisfaction Rating]]&lt;2, "Low", IF(Table1[[#This Row],[Satisfaction Rating]]&lt;4, "Medium", "High"))</f>
        <v>High</v>
      </c>
    </row>
    <row r="972" spans="1:23" ht="14" x14ac:dyDescent="0.2">
      <c r="A972" s="10" t="s">
        <v>1975</v>
      </c>
      <c r="B972" s="11">
        <v>45009.207754629628</v>
      </c>
      <c r="C972" s="11">
        <v>45619.110312500001</v>
      </c>
      <c r="D972" s="11" t="str">
        <f>IF(Table1[[#This Row],[Duration of Campaign]]=0, "Ongoing","Completed")</f>
        <v>Completed</v>
      </c>
      <c r="E972" s="12">
        <f>Table1[[#This Row],[End Date]]-Table1[[#This Row],[Start Date]]</f>
        <v>609.90255787037313</v>
      </c>
      <c r="F972" s="13">
        <v>6973</v>
      </c>
      <c r="G972" s="14" t="s">
        <v>24</v>
      </c>
      <c r="H972" s="15">
        <v>4342</v>
      </c>
      <c r="I972" s="15">
        <v>103</v>
      </c>
      <c r="J972" s="15">
        <v>114</v>
      </c>
      <c r="K972" s="16">
        <v>8729</v>
      </c>
      <c r="L972" s="17">
        <f t="shared" si="75"/>
        <v>2.3721787194841085E-2</v>
      </c>
      <c r="M972" s="17">
        <f t="shared" si="75"/>
        <v>1.1067961165048543</v>
      </c>
      <c r="N972" s="18">
        <f t="shared" si="76"/>
        <v>144.20388349514562</v>
      </c>
      <c r="O972" s="18">
        <f t="shared" si="77"/>
        <v>130.28947368421052</v>
      </c>
      <c r="P972" s="17">
        <f t="shared" si="78"/>
        <v>2.1300731392513983</v>
      </c>
      <c r="Q972" s="17">
        <f t="shared" si="79"/>
        <v>0.58769272200902178</v>
      </c>
      <c r="R972" s="10" t="s">
        <v>1976</v>
      </c>
      <c r="S972" s="14" t="s">
        <v>40</v>
      </c>
      <c r="T972" s="14" t="s">
        <v>55</v>
      </c>
      <c r="U972" s="13">
        <v>14853</v>
      </c>
      <c r="V972" s="15">
        <v>2</v>
      </c>
      <c r="W972" s="9" t="str">
        <f>IF(Table1[[#This Row],[Satisfaction Rating]]&lt;2, "Low", IF(Table1[[#This Row],[Satisfaction Rating]]&lt;4, "Medium", "High"))</f>
        <v>Medium</v>
      </c>
    </row>
    <row r="973" spans="1:23" ht="14" x14ac:dyDescent="0.2">
      <c r="A973" s="10" t="s">
        <v>1977</v>
      </c>
      <c r="B973" s="11">
        <v>45054.087280092594</v>
      </c>
      <c r="C973" s="11">
        <v>45230.695335648146</v>
      </c>
      <c r="D973" s="11" t="str">
        <f>IF(Table1[[#This Row],[Duration of Campaign]]=0, "Ongoing","Completed")</f>
        <v>Completed</v>
      </c>
      <c r="E973" s="12">
        <f>Table1[[#This Row],[End Date]]-Table1[[#This Row],[Start Date]]</f>
        <v>176.60805555555271</v>
      </c>
      <c r="F973" s="13">
        <v>9983</v>
      </c>
      <c r="G973" s="14" t="s">
        <v>47</v>
      </c>
      <c r="H973" s="15">
        <v>13637</v>
      </c>
      <c r="I973" s="15">
        <v>360</v>
      </c>
      <c r="J973" s="15">
        <v>427</v>
      </c>
      <c r="K973" s="16">
        <v>10816</v>
      </c>
      <c r="L973" s="17">
        <f t="shared" si="75"/>
        <v>2.6398768057490651E-2</v>
      </c>
      <c r="M973" s="17">
        <f t="shared" si="75"/>
        <v>1.1861111111111111</v>
      </c>
      <c r="N973" s="18">
        <f t="shared" si="76"/>
        <v>23.866666666666667</v>
      </c>
      <c r="O973" s="18">
        <f t="shared" si="77"/>
        <v>20.121779859484779</v>
      </c>
      <c r="P973" s="17">
        <f t="shared" si="78"/>
        <v>0.8606631273164379</v>
      </c>
      <c r="Q973" s="17">
        <f t="shared" si="79"/>
        <v>1.2588454376163873</v>
      </c>
      <c r="R973" s="10" t="s">
        <v>1978</v>
      </c>
      <c r="S973" s="14" t="s">
        <v>31</v>
      </c>
      <c r="T973" s="14" t="s">
        <v>55</v>
      </c>
      <c r="U973" s="13">
        <v>8592</v>
      </c>
      <c r="V973" s="15">
        <v>4</v>
      </c>
      <c r="W973" s="9" t="str">
        <f>IF(Table1[[#This Row],[Satisfaction Rating]]&lt;2, "Low", IF(Table1[[#This Row],[Satisfaction Rating]]&lt;4, "Medium", "High"))</f>
        <v>High</v>
      </c>
    </row>
    <row r="974" spans="1:23" ht="14" x14ac:dyDescent="0.2">
      <c r="A974" s="10" t="s">
        <v>1979</v>
      </c>
      <c r="B974" s="11">
        <v>45023.98164351852</v>
      </c>
      <c r="C974" s="11">
        <v>45126.787569444445</v>
      </c>
      <c r="D974" s="11" t="str">
        <f>IF(Table1[[#This Row],[Duration of Campaign]]=0, "Ongoing","Completed")</f>
        <v>Completed</v>
      </c>
      <c r="E974" s="12">
        <f>Table1[[#This Row],[End Date]]-Table1[[#This Row],[Start Date]]</f>
        <v>102.80592592592438</v>
      </c>
      <c r="F974" s="13">
        <v>6547</v>
      </c>
      <c r="G974" s="14" t="s">
        <v>24</v>
      </c>
      <c r="H974" s="15">
        <v>5419</v>
      </c>
      <c r="I974" s="15">
        <v>413</v>
      </c>
      <c r="J974" s="15">
        <v>34</v>
      </c>
      <c r="K974" s="16">
        <v>3844</v>
      </c>
      <c r="L974" s="17">
        <f t="shared" si="75"/>
        <v>7.6213323491419085E-2</v>
      </c>
      <c r="M974" s="17">
        <f t="shared" si="75"/>
        <v>8.2324455205811137E-2</v>
      </c>
      <c r="N974" s="18">
        <f t="shared" si="76"/>
        <v>45.893462469733656</v>
      </c>
      <c r="O974" s="18">
        <f t="shared" si="77"/>
        <v>557.47058823529414</v>
      </c>
      <c r="P974" s="17">
        <f t="shared" si="78"/>
        <v>2.8950664426454864</v>
      </c>
      <c r="Q974" s="17">
        <f t="shared" si="79"/>
        <v>0.20280679539938798</v>
      </c>
      <c r="R974" s="10" t="s">
        <v>1980</v>
      </c>
      <c r="S974" s="14" t="s">
        <v>40</v>
      </c>
      <c r="T974" s="14" t="s">
        <v>37</v>
      </c>
      <c r="U974" s="13">
        <v>18954</v>
      </c>
      <c r="V974" s="15">
        <v>3</v>
      </c>
      <c r="W974" s="9" t="str">
        <f>IF(Table1[[#This Row],[Satisfaction Rating]]&lt;2, "Low", IF(Table1[[#This Row],[Satisfaction Rating]]&lt;4, "Medium", "High"))</f>
        <v>Medium</v>
      </c>
    </row>
    <row r="975" spans="1:23" ht="14" x14ac:dyDescent="0.2">
      <c r="A975" s="10" t="s">
        <v>1981</v>
      </c>
      <c r="B975" s="11">
        <v>45622.721087962964</v>
      </c>
      <c r="C975" s="11">
        <v>45622.721087962964</v>
      </c>
      <c r="D975" s="11" t="str">
        <f>IF(Table1[[#This Row],[Duration of Campaign]]=0, "Ongoing","Completed")</f>
        <v>Ongoing</v>
      </c>
      <c r="E975" s="12">
        <f>Table1[[#This Row],[End Date]]-Table1[[#This Row],[Start Date]]</f>
        <v>0</v>
      </c>
      <c r="F975" s="13">
        <v>3538</v>
      </c>
      <c r="G975" s="14" t="s">
        <v>24</v>
      </c>
      <c r="H975" s="15">
        <v>5433</v>
      </c>
      <c r="I975" s="15">
        <v>743</v>
      </c>
      <c r="J975" s="15">
        <v>304</v>
      </c>
      <c r="K975" s="16">
        <v>3424</v>
      </c>
      <c r="L975" s="17">
        <f t="shared" si="75"/>
        <v>0.13675685624884962</v>
      </c>
      <c r="M975" s="17">
        <f t="shared" si="75"/>
        <v>0.40915208613728127</v>
      </c>
      <c r="N975" s="18">
        <f t="shared" si="76"/>
        <v>22.646029609690444</v>
      </c>
      <c r="O975" s="18">
        <f t="shared" si="77"/>
        <v>55.348684210526315</v>
      </c>
      <c r="P975" s="17">
        <f t="shared" si="78"/>
        <v>4.7557942340305255</v>
      </c>
      <c r="Q975" s="17">
        <f t="shared" si="79"/>
        <v>0.2034945917033163</v>
      </c>
      <c r="R975" s="10" t="s">
        <v>1982</v>
      </c>
      <c r="S975" s="14" t="s">
        <v>40</v>
      </c>
      <c r="T975" s="14" t="s">
        <v>55</v>
      </c>
      <c r="U975" s="13">
        <v>16826</v>
      </c>
      <c r="V975" s="15">
        <v>1</v>
      </c>
      <c r="W975" s="9" t="str">
        <f>IF(Table1[[#This Row],[Satisfaction Rating]]&lt;2, "Low", IF(Table1[[#This Row],[Satisfaction Rating]]&lt;4, "Medium", "High"))</f>
        <v>Low</v>
      </c>
    </row>
    <row r="976" spans="1:23" ht="14" x14ac:dyDescent="0.2">
      <c r="A976" s="10" t="s">
        <v>1983</v>
      </c>
      <c r="B976" s="11">
        <v>45187.243344907409</v>
      </c>
      <c r="C976" s="11">
        <v>45332.441261574073</v>
      </c>
      <c r="D976" s="11" t="str">
        <f>IF(Table1[[#This Row],[Duration of Campaign]]=0, "Ongoing","Completed")</f>
        <v>Completed</v>
      </c>
      <c r="E976" s="12">
        <f>Table1[[#This Row],[End Date]]-Table1[[#This Row],[Start Date]]</f>
        <v>145.19791666666424</v>
      </c>
      <c r="F976" s="13">
        <v>5356</v>
      </c>
      <c r="G976" s="14" t="s">
        <v>29</v>
      </c>
      <c r="H976" s="15">
        <v>6493</v>
      </c>
      <c r="I976" s="15">
        <v>1072</v>
      </c>
      <c r="J976" s="15">
        <v>118</v>
      </c>
      <c r="K976" s="16">
        <v>3135</v>
      </c>
      <c r="L976" s="17">
        <f t="shared" si="75"/>
        <v>0.16510087786847374</v>
      </c>
      <c r="M976" s="17">
        <f t="shared" si="75"/>
        <v>0.11007462686567164</v>
      </c>
      <c r="N976" s="18">
        <f t="shared" si="76"/>
        <v>1.8320895522388059</v>
      </c>
      <c r="O976" s="18">
        <f t="shared" si="77"/>
        <v>16.64406779661017</v>
      </c>
      <c r="P976" s="17">
        <f t="shared" si="78"/>
        <v>0.36669156086631816</v>
      </c>
      <c r="Q976" s="17">
        <f t="shared" si="79"/>
        <v>1.5962321792260692</v>
      </c>
      <c r="R976" s="10" t="s">
        <v>1984</v>
      </c>
      <c r="S976" s="14" t="s">
        <v>34</v>
      </c>
      <c r="T976" s="14" t="s">
        <v>37</v>
      </c>
      <c r="U976" s="13">
        <v>1964</v>
      </c>
      <c r="V976" s="15">
        <v>1</v>
      </c>
      <c r="W976" s="9" t="str">
        <f>IF(Table1[[#This Row],[Satisfaction Rating]]&lt;2, "Low", IF(Table1[[#This Row],[Satisfaction Rating]]&lt;4, "Medium", "High"))</f>
        <v>Low</v>
      </c>
    </row>
    <row r="977" spans="1:23" ht="14" x14ac:dyDescent="0.2">
      <c r="A977" s="10" t="s">
        <v>1985</v>
      </c>
      <c r="B977" s="11">
        <v>45066.997442129628</v>
      </c>
      <c r="C977" s="11">
        <v>45066.997442129628</v>
      </c>
      <c r="D977" s="11" t="str">
        <f>IF(Table1[[#This Row],[Duration of Campaign]]=0, "Ongoing","Completed")</f>
        <v>Ongoing</v>
      </c>
      <c r="E977" s="12">
        <f>Table1[[#This Row],[End Date]]-Table1[[#This Row],[Start Date]]</f>
        <v>0</v>
      </c>
      <c r="F977" s="13">
        <v>1535</v>
      </c>
      <c r="G977" s="14" t="s">
        <v>47</v>
      </c>
      <c r="H977" s="15">
        <v>9871</v>
      </c>
      <c r="I977" s="15">
        <v>681</v>
      </c>
      <c r="J977" s="15">
        <v>431</v>
      </c>
      <c r="K977" s="16">
        <v>11832</v>
      </c>
      <c r="L977" s="17">
        <f t="shared" si="75"/>
        <v>6.8989970621011046E-2</v>
      </c>
      <c r="M977" s="17">
        <f t="shared" si="75"/>
        <v>0.63289280469897213</v>
      </c>
      <c r="N977" s="18">
        <f t="shared" si="76"/>
        <v>2.707782672540382</v>
      </c>
      <c r="O977" s="18">
        <f t="shared" si="77"/>
        <v>4.2784222737819029</v>
      </c>
      <c r="P977" s="17">
        <f t="shared" si="78"/>
        <v>1.2013029315960913</v>
      </c>
      <c r="Q977" s="17">
        <f t="shared" si="79"/>
        <v>6.4164859002169194</v>
      </c>
      <c r="R977" s="10" t="s">
        <v>1986</v>
      </c>
      <c r="S977" s="14" t="s">
        <v>26</v>
      </c>
      <c r="T977" s="14" t="s">
        <v>37</v>
      </c>
      <c r="U977" s="13">
        <v>1844</v>
      </c>
      <c r="V977" s="15">
        <v>1</v>
      </c>
      <c r="W977" s="9" t="str">
        <f>IF(Table1[[#This Row],[Satisfaction Rating]]&lt;2, "Low", IF(Table1[[#This Row],[Satisfaction Rating]]&lt;4, "Medium", "High"))</f>
        <v>Low</v>
      </c>
    </row>
    <row r="978" spans="1:23" ht="14" x14ac:dyDescent="0.2">
      <c r="A978" s="10" t="s">
        <v>1987</v>
      </c>
      <c r="B978" s="11">
        <v>45317.272083333337</v>
      </c>
      <c r="C978" s="11">
        <v>45511.294409722221</v>
      </c>
      <c r="D978" s="11" t="str">
        <f>IF(Table1[[#This Row],[Duration of Campaign]]=0, "Ongoing","Completed")</f>
        <v>Completed</v>
      </c>
      <c r="E978" s="12">
        <f>Table1[[#This Row],[End Date]]-Table1[[#This Row],[Start Date]]</f>
        <v>194.02232638888381</v>
      </c>
      <c r="F978" s="13">
        <v>3875</v>
      </c>
      <c r="G978" s="14" t="s">
        <v>24</v>
      </c>
      <c r="H978" s="15">
        <v>17034</v>
      </c>
      <c r="I978" s="15">
        <v>1793</v>
      </c>
      <c r="J978" s="15">
        <v>84</v>
      </c>
      <c r="K978" s="16">
        <v>7283</v>
      </c>
      <c r="L978" s="17">
        <f t="shared" si="75"/>
        <v>0.10526006809909592</v>
      </c>
      <c r="M978" s="17">
        <f t="shared" si="75"/>
        <v>4.6848856664807585E-2</v>
      </c>
      <c r="N978" s="18">
        <f t="shared" si="76"/>
        <v>2.5013943112102623</v>
      </c>
      <c r="O978" s="18">
        <f t="shared" si="77"/>
        <v>53.392857142857146</v>
      </c>
      <c r="P978" s="17">
        <f t="shared" si="78"/>
        <v>1.1574193548387097</v>
      </c>
      <c r="Q978" s="17">
        <f t="shared" si="79"/>
        <v>1.6238573021181717</v>
      </c>
      <c r="R978" s="10" t="s">
        <v>1988</v>
      </c>
      <c r="S978" s="14" t="s">
        <v>26</v>
      </c>
      <c r="T978" s="14" t="s">
        <v>27</v>
      </c>
      <c r="U978" s="13">
        <v>4485</v>
      </c>
      <c r="V978" s="15">
        <v>5</v>
      </c>
      <c r="W978" s="9" t="str">
        <f>IF(Table1[[#This Row],[Satisfaction Rating]]&lt;2, "Low", IF(Table1[[#This Row],[Satisfaction Rating]]&lt;4, "Medium", "High"))</f>
        <v>High</v>
      </c>
    </row>
    <row r="979" spans="1:23" ht="14" x14ac:dyDescent="0.2">
      <c r="A979" s="10" t="s">
        <v>1989</v>
      </c>
      <c r="B979" s="11">
        <v>45638.709224537037</v>
      </c>
      <c r="C979" s="11">
        <v>45638.709224537037</v>
      </c>
      <c r="D979" s="11" t="str">
        <f>IF(Table1[[#This Row],[Duration of Campaign]]=0, "Ongoing","Completed")</f>
        <v>Ongoing</v>
      </c>
      <c r="E979" s="12">
        <f>Table1[[#This Row],[End Date]]-Table1[[#This Row],[Start Date]]</f>
        <v>0</v>
      </c>
      <c r="F979" s="13">
        <v>1013</v>
      </c>
      <c r="G979" s="14" t="s">
        <v>63</v>
      </c>
      <c r="H979" s="15">
        <v>14004</v>
      </c>
      <c r="I979" s="15">
        <v>618</v>
      </c>
      <c r="J979" s="15">
        <v>189</v>
      </c>
      <c r="K979" s="16">
        <v>6577</v>
      </c>
      <c r="L979" s="17">
        <f t="shared" si="75"/>
        <v>4.4130248500428446E-2</v>
      </c>
      <c r="M979" s="17">
        <f t="shared" si="75"/>
        <v>0.30582524271844658</v>
      </c>
      <c r="N979" s="18">
        <f t="shared" si="76"/>
        <v>30.542071197411005</v>
      </c>
      <c r="O979" s="18">
        <f t="shared" si="77"/>
        <v>99.867724867724874</v>
      </c>
      <c r="P979" s="17">
        <f t="shared" si="78"/>
        <v>18.632773938795655</v>
      </c>
      <c r="Q979" s="17">
        <f t="shared" si="79"/>
        <v>0.34845033112582779</v>
      </c>
      <c r="R979" s="10" t="s">
        <v>1990</v>
      </c>
      <c r="S979" s="14" t="s">
        <v>31</v>
      </c>
      <c r="T979" s="14" t="s">
        <v>37</v>
      </c>
      <c r="U979" s="13">
        <v>18875</v>
      </c>
      <c r="V979" s="15">
        <v>2</v>
      </c>
      <c r="W979" s="9" t="str">
        <f>IF(Table1[[#This Row],[Satisfaction Rating]]&lt;2, "Low", IF(Table1[[#This Row],[Satisfaction Rating]]&lt;4, "Medium", "High"))</f>
        <v>Medium</v>
      </c>
    </row>
    <row r="980" spans="1:23" ht="14" x14ac:dyDescent="0.2">
      <c r="A980" s="10" t="s">
        <v>1991</v>
      </c>
      <c r="B980" s="11">
        <v>45253.534074074072</v>
      </c>
      <c r="C980" s="11">
        <v>45253.534074074072</v>
      </c>
      <c r="D980" s="11" t="str">
        <f>IF(Table1[[#This Row],[Duration of Campaign]]=0, "Ongoing","Completed")</f>
        <v>Ongoing</v>
      </c>
      <c r="E980" s="12">
        <f>Table1[[#This Row],[End Date]]-Table1[[#This Row],[Start Date]]</f>
        <v>0</v>
      </c>
      <c r="F980" s="13">
        <v>2468</v>
      </c>
      <c r="G980" s="14" t="s">
        <v>24</v>
      </c>
      <c r="H980" s="15">
        <v>1866</v>
      </c>
      <c r="I980" s="15">
        <v>501</v>
      </c>
      <c r="J980" s="15">
        <v>37</v>
      </c>
      <c r="K980" s="16">
        <v>6876</v>
      </c>
      <c r="L980" s="17">
        <f t="shared" si="75"/>
        <v>0.26848874598070738</v>
      </c>
      <c r="M980" s="17">
        <f t="shared" si="75"/>
        <v>7.3852295409181631E-2</v>
      </c>
      <c r="N980" s="18">
        <f t="shared" si="76"/>
        <v>28.606786427145707</v>
      </c>
      <c r="O980" s="18">
        <f t="shared" si="77"/>
        <v>387.35135135135135</v>
      </c>
      <c r="P980" s="17">
        <f t="shared" si="78"/>
        <v>5.8071312803889787</v>
      </c>
      <c r="Q980" s="17">
        <f t="shared" si="79"/>
        <v>0.47976555958693834</v>
      </c>
      <c r="R980" s="10" t="s">
        <v>1992</v>
      </c>
      <c r="S980" s="14" t="s">
        <v>34</v>
      </c>
      <c r="T980" s="14" t="s">
        <v>37</v>
      </c>
      <c r="U980" s="13">
        <v>14332</v>
      </c>
      <c r="V980" s="15">
        <v>2</v>
      </c>
      <c r="W980" s="9" t="str">
        <f>IF(Table1[[#This Row],[Satisfaction Rating]]&lt;2, "Low", IF(Table1[[#This Row],[Satisfaction Rating]]&lt;4, "Medium", "High"))</f>
        <v>Medium</v>
      </c>
    </row>
    <row r="981" spans="1:23" ht="14" x14ac:dyDescent="0.2">
      <c r="A981" s="10" t="s">
        <v>1993</v>
      </c>
      <c r="B981" s="11">
        <v>44985.062627314815</v>
      </c>
      <c r="C981" s="11">
        <v>45629.57912037037</v>
      </c>
      <c r="D981" s="11" t="str">
        <f>IF(Table1[[#This Row],[Duration of Campaign]]=0, "Ongoing","Completed")</f>
        <v>Completed</v>
      </c>
      <c r="E981" s="12">
        <f>Table1[[#This Row],[End Date]]-Table1[[#This Row],[Start Date]]</f>
        <v>644.51649305555475</v>
      </c>
      <c r="F981" s="13">
        <v>4597</v>
      </c>
      <c r="G981" s="14" t="s">
        <v>29</v>
      </c>
      <c r="H981" s="15">
        <v>5380</v>
      </c>
      <c r="I981" s="15">
        <v>171</v>
      </c>
      <c r="J981" s="15">
        <v>75</v>
      </c>
      <c r="K981" s="16">
        <v>3503</v>
      </c>
      <c r="L981" s="17">
        <f t="shared" si="75"/>
        <v>3.1784386617100369E-2</v>
      </c>
      <c r="M981" s="17">
        <f t="shared" si="75"/>
        <v>0.43859649122807015</v>
      </c>
      <c r="N981" s="18">
        <f t="shared" si="76"/>
        <v>34.192982456140349</v>
      </c>
      <c r="O981" s="18">
        <f t="shared" si="77"/>
        <v>77.959999999999994</v>
      </c>
      <c r="P981" s="17">
        <f t="shared" si="78"/>
        <v>1.2719164672612573</v>
      </c>
      <c r="Q981" s="17">
        <f t="shared" si="79"/>
        <v>0.59911065503677097</v>
      </c>
      <c r="R981" s="10" t="s">
        <v>1994</v>
      </c>
      <c r="S981" s="14" t="s">
        <v>45</v>
      </c>
      <c r="T981" s="14" t="s">
        <v>37</v>
      </c>
      <c r="U981" s="13">
        <v>5847</v>
      </c>
      <c r="V981" s="15">
        <v>1</v>
      </c>
      <c r="W981" s="9" t="str">
        <f>IF(Table1[[#This Row],[Satisfaction Rating]]&lt;2, "Low", IF(Table1[[#This Row],[Satisfaction Rating]]&lt;4, "Medium", "High"))</f>
        <v>Low</v>
      </c>
    </row>
    <row r="982" spans="1:23" ht="14" x14ac:dyDescent="0.2">
      <c r="A982" s="10" t="s">
        <v>1995</v>
      </c>
      <c r="B982" s="11">
        <v>45565.793923611112</v>
      </c>
      <c r="C982" s="11">
        <v>45565.793923611112</v>
      </c>
      <c r="D982" s="11" t="str">
        <f>IF(Table1[[#This Row],[Duration of Campaign]]=0, "Ongoing","Completed")</f>
        <v>Ongoing</v>
      </c>
      <c r="E982" s="12">
        <f>Table1[[#This Row],[End Date]]-Table1[[#This Row],[Start Date]]</f>
        <v>0</v>
      </c>
      <c r="F982" s="13">
        <v>6797</v>
      </c>
      <c r="G982" s="14" t="s">
        <v>24</v>
      </c>
      <c r="H982" s="15">
        <v>2724</v>
      </c>
      <c r="I982" s="15">
        <v>196</v>
      </c>
      <c r="J982" s="15">
        <v>405</v>
      </c>
      <c r="K982" s="16">
        <v>11028</v>
      </c>
      <c r="L982" s="17">
        <f t="shared" si="75"/>
        <v>7.1953010279001473E-2</v>
      </c>
      <c r="M982" s="17">
        <f t="shared" si="75"/>
        <v>2.0663265306122449</v>
      </c>
      <c r="N982" s="18">
        <f t="shared" si="76"/>
        <v>18.596938775510203</v>
      </c>
      <c r="O982" s="18">
        <f t="shared" si="77"/>
        <v>9</v>
      </c>
      <c r="P982" s="17">
        <f t="shared" si="78"/>
        <v>0.53626599970575251</v>
      </c>
      <c r="Q982" s="17">
        <f t="shared" si="79"/>
        <v>3.0255144032921812</v>
      </c>
      <c r="R982" s="10" t="s">
        <v>1996</v>
      </c>
      <c r="S982" s="14" t="s">
        <v>31</v>
      </c>
      <c r="T982" s="14" t="s">
        <v>55</v>
      </c>
      <c r="U982" s="13">
        <v>3645</v>
      </c>
      <c r="V982" s="15">
        <v>2</v>
      </c>
      <c r="W982" s="9" t="str">
        <f>IF(Table1[[#This Row],[Satisfaction Rating]]&lt;2, "Low", IF(Table1[[#This Row],[Satisfaction Rating]]&lt;4, "Medium", "High"))</f>
        <v>Medium</v>
      </c>
    </row>
    <row r="983" spans="1:23" ht="14" x14ac:dyDescent="0.2">
      <c r="A983" s="10" t="s">
        <v>1997</v>
      </c>
      <c r="B983" s="11">
        <v>45536.377569444441</v>
      </c>
      <c r="C983" s="11">
        <v>45540.808483796296</v>
      </c>
      <c r="D983" s="11" t="str">
        <f>IF(Table1[[#This Row],[Duration of Campaign]]=0, "Ongoing","Completed")</f>
        <v>Completed</v>
      </c>
      <c r="E983" s="12">
        <f>Table1[[#This Row],[End Date]]-Table1[[#This Row],[Start Date]]</f>
        <v>4.4309143518548808</v>
      </c>
      <c r="F983" s="13">
        <v>9183</v>
      </c>
      <c r="G983" s="14" t="s">
        <v>24</v>
      </c>
      <c r="H983" s="15">
        <v>7299</v>
      </c>
      <c r="I983" s="15">
        <v>495</v>
      </c>
      <c r="J983" s="15">
        <v>303</v>
      </c>
      <c r="K983" s="16">
        <v>6644</v>
      </c>
      <c r="L983" s="17">
        <f t="shared" si="75"/>
        <v>6.7817509247842175E-2</v>
      </c>
      <c r="M983" s="17">
        <f t="shared" si="75"/>
        <v>0.61212121212121207</v>
      </c>
      <c r="N983" s="18">
        <f t="shared" si="76"/>
        <v>2.3737373737373737</v>
      </c>
      <c r="O983" s="18">
        <f t="shared" si="77"/>
        <v>3.8778877887788781</v>
      </c>
      <c r="P983" s="17">
        <f t="shared" si="78"/>
        <v>0.1279538277251443</v>
      </c>
      <c r="Q983" s="17">
        <f t="shared" si="79"/>
        <v>5.6544680851063829</v>
      </c>
      <c r="R983" s="10" t="s">
        <v>1998</v>
      </c>
      <c r="S983" s="14" t="s">
        <v>45</v>
      </c>
      <c r="T983" s="14" t="s">
        <v>37</v>
      </c>
      <c r="U983" s="13">
        <v>1175</v>
      </c>
      <c r="V983" s="15">
        <v>4</v>
      </c>
      <c r="W983" s="9" t="str">
        <f>IF(Table1[[#This Row],[Satisfaction Rating]]&lt;2, "Low", IF(Table1[[#This Row],[Satisfaction Rating]]&lt;4, "Medium", "High"))</f>
        <v>High</v>
      </c>
    </row>
    <row r="984" spans="1:23" ht="14" x14ac:dyDescent="0.2">
      <c r="A984" s="10" t="s">
        <v>1999</v>
      </c>
      <c r="B984" s="11">
        <v>44986.989548611113</v>
      </c>
      <c r="C984" s="11">
        <v>45004.826944444445</v>
      </c>
      <c r="D984" s="11" t="str">
        <f>IF(Table1[[#This Row],[Duration of Campaign]]=0, "Ongoing","Completed")</f>
        <v>Completed</v>
      </c>
      <c r="E984" s="12">
        <f>Table1[[#This Row],[End Date]]-Table1[[#This Row],[Start Date]]</f>
        <v>17.837395833332266</v>
      </c>
      <c r="F984" s="13">
        <v>5843</v>
      </c>
      <c r="G984" s="14" t="s">
        <v>63</v>
      </c>
      <c r="H984" s="15">
        <v>12133</v>
      </c>
      <c r="I984" s="15">
        <v>680</v>
      </c>
      <c r="J984" s="15">
        <v>470</v>
      </c>
      <c r="K984" s="16">
        <v>6794</v>
      </c>
      <c r="L984" s="17">
        <f t="shared" si="75"/>
        <v>5.6045495755377893E-2</v>
      </c>
      <c r="M984" s="17">
        <f t="shared" si="75"/>
        <v>0.69117647058823528</v>
      </c>
      <c r="N984" s="18">
        <f t="shared" si="76"/>
        <v>16.319117647058825</v>
      </c>
      <c r="O984" s="18">
        <f t="shared" si="77"/>
        <v>23.610638297872342</v>
      </c>
      <c r="P984" s="17">
        <f t="shared" si="78"/>
        <v>1.8991956186890295</v>
      </c>
      <c r="Q984" s="17">
        <f t="shared" si="79"/>
        <v>0.61223754167793099</v>
      </c>
      <c r="R984" s="10" t="s">
        <v>2000</v>
      </c>
      <c r="S984" s="14" t="s">
        <v>40</v>
      </c>
      <c r="T984" s="14" t="s">
        <v>27</v>
      </c>
      <c r="U984" s="13">
        <v>11097</v>
      </c>
      <c r="V984" s="15">
        <v>1</v>
      </c>
      <c r="W984" s="9" t="str">
        <f>IF(Table1[[#This Row],[Satisfaction Rating]]&lt;2, "Low", IF(Table1[[#This Row],[Satisfaction Rating]]&lt;4, "Medium", "High"))</f>
        <v>Low</v>
      </c>
    </row>
    <row r="985" spans="1:23" ht="14" x14ac:dyDescent="0.2">
      <c r="A985" s="10" t="s">
        <v>2001</v>
      </c>
      <c r="B985" s="11">
        <v>45234.069861111115</v>
      </c>
      <c r="C985" s="11">
        <v>45234.069861111115</v>
      </c>
      <c r="D985" s="11" t="str">
        <f>IF(Table1[[#This Row],[Duration of Campaign]]=0, "Ongoing","Completed")</f>
        <v>Ongoing</v>
      </c>
      <c r="E985" s="12">
        <f>Table1[[#This Row],[End Date]]-Table1[[#This Row],[Start Date]]</f>
        <v>0</v>
      </c>
      <c r="F985" s="13">
        <v>8719</v>
      </c>
      <c r="G985" s="14" t="s">
        <v>47</v>
      </c>
      <c r="H985" s="15">
        <v>18623</v>
      </c>
      <c r="I985" s="15">
        <v>1631</v>
      </c>
      <c r="J985" s="15">
        <v>154</v>
      </c>
      <c r="K985" s="16">
        <v>14213</v>
      </c>
      <c r="L985" s="17">
        <f t="shared" si="75"/>
        <v>8.7579874348923378E-2</v>
      </c>
      <c r="M985" s="17">
        <f t="shared" si="75"/>
        <v>9.4420600858369105E-2</v>
      </c>
      <c r="N985" s="18">
        <f t="shared" si="76"/>
        <v>9.3586756591048434</v>
      </c>
      <c r="O985" s="18">
        <f t="shared" si="77"/>
        <v>99.116883116883116</v>
      </c>
      <c r="P985" s="17">
        <f t="shared" si="78"/>
        <v>1.7506594792980847</v>
      </c>
      <c r="Q985" s="17">
        <f t="shared" si="79"/>
        <v>0.93114517819706499</v>
      </c>
      <c r="R985" s="10" t="s">
        <v>2002</v>
      </c>
      <c r="S985" s="14" t="s">
        <v>45</v>
      </c>
      <c r="T985" s="14" t="s">
        <v>27</v>
      </c>
      <c r="U985" s="13">
        <v>15264</v>
      </c>
      <c r="V985" s="15">
        <v>3</v>
      </c>
      <c r="W985" s="9" t="str">
        <f>IF(Table1[[#This Row],[Satisfaction Rating]]&lt;2, "Low", IF(Table1[[#This Row],[Satisfaction Rating]]&lt;4, "Medium", "High"))</f>
        <v>Medium</v>
      </c>
    </row>
    <row r="986" spans="1:23" ht="14" x14ac:dyDescent="0.2">
      <c r="A986" s="10" t="s">
        <v>2003</v>
      </c>
      <c r="B986" s="11">
        <v>45010.52244212963</v>
      </c>
      <c r="C986" s="11">
        <v>45207.162557870368</v>
      </c>
      <c r="D986" s="11" t="str">
        <f>IF(Table1[[#This Row],[Duration of Campaign]]=0, "Ongoing","Completed")</f>
        <v>Completed</v>
      </c>
      <c r="E986" s="12">
        <f>Table1[[#This Row],[End Date]]-Table1[[#This Row],[Start Date]]</f>
        <v>196.64011574073811</v>
      </c>
      <c r="F986" s="13">
        <v>4762</v>
      </c>
      <c r="G986" s="14" t="s">
        <v>47</v>
      </c>
      <c r="H986" s="15">
        <v>11616</v>
      </c>
      <c r="I986" s="15">
        <v>423</v>
      </c>
      <c r="J986" s="15">
        <v>458</v>
      </c>
      <c r="K986" s="16">
        <v>5656</v>
      </c>
      <c r="L986" s="17">
        <f t="shared" si="75"/>
        <v>3.6415289256198344E-2</v>
      </c>
      <c r="M986" s="17">
        <f t="shared" si="75"/>
        <v>1.08274231678487</v>
      </c>
      <c r="N986" s="18">
        <f t="shared" si="76"/>
        <v>46.520094562647756</v>
      </c>
      <c r="O986" s="18">
        <f t="shared" si="77"/>
        <v>42.965065502183407</v>
      </c>
      <c r="P986" s="17">
        <f t="shared" si="78"/>
        <v>4.1322973540529189</v>
      </c>
      <c r="Q986" s="17">
        <f t="shared" si="79"/>
        <v>0.2874275841040756</v>
      </c>
      <c r="R986" s="10" t="s">
        <v>2004</v>
      </c>
      <c r="S986" s="14" t="s">
        <v>45</v>
      </c>
      <c r="T986" s="14" t="s">
        <v>37</v>
      </c>
      <c r="U986" s="13">
        <v>19678</v>
      </c>
      <c r="V986" s="15">
        <v>3</v>
      </c>
      <c r="W986" s="9" t="str">
        <f>IF(Table1[[#This Row],[Satisfaction Rating]]&lt;2, "Low", IF(Table1[[#This Row],[Satisfaction Rating]]&lt;4, "Medium", "High"))</f>
        <v>Medium</v>
      </c>
    </row>
    <row r="987" spans="1:23" ht="14" x14ac:dyDescent="0.2">
      <c r="A987" s="10" t="s">
        <v>2005</v>
      </c>
      <c r="B987" s="11">
        <v>45165.693726851852</v>
      </c>
      <c r="C987" s="11">
        <v>45165.693726851852</v>
      </c>
      <c r="D987" s="11" t="str">
        <f>IF(Table1[[#This Row],[Duration of Campaign]]=0, "Ongoing","Completed")</f>
        <v>Ongoing</v>
      </c>
      <c r="E987" s="12">
        <f>Table1[[#This Row],[End Date]]-Table1[[#This Row],[Start Date]]</f>
        <v>0</v>
      </c>
      <c r="F987" s="13">
        <v>5608</v>
      </c>
      <c r="G987" s="14" t="s">
        <v>24</v>
      </c>
      <c r="H987" s="15">
        <v>19372</v>
      </c>
      <c r="I987" s="15">
        <v>464</v>
      </c>
      <c r="J987" s="15">
        <v>319</v>
      </c>
      <c r="K987" s="16">
        <v>9623</v>
      </c>
      <c r="L987" s="17">
        <f t="shared" si="75"/>
        <v>2.3952095808383235E-2</v>
      </c>
      <c r="M987" s="17">
        <f t="shared" si="75"/>
        <v>0.6875</v>
      </c>
      <c r="N987" s="18">
        <f t="shared" si="76"/>
        <v>31.157327586206897</v>
      </c>
      <c r="O987" s="18">
        <f t="shared" si="77"/>
        <v>45.319749216300941</v>
      </c>
      <c r="P987" s="17">
        <f t="shared" si="78"/>
        <v>2.5779243937232525</v>
      </c>
      <c r="Q987" s="17">
        <f t="shared" si="79"/>
        <v>0.66562910700698619</v>
      </c>
      <c r="R987" s="10" t="s">
        <v>2006</v>
      </c>
      <c r="S987" s="14" t="s">
        <v>31</v>
      </c>
      <c r="T987" s="14" t="s">
        <v>55</v>
      </c>
      <c r="U987" s="13">
        <v>14457</v>
      </c>
      <c r="V987" s="15">
        <v>4</v>
      </c>
      <c r="W987" s="9" t="str">
        <f>IF(Table1[[#This Row],[Satisfaction Rating]]&lt;2, "Low", IF(Table1[[#This Row],[Satisfaction Rating]]&lt;4, "Medium", "High"))</f>
        <v>High</v>
      </c>
    </row>
    <row r="988" spans="1:23" ht="14" x14ac:dyDescent="0.2">
      <c r="A988" s="10" t="s">
        <v>2007</v>
      </c>
      <c r="B988" s="11">
        <v>45645.455150462964</v>
      </c>
      <c r="C988" s="11">
        <v>45645.455150462964</v>
      </c>
      <c r="D988" s="11" t="str">
        <f>IF(Table1[[#This Row],[Duration of Campaign]]=0, "Ongoing","Completed")</f>
        <v>Ongoing</v>
      </c>
      <c r="E988" s="12">
        <f>Table1[[#This Row],[End Date]]-Table1[[#This Row],[Start Date]]</f>
        <v>0</v>
      </c>
      <c r="F988" s="13">
        <v>9304</v>
      </c>
      <c r="G988" s="14" t="s">
        <v>63</v>
      </c>
      <c r="H988" s="15">
        <v>18798</v>
      </c>
      <c r="I988" s="15">
        <v>1666</v>
      </c>
      <c r="J988" s="15">
        <v>440</v>
      </c>
      <c r="K988" s="16">
        <v>1720</v>
      </c>
      <c r="L988" s="17">
        <f t="shared" si="75"/>
        <v>8.8626449622300249E-2</v>
      </c>
      <c r="M988" s="17">
        <f t="shared" si="75"/>
        <v>0.26410564225690275</v>
      </c>
      <c r="N988" s="18">
        <f t="shared" si="76"/>
        <v>9.6890756302521002</v>
      </c>
      <c r="O988" s="18">
        <f t="shared" si="77"/>
        <v>36.686363636363637</v>
      </c>
      <c r="P988" s="17">
        <f t="shared" si="78"/>
        <v>1.7349527085124679</v>
      </c>
      <c r="Q988" s="17">
        <f t="shared" si="79"/>
        <v>0.10655433031842398</v>
      </c>
      <c r="R988" s="10" t="s">
        <v>2008</v>
      </c>
      <c r="S988" s="14" t="s">
        <v>45</v>
      </c>
      <c r="T988" s="14" t="s">
        <v>55</v>
      </c>
      <c r="U988" s="13">
        <v>16142</v>
      </c>
      <c r="V988" s="15">
        <v>3</v>
      </c>
      <c r="W988" s="9" t="str">
        <f>IF(Table1[[#This Row],[Satisfaction Rating]]&lt;2, "Low", IF(Table1[[#This Row],[Satisfaction Rating]]&lt;4, "Medium", "High"))</f>
        <v>Medium</v>
      </c>
    </row>
    <row r="989" spans="1:23" ht="14" x14ac:dyDescent="0.2">
      <c r="A989" s="10" t="s">
        <v>2009</v>
      </c>
      <c r="B989" s="11">
        <v>45579.099791666667</v>
      </c>
      <c r="C989" s="11">
        <v>45579.099791666667</v>
      </c>
      <c r="D989" s="11" t="str">
        <f>IF(Table1[[#This Row],[Duration of Campaign]]=0, "Ongoing","Completed")</f>
        <v>Ongoing</v>
      </c>
      <c r="E989" s="12">
        <f>Table1[[#This Row],[End Date]]-Table1[[#This Row],[Start Date]]</f>
        <v>0</v>
      </c>
      <c r="F989" s="13">
        <v>1991</v>
      </c>
      <c r="G989" s="14" t="s">
        <v>47</v>
      </c>
      <c r="H989" s="15">
        <v>4157</v>
      </c>
      <c r="I989" s="15">
        <v>824</v>
      </c>
      <c r="J989" s="15">
        <v>448</v>
      </c>
      <c r="K989" s="16">
        <v>4382</v>
      </c>
      <c r="L989" s="17">
        <f t="shared" si="75"/>
        <v>0.19821987009862882</v>
      </c>
      <c r="M989" s="17">
        <f t="shared" si="75"/>
        <v>0.5436893203883495</v>
      </c>
      <c r="N989" s="18">
        <f t="shared" si="76"/>
        <v>12.706310679611651</v>
      </c>
      <c r="O989" s="18">
        <f t="shared" si="77"/>
        <v>23.370535714285715</v>
      </c>
      <c r="P989" s="17">
        <f t="shared" si="78"/>
        <v>5.2586639879457557</v>
      </c>
      <c r="Q989" s="17">
        <f t="shared" si="79"/>
        <v>0.41852913085004778</v>
      </c>
      <c r="R989" s="10" t="s">
        <v>2010</v>
      </c>
      <c r="S989" s="14" t="s">
        <v>26</v>
      </c>
      <c r="T989" s="14" t="s">
        <v>27</v>
      </c>
      <c r="U989" s="13">
        <v>10470</v>
      </c>
      <c r="V989" s="15">
        <v>5</v>
      </c>
      <c r="W989" s="9" t="str">
        <f>IF(Table1[[#This Row],[Satisfaction Rating]]&lt;2, "Low", IF(Table1[[#This Row],[Satisfaction Rating]]&lt;4, "Medium", "High"))</f>
        <v>High</v>
      </c>
    </row>
    <row r="990" spans="1:23" ht="14" x14ac:dyDescent="0.2">
      <c r="A990" s="10" t="s">
        <v>2011</v>
      </c>
      <c r="B990" s="11">
        <v>45454.502303240741</v>
      </c>
      <c r="C990" s="11">
        <v>45454.502303240741</v>
      </c>
      <c r="D990" s="11" t="str">
        <f>IF(Table1[[#This Row],[Duration of Campaign]]=0, "Ongoing","Completed")</f>
        <v>Ongoing</v>
      </c>
      <c r="E990" s="12">
        <f>Table1[[#This Row],[End Date]]-Table1[[#This Row],[Start Date]]</f>
        <v>0</v>
      </c>
      <c r="F990" s="13">
        <v>1657</v>
      </c>
      <c r="G990" s="14" t="s">
        <v>47</v>
      </c>
      <c r="H990" s="15">
        <v>2410</v>
      </c>
      <c r="I990" s="15">
        <v>878</v>
      </c>
      <c r="J990" s="15">
        <v>217</v>
      </c>
      <c r="K990" s="16">
        <v>1760</v>
      </c>
      <c r="L990" s="17">
        <f t="shared" si="75"/>
        <v>0.36431535269709542</v>
      </c>
      <c r="M990" s="17">
        <f t="shared" si="75"/>
        <v>0.24715261958997722</v>
      </c>
      <c r="N990" s="18">
        <f t="shared" si="76"/>
        <v>17.273348519362187</v>
      </c>
      <c r="O990" s="18">
        <f t="shared" si="77"/>
        <v>69.889400921658989</v>
      </c>
      <c r="P990" s="17">
        <f t="shared" si="78"/>
        <v>9.1526855763427886</v>
      </c>
      <c r="Q990" s="17">
        <f t="shared" si="79"/>
        <v>0.11604905710141106</v>
      </c>
      <c r="R990" s="10" t="s">
        <v>2012</v>
      </c>
      <c r="S990" s="14" t="s">
        <v>26</v>
      </c>
      <c r="T990" s="14" t="s">
        <v>55</v>
      </c>
      <c r="U990" s="13">
        <v>15166</v>
      </c>
      <c r="V990" s="15">
        <v>3</v>
      </c>
      <c r="W990" s="9" t="str">
        <f>IF(Table1[[#This Row],[Satisfaction Rating]]&lt;2, "Low", IF(Table1[[#This Row],[Satisfaction Rating]]&lt;4, "Medium", "High"))</f>
        <v>Medium</v>
      </c>
    </row>
    <row r="991" spans="1:23" ht="14" x14ac:dyDescent="0.2">
      <c r="A991" s="10" t="s">
        <v>2013</v>
      </c>
      <c r="B991" s="11">
        <v>45253.25403935185</v>
      </c>
      <c r="C991" s="11">
        <v>45253.25403935185</v>
      </c>
      <c r="D991" s="11" t="str">
        <f>IF(Table1[[#This Row],[Duration of Campaign]]=0, "Ongoing","Completed")</f>
        <v>Ongoing</v>
      </c>
      <c r="E991" s="12">
        <f>Table1[[#This Row],[End Date]]-Table1[[#This Row],[Start Date]]</f>
        <v>0</v>
      </c>
      <c r="F991" s="13">
        <v>8252</v>
      </c>
      <c r="G991" s="14" t="s">
        <v>47</v>
      </c>
      <c r="H991" s="15">
        <v>15303</v>
      </c>
      <c r="I991" s="15">
        <v>910</v>
      </c>
      <c r="J991" s="15">
        <v>188</v>
      </c>
      <c r="K991" s="16">
        <v>12147</v>
      </c>
      <c r="L991" s="17">
        <f t="shared" si="75"/>
        <v>5.9465464288048095E-2</v>
      </c>
      <c r="M991" s="17">
        <f t="shared" si="75"/>
        <v>0.20659340659340658</v>
      </c>
      <c r="N991" s="18">
        <f t="shared" si="76"/>
        <v>9.6417582417582413</v>
      </c>
      <c r="O991" s="18">
        <f t="shared" si="77"/>
        <v>46.670212765957444</v>
      </c>
      <c r="P991" s="17">
        <f t="shared" si="78"/>
        <v>1.0632573921473583</v>
      </c>
      <c r="Q991" s="17">
        <f t="shared" si="79"/>
        <v>1.3844312742192844</v>
      </c>
      <c r="R991" s="10" t="s">
        <v>2014</v>
      </c>
      <c r="S991" s="14" t="s">
        <v>34</v>
      </c>
      <c r="T991" s="14" t="s">
        <v>37</v>
      </c>
      <c r="U991" s="13">
        <v>8774</v>
      </c>
      <c r="V991" s="15">
        <v>1</v>
      </c>
      <c r="W991" s="9" t="str">
        <f>IF(Table1[[#This Row],[Satisfaction Rating]]&lt;2, "Low", IF(Table1[[#This Row],[Satisfaction Rating]]&lt;4, "Medium", "High"))</f>
        <v>Low</v>
      </c>
    </row>
    <row r="992" spans="1:23" ht="14" x14ac:dyDescent="0.2">
      <c r="A992" s="10" t="s">
        <v>2015</v>
      </c>
      <c r="B992" s="11">
        <v>45087.536400462966</v>
      </c>
      <c r="C992" s="11">
        <v>45435.947187500002</v>
      </c>
      <c r="D992" s="11" t="str">
        <f>IF(Table1[[#This Row],[Duration of Campaign]]=0, "Ongoing","Completed")</f>
        <v>Completed</v>
      </c>
      <c r="E992" s="12">
        <f>Table1[[#This Row],[End Date]]-Table1[[#This Row],[Start Date]]</f>
        <v>348.41078703703533</v>
      </c>
      <c r="F992" s="13">
        <v>6409</v>
      </c>
      <c r="G992" s="14" t="s">
        <v>63</v>
      </c>
      <c r="H992" s="15">
        <v>10077</v>
      </c>
      <c r="I992" s="15">
        <v>562</v>
      </c>
      <c r="J992" s="15">
        <v>82</v>
      </c>
      <c r="K992" s="16">
        <v>9215</v>
      </c>
      <c r="L992" s="17">
        <f t="shared" si="75"/>
        <v>5.5770566636895905E-2</v>
      </c>
      <c r="M992" s="17">
        <f t="shared" si="75"/>
        <v>0.14590747330960854</v>
      </c>
      <c r="N992" s="18">
        <f t="shared" si="76"/>
        <v>24.092526690391459</v>
      </c>
      <c r="O992" s="18">
        <f t="shared" si="77"/>
        <v>165.1219512195122</v>
      </c>
      <c r="P992" s="17">
        <f t="shared" si="78"/>
        <v>2.1126540801997193</v>
      </c>
      <c r="Q992" s="17">
        <f t="shared" si="79"/>
        <v>0.680576070901034</v>
      </c>
      <c r="R992" s="10" t="s">
        <v>2016</v>
      </c>
      <c r="S992" s="14" t="s">
        <v>26</v>
      </c>
      <c r="T992" s="14" t="s">
        <v>37</v>
      </c>
      <c r="U992" s="13">
        <v>13540</v>
      </c>
      <c r="V992" s="15">
        <v>3</v>
      </c>
      <c r="W992" s="9" t="str">
        <f>IF(Table1[[#This Row],[Satisfaction Rating]]&lt;2, "Low", IF(Table1[[#This Row],[Satisfaction Rating]]&lt;4, "Medium", "High"))</f>
        <v>Medium</v>
      </c>
    </row>
    <row r="993" spans="1:23" ht="14" x14ac:dyDescent="0.2">
      <c r="A993" s="10" t="s">
        <v>2017</v>
      </c>
      <c r="B993" s="11">
        <v>44987.760057870371</v>
      </c>
      <c r="C993" s="11">
        <v>45050.453206018516</v>
      </c>
      <c r="D993" s="11" t="str">
        <f>IF(Table1[[#This Row],[Duration of Campaign]]=0, "Ongoing","Completed")</f>
        <v>Completed</v>
      </c>
      <c r="E993" s="12">
        <f>Table1[[#This Row],[End Date]]-Table1[[#This Row],[Start Date]]</f>
        <v>62.693148148144246</v>
      </c>
      <c r="F993" s="13">
        <v>5418</v>
      </c>
      <c r="G993" s="14" t="s">
        <v>24</v>
      </c>
      <c r="H993" s="15">
        <v>19273</v>
      </c>
      <c r="I993" s="15">
        <v>1849</v>
      </c>
      <c r="J993" s="15">
        <v>392</v>
      </c>
      <c r="K993" s="16">
        <v>10558</v>
      </c>
      <c r="L993" s="17">
        <f t="shared" si="75"/>
        <v>9.5937321641674886E-2</v>
      </c>
      <c r="M993" s="17">
        <f t="shared" si="75"/>
        <v>0.21200648999459168</v>
      </c>
      <c r="N993" s="18">
        <f t="shared" si="76"/>
        <v>7.2374256354786368</v>
      </c>
      <c r="O993" s="18">
        <f t="shared" si="77"/>
        <v>34.137755102040813</v>
      </c>
      <c r="P993" s="17">
        <f t="shared" si="78"/>
        <v>2.4699150978220747</v>
      </c>
      <c r="Q993" s="17">
        <f t="shared" si="79"/>
        <v>0.78897025855626957</v>
      </c>
      <c r="R993" s="10" t="s">
        <v>2018</v>
      </c>
      <c r="S993" s="14" t="s">
        <v>34</v>
      </c>
      <c r="T993" s="14" t="s">
        <v>55</v>
      </c>
      <c r="U993" s="13">
        <v>13382</v>
      </c>
      <c r="V993" s="15">
        <v>3</v>
      </c>
      <c r="W993" s="9" t="str">
        <f>IF(Table1[[#This Row],[Satisfaction Rating]]&lt;2, "Low", IF(Table1[[#This Row],[Satisfaction Rating]]&lt;4, "Medium", "High"))</f>
        <v>Medium</v>
      </c>
    </row>
    <row r="994" spans="1:23" ht="14" x14ac:dyDescent="0.2">
      <c r="A994" s="10" t="s">
        <v>2019</v>
      </c>
      <c r="B994" s="11">
        <v>45636.790844907409</v>
      </c>
      <c r="C994" s="11">
        <v>45636.790844907409</v>
      </c>
      <c r="D994" s="11" t="str">
        <f>IF(Table1[[#This Row],[Duration of Campaign]]=0, "Ongoing","Completed")</f>
        <v>Ongoing</v>
      </c>
      <c r="E994" s="12">
        <f>Table1[[#This Row],[End Date]]-Table1[[#This Row],[Start Date]]</f>
        <v>0</v>
      </c>
      <c r="F994" s="13">
        <v>5823</v>
      </c>
      <c r="G994" s="14" t="s">
        <v>24</v>
      </c>
      <c r="H994" s="15">
        <v>17533</v>
      </c>
      <c r="I994" s="15">
        <v>1491</v>
      </c>
      <c r="J994" s="15">
        <v>46</v>
      </c>
      <c r="K994" s="16">
        <v>6095</v>
      </c>
      <c r="L994" s="17">
        <f t="shared" si="75"/>
        <v>8.5039639536873324E-2</v>
      </c>
      <c r="M994" s="17">
        <f t="shared" si="75"/>
        <v>3.085177733065057E-2</v>
      </c>
      <c r="N994" s="18">
        <f t="shared" si="76"/>
        <v>13.166331321260898</v>
      </c>
      <c r="O994" s="18">
        <f t="shared" si="77"/>
        <v>426.76086956521738</v>
      </c>
      <c r="P994" s="17">
        <f t="shared" si="78"/>
        <v>3.3712862785505755</v>
      </c>
      <c r="Q994" s="17">
        <f t="shared" si="79"/>
        <v>0.31047832509805917</v>
      </c>
      <c r="R994" s="10" t="s">
        <v>2020</v>
      </c>
      <c r="S994" s="14" t="s">
        <v>31</v>
      </c>
      <c r="T994" s="14" t="s">
        <v>55</v>
      </c>
      <c r="U994" s="13">
        <v>19631</v>
      </c>
      <c r="V994" s="15">
        <v>2</v>
      </c>
      <c r="W994" s="9" t="str">
        <f>IF(Table1[[#This Row],[Satisfaction Rating]]&lt;2, "Low", IF(Table1[[#This Row],[Satisfaction Rating]]&lt;4, "Medium", "High"))</f>
        <v>Medium</v>
      </c>
    </row>
    <row r="995" spans="1:23" ht="14" x14ac:dyDescent="0.2">
      <c r="A995" s="10" t="s">
        <v>2021</v>
      </c>
      <c r="B995" s="11">
        <v>45309.153437499997</v>
      </c>
      <c r="C995" s="11">
        <v>45354.120370370372</v>
      </c>
      <c r="D995" s="11" t="str">
        <f>IF(Table1[[#This Row],[Duration of Campaign]]=0, "Ongoing","Completed")</f>
        <v>Completed</v>
      </c>
      <c r="E995" s="12">
        <f>Table1[[#This Row],[End Date]]-Table1[[#This Row],[Start Date]]</f>
        <v>44.966932870374876</v>
      </c>
      <c r="F995" s="13">
        <v>7378</v>
      </c>
      <c r="G995" s="14" t="s">
        <v>63</v>
      </c>
      <c r="H995" s="15">
        <v>1161</v>
      </c>
      <c r="I995" s="15">
        <v>1455</v>
      </c>
      <c r="J995" s="15">
        <v>331</v>
      </c>
      <c r="K995" s="16">
        <v>4640</v>
      </c>
      <c r="L995" s="17">
        <f t="shared" si="75"/>
        <v>1.2532299741602067</v>
      </c>
      <c r="M995" s="17">
        <f t="shared" si="75"/>
        <v>0.2274914089347079</v>
      </c>
      <c r="N995" s="18">
        <f t="shared" si="76"/>
        <v>1.5298969072164947</v>
      </c>
      <c r="O995" s="18">
        <f t="shared" si="77"/>
        <v>6.7250755287009065</v>
      </c>
      <c r="P995" s="17">
        <f t="shared" si="78"/>
        <v>0.301707779886148</v>
      </c>
      <c r="Q995" s="17">
        <f t="shared" si="79"/>
        <v>2.0844564240790655</v>
      </c>
      <c r="R995" s="10" t="s">
        <v>2022</v>
      </c>
      <c r="S995" s="14" t="s">
        <v>45</v>
      </c>
      <c r="T995" s="14" t="s">
        <v>27</v>
      </c>
      <c r="U995" s="13">
        <v>2226</v>
      </c>
      <c r="V995" s="15">
        <v>5</v>
      </c>
      <c r="W995" s="9" t="str">
        <f>IF(Table1[[#This Row],[Satisfaction Rating]]&lt;2, "Low", IF(Table1[[#This Row],[Satisfaction Rating]]&lt;4, "Medium", "High"))</f>
        <v>High</v>
      </c>
    </row>
    <row r="996" spans="1:23" ht="14" x14ac:dyDescent="0.2">
      <c r="A996" s="10" t="s">
        <v>2023</v>
      </c>
      <c r="B996" s="11">
        <v>45228.205983796295</v>
      </c>
      <c r="C996" s="11">
        <v>45228.205983796295</v>
      </c>
      <c r="D996" s="11" t="str">
        <f>IF(Table1[[#This Row],[Duration of Campaign]]=0, "Ongoing","Completed")</f>
        <v>Ongoing</v>
      </c>
      <c r="E996" s="12">
        <f>Table1[[#This Row],[End Date]]-Table1[[#This Row],[Start Date]]</f>
        <v>0</v>
      </c>
      <c r="F996" s="13">
        <v>3429</v>
      </c>
      <c r="G996" s="14" t="s">
        <v>29</v>
      </c>
      <c r="H996" s="15">
        <v>2738</v>
      </c>
      <c r="I996" s="15">
        <v>519</v>
      </c>
      <c r="J996" s="15">
        <v>215</v>
      </c>
      <c r="K996" s="16">
        <v>9186</v>
      </c>
      <c r="L996" s="17">
        <f t="shared" si="75"/>
        <v>0.18955441928414901</v>
      </c>
      <c r="M996" s="17">
        <f t="shared" si="75"/>
        <v>0.41425818882466281</v>
      </c>
      <c r="N996" s="18">
        <f t="shared" si="76"/>
        <v>37.657032755298651</v>
      </c>
      <c r="O996" s="18">
        <f t="shared" si="77"/>
        <v>90.902325581395345</v>
      </c>
      <c r="P996" s="17">
        <f t="shared" si="78"/>
        <v>5.6996208807232431</v>
      </c>
      <c r="Q996" s="17">
        <f t="shared" si="79"/>
        <v>0.47001637331150226</v>
      </c>
      <c r="R996" s="10" t="s">
        <v>2024</v>
      </c>
      <c r="S996" s="14" t="s">
        <v>34</v>
      </c>
      <c r="T996" s="14" t="s">
        <v>55</v>
      </c>
      <c r="U996" s="13">
        <v>19544</v>
      </c>
      <c r="V996" s="15">
        <v>3</v>
      </c>
      <c r="W996" s="9" t="str">
        <f>IF(Table1[[#This Row],[Satisfaction Rating]]&lt;2, "Low", IF(Table1[[#This Row],[Satisfaction Rating]]&lt;4, "Medium", "High"))</f>
        <v>Medium</v>
      </c>
    </row>
    <row r="997" spans="1:23" ht="14" x14ac:dyDescent="0.2">
      <c r="A997" s="10" t="s">
        <v>2025</v>
      </c>
      <c r="B997" s="11">
        <v>45342.457604166666</v>
      </c>
      <c r="C997" s="11">
        <v>45342.457604166666</v>
      </c>
      <c r="D997" s="11" t="str">
        <f>IF(Table1[[#This Row],[Duration of Campaign]]=0, "Ongoing","Completed")</f>
        <v>Ongoing</v>
      </c>
      <c r="E997" s="12">
        <f>Table1[[#This Row],[End Date]]-Table1[[#This Row],[Start Date]]</f>
        <v>0</v>
      </c>
      <c r="F997" s="13">
        <v>1828</v>
      </c>
      <c r="G997" s="14" t="s">
        <v>63</v>
      </c>
      <c r="H997" s="15">
        <v>14386</v>
      </c>
      <c r="I997" s="15">
        <v>119</v>
      </c>
      <c r="J997" s="15">
        <v>231</v>
      </c>
      <c r="K997" s="16">
        <v>11362</v>
      </c>
      <c r="L997" s="17">
        <f t="shared" si="75"/>
        <v>8.2719310440706236E-3</v>
      </c>
      <c r="M997" s="17">
        <f t="shared" si="75"/>
        <v>1.9411764705882353</v>
      </c>
      <c r="N997" s="18">
        <f t="shared" si="76"/>
        <v>6.117647058823529</v>
      </c>
      <c r="O997" s="18">
        <f t="shared" si="77"/>
        <v>3.1515151515151514</v>
      </c>
      <c r="P997" s="17">
        <f t="shared" si="78"/>
        <v>0.39824945295404812</v>
      </c>
      <c r="Q997" s="17">
        <f t="shared" si="79"/>
        <v>15.607142857142858</v>
      </c>
      <c r="R997" s="10" t="s">
        <v>2026</v>
      </c>
      <c r="S997" s="14" t="s">
        <v>40</v>
      </c>
      <c r="T997" s="14" t="s">
        <v>55</v>
      </c>
      <c r="U997" s="13">
        <v>728</v>
      </c>
      <c r="V997" s="15">
        <v>1</v>
      </c>
      <c r="W997" s="9" t="str">
        <f>IF(Table1[[#This Row],[Satisfaction Rating]]&lt;2, "Low", IF(Table1[[#This Row],[Satisfaction Rating]]&lt;4, "Medium", "High"))</f>
        <v>Low</v>
      </c>
    </row>
    <row r="998" spans="1:23" ht="14" x14ac:dyDescent="0.2">
      <c r="A998" s="10" t="s">
        <v>2027</v>
      </c>
      <c r="B998" s="11">
        <v>45036.154062499998</v>
      </c>
      <c r="C998" s="11">
        <v>45039.841064814813</v>
      </c>
      <c r="D998" s="11" t="str">
        <f>IF(Table1[[#This Row],[Duration of Campaign]]=0, "Ongoing","Completed")</f>
        <v>Completed</v>
      </c>
      <c r="E998" s="12">
        <f>Table1[[#This Row],[End Date]]-Table1[[#This Row],[Start Date]]</f>
        <v>3.6870023148148903</v>
      </c>
      <c r="F998" s="13">
        <v>1022</v>
      </c>
      <c r="G998" s="14" t="s">
        <v>63</v>
      </c>
      <c r="H998" s="15">
        <v>8538</v>
      </c>
      <c r="I998" s="15">
        <v>1621</v>
      </c>
      <c r="J998" s="15">
        <v>491</v>
      </c>
      <c r="K998" s="16">
        <v>11623</v>
      </c>
      <c r="L998" s="17">
        <f t="shared" si="75"/>
        <v>0.18985710939330053</v>
      </c>
      <c r="M998" s="17">
        <f t="shared" si="75"/>
        <v>0.3028994447871684</v>
      </c>
      <c r="N998" s="18">
        <f t="shared" si="76"/>
        <v>2.9309068476249229</v>
      </c>
      <c r="O998" s="18">
        <f t="shared" si="77"/>
        <v>9.6761710794297358</v>
      </c>
      <c r="P998" s="17">
        <f t="shared" si="78"/>
        <v>4.6487279843444229</v>
      </c>
      <c r="Q998" s="17">
        <f t="shared" si="79"/>
        <v>2.446432330035782</v>
      </c>
      <c r="R998" s="10" t="s">
        <v>2028</v>
      </c>
      <c r="S998" s="14" t="s">
        <v>31</v>
      </c>
      <c r="T998" s="14" t="s">
        <v>37</v>
      </c>
      <c r="U998" s="13">
        <v>4751</v>
      </c>
      <c r="V998" s="15">
        <v>1</v>
      </c>
      <c r="W998" s="9" t="str">
        <f>IF(Table1[[#This Row],[Satisfaction Rating]]&lt;2, "Low", IF(Table1[[#This Row],[Satisfaction Rating]]&lt;4, "Medium", "High"))</f>
        <v>Low</v>
      </c>
    </row>
    <row r="999" spans="1:23" ht="14" x14ac:dyDescent="0.2">
      <c r="A999" s="10" t="s">
        <v>2029</v>
      </c>
      <c r="B999" s="11">
        <v>45008.436400462961</v>
      </c>
      <c r="C999" s="11">
        <v>45458.483969907407</v>
      </c>
      <c r="D999" s="11" t="str">
        <f>IF(Table1[[#This Row],[Duration of Campaign]]=0, "Ongoing","Completed")</f>
        <v>Completed</v>
      </c>
      <c r="E999" s="12">
        <f>Table1[[#This Row],[End Date]]-Table1[[#This Row],[Start Date]]</f>
        <v>450.04756944444671</v>
      </c>
      <c r="F999" s="13">
        <v>4525</v>
      </c>
      <c r="G999" s="14" t="s">
        <v>47</v>
      </c>
      <c r="H999" s="15">
        <v>4533</v>
      </c>
      <c r="I999" s="15">
        <v>1784</v>
      </c>
      <c r="J999" s="15">
        <v>336</v>
      </c>
      <c r="K999" s="16">
        <v>12056</v>
      </c>
      <c r="L999" s="17">
        <f t="shared" si="75"/>
        <v>0.39355834987866756</v>
      </c>
      <c r="M999" s="17">
        <f t="shared" si="75"/>
        <v>0.18834080717488788</v>
      </c>
      <c r="N999" s="18">
        <f t="shared" si="76"/>
        <v>3.2757847533632285</v>
      </c>
      <c r="O999" s="18">
        <f t="shared" si="77"/>
        <v>17.392857142857142</v>
      </c>
      <c r="P999" s="17">
        <f t="shared" si="78"/>
        <v>1.2914917127071823</v>
      </c>
      <c r="Q999" s="17">
        <f t="shared" si="79"/>
        <v>2.0629705681040384</v>
      </c>
      <c r="R999" s="10" t="s">
        <v>2030</v>
      </c>
      <c r="S999" s="14" t="s">
        <v>45</v>
      </c>
      <c r="T999" s="14" t="s">
        <v>55</v>
      </c>
      <c r="U999" s="13">
        <v>5844</v>
      </c>
      <c r="V999" s="15">
        <v>2</v>
      </c>
      <c r="W999" s="9" t="str">
        <f>IF(Table1[[#This Row],[Satisfaction Rating]]&lt;2, "Low", IF(Table1[[#This Row],[Satisfaction Rating]]&lt;4, "Medium", "High"))</f>
        <v>Medium</v>
      </c>
    </row>
    <row r="1000" spans="1:23" ht="14" x14ac:dyDescent="0.2">
      <c r="A1000" s="10" t="s">
        <v>2031</v>
      </c>
      <c r="B1000" s="11">
        <v>45446.951203703706</v>
      </c>
      <c r="C1000" s="11">
        <v>45446.951203703706</v>
      </c>
      <c r="D1000" s="11" t="str">
        <f>IF(Table1[[#This Row],[Duration of Campaign]]=0, "Ongoing","Completed")</f>
        <v>Ongoing</v>
      </c>
      <c r="E1000" s="12">
        <f>Table1[[#This Row],[End Date]]-Table1[[#This Row],[Start Date]]</f>
        <v>0</v>
      </c>
      <c r="F1000" s="13">
        <v>9095</v>
      </c>
      <c r="G1000" s="14" t="s">
        <v>63</v>
      </c>
      <c r="H1000" s="15">
        <v>12229</v>
      </c>
      <c r="I1000" s="15">
        <v>1978</v>
      </c>
      <c r="J1000" s="15">
        <v>481</v>
      </c>
      <c r="K1000" s="16">
        <v>2234</v>
      </c>
      <c r="L1000" s="17">
        <f t="shared" si="75"/>
        <v>0.16174666775697114</v>
      </c>
      <c r="M1000" s="17">
        <f t="shared" si="75"/>
        <v>0.24317492416582406</v>
      </c>
      <c r="N1000" s="18">
        <f t="shared" si="76"/>
        <v>0.67239635995955516</v>
      </c>
      <c r="O1000" s="18">
        <f t="shared" si="77"/>
        <v>2.7650727650727651</v>
      </c>
      <c r="P1000" s="17">
        <f t="shared" si="78"/>
        <v>0.1462341946124244</v>
      </c>
      <c r="Q1000" s="17">
        <f t="shared" si="79"/>
        <v>1.6796992481203008</v>
      </c>
      <c r="R1000" s="10" t="s">
        <v>2032</v>
      </c>
      <c r="S1000" s="14" t="s">
        <v>26</v>
      </c>
      <c r="T1000" s="14" t="s">
        <v>37</v>
      </c>
      <c r="U1000" s="13">
        <v>1330</v>
      </c>
      <c r="V1000" s="15">
        <v>2</v>
      </c>
      <c r="W1000" s="9" t="str">
        <f>IF(Table1[[#This Row],[Satisfaction Rating]]&lt;2, "Low", IF(Table1[[#This Row],[Satisfaction Rating]]&lt;4, "Medium", "High"))</f>
        <v>Medium</v>
      </c>
    </row>
    <row r="1001" spans="1:23" ht="14" x14ac:dyDescent="0.2">
      <c r="A1001" s="10" t="s">
        <v>2033</v>
      </c>
      <c r="B1001" s="11">
        <v>45175.303935185184</v>
      </c>
      <c r="C1001" s="11">
        <v>45324.002916666665</v>
      </c>
      <c r="D1001" s="11" t="str">
        <f>IF(Table1[[#This Row],[Duration of Campaign]]=0, "Ongoing","Completed")</f>
        <v>Completed</v>
      </c>
      <c r="E1001" s="12">
        <f>Table1[[#This Row],[End Date]]-Table1[[#This Row],[Start Date]]</f>
        <v>148.69898148148059</v>
      </c>
      <c r="F1001" s="13">
        <v>4512</v>
      </c>
      <c r="G1001" s="14" t="s">
        <v>24</v>
      </c>
      <c r="H1001" s="15">
        <v>15344</v>
      </c>
      <c r="I1001" s="15">
        <v>169</v>
      </c>
      <c r="J1001" s="15">
        <v>286</v>
      </c>
      <c r="K1001" s="16">
        <v>12026</v>
      </c>
      <c r="L1001" s="17">
        <f t="shared" si="75"/>
        <v>1.1014077163712201E-2</v>
      </c>
      <c r="M1001" s="17">
        <f t="shared" si="75"/>
        <v>1.6923076923076923</v>
      </c>
      <c r="N1001" s="18">
        <f t="shared" si="76"/>
        <v>71.10650887573965</v>
      </c>
      <c r="O1001" s="18">
        <f t="shared" si="77"/>
        <v>42.01748251748252</v>
      </c>
      <c r="P1001" s="17">
        <f t="shared" si="78"/>
        <v>2.6633421985815602</v>
      </c>
      <c r="Q1001" s="17">
        <f t="shared" si="79"/>
        <v>1.000748939003079</v>
      </c>
      <c r="R1001" s="10" t="s">
        <v>2034</v>
      </c>
      <c r="S1001" s="14" t="s">
        <v>26</v>
      </c>
      <c r="T1001" s="14" t="s">
        <v>27</v>
      </c>
      <c r="U1001" s="13">
        <v>12017</v>
      </c>
      <c r="V1001" s="15">
        <v>1</v>
      </c>
      <c r="W1001" s="9" t="str">
        <f>IF(Table1[[#This Row],[Satisfaction Rating]]&lt;2, "Low", IF(Table1[[#This Row],[Satisfaction Rating]]&lt;4, "Medium", "High"))</f>
        <v>Low</v>
      </c>
    </row>
    <row r="1002" spans="1:23" ht="15.75" customHeight="1" x14ac:dyDescent="0.2">
      <c r="A1002" s="10"/>
      <c r="B1002" s="11"/>
      <c r="C1002" s="11"/>
      <c r="D1002" s="11"/>
      <c r="E1002" s="12"/>
      <c r="F1002" s="13"/>
      <c r="G1002" s="14"/>
      <c r="H1002" s="15"/>
      <c r="I1002" s="15"/>
      <c r="J1002" s="15"/>
      <c r="K1002" s="16"/>
      <c r="L1002" s="17"/>
      <c r="M1002" s="17"/>
      <c r="N1002" s="18"/>
      <c r="O1002" s="18"/>
      <c r="P1002" s="17"/>
      <c r="Q1002" s="17"/>
      <c r="R1002" s="10"/>
      <c r="S1002" s="14"/>
      <c r="T1002" s="14"/>
      <c r="U1002" s="13"/>
      <c r="V1002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DCCE-3464-DF42-8255-2670B9F70D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SOPs 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Tilwani</dc:creator>
  <cp:lastModifiedBy>Vishwas Tilwani</cp:lastModifiedBy>
  <dcterms:created xsi:type="dcterms:W3CDTF">2026-03-11T03:21:21Z</dcterms:created>
  <dcterms:modified xsi:type="dcterms:W3CDTF">2026-03-11T03:21:57Z</dcterms:modified>
</cp:coreProperties>
</file>