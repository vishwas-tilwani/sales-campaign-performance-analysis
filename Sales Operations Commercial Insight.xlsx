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4.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vishwastilwani/Desktop/lications/ACC/"/>
    </mc:Choice>
  </mc:AlternateContent>
  <xr:revisionPtr revIDLastSave="0" documentId="8_{B4A351C9-6CDD-3A48-945E-328DF3184DE0}" xr6:coauthVersionLast="47" xr6:coauthVersionMax="47" xr10:uidLastSave="{00000000-0000-0000-0000-000000000000}"/>
  <bookViews>
    <workbookView xWindow="-10820" yWindow="-28800" windowWidth="51200" windowHeight="28800" activeTab="14" xr2:uid="{00000000-000D-0000-FFFF-FFFF00000000}"/>
  </bookViews>
  <sheets>
    <sheet name="Status of Campaign - Sector" sheetId="8" state="hidden" r:id="rId1"/>
    <sheet name="big pivot table " sheetId="9" state="hidden" r:id="rId2"/>
    <sheet name="1" sheetId="10" state="hidden" r:id="rId3"/>
    <sheet name="2" sheetId="11" state="hidden" r:id="rId4"/>
    <sheet name="3" sheetId="12" state="hidden" r:id="rId5"/>
    <sheet name="4" sheetId="13" state="hidden" r:id="rId6"/>
    <sheet name="5" sheetId="14" state="hidden" r:id="rId7"/>
    <sheet name="6" sheetId="15" state="hidden" r:id="rId8"/>
    <sheet name="dashboard pivot - 1 " sheetId="17" state="hidden" r:id="rId9"/>
    <sheet name="roas vs satisfaction" sheetId="18" state="hidden" r:id="rId10"/>
    <sheet name="avg ctr cvr" sheetId="19" state="hidden" r:id="rId11"/>
    <sheet name="avg budget utilization" sheetId="20" state="hidden" r:id="rId12"/>
    <sheet name="Campaign No" sheetId="22" state="hidden" r:id="rId13"/>
    <sheet name="Sheet3" sheetId="23" state="hidden" r:id="rId14"/>
    <sheet name="SOPs DB" sheetId="1" r:id="rId15"/>
    <sheet name="Final Dashboard" sheetId="16" r:id="rId16"/>
  </sheets>
  <definedNames>
    <definedName name="_xlnm._FilterDatabase" localSheetId="14" hidden="1">'SOPs DB'!$A$1:$W$1001</definedName>
    <definedName name="Slicer_Audience">#N/A</definedName>
    <definedName name="Slicer_Company_Size1">#N/A</definedName>
    <definedName name="Slicer_Rating_Classification">#N/A</definedName>
    <definedName name="Slicer_Sector">#N/A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 i="1" l="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E2" i="1"/>
  <c r="D2" i="1" s="1"/>
  <c r="E3" i="1"/>
  <c r="D3" i="1" s="1"/>
  <c r="E4" i="1"/>
  <c r="D4" i="1" s="1"/>
  <c r="E5" i="1"/>
  <c r="D5" i="1" s="1"/>
  <c r="E6" i="1"/>
  <c r="D6" i="1" s="1"/>
  <c r="E7" i="1"/>
  <c r="D7" i="1" s="1"/>
  <c r="E8" i="1"/>
  <c r="D8" i="1" s="1"/>
  <c r="E9" i="1"/>
  <c r="D9" i="1" s="1"/>
  <c r="E10" i="1"/>
  <c r="D10" i="1" s="1"/>
  <c r="E11" i="1"/>
  <c r="D11" i="1" s="1"/>
  <c r="E12" i="1"/>
  <c r="D12" i="1" s="1"/>
  <c r="E13" i="1"/>
  <c r="D13" i="1" s="1"/>
  <c r="E14" i="1"/>
  <c r="D14" i="1" s="1"/>
  <c r="E15" i="1"/>
  <c r="D15" i="1" s="1"/>
  <c r="E16" i="1"/>
  <c r="D16" i="1" s="1"/>
  <c r="E17" i="1"/>
  <c r="D17" i="1" s="1"/>
  <c r="E18" i="1"/>
  <c r="D18" i="1" s="1"/>
  <c r="E19" i="1"/>
  <c r="D19" i="1" s="1"/>
  <c r="E20" i="1"/>
  <c r="D20" i="1" s="1"/>
  <c r="E21" i="1"/>
  <c r="D21" i="1" s="1"/>
  <c r="E22" i="1"/>
  <c r="D22" i="1" s="1"/>
  <c r="E23" i="1"/>
  <c r="D23" i="1" s="1"/>
  <c r="E24" i="1"/>
  <c r="D24" i="1" s="1"/>
  <c r="E25" i="1"/>
  <c r="D25" i="1" s="1"/>
  <c r="E26" i="1"/>
  <c r="D26" i="1" s="1"/>
  <c r="E27" i="1"/>
  <c r="D27" i="1" s="1"/>
  <c r="E28" i="1"/>
  <c r="D28" i="1" s="1"/>
  <c r="E29" i="1"/>
  <c r="D29" i="1" s="1"/>
  <c r="E30" i="1"/>
  <c r="D30" i="1" s="1"/>
  <c r="E31" i="1"/>
  <c r="D31" i="1" s="1"/>
  <c r="E32" i="1"/>
  <c r="D32" i="1" s="1"/>
  <c r="E33" i="1"/>
  <c r="D33" i="1" s="1"/>
  <c r="E34" i="1"/>
  <c r="D34" i="1" s="1"/>
  <c r="E35" i="1"/>
  <c r="D35" i="1" s="1"/>
  <c r="E36" i="1"/>
  <c r="D36" i="1" s="1"/>
  <c r="E37" i="1"/>
  <c r="D37" i="1" s="1"/>
  <c r="E38" i="1"/>
  <c r="D38" i="1" s="1"/>
  <c r="E39" i="1"/>
  <c r="D39" i="1" s="1"/>
  <c r="E40" i="1"/>
  <c r="D40" i="1" s="1"/>
  <c r="E41" i="1"/>
  <c r="D41" i="1" s="1"/>
  <c r="E42" i="1"/>
  <c r="D42" i="1" s="1"/>
  <c r="E43" i="1"/>
  <c r="D43" i="1" s="1"/>
  <c r="E44" i="1"/>
  <c r="D44" i="1" s="1"/>
  <c r="E45" i="1"/>
  <c r="D45" i="1" s="1"/>
  <c r="E46" i="1"/>
  <c r="D46" i="1" s="1"/>
  <c r="E47" i="1"/>
  <c r="D47" i="1" s="1"/>
  <c r="E48" i="1"/>
  <c r="D48" i="1" s="1"/>
  <c r="E49" i="1"/>
  <c r="D49" i="1" s="1"/>
  <c r="E50" i="1"/>
  <c r="D50" i="1" s="1"/>
  <c r="E51" i="1"/>
  <c r="D51" i="1" s="1"/>
  <c r="E52" i="1"/>
  <c r="D52" i="1" s="1"/>
  <c r="E53" i="1"/>
  <c r="D53" i="1" s="1"/>
  <c r="E54" i="1"/>
  <c r="D54" i="1" s="1"/>
  <c r="E55" i="1"/>
  <c r="D55" i="1" s="1"/>
  <c r="E56" i="1"/>
  <c r="D56" i="1" s="1"/>
  <c r="E57" i="1"/>
  <c r="D57" i="1" s="1"/>
  <c r="E58" i="1"/>
  <c r="D58" i="1" s="1"/>
  <c r="E59" i="1"/>
  <c r="D59" i="1" s="1"/>
  <c r="E60" i="1"/>
  <c r="D60" i="1" s="1"/>
  <c r="E61" i="1"/>
  <c r="D61" i="1" s="1"/>
  <c r="E62" i="1"/>
  <c r="D62" i="1" s="1"/>
  <c r="E63" i="1"/>
  <c r="D63" i="1" s="1"/>
  <c r="E64" i="1"/>
  <c r="D64" i="1" s="1"/>
  <c r="E65" i="1"/>
  <c r="D65" i="1" s="1"/>
  <c r="E66" i="1"/>
  <c r="D66" i="1" s="1"/>
  <c r="E67" i="1"/>
  <c r="D67" i="1" s="1"/>
  <c r="E68" i="1"/>
  <c r="D68" i="1" s="1"/>
  <c r="E69" i="1"/>
  <c r="D69" i="1" s="1"/>
  <c r="E70" i="1"/>
  <c r="D70" i="1" s="1"/>
  <c r="E71" i="1"/>
  <c r="D71" i="1" s="1"/>
  <c r="E72" i="1"/>
  <c r="D72" i="1" s="1"/>
  <c r="E73" i="1"/>
  <c r="D73" i="1" s="1"/>
  <c r="E74" i="1"/>
  <c r="D74" i="1" s="1"/>
  <c r="E75" i="1"/>
  <c r="D75" i="1" s="1"/>
  <c r="E76" i="1"/>
  <c r="D76" i="1" s="1"/>
  <c r="E77" i="1"/>
  <c r="D77" i="1" s="1"/>
  <c r="E78" i="1"/>
  <c r="D78" i="1" s="1"/>
  <c r="E79" i="1"/>
  <c r="D79" i="1" s="1"/>
  <c r="E80" i="1"/>
  <c r="D80" i="1" s="1"/>
  <c r="E81" i="1"/>
  <c r="D81" i="1" s="1"/>
  <c r="E82" i="1"/>
  <c r="D82" i="1" s="1"/>
  <c r="E83" i="1"/>
  <c r="D83" i="1" s="1"/>
  <c r="E84" i="1"/>
  <c r="D84" i="1" s="1"/>
  <c r="E85" i="1"/>
  <c r="D85" i="1" s="1"/>
  <c r="E86" i="1"/>
  <c r="D86" i="1" s="1"/>
  <c r="E87" i="1"/>
  <c r="D87" i="1" s="1"/>
  <c r="E88" i="1"/>
  <c r="D88" i="1" s="1"/>
  <c r="E89" i="1"/>
  <c r="D89" i="1" s="1"/>
  <c r="E90" i="1"/>
  <c r="D90" i="1" s="1"/>
  <c r="E91" i="1"/>
  <c r="D91" i="1" s="1"/>
  <c r="E92" i="1"/>
  <c r="D92" i="1" s="1"/>
  <c r="E93" i="1"/>
  <c r="D93" i="1" s="1"/>
  <c r="E94" i="1"/>
  <c r="D94" i="1" s="1"/>
  <c r="E95" i="1"/>
  <c r="D95" i="1" s="1"/>
  <c r="E96" i="1"/>
  <c r="D96" i="1" s="1"/>
  <c r="E97" i="1"/>
  <c r="D97" i="1" s="1"/>
  <c r="E98" i="1"/>
  <c r="D98" i="1" s="1"/>
  <c r="E99" i="1"/>
  <c r="D99" i="1" s="1"/>
  <c r="E100" i="1"/>
  <c r="D100" i="1" s="1"/>
  <c r="E101" i="1"/>
  <c r="D101" i="1" s="1"/>
  <c r="E102" i="1"/>
  <c r="D102" i="1" s="1"/>
  <c r="E103" i="1"/>
  <c r="D103" i="1" s="1"/>
  <c r="E104" i="1"/>
  <c r="D104" i="1" s="1"/>
  <c r="E105" i="1"/>
  <c r="D105" i="1" s="1"/>
  <c r="E106" i="1"/>
  <c r="D106" i="1" s="1"/>
  <c r="E107" i="1"/>
  <c r="D107" i="1" s="1"/>
  <c r="E108" i="1"/>
  <c r="D108" i="1" s="1"/>
  <c r="E109" i="1"/>
  <c r="D109" i="1" s="1"/>
  <c r="E110" i="1"/>
  <c r="D110" i="1" s="1"/>
  <c r="E111" i="1"/>
  <c r="D111" i="1" s="1"/>
  <c r="E112" i="1"/>
  <c r="D112" i="1" s="1"/>
  <c r="E113" i="1"/>
  <c r="D113" i="1" s="1"/>
  <c r="E114" i="1"/>
  <c r="D114" i="1" s="1"/>
  <c r="E115" i="1"/>
  <c r="D115" i="1" s="1"/>
  <c r="E116" i="1"/>
  <c r="D116" i="1" s="1"/>
  <c r="E117" i="1"/>
  <c r="D117" i="1" s="1"/>
  <c r="E118" i="1"/>
  <c r="D118" i="1" s="1"/>
  <c r="E119" i="1"/>
  <c r="D119" i="1" s="1"/>
  <c r="E120" i="1"/>
  <c r="D120" i="1" s="1"/>
  <c r="E121" i="1"/>
  <c r="D121" i="1" s="1"/>
  <c r="E122" i="1"/>
  <c r="D122" i="1" s="1"/>
  <c r="E123" i="1"/>
  <c r="D123" i="1" s="1"/>
  <c r="E124" i="1"/>
  <c r="D124" i="1" s="1"/>
  <c r="E125" i="1"/>
  <c r="D125" i="1" s="1"/>
  <c r="E126" i="1"/>
  <c r="D126" i="1" s="1"/>
  <c r="E127" i="1"/>
  <c r="D127" i="1" s="1"/>
  <c r="E128" i="1"/>
  <c r="D128" i="1" s="1"/>
  <c r="E129" i="1"/>
  <c r="D129" i="1" s="1"/>
  <c r="E130" i="1"/>
  <c r="D130" i="1" s="1"/>
  <c r="E131" i="1"/>
  <c r="D131" i="1" s="1"/>
  <c r="E132" i="1"/>
  <c r="D132" i="1" s="1"/>
  <c r="E133" i="1"/>
  <c r="D133" i="1" s="1"/>
  <c r="E134" i="1"/>
  <c r="D134" i="1" s="1"/>
  <c r="E135" i="1"/>
  <c r="D135" i="1" s="1"/>
  <c r="E136" i="1"/>
  <c r="D136" i="1" s="1"/>
  <c r="E137" i="1"/>
  <c r="D137" i="1" s="1"/>
  <c r="E138" i="1"/>
  <c r="D138" i="1" s="1"/>
  <c r="E139" i="1"/>
  <c r="D139" i="1" s="1"/>
  <c r="E140" i="1"/>
  <c r="D140" i="1" s="1"/>
  <c r="E141" i="1"/>
  <c r="D141" i="1" s="1"/>
  <c r="E142" i="1"/>
  <c r="D142" i="1" s="1"/>
  <c r="E143" i="1"/>
  <c r="D143" i="1" s="1"/>
  <c r="E144" i="1"/>
  <c r="D144" i="1" s="1"/>
  <c r="E145" i="1"/>
  <c r="D145" i="1" s="1"/>
  <c r="E146" i="1"/>
  <c r="D146" i="1" s="1"/>
  <c r="E147" i="1"/>
  <c r="D147" i="1" s="1"/>
  <c r="E148" i="1"/>
  <c r="D148" i="1" s="1"/>
  <c r="E149" i="1"/>
  <c r="D149" i="1" s="1"/>
  <c r="E150" i="1"/>
  <c r="D150" i="1" s="1"/>
  <c r="E151" i="1"/>
  <c r="D151" i="1" s="1"/>
  <c r="E152" i="1"/>
  <c r="D152" i="1" s="1"/>
  <c r="E153" i="1"/>
  <c r="D153" i="1" s="1"/>
  <c r="E154" i="1"/>
  <c r="D154" i="1" s="1"/>
  <c r="E155" i="1"/>
  <c r="D155" i="1" s="1"/>
  <c r="E156" i="1"/>
  <c r="D156" i="1" s="1"/>
  <c r="E157" i="1"/>
  <c r="D157" i="1" s="1"/>
  <c r="E158" i="1"/>
  <c r="D158" i="1" s="1"/>
  <c r="E159" i="1"/>
  <c r="D159" i="1" s="1"/>
  <c r="E160" i="1"/>
  <c r="D160" i="1" s="1"/>
  <c r="E161" i="1"/>
  <c r="D161" i="1" s="1"/>
  <c r="E162" i="1"/>
  <c r="D162" i="1" s="1"/>
  <c r="E163" i="1"/>
  <c r="D163" i="1" s="1"/>
  <c r="E164" i="1"/>
  <c r="D164" i="1" s="1"/>
  <c r="E165" i="1"/>
  <c r="D165" i="1" s="1"/>
  <c r="E166" i="1"/>
  <c r="D166" i="1" s="1"/>
  <c r="E167" i="1"/>
  <c r="D167" i="1" s="1"/>
  <c r="E168" i="1"/>
  <c r="D168" i="1" s="1"/>
  <c r="E169" i="1"/>
  <c r="D169" i="1" s="1"/>
  <c r="E170" i="1"/>
  <c r="D170" i="1" s="1"/>
  <c r="E171" i="1"/>
  <c r="D171" i="1" s="1"/>
  <c r="E172" i="1"/>
  <c r="D172" i="1" s="1"/>
  <c r="E173" i="1"/>
  <c r="D173" i="1" s="1"/>
  <c r="E174" i="1"/>
  <c r="D174" i="1" s="1"/>
  <c r="E175" i="1"/>
  <c r="D175" i="1" s="1"/>
  <c r="E176" i="1"/>
  <c r="D176" i="1" s="1"/>
  <c r="E177" i="1"/>
  <c r="D177" i="1" s="1"/>
  <c r="E178" i="1"/>
  <c r="D178" i="1" s="1"/>
  <c r="E179" i="1"/>
  <c r="D179" i="1" s="1"/>
  <c r="E180" i="1"/>
  <c r="D180" i="1" s="1"/>
  <c r="E181" i="1"/>
  <c r="D181" i="1" s="1"/>
  <c r="E182" i="1"/>
  <c r="D182" i="1" s="1"/>
  <c r="E183" i="1"/>
  <c r="D183" i="1" s="1"/>
  <c r="E184" i="1"/>
  <c r="D184" i="1" s="1"/>
  <c r="E185" i="1"/>
  <c r="D185" i="1" s="1"/>
  <c r="E186" i="1"/>
  <c r="D186" i="1" s="1"/>
  <c r="E187" i="1"/>
  <c r="D187" i="1" s="1"/>
  <c r="E188" i="1"/>
  <c r="D188" i="1" s="1"/>
  <c r="E189" i="1"/>
  <c r="D189" i="1" s="1"/>
  <c r="E190" i="1"/>
  <c r="D190" i="1" s="1"/>
  <c r="E191" i="1"/>
  <c r="D191" i="1" s="1"/>
  <c r="E192" i="1"/>
  <c r="D192" i="1" s="1"/>
  <c r="E193" i="1"/>
  <c r="D193" i="1" s="1"/>
  <c r="E194" i="1"/>
  <c r="D194" i="1" s="1"/>
  <c r="E195" i="1"/>
  <c r="D195" i="1" s="1"/>
  <c r="E196" i="1"/>
  <c r="D196" i="1" s="1"/>
  <c r="E197" i="1"/>
  <c r="D197" i="1" s="1"/>
  <c r="E198" i="1"/>
  <c r="D198" i="1" s="1"/>
  <c r="E199" i="1"/>
  <c r="D199" i="1" s="1"/>
  <c r="E200" i="1"/>
  <c r="D200" i="1" s="1"/>
  <c r="E201" i="1"/>
  <c r="D201" i="1" s="1"/>
  <c r="E202" i="1"/>
  <c r="D202" i="1" s="1"/>
  <c r="E203" i="1"/>
  <c r="D203" i="1" s="1"/>
  <c r="E204" i="1"/>
  <c r="D204" i="1" s="1"/>
  <c r="E205" i="1"/>
  <c r="D205" i="1" s="1"/>
  <c r="E206" i="1"/>
  <c r="D206" i="1" s="1"/>
  <c r="E207" i="1"/>
  <c r="D207" i="1" s="1"/>
  <c r="E208" i="1"/>
  <c r="D208" i="1" s="1"/>
  <c r="E209" i="1"/>
  <c r="D209" i="1" s="1"/>
  <c r="E210" i="1"/>
  <c r="D210" i="1" s="1"/>
  <c r="E211" i="1"/>
  <c r="D211" i="1" s="1"/>
  <c r="E212" i="1"/>
  <c r="D212" i="1" s="1"/>
  <c r="E213" i="1"/>
  <c r="D213" i="1" s="1"/>
  <c r="E214" i="1"/>
  <c r="D214" i="1" s="1"/>
  <c r="E215" i="1"/>
  <c r="D215" i="1" s="1"/>
  <c r="E216" i="1"/>
  <c r="D216" i="1" s="1"/>
  <c r="E217" i="1"/>
  <c r="D217" i="1" s="1"/>
  <c r="E218" i="1"/>
  <c r="D218" i="1" s="1"/>
  <c r="E219" i="1"/>
  <c r="D219" i="1" s="1"/>
  <c r="E220" i="1"/>
  <c r="D220" i="1" s="1"/>
  <c r="E221" i="1"/>
  <c r="D221" i="1" s="1"/>
  <c r="E222" i="1"/>
  <c r="D222" i="1" s="1"/>
  <c r="E223" i="1"/>
  <c r="D223" i="1" s="1"/>
  <c r="E224" i="1"/>
  <c r="D224" i="1" s="1"/>
  <c r="E225" i="1"/>
  <c r="D225" i="1" s="1"/>
  <c r="E226" i="1"/>
  <c r="D226" i="1" s="1"/>
  <c r="E227" i="1"/>
  <c r="D227" i="1" s="1"/>
  <c r="E228" i="1"/>
  <c r="D228" i="1" s="1"/>
  <c r="E229" i="1"/>
  <c r="D229" i="1" s="1"/>
  <c r="E230" i="1"/>
  <c r="D230" i="1" s="1"/>
  <c r="E231" i="1"/>
  <c r="D231" i="1" s="1"/>
  <c r="E232" i="1"/>
  <c r="D232" i="1" s="1"/>
  <c r="E233" i="1"/>
  <c r="D233" i="1" s="1"/>
  <c r="E234" i="1"/>
  <c r="D234" i="1" s="1"/>
  <c r="E235" i="1"/>
  <c r="D235" i="1" s="1"/>
  <c r="E236" i="1"/>
  <c r="D236" i="1" s="1"/>
  <c r="E237" i="1"/>
  <c r="D237" i="1" s="1"/>
  <c r="E238" i="1"/>
  <c r="D238" i="1" s="1"/>
  <c r="E239" i="1"/>
  <c r="D239" i="1" s="1"/>
  <c r="E240" i="1"/>
  <c r="D240" i="1" s="1"/>
  <c r="E241" i="1"/>
  <c r="D241" i="1" s="1"/>
  <c r="E242" i="1"/>
  <c r="D242" i="1" s="1"/>
  <c r="E243" i="1"/>
  <c r="D243" i="1" s="1"/>
  <c r="E244" i="1"/>
  <c r="D244" i="1" s="1"/>
  <c r="E245" i="1"/>
  <c r="D245" i="1" s="1"/>
  <c r="E246" i="1"/>
  <c r="D246" i="1" s="1"/>
  <c r="E247" i="1"/>
  <c r="D247" i="1" s="1"/>
  <c r="E248" i="1"/>
  <c r="D248" i="1" s="1"/>
  <c r="E249" i="1"/>
  <c r="D249" i="1" s="1"/>
  <c r="E250" i="1"/>
  <c r="D250" i="1" s="1"/>
  <c r="E251" i="1"/>
  <c r="D251" i="1" s="1"/>
  <c r="E252" i="1"/>
  <c r="D252" i="1" s="1"/>
  <c r="E253" i="1"/>
  <c r="D253" i="1" s="1"/>
  <c r="E254" i="1"/>
  <c r="D254" i="1" s="1"/>
  <c r="E255" i="1"/>
  <c r="D255" i="1" s="1"/>
  <c r="E256" i="1"/>
  <c r="D256" i="1" s="1"/>
  <c r="E257" i="1"/>
  <c r="D257" i="1" s="1"/>
  <c r="E258" i="1"/>
  <c r="D258" i="1" s="1"/>
  <c r="E259" i="1"/>
  <c r="D259" i="1" s="1"/>
  <c r="E260" i="1"/>
  <c r="D260" i="1" s="1"/>
  <c r="E261" i="1"/>
  <c r="D261" i="1" s="1"/>
  <c r="E262" i="1"/>
  <c r="D262" i="1" s="1"/>
  <c r="E263" i="1"/>
  <c r="D263" i="1" s="1"/>
  <c r="E264" i="1"/>
  <c r="D264" i="1" s="1"/>
  <c r="E265" i="1"/>
  <c r="D265" i="1" s="1"/>
  <c r="E266" i="1"/>
  <c r="D266" i="1" s="1"/>
  <c r="E267" i="1"/>
  <c r="D267" i="1" s="1"/>
  <c r="E268" i="1"/>
  <c r="D268" i="1" s="1"/>
  <c r="E269" i="1"/>
  <c r="D269" i="1" s="1"/>
  <c r="E270" i="1"/>
  <c r="D270" i="1" s="1"/>
  <c r="E271" i="1"/>
  <c r="D271" i="1" s="1"/>
  <c r="E272" i="1"/>
  <c r="D272" i="1" s="1"/>
  <c r="E273" i="1"/>
  <c r="D273" i="1" s="1"/>
  <c r="E274" i="1"/>
  <c r="D274" i="1" s="1"/>
  <c r="E275" i="1"/>
  <c r="D275" i="1" s="1"/>
  <c r="E276" i="1"/>
  <c r="D276" i="1" s="1"/>
  <c r="E277" i="1"/>
  <c r="D277" i="1" s="1"/>
  <c r="E278" i="1"/>
  <c r="D278" i="1" s="1"/>
  <c r="E279" i="1"/>
  <c r="D279" i="1" s="1"/>
  <c r="E280" i="1"/>
  <c r="D280" i="1" s="1"/>
  <c r="E281" i="1"/>
  <c r="D281" i="1" s="1"/>
  <c r="E282" i="1"/>
  <c r="D282" i="1" s="1"/>
  <c r="E283" i="1"/>
  <c r="D283" i="1" s="1"/>
  <c r="E284" i="1"/>
  <c r="D284" i="1" s="1"/>
  <c r="E285" i="1"/>
  <c r="D285" i="1" s="1"/>
  <c r="E286" i="1"/>
  <c r="D286" i="1" s="1"/>
  <c r="E287" i="1"/>
  <c r="D287" i="1" s="1"/>
  <c r="E288" i="1"/>
  <c r="D288" i="1" s="1"/>
  <c r="E289" i="1"/>
  <c r="D289" i="1" s="1"/>
  <c r="E290" i="1"/>
  <c r="D290" i="1" s="1"/>
  <c r="E291" i="1"/>
  <c r="D291" i="1" s="1"/>
  <c r="E292" i="1"/>
  <c r="D292" i="1" s="1"/>
  <c r="E293" i="1"/>
  <c r="D293" i="1" s="1"/>
  <c r="E294" i="1"/>
  <c r="D294" i="1" s="1"/>
  <c r="E295" i="1"/>
  <c r="D295" i="1" s="1"/>
  <c r="E296" i="1"/>
  <c r="D296" i="1" s="1"/>
  <c r="E297" i="1"/>
  <c r="D297" i="1" s="1"/>
  <c r="E298" i="1"/>
  <c r="D298" i="1" s="1"/>
  <c r="E299" i="1"/>
  <c r="D299" i="1" s="1"/>
  <c r="E300" i="1"/>
  <c r="D300" i="1" s="1"/>
  <c r="E301" i="1"/>
  <c r="D301" i="1" s="1"/>
  <c r="E302" i="1"/>
  <c r="D302" i="1" s="1"/>
  <c r="E303" i="1"/>
  <c r="D303" i="1" s="1"/>
  <c r="E304" i="1"/>
  <c r="D304" i="1" s="1"/>
  <c r="E305" i="1"/>
  <c r="D305" i="1" s="1"/>
  <c r="E306" i="1"/>
  <c r="D306" i="1" s="1"/>
  <c r="E307" i="1"/>
  <c r="D307" i="1" s="1"/>
  <c r="E308" i="1"/>
  <c r="D308" i="1" s="1"/>
  <c r="E309" i="1"/>
  <c r="D309" i="1" s="1"/>
  <c r="E310" i="1"/>
  <c r="D310" i="1" s="1"/>
  <c r="E311" i="1"/>
  <c r="D311" i="1" s="1"/>
  <c r="E312" i="1"/>
  <c r="D312" i="1" s="1"/>
  <c r="E313" i="1"/>
  <c r="D313" i="1" s="1"/>
  <c r="E314" i="1"/>
  <c r="D314" i="1" s="1"/>
  <c r="E315" i="1"/>
  <c r="D315" i="1" s="1"/>
  <c r="E316" i="1"/>
  <c r="D316" i="1" s="1"/>
  <c r="E317" i="1"/>
  <c r="D317" i="1" s="1"/>
  <c r="E318" i="1"/>
  <c r="D318" i="1" s="1"/>
  <c r="E319" i="1"/>
  <c r="D319" i="1" s="1"/>
  <c r="E320" i="1"/>
  <c r="D320" i="1" s="1"/>
  <c r="E321" i="1"/>
  <c r="D321" i="1" s="1"/>
  <c r="E322" i="1"/>
  <c r="D322" i="1" s="1"/>
  <c r="E323" i="1"/>
  <c r="D323" i="1" s="1"/>
  <c r="E324" i="1"/>
  <c r="D324" i="1" s="1"/>
  <c r="E325" i="1"/>
  <c r="D325" i="1" s="1"/>
  <c r="E326" i="1"/>
  <c r="D326" i="1" s="1"/>
  <c r="E327" i="1"/>
  <c r="D327" i="1" s="1"/>
  <c r="E328" i="1"/>
  <c r="D328" i="1" s="1"/>
  <c r="E329" i="1"/>
  <c r="D329" i="1" s="1"/>
  <c r="E330" i="1"/>
  <c r="D330" i="1" s="1"/>
  <c r="E331" i="1"/>
  <c r="D331" i="1" s="1"/>
  <c r="E332" i="1"/>
  <c r="D332" i="1" s="1"/>
  <c r="E333" i="1"/>
  <c r="D333" i="1" s="1"/>
  <c r="E334" i="1"/>
  <c r="D334" i="1" s="1"/>
  <c r="E335" i="1"/>
  <c r="D335" i="1" s="1"/>
  <c r="E336" i="1"/>
  <c r="D336" i="1" s="1"/>
  <c r="E337" i="1"/>
  <c r="D337" i="1" s="1"/>
  <c r="E338" i="1"/>
  <c r="D338" i="1" s="1"/>
  <c r="E339" i="1"/>
  <c r="D339" i="1" s="1"/>
  <c r="E340" i="1"/>
  <c r="D340" i="1" s="1"/>
  <c r="E341" i="1"/>
  <c r="D341" i="1" s="1"/>
  <c r="E342" i="1"/>
  <c r="D342" i="1" s="1"/>
  <c r="E343" i="1"/>
  <c r="D343" i="1" s="1"/>
  <c r="E344" i="1"/>
  <c r="D344" i="1" s="1"/>
  <c r="E345" i="1"/>
  <c r="D345" i="1" s="1"/>
  <c r="E346" i="1"/>
  <c r="D346" i="1" s="1"/>
  <c r="E347" i="1"/>
  <c r="D347" i="1" s="1"/>
  <c r="E348" i="1"/>
  <c r="D348" i="1" s="1"/>
  <c r="E349" i="1"/>
  <c r="D349" i="1" s="1"/>
  <c r="E350" i="1"/>
  <c r="D350" i="1" s="1"/>
  <c r="E351" i="1"/>
  <c r="D351" i="1" s="1"/>
  <c r="E352" i="1"/>
  <c r="D352" i="1" s="1"/>
  <c r="E353" i="1"/>
  <c r="D353" i="1" s="1"/>
  <c r="E354" i="1"/>
  <c r="D354" i="1" s="1"/>
  <c r="E355" i="1"/>
  <c r="D355" i="1" s="1"/>
  <c r="E356" i="1"/>
  <c r="D356" i="1" s="1"/>
  <c r="E357" i="1"/>
  <c r="D357" i="1" s="1"/>
  <c r="E358" i="1"/>
  <c r="D358" i="1" s="1"/>
  <c r="E359" i="1"/>
  <c r="D359" i="1" s="1"/>
  <c r="E360" i="1"/>
  <c r="D360" i="1" s="1"/>
  <c r="E361" i="1"/>
  <c r="D361" i="1" s="1"/>
  <c r="E362" i="1"/>
  <c r="D362" i="1" s="1"/>
  <c r="E363" i="1"/>
  <c r="D363" i="1" s="1"/>
  <c r="E364" i="1"/>
  <c r="D364" i="1" s="1"/>
  <c r="E365" i="1"/>
  <c r="D365" i="1" s="1"/>
  <c r="E366" i="1"/>
  <c r="D366" i="1" s="1"/>
  <c r="E367" i="1"/>
  <c r="D367" i="1" s="1"/>
  <c r="E368" i="1"/>
  <c r="D368" i="1" s="1"/>
  <c r="E369" i="1"/>
  <c r="D369" i="1" s="1"/>
  <c r="E370" i="1"/>
  <c r="D370" i="1" s="1"/>
  <c r="E371" i="1"/>
  <c r="D371" i="1" s="1"/>
  <c r="E372" i="1"/>
  <c r="D372" i="1" s="1"/>
  <c r="E373" i="1"/>
  <c r="D373" i="1" s="1"/>
  <c r="E374" i="1"/>
  <c r="D374" i="1" s="1"/>
  <c r="E375" i="1"/>
  <c r="D375" i="1" s="1"/>
  <c r="E376" i="1"/>
  <c r="D376" i="1" s="1"/>
  <c r="E377" i="1"/>
  <c r="D377" i="1" s="1"/>
  <c r="E378" i="1"/>
  <c r="D378" i="1" s="1"/>
  <c r="E379" i="1"/>
  <c r="D379" i="1" s="1"/>
  <c r="E380" i="1"/>
  <c r="D380" i="1" s="1"/>
  <c r="E381" i="1"/>
  <c r="D381" i="1" s="1"/>
  <c r="E382" i="1"/>
  <c r="D382" i="1" s="1"/>
  <c r="E383" i="1"/>
  <c r="D383" i="1" s="1"/>
  <c r="E384" i="1"/>
  <c r="D384" i="1" s="1"/>
  <c r="E385" i="1"/>
  <c r="D385" i="1" s="1"/>
  <c r="E386" i="1"/>
  <c r="D386" i="1" s="1"/>
  <c r="E387" i="1"/>
  <c r="D387" i="1" s="1"/>
  <c r="E388" i="1"/>
  <c r="D388" i="1" s="1"/>
  <c r="E389" i="1"/>
  <c r="D389" i="1" s="1"/>
  <c r="E390" i="1"/>
  <c r="D390" i="1" s="1"/>
  <c r="E391" i="1"/>
  <c r="D391" i="1" s="1"/>
  <c r="E392" i="1"/>
  <c r="D392" i="1" s="1"/>
  <c r="E393" i="1"/>
  <c r="D393" i="1" s="1"/>
  <c r="E394" i="1"/>
  <c r="D394" i="1" s="1"/>
  <c r="E395" i="1"/>
  <c r="D395" i="1" s="1"/>
  <c r="E396" i="1"/>
  <c r="D396" i="1" s="1"/>
  <c r="E397" i="1"/>
  <c r="D397" i="1" s="1"/>
  <c r="E398" i="1"/>
  <c r="D398" i="1" s="1"/>
  <c r="E399" i="1"/>
  <c r="D399" i="1" s="1"/>
  <c r="E400" i="1"/>
  <c r="D400" i="1" s="1"/>
  <c r="E401" i="1"/>
  <c r="D401" i="1" s="1"/>
  <c r="E402" i="1"/>
  <c r="D402" i="1" s="1"/>
  <c r="E403" i="1"/>
  <c r="D403" i="1" s="1"/>
  <c r="E404" i="1"/>
  <c r="D404" i="1" s="1"/>
  <c r="E405" i="1"/>
  <c r="D405" i="1" s="1"/>
  <c r="E406" i="1"/>
  <c r="D406" i="1" s="1"/>
  <c r="E407" i="1"/>
  <c r="D407" i="1" s="1"/>
  <c r="E408" i="1"/>
  <c r="D408" i="1" s="1"/>
  <c r="E409" i="1"/>
  <c r="D409" i="1" s="1"/>
  <c r="E410" i="1"/>
  <c r="D410" i="1" s="1"/>
  <c r="E411" i="1"/>
  <c r="D411" i="1" s="1"/>
  <c r="E412" i="1"/>
  <c r="D412" i="1" s="1"/>
  <c r="E413" i="1"/>
  <c r="D413" i="1" s="1"/>
  <c r="E414" i="1"/>
  <c r="D414" i="1" s="1"/>
  <c r="E415" i="1"/>
  <c r="D415" i="1" s="1"/>
  <c r="E416" i="1"/>
  <c r="D416" i="1" s="1"/>
  <c r="E417" i="1"/>
  <c r="D417" i="1" s="1"/>
  <c r="E418" i="1"/>
  <c r="D418" i="1" s="1"/>
  <c r="E419" i="1"/>
  <c r="D419" i="1" s="1"/>
  <c r="E420" i="1"/>
  <c r="D420" i="1" s="1"/>
  <c r="E421" i="1"/>
  <c r="D421" i="1" s="1"/>
  <c r="E422" i="1"/>
  <c r="D422" i="1" s="1"/>
  <c r="E423" i="1"/>
  <c r="D423" i="1" s="1"/>
  <c r="E424" i="1"/>
  <c r="D424" i="1" s="1"/>
  <c r="E425" i="1"/>
  <c r="D425" i="1" s="1"/>
  <c r="E426" i="1"/>
  <c r="D426" i="1" s="1"/>
  <c r="E427" i="1"/>
  <c r="D427" i="1" s="1"/>
  <c r="E428" i="1"/>
  <c r="D428" i="1" s="1"/>
  <c r="E429" i="1"/>
  <c r="D429" i="1" s="1"/>
  <c r="E430" i="1"/>
  <c r="D430" i="1" s="1"/>
  <c r="E431" i="1"/>
  <c r="D431" i="1" s="1"/>
  <c r="E432" i="1"/>
  <c r="D432" i="1" s="1"/>
  <c r="E433" i="1"/>
  <c r="D433" i="1" s="1"/>
  <c r="E434" i="1"/>
  <c r="D434" i="1" s="1"/>
  <c r="E435" i="1"/>
  <c r="D435" i="1" s="1"/>
  <c r="E436" i="1"/>
  <c r="D436" i="1" s="1"/>
  <c r="E437" i="1"/>
  <c r="D437" i="1" s="1"/>
  <c r="E438" i="1"/>
  <c r="D438" i="1" s="1"/>
  <c r="E439" i="1"/>
  <c r="D439" i="1" s="1"/>
  <c r="E440" i="1"/>
  <c r="D440" i="1" s="1"/>
  <c r="E441" i="1"/>
  <c r="D441" i="1" s="1"/>
  <c r="E442" i="1"/>
  <c r="D442" i="1" s="1"/>
  <c r="E443" i="1"/>
  <c r="D443" i="1" s="1"/>
  <c r="E444" i="1"/>
  <c r="D444" i="1" s="1"/>
  <c r="E445" i="1"/>
  <c r="D445" i="1" s="1"/>
  <c r="E446" i="1"/>
  <c r="D446" i="1" s="1"/>
  <c r="E447" i="1"/>
  <c r="D447" i="1" s="1"/>
  <c r="E448" i="1"/>
  <c r="D448" i="1" s="1"/>
  <c r="E449" i="1"/>
  <c r="D449" i="1" s="1"/>
  <c r="E450" i="1"/>
  <c r="D450" i="1" s="1"/>
  <c r="E451" i="1"/>
  <c r="D451" i="1" s="1"/>
  <c r="E452" i="1"/>
  <c r="D452" i="1" s="1"/>
  <c r="E453" i="1"/>
  <c r="D453" i="1" s="1"/>
  <c r="E454" i="1"/>
  <c r="D454" i="1" s="1"/>
  <c r="E455" i="1"/>
  <c r="D455" i="1" s="1"/>
  <c r="E456" i="1"/>
  <c r="D456" i="1" s="1"/>
  <c r="E457" i="1"/>
  <c r="D457" i="1" s="1"/>
  <c r="E458" i="1"/>
  <c r="D458" i="1" s="1"/>
  <c r="E459" i="1"/>
  <c r="D459" i="1" s="1"/>
  <c r="E460" i="1"/>
  <c r="D460" i="1" s="1"/>
  <c r="E461" i="1"/>
  <c r="D461" i="1" s="1"/>
  <c r="E462" i="1"/>
  <c r="D462" i="1" s="1"/>
  <c r="E463" i="1"/>
  <c r="D463" i="1" s="1"/>
  <c r="E464" i="1"/>
  <c r="D464" i="1" s="1"/>
  <c r="E465" i="1"/>
  <c r="D465" i="1" s="1"/>
  <c r="E466" i="1"/>
  <c r="D466" i="1" s="1"/>
  <c r="E467" i="1"/>
  <c r="D467" i="1" s="1"/>
  <c r="E468" i="1"/>
  <c r="D468" i="1" s="1"/>
  <c r="E469" i="1"/>
  <c r="D469" i="1" s="1"/>
  <c r="E470" i="1"/>
  <c r="D470" i="1" s="1"/>
  <c r="E471" i="1"/>
  <c r="D471" i="1" s="1"/>
  <c r="E472" i="1"/>
  <c r="D472" i="1" s="1"/>
  <c r="E473" i="1"/>
  <c r="D473" i="1" s="1"/>
  <c r="E474" i="1"/>
  <c r="D474" i="1" s="1"/>
  <c r="E475" i="1"/>
  <c r="D475" i="1" s="1"/>
  <c r="E476" i="1"/>
  <c r="D476" i="1" s="1"/>
  <c r="E477" i="1"/>
  <c r="D477" i="1" s="1"/>
  <c r="E478" i="1"/>
  <c r="D478" i="1" s="1"/>
  <c r="E479" i="1"/>
  <c r="D479" i="1" s="1"/>
  <c r="E480" i="1"/>
  <c r="D480" i="1" s="1"/>
  <c r="E481" i="1"/>
  <c r="D481" i="1" s="1"/>
  <c r="E482" i="1"/>
  <c r="D482" i="1" s="1"/>
  <c r="E483" i="1"/>
  <c r="D483" i="1" s="1"/>
  <c r="E484" i="1"/>
  <c r="D484" i="1" s="1"/>
  <c r="E485" i="1"/>
  <c r="D485" i="1" s="1"/>
  <c r="E486" i="1"/>
  <c r="D486" i="1" s="1"/>
  <c r="E487" i="1"/>
  <c r="D487" i="1" s="1"/>
  <c r="E488" i="1"/>
  <c r="D488" i="1" s="1"/>
  <c r="E489" i="1"/>
  <c r="D489" i="1" s="1"/>
  <c r="E490" i="1"/>
  <c r="D490" i="1" s="1"/>
  <c r="E491" i="1"/>
  <c r="D491" i="1" s="1"/>
  <c r="E492" i="1"/>
  <c r="D492" i="1" s="1"/>
  <c r="E493" i="1"/>
  <c r="D493" i="1" s="1"/>
  <c r="E494" i="1"/>
  <c r="D494" i="1" s="1"/>
  <c r="E495" i="1"/>
  <c r="D495" i="1" s="1"/>
  <c r="E496" i="1"/>
  <c r="D496" i="1" s="1"/>
  <c r="E497" i="1"/>
  <c r="D497" i="1" s="1"/>
  <c r="E498" i="1"/>
  <c r="D498" i="1" s="1"/>
  <c r="E499" i="1"/>
  <c r="D499" i="1" s="1"/>
  <c r="E500" i="1"/>
  <c r="D500" i="1" s="1"/>
  <c r="E501" i="1"/>
  <c r="D501" i="1" s="1"/>
  <c r="E502" i="1"/>
  <c r="D502" i="1" s="1"/>
  <c r="E503" i="1"/>
  <c r="D503" i="1" s="1"/>
  <c r="E504" i="1"/>
  <c r="D504" i="1" s="1"/>
  <c r="E505" i="1"/>
  <c r="D505" i="1" s="1"/>
  <c r="E506" i="1"/>
  <c r="D506" i="1" s="1"/>
  <c r="E507" i="1"/>
  <c r="D507" i="1" s="1"/>
  <c r="E508" i="1"/>
  <c r="D508" i="1" s="1"/>
  <c r="E509" i="1"/>
  <c r="D509" i="1" s="1"/>
  <c r="E510" i="1"/>
  <c r="D510" i="1" s="1"/>
  <c r="E511" i="1"/>
  <c r="D511" i="1" s="1"/>
  <c r="E512" i="1"/>
  <c r="D512" i="1" s="1"/>
  <c r="E513" i="1"/>
  <c r="D513" i="1" s="1"/>
  <c r="E514" i="1"/>
  <c r="D514" i="1" s="1"/>
  <c r="E515" i="1"/>
  <c r="D515" i="1" s="1"/>
  <c r="E516" i="1"/>
  <c r="D516" i="1" s="1"/>
  <c r="E517" i="1"/>
  <c r="D517" i="1" s="1"/>
  <c r="E518" i="1"/>
  <c r="D518" i="1" s="1"/>
  <c r="E519" i="1"/>
  <c r="D519" i="1" s="1"/>
  <c r="E520" i="1"/>
  <c r="D520" i="1" s="1"/>
  <c r="E521" i="1"/>
  <c r="D521" i="1" s="1"/>
  <c r="E522" i="1"/>
  <c r="D522" i="1" s="1"/>
  <c r="E523" i="1"/>
  <c r="D523" i="1" s="1"/>
  <c r="E524" i="1"/>
  <c r="D524" i="1" s="1"/>
  <c r="E525" i="1"/>
  <c r="D525" i="1" s="1"/>
  <c r="E526" i="1"/>
  <c r="D526" i="1" s="1"/>
  <c r="E527" i="1"/>
  <c r="D527" i="1" s="1"/>
  <c r="E528" i="1"/>
  <c r="D528" i="1" s="1"/>
  <c r="E529" i="1"/>
  <c r="D529" i="1" s="1"/>
  <c r="E530" i="1"/>
  <c r="D530" i="1" s="1"/>
  <c r="E531" i="1"/>
  <c r="D531" i="1" s="1"/>
  <c r="E532" i="1"/>
  <c r="D532" i="1" s="1"/>
  <c r="E533" i="1"/>
  <c r="D533" i="1" s="1"/>
  <c r="E534" i="1"/>
  <c r="D534" i="1" s="1"/>
  <c r="E535" i="1"/>
  <c r="D535" i="1" s="1"/>
  <c r="E536" i="1"/>
  <c r="D536" i="1" s="1"/>
  <c r="E537" i="1"/>
  <c r="D537" i="1" s="1"/>
  <c r="E538" i="1"/>
  <c r="D538" i="1" s="1"/>
  <c r="E539" i="1"/>
  <c r="D539" i="1" s="1"/>
  <c r="E540" i="1"/>
  <c r="D540" i="1" s="1"/>
  <c r="E541" i="1"/>
  <c r="D541" i="1" s="1"/>
  <c r="E542" i="1"/>
  <c r="D542" i="1" s="1"/>
  <c r="E543" i="1"/>
  <c r="D543" i="1" s="1"/>
  <c r="E544" i="1"/>
  <c r="D544" i="1" s="1"/>
  <c r="E545" i="1"/>
  <c r="D545" i="1" s="1"/>
  <c r="E546" i="1"/>
  <c r="D546" i="1" s="1"/>
  <c r="E547" i="1"/>
  <c r="D547" i="1" s="1"/>
  <c r="E548" i="1"/>
  <c r="D548" i="1" s="1"/>
  <c r="E549" i="1"/>
  <c r="D549" i="1" s="1"/>
  <c r="E550" i="1"/>
  <c r="D550" i="1" s="1"/>
  <c r="E551" i="1"/>
  <c r="D551" i="1" s="1"/>
  <c r="E552" i="1"/>
  <c r="D552" i="1" s="1"/>
  <c r="E553" i="1"/>
  <c r="D553" i="1" s="1"/>
  <c r="E554" i="1"/>
  <c r="D554" i="1" s="1"/>
  <c r="E555" i="1"/>
  <c r="D555" i="1" s="1"/>
  <c r="E556" i="1"/>
  <c r="D556" i="1" s="1"/>
  <c r="E557" i="1"/>
  <c r="D557" i="1" s="1"/>
  <c r="E558" i="1"/>
  <c r="D558" i="1" s="1"/>
  <c r="E559" i="1"/>
  <c r="D559" i="1" s="1"/>
  <c r="E560" i="1"/>
  <c r="D560" i="1" s="1"/>
  <c r="E561" i="1"/>
  <c r="D561" i="1" s="1"/>
  <c r="E562" i="1"/>
  <c r="D562" i="1" s="1"/>
  <c r="E563" i="1"/>
  <c r="D563" i="1" s="1"/>
  <c r="E564" i="1"/>
  <c r="D564" i="1" s="1"/>
  <c r="E565" i="1"/>
  <c r="D565" i="1" s="1"/>
  <c r="E566" i="1"/>
  <c r="D566" i="1" s="1"/>
  <c r="E567" i="1"/>
  <c r="D567" i="1" s="1"/>
  <c r="E568" i="1"/>
  <c r="D568" i="1" s="1"/>
  <c r="E569" i="1"/>
  <c r="D569" i="1" s="1"/>
  <c r="E570" i="1"/>
  <c r="D570" i="1" s="1"/>
  <c r="E571" i="1"/>
  <c r="D571" i="1" s="1"/>
  <c r="E572" i="1"/>
  <c r="D572" i="1" s="1"/>
  <c r="E573" i="1"/>
  <c r="D573" i="1" s="1"/>
  <c r="E574" i="1"/>
  <c r="D574" i="1" s="1"/>
  <c r="E575" i="1"/>
  <c r="D575" i="1" s="1"/>
  <c r="E576" i="1"/>
  <c r="D576" i="1" s="1"/>
  <c r="E577" i="1"/>
  <c r="D577" i="1" s="1"/>
  <c r="E578" i="1"/>
  <c r="D578" i="1" s="1"/>
  <c r="E579" i="1"/>
  <c r="D579" i="1" s="1"/>
  <c r="E580" i="1"/>
  <c r="D580" i="1" s="1"/>
  <c r="E581" i="1"/>
  <c r="D581" i="1" s="1"/>
  <c r="E582" i="1"/>
  <c r="D582" i="1" s="1"/>
  <c r="E583" i="1"/>
  <c r="D583" i="1" s="1"/>
  <c r="E584" i="1"/>
  <c r="D584" i="1" s="1"/>
  <c r="E585" i="1"/>
  <c r="D585" i="1" s="1"/>
  <c r="E586" i="1"/>
  <c r="D586" i="1" s="1"/>
  <c r="E587" i="1"/>
  <c r="D587" i="1" s="1"/>
  <c r="E588" i="1"/>
  <c r="D588" i="1" s="1"/>
  <c r="E589" i="1"/>
  <c r="D589" i="1" s="1"/>
  <c r="E590" i="1"/>
  <c r="D590" i="1" s="1"/>
  <c r="E591" i="1"/>
  <c r="D591" i="1" s="1"/>
  <c r="E592" i="1"/>
  <c r="D592" i="1" s="1"/>
  <c r="E593" i="1"/>
  <c r="D593" i="1" s="1"/>
  <c r="E594" i="1"/>
  <c r="D594" i="1" s="1"/>
  <c r="E595" i="1"/>
  <c r="D595" i="1" s="1"/>
  <c r="E596" i="1"/>
  <c r="D596" i="1" s="1"/>
  <c r="E597" i="1"/>
  <c r="D597" i="1" s="1"/>
  <c r="E598" i="1"/>
  <c r="D598" i="1" s="1"/>
  <c r="E599" i="1"/>
  <c r="D599" i="1" s="1"/>
  <c r="E600" i="1"/>
  <c r="D600" i="1" s="1"/>
  <c r="E601" i="1"/>
  <c r="D601" i="1" s="1"/>
  <c r="E602" i="1"/>
  <c r="D602" i="1" s="1"/>
  <c r="E603" i="1"/>
  <c r="D603" i="1" s="1"/>
  <c r="E604" i="1"/>
  <c r="D604" i="1" s="1"/>
  <c r="E605" i="1"/>
  <c r="D605" i="1" s="1"/>
  <c r="E606" i="1"/>
  <c r="D606" i="1" s="1"/>
  <c r="E607" i="1"/>
  <c r="D607" i="1" s="1"/>
  <c r="E608" i="1"/>
  <c r="D608" i="1" s="1"/>
  <c r="E609" i="1"/>
  <c r="D609" i="1" s="1"/>
  <c r="E610" i="1"/>
  <c r="D610" i="1" s="1"/>
  <c r="E611" i="1"/>
  <c r="D611" i="1" s="1"/>
  <c r="E612" i="1"/>
  <c r="D612" i="1" s="1"/>
  <c r="E613" i="1"/>
  <c r="D613" i="1" s="1"/>
  <c r="E614" i="1"/>
  <c r="D614" i="1" s="1"/>
  <c r="E615" i="1"/>
  <c r="D615" i="1" s="1"/>
  <c r="E616" i="1"/>
  <c r="D616" i="1" s="1"/>
  <c r="E617" i="1"/>
  <c r="D617" i="1" s="1"/>
  <c r="E618" i="1"/>
  <c r="D618" i="1" s="1"/>
  <c r="E619" i="1"/>
  <c r="D619" i="1" s="1"/>
  <c r="E620" i="1"/>
  <c r="D620" i="1" s="1"/>
  <c r="E621" i="1"/>
  <c r="D621" i="1" s="1"/>
  <c r="E622" i="1"/>
  <c r="D622" i="1" s="1"/>
  <c r="E623" i="1"/>
  <c r="D623" i="1" s="1"/>
  <c r="E624" i="1"/>
  <c r="D624" i="1" s="1"/>
  <c r="E625" i="1"/>
  <c r="D625" i="1" s="1"/>
  <c r="E626" i="1"/>
  <c r="D626" i="1" s="1"/>
  <c r="E627" i="1"/>
  <c r="D627" i="1" s="1"/>
  <c r="E628" i="1"/>
  <c r="D628" i="1" s="1"/>
  <c r="E629" i="1"/>
  <c r="D629" i="1" s="1"/>
  <c r="E630" i="1"/>
  <c r="D630" i="1" s="1"/>
  <c r="E631" i="1"/>
  <c r="D631" i="1" s="1"/>
  <c r="E632" i="1"/>
  <c r="D632" i="1" s="1"/>
  <c r="E633" i="1"/>
  <c r="D633" i="1" s="1"/>
  <c r="E634" i="1"/>
  <c r="D634" i="1" s="1"/>
  <c r="E635" i="1"/>
  <c r="D635" i="1" s="1"/>
  <c r="E636" i="1"/>
  <c r="D636" i="1" s="1"/>
  <c r="E637" i="1"/>
  <c r="D637" i="1" s="1"/>
  <c r="E638" i="1"/>
  <c r="D638" i="1" s="1"/>
  <c r="E639" i="1"/>
  <c r="D639" i="1" s="1"/>
  <c r="E640" i="1"/>
  <c r="D640" i="1" s="1"/>
  <c r="E641" i="1"/>
  <c r="D641" i="1" s="1"/>
  <c r="E642" i="1"/>
  <c r="D642" i="1" s="1"/>
  <c r="E643" i="1"/>
  <c r="D643" i="1" s="1"/>
  <c r="E644" i="1"/>
  <c r="D644" i="1" s="1"/>
  <c r="E645" i="1"/>
  <c r="D645" i="1" s="1"/>
  <c r="E646" i="1"/>
  <c r="D646" i="1" s="1"/>
  <c r="E647" i="1"/>
  <c r="D647" i="1" s="1"/>
  <c r="E648" i="1"/>
  <c r="D648" i="1" s="1"/>
  <c r="E649" i="1"/>
  <c r="D649" i="1" s="1"/>
  <c r="E650" i="1"/>
  <c r="D650" i="1" s="1"/>
  <c r="E651" i="1"/>
  <c r="D651" i="1" s="1"/>
  <c r="E652" i="1"/>
  <c r="D652" i="1" s="1"/>
  <c r="E653" i="1"/>
  <c r="D653" i="1" s="1"/>
  <c r="E654" i="1"/>
  <c r="D654" i="1" s="1"/>
  <c r="E655" i="1"/>
  <c r="D655" i="1" s="1"/>
  <c r="E656" i="1"/>
  <c r="D656" i="1" s="1"/>
  <c r="E657" i="1"/>
  <c r="D657" i="1" s="1"/>
  <c r="E658" i="1"/>
  <c r="D658" i="1" s="1"/>
  <c r="E659" i="1"/>
  <c r="D659" i="1" s="1"/>
  <c r="E660" i="1"/>
  <c r="D660" i="1" s="1"/>
  <c r="E661" i="1"/>
  <c r="D661" i="1" s="1"/>
  <c r="E662" i="1"/>
  <c r="D662" i="1" s="1"/>
  <c r="E663" i="1"/>
  <c r="D663" i="1" s="1"/>
  <c r="E664" i="1"/>
  <c r="D664" i="1" s="1"/>
  <c r="E665" i="1"/>
  <c r="D665" i="1" s="1"/>
  <c r="E666" i="1"/>
  <c r="D666" i="1" s="1"/>
  <c r="E667" i="1"/>
  <c r="D667" i="1" s="1"/>
  <c r="E668" i="1"/>
  <c r="D668" i="1" s="1"/>
  <c r="E669" i="1"/>
  <c r="D669" i="1" s="1"/>
  <c r="E670" i="1"/>
  <c r="D670" i="1" s="1"/>
  <c r="E671" i="1"/>
  <c r="D671" i="1" s="1"/>
  <c r="E672" i="1"/>
  <c r="D672" i="1" s="1"/>
  <c r="E673" i="1"/>
  <c r="D673" i="1" s="1"/>
  <c r="E674" i="1"/>
  <c r="D674" i="1" s="1"/>
  <c r="E675" i="1"/>
  <c r="D675" i="1" s="1"/>
  <c r="E676" i="1"/>
  <c r="D676" i="1" s="1"/>
  <c r="E677" i="1"/>
  <c r="D677" i="1" s="1"/>
  <c r="E678" i="1"/>
  <c r="D678" i="1" s="1"/>
  <c r="E679" i="1"/>
  <c r="D679" i="1" s="1"/>
  <c r="E680" i="1"/>
  <c r="D680" i="1" s="1"/>
  <c r="E681" i="1"/>
  <c r="D681" i="1" s="1"/>
  <c r="E682" i="1"/>
  <c r="D682" i="1" s="1"/>
  <c r="E683" i="1"/>
  <c r="D683" i="1" s="1"/>
  <c r="E684" i="1"/>
  <c r="D684" i="1" s="1"/>
  <c r="E685" i="1"/>
  <c r="D685" i="1" s="1"/>
  <c r="E686" i="1"/>
  <c r="D686" i="1" s="1"/>
  <c r="E687" i="1"/>
  <c r="D687" i="1" s="1"/>
  <c r="E688" i="1"/>
  <c r="D688" i="1" s="1"/>
  <c r="E689" i="1"/>
  <c r="D689" i="1" s="1"/>
  <c r="E690" i="1"/>
  <c r="D690" i="1" s="1"/>
  <c r="E691" i="1"/>
  <c r="D691" i="1" s="1"/>
  <c r="E692" i="1"/>
  <c r="D692" i="1" s="1"/>
  <c r="E693" i="1"/>
  <c r="D693" i="1" s="1"/>
  <c r="E694" i="1"/>
  <c r="D694" i="1" s="1"/>
  <c r="E695" i="1"/>
  <c r="D695" i="1" s="1"/>
  <c r="E696" i="1"/>
  <c r="D696" i="1" s="1"/>
  <c r="E697" i="1"/>
  <c r="D697" i="1" s="1"/>
  <c r="E698" i="1"/>
  <c r="D698" i="1" s="1"/>
  <c r="E699" i="1"/>
  <c r="D699" i="1" s="1"/>
  <c r="E700" i="1"/>
  <c r="D700" i="1" s="1"/>
  <c r="E701" i="1"/>
  <c r="D701" i="1" s="1"/>
  <c r="E702" i="1"/>
  <c r="D702" i="1" s="1"/>
  <c r="E703" i="1"/>
  <c r="D703" i="1" s="1"/>
  <c r="E704" i="1"/>
  <c r="D704" i="1" s="1"/>
  <c r="E705" i="1"/>
  <c r="D705" i="1" s="1"/>
  <c r="E706" i="1"/>
  <c r="D706" i="1" s="1"/>
  <c r="E707" i="1"/>
  <c r="D707" i="1" s="1"/>
  <c r="E708" i="1"/>
  <c r="D708" i="1" s="1"/>
  <c r="E709" i="1"/>
  <c r="D709" i="1" s="1"/>
  <c r="E710" i="1"/>
  <c r="D710" i="1" s="1"/>
  <c r="E711" i="1"/>
  <c r="D711" i="1" s="1"/>
  <c r="E712" i="1"/>
  <c r="D712" i="1" s="1"/>
  <c r="E713" i="1"/>
  <c r="D713" i="1" s="1"/>
  <c r="E714" i="1"/>
  <c r="D714" i="1" s="1"/>
  <c r="E715" i="1"/>
  <c r="D715" i="1" s="1"/>
  <c r="E716" i="1"/>
  <c r="D716" i="1" s="1"/>
  <c r="E717" i="1"/>
  <c r="D717" i="1" s="1"/>
  <c r="E718" i="1"/>
  <c r="D718" i="1" s="1"/>
  <c r="E719" i="1"/>
  <c r="D719" i="1" s="1"/>
  <c r="E720" i="1"/>
  <c r="D720" i="1" s="1"/>
  <c r="E721" i="1"/>
  <c r="D721" i="1" s="1"/>
  <c r="E722" i="1"/>
  <c r="D722" i="1" s="1"/>
  <c r="E723" i="1"/>
  <c r="D723" i="1" s="1"/>
  <c r="E724" i="1"/>
  <c r="D724" i="1" s="1"/>
  <c r="E725" i="1"/>
  <c r="D725" i="1" s="1"/>
  <c r="E726" i="1"/>
  <c r="D726" i="1" s="1"/>
  <c r="E727" i="1"/>
  <c r="D727" i="1" s="1"/>
  <c r="E728" i="1"/>
  <c r="D728" i="1" s="1"/>
  <c r="E729" i="1"/>
  <c r="D729" i="1" s="1"/>
  <c r="E730" i="1"/>
  <c r="D730" i="1" s="1"/>
  <c r="E731" i="1"/>
  <c r="D731" i="1" s="1"/>
  <c r="E732" i="1"/>
  <c r="D732" i="1" s="1"/>
  <c r="E733" i="1"/>
  <c r="D733" i="1" s="1"/>
  <c r="E734" i="1"/>
  <c r="D734" i="1" s="1"/>
  <c r="E735" i="1"/>
  <c r="D735" i="1" s="1"/>
  <c r="E736" i="1"/>
  <c r="D736" i="1" s="1"/>
  <c r="E737" i="1"/>
  <c r="D737" i="1" s="1"/>
  <c r="E738" i="1"/>
  <c r="D738" i="1" s="1"/>
  <c r="E739" i="1"/>
  <c r="D739" i="1" s="1"/>
  <c r="E740" i="1"/>
  <c r="D740" i="1" s="1"/>
  <c r="E741" i="1"/>
  <c r="D741" i="1" s="1"/>
  <c r="E742" i="1"/>
  <c r="D742" i="1" s="1"/>
  <c r="E743" i="1"/>
  <c r="D743" i="1" s="1"/>
  <c r="E744" i="1"/>
  <c r="D744" i="1" s="1"/>
  <c r="E745" i="1"/>
  <c r="D745" i="1" s="1"/>
  <c r="E746" i="1"/>
  <c r="D746" i="1" s="1"/>
  <c r="E747" i="1"/>
  <c r="D747" i="1" s="1"/>
  <c r="E748" i="1"/>
  <c r="D748" i="1" s="1"/>
  <c r="E749" i="1"/>
  <c r="D749" i="1" s="1"/>
  <c r="E750" i="1"/>
  <c r="D750" i="1" s="1"/>
  <c r="E751" i="1"/>
  <c r="D751" i="1" s="1"/>
  <c r="E752" i="1"/>
  <c r="D752" i="1" s="1"/>
  <c r="E753" i="1"/>
  <c r="D753" i="1" s="1"/>
  <c r="E754" i="1"/>
  <c r="D754" i="1" s="1"/>
  <c r="E755" i="1"/>
  <c r="D755" i="1" s="1"/>
  <c r="E756" i="1"/>
  <c r="D756" i="1" s="1"/>
  <c r="E757" i="1"/>
  <c r="D757" i="1" s="1"/>
  <c r="E758" i="1"/>
  <c r="D758" i="1" s="1"/>
  <c r="E759" i="1"/>
  <c r="D759" i="1" s="1"/>
  <c r="E760" i="1"/>
  <c r="D760" i="1" s="1"/>
  <c r="E761" i="1"/>
  <c r="D761" i="1" s="1"/>
  <c r="E762" i="1"/>
  <c r="D762" i="1" s="1"/>
  <c r="E763" i="1"/>
  <c r="D763" i="1" s="1"/>
  <c r="E764" i="1"/>
  <c r="D764" i="1" s="1"/>
  <c r="E765" i="1"/>
  <c r="D765" i="1" s="1"/>
  <c r="E766" i="1"/>
  <c r="D766" i="1" s="1"/>
  <c r="E767" i="1"/>
  <c r="D767" i="1" s="1"/>
  <c r="E768" i="1"/>
  <c r="D768" i="1" s="1"/>
  <c r="E769" i="1"/>
  <c r="D769" i="1" s="1"/>
  <c r="E770" i="1"/>
  <c r="D770" i="1" s="1"/>
  <c r="E771" i="1"/>
  <c r="D771" i="1" s="1"/>
  <c r="E772" i="1"/>
  <c r="D772" i="1" s="1"/>
  <c r="E773" i="1"/>
  <c r="D773" i="1" s="1"/>
  <c r="E774" i="1"/>
  <c r="D774" i="1" s="1"/>
  <c r="E775" i="1"/>
  <c r="D775" i="1" s="1"/>
  <c r="E776" i="1"/>
  <c r="D776" i="1" s="1"/>
  <c r="E777" i="1"/>
  <c r="D777" i="1" s="1"/>
  <c r="E778" i="1"/>
  <c r="D778" i="1" s="1"/>
  <c r="E779" i="1"/>
  <c r="D779" i="1" s="1"/>
  <c r="E780" i="1"/>
  <c r="D780" i="1" s="1"/>
  <c r="E781" i="1"/>
  <c r="D781" i="1" s="1"/>
  <c r="E782" i="1"/>
  <c r="D782" i="1" s="1"/>
  <c r="E783" i="1"/>
  <c r="D783" i="1" s="1"/>
  <c r="E784" i="1"/>
  <c r="D784" i="1" s="1"/>
  <c r="E785" i="1"/>
  <c r="D785" i="1" s="1"/>
  <c r="E786" i="1"/>
  <c r="D786" i="1" s="1"/>
  <c r="E787" i="1"/>
  <c r="D787" i="1" s="1"/>
  <c r="E788" i="1"/>
  <c r="D788" i="1" s="1"/>
  <c r="E789" i="1"/>
  <c r="D789" i="1" s="1"/>
  <c r="E790" i="1"/>
  <c r="D790" i="1" s="1"/>
  <c r="E791" i="1"/>
  <c r="D791" i="1" s="1"/>
  <c r="E792" i="1"/>
  <c r="D792" i="1" s="1"/>
  <c r="E793" i="1"/>
  <c r="D793" i="1" s="1"/>
  <c r="E794" i="1"/>
  <c r="D794" i="1" s="1"/>
  <c r="E795" i="1"/>
  <c r="D795" i="1" s="1"/>
  <c r="E796" i="1"/>
  <c r="D796" i="1" s="1"/>
  <c r="E797" i="1"/>
  <c r="D797" i="1" s="1"/>
  <c r="E798" i="1"/>
  <c r="D798" i="1" s="1"/>
  <c r="E799" i="1"/>
  <c r="D799" i="1" s="1"/>
  <c r="E800" i="1"/>
  <c r="D800" i="1" s="1"/>
  <c r="E801" i="1"/>
  <c r="D801" i="1" s="1"/>
  <c r="E802" i="1"/>
  <c r="D802" i="1" s="1"/>
  <c r="E803" i="1"/>
  <c r="D803" i="1" s="1"/>
  <c r="E804" i="1"/>
  <c r="D804" i="1" s="1"/>
  <c r="E805" i="1"/>
  <c r="D805" i="1" s="1"/>
  <c r="E806" i="1"/>
  <c r="D806" i="1" s="1"/>
  <c r="E807" i="1"/>
  <c r="D807" i="1" s="1"/>
  <c r="E808" i="1"/>
  <c r="D808" i="1" s="1"/>
  <c r="E809" i="1"/>
  <c r="D809" i="1" s="1"/>
  <c r="E810" i="1"/>
  <c r="D810" i="1" s="1"/>
  <c r="E811" i="1"/>
  <c r="D811" i="1" s="1"/>
  <c r="E812" i="1"/>
  <c r="D812" i="1" s="1"/>
  <c r="E813" i="1"/>
  <c r="D813" i="1" s="1"/>
  <c r="E814" i="1"/>
  <c r="D814" i="1" s="1"/>
  <c r="E815" i="1"/>
  <c r="D815" i="1" s="1"/>
  <c r="E816" i="1"/>
  <c r="D816" i="1" s="1"/>
  <c r="E817" i="1"/>
  <c r="D817" i="1" s="1"/>
  <c r="E818" i="1"/>
  <c r="D818" i="1" s="1"/>
  <c r="E819" i="1"/>
  <c r="D819" i="1" s="1"/>
  <c r="E820" i="1"/>
  <c r="D820" i="1" s="1"/>
  <c r="E821" i="1"/>
  <c r="D821" i="1" s="1"/>
  <c r="E822" i="1"/>
  <c r="D822" i="1" s="1"/>
  <c r="E823" i="1"/>
  <c r="D823" i="1" s="1"/>
  <c r="E824" i="1"/>
  <c r="D824" i="1" s="1"/>
  <c r="E825" i="1"/>
  <c r="D825" i="1" s="1"/>
  <c r="E826" i="1"/>
  <c r="D826" i="1" s="1"/>
  <c r="E827" i="1"/>
  <c r="D827" i="1" s="1"/>
  <c r="E828" i="1"/>
  <c r="D828" i="1" s="1"/>
  <c r="E829" i="1"/>
  <c r="D829" i="1" s="1"/>
  <c r="E830" i="1"/>
  <c r="D830" i="1" s="1"/>
  <c r="E831" i="1"/>
  <c r="D831" i="1" s="1"/>
  <c r="E832" i="1"/>
  <c r="D832" i="1" s="1"/>
  <c r="E833" i="1"/>
  <c r="D833" i="1" s="1"/>
  <c r="E834" i="1"/>
  <c r="D834" i="1" s="1"/>
  <c r="E835" i="1"/>
  <c r="D835" i="1" s="1"/>
  <c r="E836" i="1"/>
  <c r="D836" i="1" s="1"/>
  <c r="E837" i="1"/>
  <c r="D837" i="1" s="1"/>
  <c r="E838" i="1"/>
  <c r="D838" i="1" s="1"/>
  <c r="E839" i="1"/>
  <c r="D839" i="1" s="1"/>
  <c r="E840" i="1"/>
  <c r="D840" i="1" s="1"/>
  <c r="E841" i="1"/>
  <c r="D841" i="1" s="1"/>
  <c r="E842" i="1"/>
  <c r="D842" i="1" s="1"/>
  <c r="E843" i="1"/>
  <c r="D843" i="1" s="1"/>
  <c r="E844" i="1"/>
  <c r="D844" i="1" s="1"/>
  <c r="E845" i="1"/>
  <c r="D845" i="1" s="1"/>
  <c r="E846" i="1"/>
  <c r="D846" i="1" s="1"/>
  <c r="E847" i="1"/>
  <c r="D847" i="1" s="1"/>
  <c r="E848" i="1"/>
  <c r="D848" i="1" s="1"/>
  <c r="E849" i="1"/>
  <c r="D849" i="1" s="1"/>
  <c r="E850" i="1"/>
  <c r="D850" i="1" s="1"/>
  <c r="E851" i="1"/>
  <c r="D851" i="1" s="1"/>
  <c r="E852" i="1"/>
  <c r="D852" i="1" s="1"/>
  <c r="E853" i="1"/>
  <c r="D853" i="1" s="1"/>
  <c r="E854" i="1"/>
  <c r="D854" i="1" s="1"/>
  <c r="E855" i="1"/>
  <c r="D855" i="1" s="1"/>
  <c r="E856" i="1"/>
  <c r="D856" i="1" s="1"/>
  <c r="E857" i="1"/>
  <c r="D857" i="1" s="1"/>
  <c r="E858" i="1"/>
  <c r="D858" i="1" s="1"/>
  <c r="E859" i="1"/>
  <c r="D859" i="1" s="1"/>
  <c r="E860" i="1"/>
  <c r="D860" i="1" s="1"/>
  <c r="E861" i="1"/>
  <c r="D861" i="1" s="1"/>
  <c r="E862" i="1"/>
  <c r="D862" i="1" s="1"/>
  <c r="E863" i="1"/>
  <c r="D863" i="1" s="1"/>
  <c r="E864" i="1"/>
  <c r="D864" i="1" s="1"/>
  <c r="E865" i="1"/>
  <c r="D865" i="1" s="1"/>
  <c r="E866" i="1"/>
  <c r="D866" i="1" s="1"/>
  <c r="E867" i="1"/>
  <c r="D867" i="1" s="1"/>
  <c r="E868" i="1"/>
  <c r="D868" i="1" s="1"/>
  <c r="E869" i="1"/>
  <c r="D869" i="1" s="1"/>
  <c r="E870" i="1"/>
  <c r="D870" i="1" s="1"/>
  <c r="E871" i="1"/>
  <c r="D871" i="1" s="1"/>
  <c r="E872" i="1"/>
  <c r="D872" i="1" s="1"/>
  <c r="E873" i="1"/>
  <c r="D873" i="1" s="1"/>
  <c r="E874" i="1"/>
  <c r="D874" i="1" s="1"/>
  <c r="E875" i="1"/>
  <c r="D875" i="1" s="1"/>
  <c r="E876" i="1"/>
  <c r="D876" i="1" s="1"/>
  <c r="E877" i="1"/>
  <c r="D877" i="1" s="1"/>
  <c r="E878" i="1"/>
  <c r="D878" i="1" s="1"/>
  <c r="E879" i="1"/>
  <c r="D879" i="1" s="1"/>
  <c r="E880" i="1"/>
  <c r="D880" i="1" s="1"/>
  <c r="E881" i="1"/>
  <c r="D881" i="1" s="1"/>
  <c r="E882" i="1"/>
  <c r="D882" i="1" s="1"/>
  <c r="E883" i="1"/>
  <c r="D883" i="1" s="1"/>
  <c r="E884" i="1"/>
  <c r="D884" i="1" s="1"/>
  <c r="E885" i="1"/>
  <c r="D885" i="1" s="1"/>
  <c r="E886" i="1"/>
  <c r="D886" i="1" s="1"/>
  <c r="E887" i="1"/>
  <c r="D887" i="1" s="1"/>
  <c r="E888" i="1"/>
  <c r="D888" i="1" s="1"/>
  <c r="E889" i="1"/>
  <c r="D889" i="1" s="1"/>
  <c r="E890" i="1"/>
  <c r="D890" i="1" s="1"/>
  <c r="E891" i="1"/>
  <c r="D891" i="1" s="1"/>
  <c r="E892" i="1"/>
  <c r="D892" i="1" s="1"/>
  <c r="E893" i="1"/>
  <c r="D893" i="1" s="1"/>
  <c r="E894" i="1"/>
  <c r="D894" i="1" s="1"/>
  <c r="E895" i="1"/>
  <c r="D895" i="1" s="1"/>
  <c r="E896" i="1"/>
  <c r="D896" i="1" s="1"/>
  <c r="E897" i="1"/>
  <c r="D897" i="1" s="1"/>
  <c r="E898" i="1"/>
  <c r="D898" i="1" s="1"/>
  <c r="E899" i="1"/>
  <c r="D899" i="1" s="1"/>
  <c r="E900" i="1"/>
  <c r="D900" i="1" s="1"/>
  <c r="E901" i="1"/>
  <c r="D901" i="1" s="1"/>
  <c r="E902" i="1"/>
  <c r="D902" i="1" s="1"/>
  <c r="E903" i="1"/>
  <c r="D903" i="1" s="1"/>
  <c r="E904" i="1"/>
  <c r="D904" i="1" s="1"/>
  <c r="E905" i="1"/>
  <c r="D905" i="1" s="1"/>
  <c r="E906" i="1"/>
  <c r="D906" i="1" s="1"/>
  <c r="E907" i="1"/>
  <c r="D907" i="1" s="1"/>
  <c r="E908" i="1"/>
  <c r="D908" i="1" s="1"/>
  <c r="E909" i="1"/>
  <c r="D909" i="1" s="1"/>
  <c r="E910" i="1"/>
  <c r="D910" i="1" s="1"/>
  <c r="E911" i="1"/>
  <c r="D911" i="1" s="1"/>
  <c r="E912" i="1"/>
  <c r="D912" i="1" s="1"/>
  <c r="E913" i="1"/>
  <c r="D913" i="1" s="1"/>
  <c r="E914" i="1"/>
  <c r="D914" i="1" s="1"/>
  <c r="E915" i="1"/>
  <c r="D915" i="1" s="1"/>
  <c r="E916" i="1"/>
  <c r="D916" i="1" s="1"/>
  <c r="E917" i="1"/>
  <c r="D917" i="1" s="1"/>
  <c r="E918" i="1"/>
  <c r="D918" i="1" s="1"/>
  <c r="E919" i="1"/>
  <c r="D919" i="1" s="1"/>
  <c r="E920" i="1"/>
  <c r="D920" i="1" s="1"/>
  <c r="E921" i="1"/>
  <c r="D921" i="1" s="1"/>
  <c r="E922" i="1"/>
  <c r="D922" i="1" s="1"/>
  <c r="E923" i="1"/>
  <c r="D923" i="1" s="1"/>
  <c r="E924" i="1"/>
  <c r="D924" i="1" s="1"/>
  <c r="E925" i="1"/>
  <c r="D925" i="1" s="1"/>
  <c r="E926" i="1"/>
  <c r="D926" i="1" s="1"/>
  <c r="E927" i="1"/>
  <c r="D927" i="1" s="1"/>
  <c r="E928" i="1"/>
  <c r="D928" i="1" s="1"/>
  <c r="E929" i="1"/>
  <c r="D929" i="1" s="1"/>
  <c r="E930" i="1"/>
  <c r="D930" i="1" s="1"/>
  <c r="E931" i="1"/>
  <c r="D931" i="1" s="1"/>
  <c r="E932" i="1"/>
  <c r="D932" i="1" s="1"/>
  <c r="E933" i="1"/>
  <c r="D933" i="1" s="1"/>
  <c r="E934" i="1"/>
  <c r="D934" i="1" s="1"/>
  <c r="E935" i="1"/>
  <c r="D935" i="1" s="1"/>
  <c r="E936" i="1"/>
  <c r="D936" i="1" s="1"/>
  <c r="E937" i="1"/>
  <c r="D937" i="1" s="1"/>
  <c r="E938" i="1"/>
  <c r="D938" i="1" s="1"/>
  <c r="E939" i="1"/>
  <c r="D939" i="1" s="1"/>
  <c r="E940" i="1"/>
  <c r="D940" i="1" s="1"/>
  <c r="E941" i="1"/>
  <c r="D941" i="1" s="1"/>
  <c r="E942" i="1"/>
  <c r="D942" i="1" s="1"/>
  <c r="E943" i="1"/>
  <c r="D943" i="1" s="1"/>
  <c r="E944" i="1"/>
  <c r="D944" i="1" s="1"/>
  <c r="E945" i="1"/>
  <c r="D945" i="1" s="1"/>
  <c r="E946" i="1"/>
  <c r="D946" i="1" s="1"/>
  <c r="E947" i="1"/>
  <c r="D947" i="1" s="1"/>
  <c r="E948" i="1"/>
  <c r="D948" i="1" s="1"/>
  <c r="E949" i="1"/>
  <c r="D949" i="1" s="1"/>
  <c r="E950" i="1"/>
  <c r="D950" i="1" s="1"/>
  <c r="E951" i="1"/>
  <c r="D951" i="1" s="1"/>
  <c r="E952" i="1"/>
  <c r="D952" i="1" s="1"/>
  <c r="E953" i="1"/>
  <c r="D953" i="1" s="1"/>
  <c r="E954" i="1"/>
  <c r="D954" i="1" s="1"/>
  <c r="E955" i="1"/>
  <c r="D955" i="1" s="1"/>
  <c r="E956" i="1"/>
  <c r="D956" i="1" s="1"/>
  <c r="E957" i="1"/>
  <c r="D957" i="1" s="1"/>
  <c r="E958" i="1"/>
  <c r="D958" i="1" s="1"/>
  <c r="E959" i="1"/>
  <c r="D959" i="1" s="1"/>
  <c r="E960" i="1"/>
  <c r="D960" i="1" s="1"/>
  <c r="E961" i="1"/>
  <c r="D961" i="1" s="1"/>
  <c r="E962" i="1"/>
  <c r="D962" i="1" s="1"/>
  <c r="E963" i="1"/>
  <c r="D963" i="1" s="1"/>
  <c r="E964" i="1"/>
  <c r="D964" i="1" s="1"/>
  <c r="E965" i="1"/>
  <c r="D965" i="1" s="1"/>
  <c r="E966" i="1"/>
  <c r="D966" i="1" s="1"/>
  <c r="E967" i="1"/>
  <c r="D967" i="1" s="1"/>
  <c r="E968" i="1"/>
  <c r="D968" i="1" s="1"/>
  <c r="E969" i="1"/>
  <c r="D969" i="1" s="1"/>
  <c r="E970" i="1"/>
  <c r="D970" i="1" s="1"/>
  <c r="E971" i="1"/>
  <c r="D971" i="1" s="1"/>
  <c r="E972" i="1"/>
  <c r="D972" i="1" s="1"/>
  <c r="E973" i="1"/>
  <c r="D973" i="1" s="1"/>
  <c r="E974" i="1"/>
  <c r="D974" i="1" s="1"/>
  <c r="E975" i="1"/>
  <c r="D975" i="1" s="1"/>
  <c r="E976" i="1"/>
  <c r="D976" i="1" s="1"/>
  <c r="E977" i="1"/>
  <c r="D977" i="1" s="1"/>
  <c r="E978" i="1"/>
  <c r="D978" i="1" s="1"/>
  <c r="E979" i="1"/>
  <c r="D979" i="1" s="1"/>
  <c r="E980" i="1"/>
  <c r="D980" i="1" s="1"/>
  <c r="E981" i="1"/>
  <c r="D981" i="1" s="1"/>
  <c r="E982" i="1"/>
  <c r="D982" i="1" s="1"/>
  <c r="E983" i="1"/>
  <c r="D983" i="1" s="1"/>
  <c r="E984" i="1"/>
  <c r="D984" i="1" s="1"/>
  <c r="E985" i="1"/>
  <c r="D985" i="1" s="1"/>
  <c r="E986" i="1"/>
  <c r="D986" i="1" s="1"/>
  <c r="E987" i="1"/>
  <c r="D987" i="1" s="1"/>
  <c r="E988" i="1"/>
  <c r="D988" i="1" s="1"/>
  <c r="E989" i="1"/>
  <c r="D989" i="1" s="1"/>
  <c r="E990" i="1"/>
  <c r="D990" i="1" s="1"/>
  <c r="E991" i="1"/>
  <c r="D991" i="1" s="1"/>
  <c r="E992" i="1"/>
  <c r="D992" i="1" s="1"/>
  <c r="E993" i="1"/>
  <c r="D993" i="1" s="1"/>
  <c r="E994" i="1"/>
  <c r="D994" i="1" s="1"/>
  <c r="E995" i="1"/>
  <c r="D995" i="1" s="1"/>
  <c r="E996" i="1"/>
  <c r="D996" i="1" s="1"/>
  <c r="E997" i="1"/>
  <c r="D997" i="1" s="1"/>
  <c r="E998" i="1"/>
  <c r="D998" i="1" s="1"/>
  <c r="E999" i="1"/>
  <c r="D999" i="1" s="1"/>
  <c r="E1000" i="1"/>
  <c r="D1000" i="1" s="1"/>
  <c r="E1001" i="1"/>
  <c r="D1001" i="1"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3" i="1"/>
  <c r="O4" i="1"/>
  <c r="O5" i="1"/>
  <c r="O6" i="1"/>
  <c r="O7" i="1"/>
  <c r="O8" i="1"/>
  <c r="O9" i="1"/>
  <c r="O10" i="1"/>
  <c r="O11" i="1"/>
  <c r="O12" i="1"/>
  <c r="O13" i="1"/>
  <c r="O14" i="1"/>
  <c r="O15" i="1"/>
  <c r="O16" i="1"/>
  <c r="O17"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P2" i="1"/>
  <c r="Q2" i="1"/>
  <c r="O2" i="1"/>
  <c r="N2" i="1"/>
  <c r="M2" i="1"/>
  <c r="L2" i="1"/>
</calcChain>
</file>

<file path=xl/sharedStrings.xml><?xml version="1.0" encoding="utf-8"?>
<sst xmlns="http://schemas.openxmlformats.org/spreadsheetml/2006/main" count="5341" uniqueCount="2090">
  <si>
    <t>Campaign ID</t>
  </si>
  <si>
    <t>Start Date</t>
  </si>
  <si>
    <t>End Date</t>
  </si>
  <si>
    <t>Budget</t>
  </si>
  <si>
    <t>Audience</t>
  </si>
  <si>
    <t>Clicks</t>
  </si>
  <si>
    <t>Conversions</t>
  </si>
  <si>
    <t>Revenue</t>
  </si>
  <si>
    <t>Client ID</t>
  </si>
  <si>
    <t>Sector</t>
  </si>
  <si>
    <t>Company Size</t>
  </si>
  <si>
    <t>Ad Spend</t>
  </si>
  <si>
    <t>Satisfaction Rating</t>
  </si>
  <si>
    <t>C001</t>
  </si>
  <si>
    <t>Adults 25-34</t>
  </si>
  <si>
    <t>CL001</t>
  </si>
  <si>
    <t>Health</t>
  </si>
  <si>
    <t>Medium</t>
  </si>
  <si>
    <t>C002</t>
  </si>
  <si>
    <t>Professionals 35-50</t>
  </si>
  <si>
    <t>CL002</t>
  </si>
  <si>
    <t>Technology</t>
  </si>
  <si>
    <t>C003</t>
  </si>
  <si>
    <t>CL003</t>
  </si>
  <si>
    <t>Fashion</t>
  </si>
  <si>
    <t>C004</t>
  </si>
  <si>
    <t>CL004</t>
  </si>
  <si>
    <t>Small</t>
  </si>
  <si>
    <t>C005</t>
  </si>
  <si>
    <t>CL005</t>
  </si>
  <si>
    <t>Food</t>
  </si>
  <si>
    <t>C006</t>
  </si>
  <si>
    <t>CL006</t>
  </si>
  <si>
    <t>C007</t>
  </si>
  <si>
    <t>CL007</t>
  </si>
  <si>
    <t>Education</t>
  </si>
  <si>
    <t>C008</t>
  </si>
  <si>
    <t>Youths 18-24</t>
  </si>
  <si>
    <t>CL008</t>
  </si>
  <si>
    <t>C009</t>
  </si>
  <si>
    <t>CL009</t>
  </si>
  <si>
    <t>C010</t>
  </si>
  <si>
    <t>CL010</t>
  </si>
  <si>
    <t>C011</t>
  </si>
  <si>
    <t>CL011</t>
  </si>
  <si>
    <t>Large</t>
  </si>
  <si>
    <t>C012</t>
  </si>
  <si>
    <t>CL012</t>
  </si>
  <si>
    <t>C013</t>
  </si>
  <si>
    <t>CL013</t>
  </si>
  <si>
    <t>C014</t>
  </si>
  <si>
    <t>CL014</t>
  </si>
  <si>
    <t>C015</t>
  </si>
  <si>
    <t>Parents 30-40</t>
  </si>
  <si>
    <t>CL015</t>
  </si>
  <si>
    <t>C016</t>
  </si>
  <si>
    <t>CL016</t>
  </si>
  <si>
    <t>C017</t>
  </si>
  <si>
    <t>CL017</t>
  </si>
  <si>
    <t>C018</t>
  </si>
  <si>
    <t>CL018</t>
  </si>
  <si>
    <t>C019</t>
  </si>
  <si>
    <t>CL019</t>
  </si>
  <si>
    <t>C020</t>
  </si>
  <si>
    <t>CL020</t>
  </si>
  <si>
    <t>C021</t>
  </si>
  <si>
    <t>CL021</t>
  </si>
  <si>
    <t>C022</t>
  </si>
  <si>
    <t>CL022</t>
  </si>
  <si>
    <t>C023</t>
  </si>
  <si>
    <t>CL023</t>
  </si>
  <si>
    <t>C024</t>
  </si>
  <si>
    <t>CL024</t>
  </si>
  <si>
    <t>C025</t>
  </si>
  <si>
    <t>CL025</t>
  </si>
  <si>
    <t>C026</t>
  </si>
  <si>
    <t>CL026</t>
  </si>
  <si>
    <t>C027</t>
  </si>
  <si>
    <t>CL027</t>
  </si>
  <si>
    <t>C028</t>
  </si>
  <si>
    <t>CL028</t>
  </si>
  <si>
    <t>C029</t>
  </si>
  <si>
    <t>CL029</t>
  </si>
  <si>
    <t>C030</t>
  </si>
  <si>
    <t>CL030</t>
  </si>
  <si>
    <t>C031</t>
  </si>
  <si>
    <t>CL031</t>
  </si>
  <si>
    <t>C032</t>
  </si>
  <si>
    <t>CL032</t>
  </si>
  <si>
    <t>C033</t>
  </si>
  <si>
    <t>CL033</t>
  </si>
  <si>
    <t>C034</t>
  </si>
  <si>
    <t>CL034</t>
  </si>
  <si>
    <t>C035</t>
  </si>
  <si>
    <t>CL035</t>
  </si>
  <si>
    <t>C036</t>
  </si>
  <si>
    <t>CL036</t>
  </si>
  <si>
    <t>C037</t>
  </si>
  <si>
    <t>CL037</t>
  </si>
  <si>
    <t>C038</t>
  </si>
  <si>
    <t>CL038</t>
  </si>
  <si>
    <t>C039</t>
  </si>
  <si>
    <t>CL039</t>
  </si>
  <si>
    <t>C040</t>
  </si>
  <si>
    <t>CL040</t>
  </si>
  <si>
    <t>C041</t>
  </si>
  <si>
    <t>CL041</t>
  </si>
  <si>
    <t>C042</t>
  </si>
  <si>
    <t>CL042</t>
  </si>
  <si>
    <t>C043</t>
  </si>
  <si>
    <t>CL043</t>
  </si>
  <si>
    <t>C044</t>
  </si>
  <si>
    <t>CL044</t>
  </si>
  <si>
    <t>C045</t>
  </si>
  <si>
    <t>CL045</t>
  </si>
  <si>
    <t>C046</t>
  </si>
  <si>
    <t>CL046</t>
  </si>
  <si>
    <t>C047</t>
  </si>
  <si>
    <t>CL047</t>
  </si>
  <si>
    <t>C048</t>
  </si>
  <si>
    <t>CL048</t>
  </si>
  <si>
    <t>C049</t>
  </si>
  <si>
    <t>CL049</t>
  </si>
  <si>
    <t>C050</t>
  </si>
  <si>
    <t>CL050</t>
  </si>
  <si>
    <t>C051</t>
  </si>
  <si>
    <t>CL051</t>
  </si>
  <si>
    <t>C052</t>
  </si>
  <si>
    <t>CL052</t>
  </si>
  <si>
    <t>C053</t>
  </si>
  <si>
    <t>CL053</t>
  </si>
  <si>
    <t>C054</t>
  </si>
  <si>
    <t>CL054</t>
  </si>
  <si>
    <t>C055</t>
  </si>
  <si>
    <t>CL055</t>
  </si>
  <si>
    <t>C056</t>
  </si>
  <si>
    <t>CL056</t>
  </si>
  <si>
    <t>C057</t>
  </si>
  <si>
    <t>CL057</t>
  </si>
  <si>
    <t>C058</t>
  </si>
  <si>
    <t>CL058</t>
  </si>
  <si>
    <t>C059</t>
  </si>
  <si>
    <t>CL059</t>
  </si>
  <si>
    <t>C060</t>
  </si>
  <si>
    <t>CL060</t>
  </si>
  <si>
    <t>C061</t>
  </si>
  <si>
    <t>CL061</t>
  </si>
  <si>
    <t>C062</t>
  </si>
  <si>
    <t>CL062</t>
  </si>
  <si>
    <t>C063</t>
  </si>
  <si>
    <t>CL063</t>
  </si>
  <si>
    <t>C064</t>
  </si>
  <si>
    <t>CL064</t>
  </si>
  <si>
    <t>C065</t>
  </si>
  <si>
    <t>CL065</t>
  </si>
  <si>
    <t>C066</t>
  </si>
  <si>
    <t>CL066</t>
  </si>
  <si>
    <t>C067</t>
  </si>
  <si>
    <t>CL067</t>
  </si>
  <si>
    <t>C068</t>
  </si>
  <si>
    <t>CL068</t>
  </si>
  <si>
    <t>C069</t>
  </si>
  <si>
    <t>CL069</t>
  </si>
  <si>
    <t>C070</t>
  </si>
  <si>
    <t>CL070</t>
  </si>
  <si>
    <t>C071</t>
  </si>
  <si>
    <t>CL071</t>
  </si>
  <si>
    <t>C072</t>
  </si>
  <si>
    <t>CL072</t>
  </si>
  <si>
    <t>C073</t>
  </si>
  <si>
    <t>CL073</t>
  </si>
  <si>
    <t>C074</t>
  </si>
  <si>
    <t>CL074</t>
  </si>
  <si>
    <t>C075</t>
  </si>
  <si>
    <t>CL075</t>
  </si>
  <si>
    <t>C076</t>
  </si>
  <si>
    <t>CL076</t>
  </si>
  <si>
    <t>C077</t>
  </si>
  <si>
    <t>CL077</t>
  </si>
  <si>
    <t>C078</t>
  </si>
  <si>
    <t>CL078</t>
  </si>
  <si>
    <t>C079</t>
  </si>
  <si>
    <t>CL079</t>
  </si>
  <si>
    <t>C080</t>
  </si>
  <si>
    <t>CL080</t>
  </si>
  <si>
    <t>C081</t>
  </si>
  <si>
    <t>CL081</t>
  </si>
  <si>
    <t>C082</t>
  </si>
  <si>
    <t>CL082</t>
  </si>
  <si>
    <t>C083</t>
  </si>
  <si>
    <t>CL083</t>
  </si>
  <si>
    <t>C084</t>
  </si>
  <si>
    <t>CL084</t>
  </si>
  <si>
    <t>C085</t>
  </si>
  <si>
    <t>CL085</t>
  </si>
  <si>
    <t>C086</t>
  </si>
  <si>
    <t>CL086</t>
  </si>
  <si>
    <t>C087</t>
  </si>
  <si>
    <t>CL087</t>
  </si>
  <si>
    <t>C088</t>
  </si>
  <si>
    <t>CL088</t>
  </si>
  <si>
    <t>C089</t>
  </si>
  <si>
    <t>CL089</t>
  </si>
  <si>
    <t>C090</t>
  </si>
  <si>
    <t>CL090</t>
  </si>
  <si>
    <t>C091</t>
  </si>
  <si>
    <t>CL091</t>
  </si>
  <si>
    <t>C092</t>
  </si>
  <si>
    <t>CL092</t>
  </si>
  <si>
    <t>C093</t>
  </si>
  <si>
    <t>CL093</t>
  </si>
  <si>
    <t>C094</t>
  </si>
  <si>
    <t>CL094</t>
  </si>
  <si>
    <t>C095</t>
  </si>
  <si>
    <t>CL095</t>
  </si>
  <si>
    <t>C096</t>
  </si>
  <si>
    <t>CL096</t>
  </si>
  <si>
    <t>C097</t>
  </si>
  <si>
    <t>CL097</t>
  </si>
  <si>
    <t>C098</t>
  </si>
  <si>
    <t>CL098</t>
  </si>
  <si>
    <t>C099</t>
  </si>
  <si>
    <t>CL099</t>
  </si>
  <si>
    <t>C100</t>
  </si>
  <si>
    <t>CL100</t>
  </si>
  <si>
    <t>C101</t>
  </si>
  <si>
    <t>CL101</t>
  </si>
  <si>
    <t>C102</t>
  </si>
  <si>
    <t>CL102</t>
  </si>
  <si>
    <t>C103</t>
  </si>
  <si>
    <t>CL103</t>
  </si>
  <si>
    <t>C104</t>
  </si>
  <si>
    <t>CL104</t>
  </si>
  <si>
    <t>C105</t>
  </si>
  <si>
    <t>CL105</t>
  </si>
  <si>
    <t>C106</t>
  </si>
  <si>
    <t>CL106</t>
  </si>
  <si>
    <t>C107</t>
  </si>
  <si>
    <t>CL107</t>
  </si>
  <si>
    <t>C108</t>
  </si>
  <si>
    <t>CL108</t>
  </si>
  <si>
    <t>C109</t>
  </si>
  <si>
    <t>CL109</t>
  </si>
  <si>
    <t>C110</t>
  </si>
  <si>
    <t>CL110</t>
  </si>
  <si>
    <t>C111</t>
  </si>
  <si>
    <t>CL111</t>
  </si>
  <si>
    <t>C112</t>
  </si>
  <si>
    <t>CL112</t>
  </si>
  <si>
    <t>C113</t>
  </si>
  <si>
    <t>CL113</t>
  </si>
  <si>
    <t>C114</t>
  </si>
  <si>
    <t>CL114</t>
  </si>
  <si>
    <t>C115</t>
  </si>
  <si>
    <t>CL115</t>
  </si>
  <si>
    <t>C116</t>
  </si>
  <si>
    <t>CL116</t>
  </si>
  <si>
    <t>C117</t>
  </si>
  <si>
    <t>CL117</t>
  </si>
  <si>
    <t>C118</t>
  </si>
  <si>
    <t>CL118</t>
  </si>
  <si>
    <t>C119</t>
  </si>
  <si>
    <t>CL119</t>
  </si>
  <si>
    <t>C120</t>
  </si>
  <si>
    <t>CL120</t>
  </si>
  <si>
    <t>C121</t>
  </si>
  <si>
    <t>CL121</t>
  </si>
  <si>
    <t>C122</t>
  </si>
  <si>
    <t>CL122</t>
  </si>
  <si>
    <t>C123</t>
  </si>
  <si>
    <t>CL123</t>
  </si>
  <si>
    <t>C124</t>
  </si>
  <si>
    <t>CL124</t>
  </si>
  <si>
    <t>C125</t>
  </si>
  <si>
    <t>CL125</t>
  </si>
  <si>
    <t>C126</t>
  </si>
  <si>
    <t>CL126</t>
  </si>
  <si>
    <t>C127</t>
  </si>
  <si>
    <t>CL127</t>
  </si>
  <si>
    <t>C128</t>
  </si>
  <si>
    <t>CL128</t>
  </si>
  <si>
    <t>C129</t>
  </si>
  <si>
    <t>CL129</t>
  </si>
  <si>
    <t>C130</t>
  </si>
  <si>
    <t>CL130</t>
  </si>
  <si>
    <t>C131</t>
  </si>
  <si>
    <t>CL131</t>
  </si>
  <si>
    <t>C132</t>
  </si>
  <si>
    <t>CL132</t>
  </si>
  <si>
    <t>C133</t>
  </si>
  <si>
    <t>CL133</t>
  </si>
  <si>
    <t>C134</t>
  </si>
  <si>
    <t>CL134</t>
  </si>
  <si>
    <t>C135</t>
  </si>
  <si>
    <t>CL135</t>
  </si>
  <si>
    <t>C136</t>
  </si>
  <si>
    <t>CL136</t>
  </si>
  <si>
    <t>C137</t>
  </si>
  <si>
    <t>CL137</t>
  </si>
  <si>
    <t>C138</t>
  </si>
  <si>
    <t>CL138</t>
  </si>
  <si>
    <t>C139</t>
  </si>
  <si>
    <t>CL139</t>
  </si>
  <si>
    <t>C140</t>
  </si>
  <si>
    <t>CL140</t>
  </si>
  <si>
    <t>C141</t>
  </si>
  <si>
    <t>CL141</t>
  </si>
  <si>
    <t>C142</t>
  </si>
  <si>
    <t>CL142</t>
  </si>
  <si>
    <t>C143</t>
  </si>
  <si>
    <t>CL143</t>
  </si>
  <si>
    <t>C144</t>
  </si>
  <si>
    <t>CL144</t>
  </si>
  <si>
    <t>C145</t>
  </si>
  <si>
    <t>CL145</t>
  </si>
  <si>
    <t>C146</t>
  </si>
  <si>
    <t>CL146</t>
  </si>
  <si>
    <t>C147</t>
  </si>
  <si>
    <t>CL147</t>
  </si>
  <si>
    <t>C148</t>
  </si>
  <si>
    <t>CL148</t>
  </si>
  <si>
    <t>C149</t>
  </si>
  <si>
    <t>CL149</t>
  </si>
  <si>
    <t>C150</t>
  </si>
  <si>
    <t>CL150</t>
  </si>
  <si>
    <t>C151</t>
  </si>
  <si>
    <t>CL151</t>
  </si>
  <si>
    <t>C152</t>
  </si>
  <si>
    <t>CL152</t>
  </si>
  <si>
    <t>C153</t>
  </si>
  <si>
    <t>CL153</t>
  </si>
  <si>
    <t>C154</t>
  </si>
  <si>
    <t>CL154</t>
  </si>
  <si>
    <t>C155</t>
  </si>
  <si>
    <t>CL155</t>
  </si>
  <si>
    <t>C156</t>
  </si>
  <si>
    <t>CL156</t>
  </si>
  <si>
    <t>C157</t>
  </si>
  <si>
    <t>CL157</t>
  </si>
  <si>
    <t>C158</t>
  </si>
  <si>
    <t>CL158</t>
  </si>
  <si>
    <t>C159</t>
  </si>
  <si>
    <t>CL159</t>
  </si>
  <si>
    <t>C160</t>
  </si>
  <si>
    <t>CL160</t>
  </si>
  <si>
    <t>C161</t>
  </si>
  <si>
    <t>CL161</t>
  </si>
  <si>
    <t>C162</t>
  </si>
  <si>
    <t>CL162</t>
  </si>
  <si>
    <t>C163</t>
  </si>
  <si>
    <t>CL163</t>
  </si>
  <si>
    <t>C164</t>
  </si>
  <si>
    <t>CL164</t>
  </si>
  <si>
    <t>C165</t>
  </si>
  <si>
    <t>CL165</t>
  </si>
  <si>
    <t>C166</t>
  </si>
  <si>
    <t>CL166</t>
  </si>
  <si>
    <t>C167</t>
  </si>
  <si>
    <t>CL167</t>
  </si>
  <si>
    <t>C168</t>
  </si>
  <si>
    <t>CL168</t>
  </si>
  <si>
    <t>C169</t>
  </si>
  <si>
    <t>CL169</t>
  </si>
  <si>
    <t>C170</t>
  </si>
  <si>
    <t>CL170</t>
  </si>
  <si>
    <t>C171</t>
  </si>
  <si>
    <t>CL171</t>
  </si>
  <si>
    <t>C172</t>
  </si>
  <si>
    <t>CL172</t>
  </si>
  <si>
    <t>C173</t>
  </si>
  <si>
    <t>CL173</t>
  </si>
  <si>
    <t>C174</t>
  </si>
  <si>
    <t>CL174</t>
  </si>
  <si>
    <t>C175</t>
  </si>
  <si>
    <t>CL175</t>
  </si>
  <si>
    <t>C176</t>
  </si>
  <si>
    <t>CL176</t>
  </si>
  <si>
    <t>C177</t>
  </si>
  <si>
    <t>CL177</t>
  </si>
  <si>
    <t>C178</t>
  </si>
  <si>
    <t>CL178</t>
  </si>
  <si>
    <t>C179</t>
  </si>
  <si>
    <t>CL179</t>
  </si>
  <si>
    <t>C180</t>
  </si>
  <si>
    <t>CL180</t>
  </si>
  <si>
    <t>C181</t>
  </si>
  <si>
    <t>CL181</t>
  </si>
  <si>
    <t>C182</t>
  </si>
  <si>
    <t>CL182</t>
  </si>
  <si>
    <t>C183</t>
  </si>
  <si>
    <t>CL183</t>
  </si>
  <si>
    <t>C184</t>
  </si>
  <si>
    <t>CL184</t>
  </si>
  <si>
    <t>C185</t>
  </si>
  <si>
    <t>CL185</t>
  </si>
  <si>
    <t>C186</t>
  </si>
  <si>
    <t>CL186</t>
  </si>
  <si>
    <t>C187</t>
  </si>
  <si>
    <t>CL187</t>
  </si>
  <si>
    <t>C188</t>
  </si>
  <si>
    <t>CL188</t>
  </si>
  <si>
    <t>C189</t>
  </si>
  <si>
    <t>CL189</t>
  </si>
  <si>
    <t>C190</t>
  </si>
  <si>
    <t>CL190</t>
  </si>
  <si>
    <t>C191</t>
  </si>
  <si>
    <t>CL191</t>
  </si>
  <si>
    <t>C192</t>
  </si>
  <si>
    <t>CL192</t>
  </si>
  <si>
    <t>C193</t>
  </si>
  <si>
    <t>CL193</t>
  </si>
  <si>
    <t>C194</t>
  </si>
  <si>
    <t>CL194</t>
  </si>
  <si>
    <t>C195</t>
  </si>
  <si>
    <t>CL195</t>
  </si>
  <si>
    <t>C196</t>
  </si>
  <si>
    <t>CL196</t>
  </si>
  <si>
    <t>C197</t>
  </si>
  <si>
    <t>CL197</t>
  </si>
  <si>
    <t>C198</t>
  </si>
  <si>
    <t>CL198</t>
  </si>
  <si>
    <t>C199</t>
  </si>
  <si>
    <t>CL199</t>
  </si>
  <si>
    <t>C200</t>
  </si>
  <si>
    <t>CL200</t>
  </si>
  <si>
    <t>C201</t>
  </si>
  <si>
    <t>CL201</t>
  </si>
  <si>
    <t>C202</t>
  </si>
  <si>
    <t>CL202</t>
  </si>
  <si>
    <t>C203</t>
  </si>
  <si>
    <t>CL203</t>
  </si>
  <si>
    <t>C204</t>
  </si>
  <si>
    <t>CL204</t>
  </si>
  <si>
    <t>C205</t>
  </si>
  <si>
    <t>CL205</t>
  </si>
  <si>
    <t>C206</t>
  </si>
  <si>
    <t>CL206</t>
  </si>
  <si>
    <t>C207</t>
  </si>
  <si>
    <t>CL207</t>
  </si>
  <si>
    <t>C208</t>
  </si>
  <si>
    <t>CL208</t>
  </si>
  <si>
    <t>C209</t>
  </si>
  <si>
    <t>CL209</t>
  </si>
  <si>
    <t>C210</t>
  </si>
  <si>
    <t>CL210</t>
  </si>
  <si>
    <t>C211</t>
  </si>
  <si>
    <t>CL211</t>
  </si>
  <si>
    <t>C212</t>
  </si>
  <si>
    <t>CL212</t>
  </si>
  <si>
    <t>C213</t>
  </si>
  <si>
    <t>CL213</t>
  </si>
  <si>
    <t>C214</t>
  </si>
  <si>
    <t>CL214</t>
  </si>
  <si>
    <t>C215</t>
  </si>
  <si>
    <t>CL215</t>
  </si>
  <si>
    <t>C216</t>
  </si>
  <si>
    <t>CL216</t>
  </si>
  <si>
    <t>C217</t>
  </si>
  <si>
    <t>CL217</t>
  </si>
  <si>
    <t>C218</t>
  </si>
  <si>
    <t>CL218</t>
  </si>
  <si>
    <t>C219</t>
  </si>
  <si>
    <t>CL219</t>
  </si>
  <si>
    <t>C220</t>
  </si>
  <si>
    <t>CL220</t>
  </si>
  <si>
    <t>C221</t>
  </si>
  <si>
    <t>CL221</t>
  </si>
  <si>
    <t>C222</t>
  </si>
  <si>
    <t>CL222</t>
  </si>
  <si>
    <t>C223</t>
  </si>
  <si>
    <t>CL223</t>
  </si>
  <si>
    <t>C224</t>
  </si>
  <si>
    <t>CL224</t>
  </si>
  <si>
    <t>C225</t>
  </si>
  <si>
    <t>CL225</t>
  </si>
  <si>
    <t>C226</t>
  </si>
  <si>
    <t>CL226</t>
  </si>
  <si>
    <t>C227</t>
  </si>
  <si>
    <t>CL227</t>
  </si>
  <si>
    <t>C228</t>
  </si>
  <si>
    <t>CL228</t>
  </si>
  <si>
    <t>C229</t>
  </si>
  <si>
    <t>CL229</t>
  </si>
  <si>
    <t>C230</t>
  </si>
  <si>
    <t>CL230</t>
  </si>
  <si>
    <t>C231</t>
  </si>
  <si>
    <t>CL231</t>
  </si>
  <si>
    <t>C232</t>
  </si>
  <si>
    <t>CL232</t>
  </si>
  <si>
    <t>C233</t>
  </si>
  <si>
    <t>CL233</t>
  </si>
  <si>
    <t>C234</t>
  </si>
  <si>
    <t>CL234</t>
  </si>
  <si>
    <t>C235</t>
  </si>
  <si>
    <t>CL235</t>
  </si>
  <si>
    <t>C236</t>
  </si>
  <si>
    <t>CL236</t>
  </si>
  <si>
    <t>C237</t>
  </si>
  <si>
    <t>CL237</t>
  </si>
  <si>
    <t>C238</t>
  </si>
  <si>
    <t>CL238</t>
  </si>
  <si>
    <t>C239</t>
  </si>
  <si>
    <t>CL239</t>
  </si>
  <si>
    <t>C240</t>
  </si>
  <si>
    <t>CL240</t>
  </si>
  <si>
    <t>C241</t>
  </si>
  <si>
    <t>CL241</t>
  </si>
  <si>
    <t>C242</t>
  </si>
  <si>
    <t>CL242</t>
  </si>
  <si>
    <t>C243</t>
  </si>
  <si>
    <t>CL243</t>
  </si>
  <si>
    <t>C244</t>
  </si>
  <si>
    <t>CL244</t>
  </si>
  <si>
    <t>C245</t>
  </si>
  <si>
    <t>CL245</t>
  </si>
  <si>
    <t>C246</t>
  </si>
  <si>
    <t>CL246</t>
  </si>
  <si>
    <t>C247</t>
  </si>
  <si>
    <t>CL247</t>
  </si>
  <si>
    <t>C248</t>
  </si>
  <si>
    <t>CL248</t>
  </si>
  <si>
    <t>C249</t>
  </si>
  <si>
    <t>CL249</t>
  </si>
  <si>
    <t>C250</t>
  </si>
  <si>
    <t>CL250</t>
  </si>
  <si>
    <t>C251</t>
  </si>
  <si>
    <t>CL251</t>
  </si>
  <si>
    <t>C252</t>
  </si>
  <si>
    <t>CL252</t>
  </si>
  <si>
    <t>C253</t>
  </si>
  <si>
    <t>CL253</t>
  </si>
  <si>
    <t>C254</t>
  </si>
  <si>
    <t>CL254</t>
  </si>
  <si>
    <t>C255</t>
  </si>
  <si>
    <t>CL255</t>
  </si>
  <si>
    <t>C256</t>
  </si>
  <si>
    <t>CL256</t>
  </si>
  <si>
    <t>C257</t>
  </si>
  <si>
    <t>CL257</t>
  </si>
  <si>
    <t>C258</t>
  </si>
  <si>
    <t>CL258</t>
  </si>
  <si>
    <t>C259</t>
  </si>
  <si>
    <t>CL259</t>
  </si>
  <si>
    <t>C260</t>
  </si>
  <si>
    <t>CL260</t>
  </si>
  <si>
    <t>C261</t>
  </si>
  <si>
    <t>CL261</t>
  </si>
  <si>
    <t>C262</t>
  </si>
  <si>
    <t>CL262</t>
  </si>
  <si>
    <t>C263</t>
  </si>
  <si>
    <t>CL263</t>
  </si>
  <si>
    <t>C264</t>
  </si>
  <si>
    <t>CL264</t>
  </si>
  <si>
    <t>C265</t>
  </si>
  <si>
    <t>CL265</t>
  </si>
  <si>
    <t>C266</t>
  </si>
  <si>
    <t>CL266</t>
  </si>
  <si>
    <t>C267</t>
  </si>
  <si>
    <t>CL267</t>
  </si>
  <si>
    <t>C268</t>
  </si>
  <si>
    <t>CL268</t>
  </si>
  <si>
    <t>C269</t>
  </si>
  <si>
    <t>CL269</t>
  </si>
  <si>
    <t>C270</t>
  </si>
  <si>
    <t>CL270</t>
  </si>
  <si>
    <t>C271</t>
  </si>
  <si>
    <t>CL271</t>
  </si>
  <si>
    <t>C272</t>
  </si>
  <si>
    <t>CL272</t>
  </si>
  <si>
    <t>C273</t>
  </si>
  <si>
    <t>CL273</t>
  </si>
  <si>
    <t>C274</t>
  </si>
  <si>
    <t>CL274</t>
  </si>
  <si>
    <t>C275</t>
  </si>
  <si>
    <t>CL275</t>
  </si>
  <si>
    <t>C276</t>
  </si>
  <si>
    <t>CL276</t>
  </si>
  <si>
    <t>C277</t>
  </si>
  <si>
    <t>CL277</t>
  </si>
  <si>
    <t>C278</t>
  </si>
  <si>
    <t>CL278</t>
  </si>
  <si>
    <t>C279</t>
  </si>
  <si>
    <t>CL279</t>
  </si>
  <si>
    <t>C280</t>
  </si>
  <si>
    <t>CL280</t>
  </si>
  <si>
    <t>C281</t>
  </si>
  <si>
    <t>CL281</t>
  </si>
  <si>
    <t>C282</t>
  </si>
  <si>
    <t>CL282</t>
  </si>
  <si>
    <t>C283</t>
  </si>
  <si>
    <t>CL283</t>
  </si>
  <si>
    <t>C284</t>
  </si>
  <si>
    <t>CL284</t>
  </si>
  <si>
    <t>C285</t>
  </si>
  <si>
    <t>CL285</t>
  </si>
  <si>
    <t>C286</t>
  </si>
  <si>
    <t>CL286</t>
  </si>
  <si>
    <t>C287</t>
  </si>
  <si>
    <t>CL287</t>
  </si>
  <si>
    <t>C288</t>
  </si>
  <si>
    <t>CL288</t>
  </si>
  <si>
    <t>C289</t>
  </si>
  <si>
    <t>CL289</t>
  </si>
  <si>
    <t>C290</t>
  </si>
  <si>
    <t>CL290</t>
  </si>
  <si>
    <t>C291</t>
  </si>
  <si>
    <t>CL291</t>
  </si>
  <si>
    <t>C292</t>
  </si>
  <si>
    <t>CL292</t>
  </si>
  <si>
    <t>C293</t>
  </si>
  <si>
    <t>CL293</t>
  </si>
  <si>
    <t>C294</t>
  </si>
  <si>
    <t>CL294</t>
  </si>
  <si>
    <t>C295</t>
  </si>
  <si>
    <t>CL295</t>
  </si>
  <si>
    <t>C296</t>
  </si>
  <si>
    <t>CL296</t>
  </si>
  <si>
    <t>C297</t>
  </si>
  <si>
    <t>CL297</t>
  </si>
  <si>
    <t>C298</t>
  </si>
  <si>
    <t>CL298</t>
  </si>
  <si>
    <t>C299</t>
  </si>
  <si>
    <t>CL299</t>
  </si>
  <si>
    <t>C300</t>
  </si>
  <si>
    <t>CL300</t>
  </si>
  <si>
    <t>C301</t>
  </si>
  <si>
    <t>CL301</t>
  </si>
  <si>
    <t>C302</t>
  </si>
  <si>
    <t>CL302</t>
  </si>
  <si>
    <t>C303</t>
  </si>
  <si>
    <t>CL303</t>
  </si>
  <si>
    <t>C304</t>
  </si>
  <si>
    <t>CL304</t>
  </si>
  <si>
    <t>C305</t>
  </si>
  <si>
    <t>CL305</t>
  </si>
  <si>
    <t>C306</t>
  </si>
  <si>
    <t>CL306</t>
  </si>
  <si>
    <t>C307</t>
  </si>
  <si>
    <t>CL307</t>
  </si>
  <si>
    <t>C308</t>
  </si>
  <si>
    <t>CL308</t>
  </si>
  <si>
    <t>C309</t>
  </si>
  <si>
    <t>CL309</t>
  </si>
  <si>
    <t>C310</t>
  </si>
  <si>
    <t>CL310</t>
  </si>
  <si>
    <t>C311</t>
  </si>
  <si>
    <t>CL311</t>
  </si>
  <si>
    <t>C312</t>
  </si>
  <si>
    <t>CL312</t>
  </si>
  <si>
    <t>C313</t>
  </si>
  <si>
    <t>CL313</t>
  </si>
  <si>
    <t>C314</t>
  </si>
  <si>
    <t>CL314</t>
  </si>
  <si>
    <t>C315</t>
  </si>
  <si>
    <t>CL315</t>
  </si>
  <si>
    <t>C316</t>
  </si>
  <si>
    <t>CL316</t>
  </si>
  <si>
    <t>C317</t>
  </si>
  <si>
    <t>CL317</t>
  </si>
  <si>
    <t>C318</t>
  </si>
  <si>
    <t>CL318</t>
  </si>
  <si>
    <t>C319</t>
  </si>
  <si>
    <t>CL319</t>
  </si>
  <si>
    <t>C320</t>
  </si>
  <si>
    <t>CL320</t>
  </si>
  <si>
    <t>C321</t>
  </si>
  <si>
    <t>CL321</t>
  </si>
  <si>
    <t>C322</t>
  </si>
  <si>
    <t>CL322</t>
  </si>
  <si>
    <t>C323</t>
  </si>
  <si>
    <t>CL323</t>
  </si>
  <si>
    <t>C324</t>
  </si>
  <si>
    <t>CL324</t>
  </si>
  <si>
    <t>C325</t>
  </si>
  <si>
    <t>CL325</t>
  </si>
  <si>
    <t>C326</t>
  </si>
  <si>
    <t>CL326</t>
  </si>
  <si>
    <t>C327</t>
  </si>
  <si>
    <t>CL327</t>
  </si>
  <si>
    <t>C328</t>
  </si>
  <si>
    <t>CL328</t>
  </si>
  <si>
    <t>C329</t>
  </si>
  <si>
    <t>CL329</t>
  </si>
  <si>
    <t>C330</t>
  </si>
  <si>
    <t>CL330</t>
  </si>
  <si>
    <t>C331</t>
  </si>
  <si>
    <t>CL331</t>
  </si>
  <si>
    <t>C332</t>
  </si>
  <si>
    <t>CL332</t>
  </si>
  <si>
    <t>C333</t>
  </si>
  <si>
    <t>CL333</t>
  </si>
  <si>
    <t>C334</t>
  </si>
  <si>
    <t>CL334</t>
  </si>
  <si>
    <t>C335</t>
  </si>
  <si>
    <t>CL335</t>
  </si>
  <si>
    <t>C336</t>
  </si>
  <si>
    <t>CL336</t>
  </si>
  <si>
    <t>C337</t>
  </si>
  <si>
    <t>CL337</t>
  </si>
  <si>
    <t>C338</t>
  </si>
  <si>
    <t>CL338</t>
  </si>
  <si>
    <t>C339</t>
  </si>
  <si>
    <t>CL339</t>
  </si>
  <si>
    <t>C340</t>
  </si>
  <si>
    <t>CL340</t>
  </si>
  <si>
    <t>C341</t>
  </si>
  <si>
    <t>CL341</t>
  </si>
  <si>
    <t>C342</t>
  </si>
  <si>
    <t>CL342</t>
  </si>
  <si>
    <t>C343</t>
  </si>
  <si>
    <t>CL343</t>
  </si>
  <si>
    <t>C344</t>
  </si>
  <si>
    <t>CL344</t>
  </si>
  <si>
    <t>C345</t>
  </si>
  <si>
    <t>CL345</t>
  </si>
  <si>
    <t>C346</t>
  </si>
  <si>
    <t>CL346</t>
  </si>
  <si>
    <t>C347</t>
  </si>
  <si>
    <t>CL347</t>
  </si>
  <si>
    <t>C348</t>
  </si>
  <si>
    <t>CL348</t>
  </si>
  <si>
    <t>C349</t>
  </si>
  <si>
    <t>CL349</t>
  </si>
  <si>
    <t>C350</t>
  </si>
  <si>
    <t>CL350</t>
  </si>
  <si>
    <t>C351</t>
  </si>
  <si>
    <t>CL351</t>
  </si>
  <si>
    <t>C352</t>
  </si>
  <si>
    <t>CL352</t>
  </si>
  <si>
    <t>C353</t>
  </si>
  <si>
    <t>CL353</t>
  </si>
  <si>
    <t>C354</t>
  </si>
  <si>
    <t>CL354</t>
  </si>
  <si>
    <t>C355</t>
  </si>
  <si>
    <t>CL355</t>
  </si>
  <si>
    <t>C356</t>
  </si>
  <si>
    <t>CL356</t>
  </si>
  <si>
    <t>C357</t>
  </si>
  <si>
    <t>CL357</t>
  </si>
  <si>
    <t>C358</t>
  </si>
  <si>
    <t>CL358</t>
  </si>
  <si>
    <t>C359</t>
  </si>
  <si>
    <t>CL359</t>
  </si>
  <si>
    <t>C360</t>
  </si>
  <si>
    <t>CL360</t>
  </si>
  <si>
    <t>C361</t>
  </si>
  <si>
    <t>CL361</t>
  </si>
  <si>
    <t>C362</t>
  </si>
  <si>
    <t>CL362</t>
  </si>
  <si>
    <t>C363</t>
  </si>
  <si>
    <t>CL363</t>
  </si>
  <si>
    <t>C364</t>
  </si>
  <si>
    <t>CL364</t>
  </si>
  <si>
    <t>C365</t>
  </si>
  <si>
    <t>CL365</t>
  </si>
  <si>
    <t>C366</t>
  </si>
  <si>
    <t>CL366</t>
  </si>
  <si>
    <t>C367</t>
  </si>
  <si>
    <t>CL367</t>
  </si>
  <si>
    <t>C368</t>
  </si>
  <si>
    <t>CL368</t>
  </si>
  <si>
    <t>C369</t>
  </si>
  <si>
    <t>CL369</t>
  </si>
  <si>
    <t>C370</t>
  </si>
  <si>
    <t>CL370</t>
  </si>
  <si>
    <t>C371</t>
  </si>
  <si>
    <t>CL371</t>
  </si>
  <si>
    <t>C372</t>
  </si>
  <si>
    <t>CL372</t>
  </si>
  <si>
    <t>C373</t>
  </si>
  <si>
    <t>CL373</t>
  </si>
  <si>
    <t>C374</t>
  </si>
  <si>
    <t>CL374</t>
  </si>
  <si>
    <t>C375</t>
  </si>
  <si>
    <t>CL375</t>
  </si>
  <si>
    <t>C376</t>
  </si>
  <si>
    <t>CL376</t>
  </si>
  <si>
    <t>C377</t>
  </si>
  <si>
    <t>CL377</t>
  </si>
  <si>
    <t>C378</t>
  </si>
  <si>
    <t>CL378</t>
  </si>
  <si>
    <t>C379</t>
  </si>
  <si>
    <t>CL379</t>
  </si>
  <si>
    <t>C380</t>
  </si>
  <si>
    <t>CL380</t>
  </si>
  <si>
    <t>C381</t>
  </si>
  <si>
    <t>CL381</t>
  </si>
  <si>
    <t>C382</t>
  </si>
  <si>
    <t>CL382</t>
  </si>
  <si>
    <t>C383</t>
  </si>
  <si>
    <t>CL383</t>
  </si>
  <si>
    <t>C384</t>
  </si>
  <si>
    <t>CL384</t>
  </si>
  <si>
    <t>C385</t>
  </si>
  <si>
    <t>CL385</t>
  </si>
  <si>
    <t>C386</t>
  </si>
  <si>
    <t>CL386</t>
  </si>
  <si>
    <t>C387</t>
  </si>
  <si>
    <t>CL387</t>
  </si>
  <si>
    <t>C388</t>
  </si>
  <si>
    <t>CL388</t>
  </si>
  <si>
    <t>C389</t>
  </si>
  <si>
    <t>CL389</t>
  </si>
  <si>
    <t>C390</t>
  </si>
  <si>
    <t>CL390</t>
  </si>
  <si>
    <t>C391</t>
  </si>
  <si>
    <t>CL391</t>
  </si>
  <si>
    <t>C392</t>
  </si>
  <si>
    <t>CL392</t>
  </si>
  <si>
    <t>C393</t>
  </si>
  <si>
    <t>CL393</t>
  </si>
  <si>
    <t>C394</t>
  </si>
  <si>
    <t>CL394</t>
  </si>
  <si>
    <t>C395</t>
  </si>
  <si>
    <t>CL395</t>
  </si>
  <si>
    <t>C396</t>
  </si>
  <si>
    <t>CL396</t>
  </si>
  <si>
    <t>C397</t>
  </si>
  <si>
    <t>CL397</t>
  </si>
  <si>
    <t>C398</t>
  </si>
  <si>
    <t>CL398</t>
  </si>
  <si>
    <t>C399</t>
  </si>
  <si>
    <t>CL399</t>
  </si>
  <si>
    <t>C400</t>
  </si>
  <si>
    <t>CL400</t>
  </si>
  <si>
    <t>C401</t>
  </si>
  <si>
    <t>CL401</t>
  </si>
  <si>
    <t>C402</t>
  </si>
  <si>
    <t>CL402</t>
  </si>
  <si>
    <t>C403</t>
  </si>
  <si>
    <t>CL403</t>
  </si>
  <si>
    <t>C404</t>
  </si>
  <si>
    <t>CL404</t>
  </si>
  <si>
    <t>C405</t>
  </si>
  <si>
    <t>CL405</t>
  </si>
  <si>
    <t>C406</t>
  </si>
  <si>
    <t>CL406</t>
  </si>
  <si>
    <t>C407</t>
  </si>
  <si>
    <t>CL407</t>
  </si>
  <si>
    <t>C408</t>
  </si>
  <si>
    <t>CL408</t>
  </si>
  <si>
    <t>C409</t>
  </si>
  <si>
    <t>CL409</t>
  </si>
  <si>
    <t>C410</t>
  </si>
  <si>
    <t>CL410</t>
  </si>
  <si>
    <t>C411</t>
  </si>
  <si>
    <t>CL411</t>
  </si>
  <si>
    <t>C412</t>
  </si>
  <si>
    <t>CL412</t>
  </si>
  <si>
    <t>C413</t>
  </si>
  <si>
    <t>CL413</t>
  </si>
  <si>
    <t>C414</t>
  </si>
  <si>
    <t>CL414</t>
  </si>
  <si>
    <t>C415</t>
  </si>
  <si>
    <t>CL415</t>
  </si>
  <si>
    <t>C416</t>
  </si>
  <si>
    <t>CL416</t>
  </si>
  <si>
    <t>C417</t>
  </si>
  <si>
    <t>CL417</t>
  </si>
  <si>
    <t>C418</t>
  </si>
  <si>
    <t>CL418</t>
  </si>
  <si>
    <t>C419</t>
  </si>
  <si>
    <t>CL419</t>
  </si>
  <si>
    <t>C420</t>
  </si>
  <si>
    <t>CL420</t>
  </si>
  <si>
    <t>C421</t>
  </si>
  <si>
    <t>CL421</t>
  </si>
  <si>
    <t>C422</t>
  </si>
  <si>
    <t>CL422</t>
  </si>
  <si>
    <t>C423</t>
  </si>
  <si>
    <t>CL423</t>
  </si>
  <si>
    <t>C424</t>
  </si>
  <si>
    <t>CL424</t>
  </si>
  <si>
    <t>C425</t>
  </si>
  <si>
    <t>CL425</t>
  </si>
  <si>
    <t>C426</t>
  </si>
  <si>
    <t>CL426</t>
  </si>
  <si>
    <t>C427</t>
  </si>
  <si>
    <t>CL427</t>
  </si>
  <si>
    <t>C428</t>
  </si>
  <si>
    <t>CL428</t>
  </si>
  <si>
    <t>C429</t>
  </si>
  <si>
    <t>CL429</t>
  </si>
  <si>
    <t>C430</t>
  </si>
  <si>
    <t>CL430</t>
  </si>
  <si>
    <t>C431</t>
  </si>
  <si>
    <t>CL431</t>
  </si>
  <si>
    <t>C432</t>
  </si>
  <si>
    <t>CL432</t>
  </si>
  <si>
    <t>C433</t>
  </si>
  <si>
    <t>CL433</t>
  </si>
  <si>
    <t>C434</t>
  </si>
  <si>
    <t>CL434</t>
  </si>
  <si>
    <t>C435</t>
  </si>
  <si>
    <t>CL435</t>
  </si>
  <si>
    <t>C436</t>
  </si>
  <si>
    <t>CL436</t>
  </si>
  <si>
    <t>C437</t>
  </si>
  <si>
    <t>CL437</t>
  </si>
  <si>
    <t>C438</t>
  </si>
  <si>
    <t>CL438</t>
  </si>
  <si>
    <t>C439</t>
  </si>
  <si>
    <t>CL439</t>
  </si>
  <si>
    <t>C440</t>
  </si>
  <si>
    <t>CL440</t>
  </si>
  <si>
    <t>C441</t>
  </si>
  <si>
    <t>CL441</t>
  </si>
  <si>
    <t>C442</t>
  </si>
  <si>
    <t>CL442</t>
  </si>
  <si>
    <t>C443</t>
  </si>
  <si>
    <t>CL443</t>
  </si>
  <si>
    <t>C444</t>
  </si>
  <si>
    <t>CL444</t>
  </si>
  <si>
    <t>C445</t>
  </si>
  <si>
    <t>CL445</t>
  </si>
  <si>
    <t>C446</t>
  </si>
  <si>
    <t>CL446</t>
  </si>
  <si>
    <t>C447</t>
  </si>
  <si>
    <t>CL447</t>
  </si>
  <si>
    <t>C448</t>
  </si>
  <si>
    <t>CL448</t>
  </si>
  <si>
    <t>C449</t>
  </si>
  <si>
    <t>CL449</t>
  </si>
  <si>
    <t>C450</t>
  </si>
  <si>
    <t>CL450</t>
  </si>
  <si>
    <t>C451</t>
  </si>
  <si>
    <t>CL451</t>
  </si>
  <si>
    <t>C452</t>
  </si>
  <si>
    <t>CL452</t>
  </si>
  <si>
    <t>C453</t>
  </si>
  <si>
    <t>CL453</t>
  </si>
  <si>
    <t>C454</t>
  </si>
  <si>
    <t>CL454</t>
  </si>
  <si>
    <t>C455</t>
  </si>
  <si>
    <t>CL455</t>
  </si>
  <si>
    <t>C456</t>
  </si>
  <si>
    <t>CL456</t>
  </si>
  <si>
    <t>C457</t>
  </si>
  <si>
    <t>CL457</t>
  </si>
  <si>
    <t>C458</t>
  </si>
  <si>
    <t>CL458</t>
  </si>
  <si>
    <t>C459</t>
  </si>
  <si>
    <t>CL459</t>
  </si>
  <si>
    <t>C460</t>
  </si>
  <si>
    <t>CL460</t>
  </si>
  <si>
    <t>C461</t>
  </si>
  <si>
    <t>CL461</t>
  </si>
  <si>
    <t>C462</t>
  </si>
  <si>
    <t>CL462</t>
  </si>
  <si>
    <t>C463</t>
  </si>
  <si>
    <t>CL463</t>
  </si>
  <si>
    <t>C464</t>
  </si>
  <si>
    <t>CL464</t>
  </si>
  <si>
    <t>C465</t>
  </si>
  <si>
    <t>CL465</t>
  </si>
  <si>
    <t>C466</t>
  </si>
  <si>
    <t>CL466</t>
  </si>
  <si>
    <t>C467</t>
  </si>
  <si>
    <t>CL467</t>
  </si>
  <si>
    <t>C468</t>
  </si>
  <si>
    <t>CL468</t>
  </si>
  <si>
    <t>C469</t>
  </si>
  <si>
    <t>CL469</t>
  </si>
  <si>
    <t>C470</t>
  </si>
  <si>
    <t>CL470</t>
  </si>
  <si>
    <t>C471</t>
  </si>
  <si>
    <t>CL471</t>
  </si>
  <si>
    <t>C472</t>
  </si>
  <si>
    <t>CL472</t>
  </si>
  <si>
    <t>C473</t>
  </si>
  <si>
    <t>CL473</t>
  </si>
  <si>
    <t>C474</t>
  </si>
  <si>
    <t>CL474</t>
  </si>
  <si>
    <t>C475</t>
  </si>
  <si>
    <t>CL475</t>
  </si>
  <si>
    <t>C476</t>
  </si>
  <si>
    <t>CL476</t>
  </si>
  <si>
    <t>C477</t>
  </si>
  <si>
    <t>CL477</t>
  </si>
  <si>
    <t>C478</t>
  </si>
  <si>
    <t>CL478</t>
  </si>
  <si>
    <t>C479</t>
  </si>
  <si>
    <t>CL479</t>
  </si>
  <si>
    <t>C480</t>
  </si>
  <si>
    <t>CL480</t>
  </si>
  <si>
    <t>C481</t>
  </si>
  <si>
    <t>CL481</t>
  </si>
  <si>
    <t>C482</t>
  </si>
  <si>
    <t>CL482</t>
  </si>
  <si>
    <t>C483</t>
  </si>
  <si>
    <t>CL483</t>
  </si>
  <si>
    <t>C484</t>
  </si>
  <si>
    <t>CL484</t>
  </si>
  <si>
    <t>C485</t>
  </si>
  <si>
    <t>CL485</t>
  </si>
  <si>
    <t>C486</t>
  </si>
  <si>
    <t>CL486</t>
  </si>
  <si>
    <t>C487</t>
  </si>
  <si>
    <t>CL487</t>
  </si>
  <si>
    <t>C488</t>
  </si>
  <si>
    <t>CL488</t>
  </si>
  <si>
    <t>C489</t>
  </si>
  <si>
    <t>CL489</t>
  </si>
  <si>
    <t>C490</t>
  </si>
  <si>
    <t>CL490</t>
  </si>
  <si>
    <t>C491</t>
  </si>
  <si>
    <t>CL491</t>
  </si>
  <si>
    <t>C492</t>
  </si>
  <si>
    <t>CL492</t>
  </si>
  <si>
    <t>C493</t>
  </si>
  <si>
    <t>CL493</t>
  </si>
  <si>
    <t>C494</t>
  </si>
  <si>
    <t>CL494</t>
  </si>
  <si>
    <t>C495</t>
  </si>
  <si>
    <t>CL495</t>
  </si>
  <si>
    <t>C496</t>
  </si>
  <si>
    <t>CL496</t>
  </si>
  <si>
    <t>C497</t>
  </si>
  <si>
    <t>CL497</t>
  </si>
  <si>
    <t>C498</t>
  </si>
  <si>
    <t>CL498</t>
  </si>
  <si>
    <t>C499</t>
  </si>
  <si>
    <t>CL499</t>
  </si>
  <si>
    <t>C500</t>
  </si>
  <si>
    <t>CL500</t>
  </si>
  <si>
    <t>C501</t>
  </si>
  <si>
    <t>CL501</t>
  </si>
  <si>
    <t>C502</t>
  </si>
  <si>
    <t>CL502</t>
  </si>
  <si>
    <t>C503</t>
  </si>
  <si>
    <t>CL503</t>
  </si>
  <si>
    <t>C504</t>
  </si>
  <si>
    <t>CL504</t>
  </si>
  <si>
    <t>C505</t>
  </si>
  <si>
    <t>CL505</t>
  </si>
  <si>
    <t>C506</t>
  </si>
  <si>
    <t>CL506</t>
  </si>
  <si>
    <t>C507</t>
  </si>
  <si>
    <t>CL507</t>
  </si>
  <si>
    <t>C508</t>
  </si>
  <si>
    <t>CL508</t>
  </si>
  <si>
    <t>C509</t>
  </si>
  <si>
    <t>CL509</t>
  </si>
  <si>
    <t>C510</t>
  </si>
  <si>
    <t>CL510</t>
  </si>
  <si>
    <t>C511</t>
  </si>
  <si>
    <t>CL511</t>
  </si>
  <si>
    <t>C512</t>
  </si>
  <si>
    <t>CL512</t>
  </si>
  <si>
    <t>C513</t>
  </si>
  <si>
    <t>CL513</t>
  </si>
  <si>
    <t>C514</t>
  </si>
  <si>
    <t>CL514</t>
  </si>
  <si>
    <t>C515</t>
  </si>
  <si>
    <t>CL515</t>
  </si>
  <si>
    <t>C516</t>
  </si>
  <si>
    <t>CL516</t>
  </si>
  <si>
    <t>C517</t>
  </si>
  <si>
    <t>CL517</t>
  </si>
  <si>
    <t>C518</t>
  </si>
  <si>
    <t>CL518</t>
  </si>
  <si>
    <t>C519</t>
  </si>
  <si>
    <t>CL519</t>
  </si>
  <si>
    <t>C520</t>
  </si>
  <si>
    <t>CL520</t>
  </si>
  <si>
    <t>C521</t>
  </si>
  <si>
    <t>CL521</t>
  </si>
  <si>
    <t>C522</t>
  </si>
  <si>
    <t>CL522</t>
  </si>
  <si>
    <t>C523</t>
  </si>
  <si>
    <t>CL523</t>
  </si>
  <si>
    <t>C524</t>
  </si>
  <si>
    <t>CL524</t>
  </si>
  <si>
    <t>C525</t>
  </si>
  <si>
    <t>CL525</t>
  </si>
  <si>
    <t>C526</t>
  </si>
  <si>
    <t>CL526</t>
  </si>
  <si>
    <t>C527</t>
  </si>
  <si>
    <t>CL527</t>
  </si>
  <si>
    <t>C528</t>
  </si>
  <si>
    <t>CL528</t>
  </si>
  <si>
    <t>C529</t>
  </si>
  <si>
    <t>CL529</t>
  </si>
  <si>
    <t>C530</t>
  </si>
  <si>
    <t>CL530</t>
  </si>
  <si>
    <t>C531</t>
  </si>
  <si>
    <t>CL531</t>
  </si>
  <si>
    <t>C532</t>
  </si>
  <si>
    <t>CL532</t>
  </si>
  <si>
    <t>C533</t>
  </si>
  <si>
    <t>CL533</t>
  </si>
  <si>
    <t>C534</t>
  </si>
  <si>
    <t>CL534</t>
  </si>
  <si>
    <t>C535</t>
  </si>
  <si>
    <t>CL535</t>
  </si>
  <si>
    <t>C536</t>
  </si>
  <si>
    <t>CL536</t>
  </si>
  <si>
    <t>C537</t>
  </si>
  <si>
    <t>CL537</t>
  </si>
  <si>
    <t>C538</t>
  </si>
  <si>
    <t>CL538</t>
  </si>
  <si>
    <t>C539</t>
  </si>
  <si>
    <t>CL539</t>
  </si>
  <si>
    <t>C540</t>
  </si>
  <si>
    <t>CL540</t>
  </si>
  <si>
    <t>C541</t>
  </si>
  <si>
    <t>CL541</t>
  </si>
  <si>
    <t>C542</t>
  </si>
  <si>
    <t>CL542</t>
  </si>
  <si>
    <t>C543</t>
  </si>
  <si>
    <t>CL543</t>
  </si>
  <si>
    <t>C544</t>
  </si>
  <si>
    <t>CL544</t>
  </si>
  <si>
    <t>C545</t>
  </si>
  <si>
    <t>CL545</t>
  </si>
  <si>
    <t>C546</t>
  </si>
  <si>
    <t>CL546</t>
  </si>
  <si>
    <t>C547</t>
  </si>
  <si>
    <t>CL547</t>
  </si>
  <si>
    <t>C548</t>
  </si>
  <si>
    <t>CL548</t>
  </si>
  <si>
    <t>C549</t>
  </si>
  <si>
    <t>CL549</t>
  </si>
  <si>
    <t>C550</t>
  </si>
  <si>
    <t>CL550</t>
  </si>
  <si>
    <t>C551</t>
  </si>
  <si>
    <t>CL551</t>
  </si>
  <si>
    <t>C552</t>
  </si>
  <si>
    <t>CL552</t>
  </si>
  <si>
    <t>C553</t>
  </si>
  <si>
    <t>CL553</t>
  </si>
  <si>
    <t>C554</t>
  </si>
  <si>
    <t>CL554</t>
  </si>
  <si>
    <t>C555</t>
  </si>
  <si>
    <t>CL555</t>
  </si>
  <si>
    <t>C556</t>
  </si>
  <si>
    <t>CL556</t>
  </si>
  <si>
    <t>C557</t>
  </si>
  <si>
    <t>CL557</t>
  </si>
  <si>
    <t>C558</t>
  </si>
  <si>
    <t>CL558</t>
  </si>
  <si>
    <t>C559</t>
  </si>
  <si>
    <t>CL559</t>
  </si>
  <si>
    <t>C560</t>
  </si>
  <si>
    <t>CL560</t>
  </si>
  <si>
    <t>C561</t>
  </si>
  <si>
    <t>CL561</t>
  </si>
  <si>
    <t>C562</t>
  </si>
  <si>
    <t>CL562</t>
  </si>
  <si>
    <t>C563</t>
  </si>
  <si>
    <t>CL563</t>
  </si>
  <si>
    <t>C564</t>
  </si>
  <si>
    <t>CL564</t>
  </si>
  <si>
    <t>C565</t>
  </si>
  <si>
    <t>CL565</t>
  </si>
  <si>
    <t>C566</t>
  </si>
  <si>
    <t>CL566</t>
  </si>
  <si>
    <t>C567</t>
  </si>
  <si>
    <t>CL567</t>
  </si>
  <si>
    <t>C568</t>
  </si>
  <si>
    <t>CL568</t>
  </si>
  <si>
    <t>C569</t>
  </si>
  <si>
    <t>CL569</t>
  </si>
  <si>
    <t>C570</t>
  </si>
  <si>
    <t>CL570</t>
  </si>
  <si>
    <t>C571</t>
  </si>
  <si>
    <t>CL571</t>
  </si>
  <si>
    <t>C572</t>
  </si>
  <si>
    <t>CL572</t>
  </si>
  <si>
    <t>C573</t>
  </si>
  <si>
    <t>CL573</t>
  </si>
  <si>
    <t>C574</t>
  </si>
  <si>
    <t>CL574</t>
  </si>
  <si>
    <t>C575</t>
  </si>
  <si>
    <t>CL575</t>
  </si>
  <si>
    <t>C576</t>
  </si>
  <si>
    <t>CL576</t>
  </si>
  <si>
    <t>C577</t>
  </si>
  <si>
    <t>CL577</t>
  </si>
  <si>
    <t>C578</t>
  </si>
  <si>
    <t>CL578</t>
  </si>
  <si>
    <t>C579</t>
  </si>
  <si>
    <t>CL579</t>
  </si>
  <si>
    <t>C580</t>
  </si>
  <si>
    <t>CL580</t>
  </si>
  <si>
    <t>C581</t>
  </si>
  <si>
    <t>CL581</t>
  </si>
  <si>
    <t>C582</t>
  </si>
  <si>
    <t>CL582</t>
  </si>
  <si>
    <t>C583</t>
  </si>
  <si>
    <t>CL583</t>
  </si>
  <si>
    <t>C584</t>
  </si>
  <si>
    <t>CL584</t>
  </si>
  <si>
    <t>C585</t>
  </si>
  <si>
    <t>CL585</t>
  </si>
  <si>
    <t>C586</t>
  </si>
  <si>
    <t>CL586</t>
  </si>
  <si>
    <t>C587</t>
  </si>
  <si>
    <t>CL587</t>
  </si>
  <si>
    <t>C588</t>
  </si>
  <si>
    <t>CL588</t>
  </si>
  <si>
    <t>C589</t>
  </si>
  <si>
    <t>CL589</t>
  </si>
  <si>
    <t>C590</t>
  </si>
  <si>
    <t>CL590</t>
  </si>
  <si>
    <t>C591</t>
  </si>
  <si>
    <t>CL591</t>
  </si>
  <si>
    <t>C592</t>
  </si>
  <si>
    <t>CL592</t>
  </si>
  <si>
    <t>C593</t>
  </si>
  <si>
    <t>CL593</t>
  </si>
  <si>
    <t>C594</t>
  </si>
  <si>
    <t>CL594</t>
  </si>
  <si>
    <t>C595</t>
  </si>
  <si>
    <t>CL595</t>
  </si>
  <si>
    <t>C596</t>
  </si>
  <si>
    <t>CL596</t>
  </si>
  <si>
    <t>C597</t>
  </si>
  <si>
    <t>CL597</t>
  </si>
  <si>
    <t>C598</t>
  </si>
  <si>
    <t>CL598</t>
  </si>
  <si>
    <t>C599</t>
  </si>
  <si>
    <t>CL599</t>
  </si>
  <si>
    <t>C600</t>
  </si>
  <si>
    <t>CL600</t>
  </si>
  <si>
    <t>C601</t>
  </si>
  <si>
    <t>CL601</t>
  </si>
  <si>
    <t>C602</t>
  </si>
  <si>
    <t>CL602</t>
  </si>
  <si>
    <t>C603</t>
  </si>
  <si>
    <t>CL603</t>
  </si>
  <si>
    <t>C604</t>
  </si>
  <si>
    <t>CL604</t>
  </si>
  <si>
    <t>C605</t>
  </si>
  <si>
    <t>CL605</t>
  </si>
  <si>
    <t>C606</t>
  </si>
  <si>
    <t>CL606</t>
  </si>
  <si>
    <t>C607</t>
  </si>
  <si>
    <t>CL607</t>
  </si>
  <si>
    <t>C608</t>
  </si>
  <si>
    <t>CL608</t>
  </si>
  <si>
    <t>C609</t>
  </si>
  <si>
    <t>CL609</t>
  </si>
  <si>
    <t>C610</t>
  </si>
  <si>
    <t>CL610</t>
  </si>
  <si>
    <t>C611</t>
  </si>
  <si>
    <t>CL611</t>
  </si>
  <si>
    <t>C612</t>
  </si>
  <si>
    <t>CL612</t>
  </si>
  <si>
    <t>C613</t>
  </si>
  <si>
    <t>CL613</t>
  </si>
  <si>
    <t>C614</t>
  </si>
  <si>
    <t>CL614</t>
  </si>
  <si>
    <t>C615</t>
  </si>
  <si>
    <t>CL615</t>
  </si>
  <si>
    <t>C616</t>
  </si>
  <si>
    <t>CL616</t>
  </si>
  <si>
    <t>C617</t>
  </si>
  <si>
    <t>CL617</t>
  </si>
  <si>
    <t>C618</t>
  </si>
  <si>
    <t>CL618</t>
  </si>
  <si>
    <t>C619</t>
  </si>
  <si>
    <t>CL619</t>
  </si>
  <si>
    <t>C620</t>
  </si>
  <si>
    <t>CL620</t>
  </si>
  <si>
    <t>C621</t>
  </si>
  <si>
    <t>CL621</t>
  </si>
  <si>
    <t>C622</t>
  </si>
  <si>
    <t>CL622</t>
  </si>
  <si>
    <t>C623</t>
  </si>
  <si>
    <t>CL623</t>
  </si>
  <si>
    <t>C624</t>
  </si>
  <si>
    <t>CL624</t>
  </si>
  <si>
    <t>C625</t>
  </si>
  <si>
    <t>CL625</t>
  </si>
  <si>
    <t>C626</t>
  </si>
  <si>
    <t>CL626</t>
  </si>
  <si>
    <t>C627</t>
  </si>
  <si>
    <t>CL627</t>
  </si>
  <si>
    <t>C628</t>
  </si>
  <si>
    <t>CL628</t>
  </si>
  <si>
    <t>C629</t>
  </si>
  <si>
    <t>CL629</t>
  </si>
  <si>
    <t>C630</t>
  </si>
  <si>
    <t>CL630</t>
  </si>
  <si>
    <t>C631</t>
  </si>
  <si>
    <t>CL631</t>
  </si>
  <si>
    <t>C632</t>
  </si>
  <si>
    <t>CL632</t>
  </si>
  <si>
    <t>C633</t>
  </si>
  <si>
    <t>CL633</t>
  </si>
  <si>
    <t>C634</t>
  </si>
  <si>
    <t>CL634</t>
  </si>
  <si>
    <t>C635</t>
  </si>
  <si>
    <t>CL635</t>
  </si>
  <si>
    <t>C636</t>
  </si>
  <si>
    <t>CL636</t>
  </si>
  <si>
    <t>C637</t>
  </si>
  <si>
    <t>CL637</t>
  </si>
  <si>
    <t>C638</t>
  </si>
  <si>
    <t>CL638</t>
  </si>
  <si>
    <t>C639</t>
  </si>
  <si>
    <t>CL639</t>
  </si>
  <si>
    <t>C640</t>
  </si>
  <si>
    <t>CL640</t>
  </si>
  <si>
    <t>C641</t>
  </si>
  <si>
    <t>CL641</t>
  </si>
  <si>
    <t>C642</t>
  </si>
  <si>
    <t>CL642</t>
  </si>
  <si>
    <t>C643</t>
  </si>
  <si>
    <t>CL643</t>
  </si>
  <si>
    <t>C644</t>
  </si>
  <si>
    <t>CL644</t>
  </si>
  <si>
    <t>C645</t>
  </si>
  <si>
    <t>CL645</t>
  </si>
  <si>
    <t>C646</t>
  </si>
  <si>
    <t>CL646</t>
  </si>
  <si>
    <t>C647</t>
  </si>
  <si>
    <t>CL647</t>
  </si>
  <si>
    <t>C648</t>
  </si>
  <si>
    <t>CL648</t>
  </si>
  <si>
    <t>C649</t>
  </si>
  <si>
    <t>CL649</t>
  </si>
  <si>
    <t>C650</t>
  </si>
  <si>
    <t>CL650</t>
  </si>
  <si>
    <t>C651</t>
  </si>
  <si>
    <t>CL651</t>
  </si>
  <si>
    <t>C652</t>
  </si>
  <si>
    <t>CL652</t>
  </si>
  <si>
    <t>C653</t>
  </si>
  <si>
    <t>CL653</t>
  </si>
  <si>
    <t>C654</t>
  </si>
  <si>
    <t>CL654</t>
  </si>
  <si>
    <t>C655</t>
  </si>
  <si>
    <t>CL655</t>
  </si>
  <si>
    <t>C656</t>
  </si>
  <si>
    <t>CL656</t>
  </si>
  <si>
    <t>C657</t>
  </si>
  <si>
    <t>CL657</t>
  </si>
  <si>
    <t>C658</t>
  </si>
  <si>
    <t>CL658</t>
  </si>
  <si>
    <t>C659</t>
  </si>
  <si>
    <t>CL659</t>
  </si>
  <si>
    <t>C660</t>
  </si>
  <si>
    <t>CL660</t>
  </si>
  <si>
    <t>C661</t>
  </si>
  <si>
    <t>CL661</t>
  </si>
  <si>
    <t>C662</t>
  </si>
  <si>
    <t>CL662</t>
  </si>
  <si>
    <t>C663</t>
  </si>
  <si>
    <t>CL663</t>
  </si>
  <si>
    <t>C664</t>
  </si>
  <si>
    <t>CL664</t>
  </si>
  <si>
    <t>C665</t>
  </si>
  <si>
    <t>CL665</t>
  </si>
  <si>
    <t>C666</t>
  </si>
  <si>
    <t>CL666</t>
  </si>
  <si>
    <t>C667</t>
  </si>
  <si>
    <t>CL667</t>
  </si>
  <si>
    <t>C668</t>
  </si>
  <si>
    <t>CL668</t>
  </si>
  <si>
    <t>C669</t>
  </si>
  <si>
    <t>CL669</t>
  </si>
  <si>
    <t>C670</t>
  </si>
  <si>
    <t>CL670</t>
  </si>
  <si>
    <t>C671</t>
  </si>
  <si>
    <t>CL671</t>
  </si>
  <si>
    <t>C672</t>
  </si>
  <si>
    <t>CL672</t>
  </si>
  <si>
    <t>C673</t>
  </si>
  <si>
    <t>CL673</t>
  </si>
  <si>
    <t>C674</t>
  </si>
  <si>
    <t>CL674</t>
  </si>
  <si>
    <t>C675</t>
  </si>
  <si>
    <t>CL675</t>
  </si>
  <si>
    <t>C676</t>
  </si>
  <si>
    <t>CL676</t>
  </si>
  <si>
    <t>C677</t>
  </si>
  <si>
    <t>CL677</t>
  </si>
  <si>
    <t>C678</t>
  </si>
  <si>
    <t>CL678</t>
  </si>
  <si>
    <t>C679</t>
  </si>
  <si>
    <t>CL679</t>
  </si>
  <si>
    <t>C680</t>
  </si>
  <si>
    <t>CL680</t>
  </si>
  <si>
    <t>C681</t>
  </si>
  <si>
    <t>CL681</t>
  </si>
  <si>
    <t>C682</t>
  </si>
  <si>
    <t>CL682</t>
  </si>
  <si>
    <t>C683</t>
  </si>
  <si>
    <t>CL683</t>
  </si>
  <si>
    <t>C684</t>
  </si>
  <si>
    <t>CL684</t>
  </si>
  <si>
    <t>C685</t>
  </si>
  <si>
    <t>CL685</t>
  </si>
  <si>
    <t>C686</t>
  </si>
  <si>
    <t>CL686</t>
  </si>
  <si>
    <t>C687</t>
  </si>
  <si>
    <t>CL687</t>
  </si>
  <si>
    <t>C688</t>
  </si>
  <si>
    <t>CL688</t>
  </si>
  <si>
    <t>C689</t>
  </si>
  <si>
    <t>CL689</t>
  </si>
  <si>
    <t>C690</t>
  </si>
  <si>
    <t>CL690</t>
  </si>
  <si>
    <t>C691</t>
  </si>
  <si>
    <t>CL691</t>
  </si>
  <si>
    <t>C692</t>
  </si>
  <si>
    <t>CL692</t>
  </si>
  <si>
    <t>C693</t>
  </si>
  <si>
    <t>CL693</t>
  </si>
  <si>
    <t>C694</t>
  </si>
  <si>
    <t>CL694</t>
  </si>
  <si>
    <t>C695</t>
  </si>
  <si>
    <t>CL695</t>
  </si>
  <si>
    <t>C696</t>
  </si>
  <si>
    <t>CL696</t>
  </si>
  <si>
    <t>C697</t>
  </si>
  <si>
    <t>CL697</t>
  </si>
  <si>
    <t>C698</t>
  </si>
  <si>
    <t>CL698</t>
  </si>
  <si>
    <t>C699</t>
  </si>
  <si>
    <t>CL699</t>
  </si>
  <si>
    <t>C700</t>
  </si>
  <si>
    <t>CL700</t>
  </si>
  <si>
    <t>C701</t>
  </si>
  <si>
    <t>CL701</t>
  </si>
  <si>
    <t>C702</t>
  </si>
  <si>
    <t>CL702</t>
  </si>
  <si>
    <t>C703</t>
  </si>
  <si>
    <t>CL703</t>
  </si>
  <si>
    <t>C704</t>
  </si>
  <si>
    <t>CL704</t>
  </si>
  <si>
    <t>C705</t>
  </si>
  <si>
    <t>CL705</t>
  </si>
  <si>
    <t>C706</t>
  </si>
  <si>
    <t>CL706</t>
  </si>
  <si>
    <t>C707</t>
  </si>
  <si>
    <t>CL707</t>
  </si>
  <si>
    <t>C708</t>
  </si>
  <si>
    <t>CL708</t>
  </si>
  <si>
    <t>C709</t>
  </si>
  <si>
    <t>CL709</t>
  </si>
  <si>
    <t>C710</t>
  </si>
  <si>
    <t>CL710</t>
  </si>
  <si>
    <t>C711</t>
  </si>
  <si>
    <t>CL711</t>
  </si>
  <si>
    <t>C712</t>
  </si>
  <si>
    <t>CL712</t>
  </si>
  <si>
    <t>C713</t>
  </si>
  <si>
    <t>CL713</t>
  </si>
  <si>
    <t>C714</t>
  </si>
  <si>
    <t>CL714</t>
  </si>
  <si>
    <t>C715</t>
  </si>
  <si>
    <t>CL715</t>
  </si>
  <si>
    <t>C716</t>
  </si>
  <si>
    <t>CL716</t>
  </si>
  <si>
    <t>C717</t>
  </si>
  <si>
    <t>CL717</t>
  </si>
  <si>
    <t>C718</t>
  </si>
  <si>
    <t>CL718</t>
  </si>
  <si>
    <t>C719</t>
  </si>
  <si>
    <t>CL719</t>
  </si>
  <si>
    <t>C720</t>
  </si>
  <si>
    <t>CL720</t>
  </si>
  <si>
    <t>C721</t>
  </si>
  <si>
    <t>CL721</t>
  </si>
  <si>
    <t>C722</t>
  </si>
  <si>
    <t>CL722</t>
  </si>
  <si>
    <t>C723</t>
  </si>
  <si>
    <t>CL723</t>
  </si>
  <si>
    <t>C724</t>
  </si>
  <si>
    <t>CL724</t>
  </si>
  <si>
    <t>C725</t>
  </si>
  <si>
    <t>CL725</t>
  </si>
  <si>
    <t>C726</t>
  </si>
  <si>
    <t>CL726</t>
  </si>
  <si>
    <t>C727</t>
  </si>
  <si>
    <t>CL727</t>
  </si>
  <si>
    <t>C728</t>
  </si>
  <si>
    <t>CL728</t>
  </si>
  <si>
    <t>C729</t>
  </si>
  <si>
    <t>CL729</t>
  </si>
  <si>
    <t>C730</t>
  </si>
  <si>
    <t>CL730</t>
  </si>
  <si>
    <t>C731</t>
  </si>
  <si>
    <t>CL731</t>
  </si>
  <si>
    <t>C732</t>
  </si>
  <si>
    <t>CL732</t>
  </si>
  <si>
    <t>C733</t>
  </si>
  <si>
    <t>CL733</t>
  </si>
  <si>
    <t>C734</t>
  </si>
  <si>
    <t>CL734</t>
  </si>
  <si>
    <t>C735</t>
  </si>
  <si>
    <t>CL735</t>
  </si>
  <si>
    <t>C736</t>
  </si>
  <si>
    <t>CL736</t>
  </si>
  <si>
    <t>C737</t>
  </si>
  <si>
    <t>CL737</t>
  </si>
  <si>
    <t>C738</t>
  </si>
  <si>
    <t>CL738</t>
  </si>
  <si>
    <t>C739</t>
  </si>
  <si>
    <t>CL739</t>
  </si>
  <si>
    <t>C740</t>
  </si>
  <si>
    <t>CL740</t>
  </si>
  <si>
    <t>C741</t>
  </si>
  <si>
    <t>CL741</t>
  </si>
  <si>
    <t>C742</t>
  </si>
  <si>
    <t>CL742</t>
  </si>
  <si>
    <t>C743</t>
  </si>
  <si>
    <t>CL743</t>
  </si>
  <si>
    <t>C744</t>
  </si>
  <si>
    <t>CL744</t>
  </si>
  <si>
    <t>C745</t>
  </si>
  <si>
    <t>CL745</t>
  </si>
  <si>
    <t>C746</t>
  </si>
  <si>
    <t>CL746</t>
  </si>
  <si>
    <t>C747</t>
  </si>
  <si>
    <t>CL747</t>
  </si>
  <si>
    <t>C748</t>
  </si>
  <si>
    <t>CL748</t>
  </si>
  <si>
    <t>C749</t>
  </si>
  <si>
    <t>CL749</t>
  </si>
  <si>
    <t>C750</t>
  </si>
  <si>
    <t>CL750</t>
  </si>
  <si>
    <t>C751</t>
  </si>
  <si>
    <t>CL751</t>
  </si>
  <si>
    <t>C752</t>
  </si>
  <si>
    <t>CL752</t>
  </si>
  <si>
    <t>C753</t>
  </si>
  <si>
    <t>CL753</t>
  </si>
  <si>
    <t>C754</t>
  </si>
  <si>
    <t>CL754</t>
  </si>
  <si>
    <t>C755</t>
  </si>
  <si>
    <t>CL755</t>
  </si>
  <si>
    <t>C756</t>
  </si>
  <si>
    <t>CL756</t>
  </si>
  <si>
    <t>C757</t>
  </si>
  <si>
    <t>CL757</t>
  </si>
  <si>
    <t>C758</t>
  </si>
  <si>
    <t>CL758</t>
  </si>
  <si>
    <t>C759</t>
  </si>
  <si>
    <t>CL759</t>
  </si>
  <si>
    <t>C760</t>
  </si>
  <si>
    <t>CL760</t>
  </si>
  <si>
    <t>C761</t>
  </si>
  <si>
    <t>CL761</t>
  </si>
  <si>
    <t>C762</t>
  </si>
  <si>
    <t>CL762</t>
  </si>
  <si>
    <t>C763</t>
  </si>
  <si>
    <t>CL763</t>
  </si>
  <si>
    <t>C764</t>
  </si>
  <si>
    <t>CL764</t>
  </si>
  <si>
    <t>C765</t>
  </si>
  <si>
    <t>CL765</t>
  </si>
  <si>
    <t>C766</t>
  </si>
  <si>
    <t>CL766</t>
  </si>
  <si>
    <t>C767</t>
  </si>
  <si>
    <t>CL767</t>
  </si>
  <si>
    <t>C768</t>
  </si>
  <si>
    <t>CL768</t>
  </si>
  <si>
    <t>C769</t>
  </si>
  <si>
    <t>CL769</t>
  </si>
  <si>
    <t>C770</t>
  </si>
  <si>
    <t>CL770</t>
  </si>
  <si>
    <t>C771</t>
  </si>
  <si>
    <t>CL771</t>
  </si>
  <si>
    <t>C772</t>
  </si>
  <si>
    <t>CL772</t>
  </si>
  <si>
    <t>C773</t>
  </si>
  <si>
    <t>CL773</t>
  </si>
  <si>
    <t>C774</t>
  </si>
  <si>
    <t>CL774</t>
  </si>
  <si>
    <t>C775</t>
  </si>
  <si>
    <t>CL775</t>
  </si>
  <si>
    <t>C776</t>
  </si>
  <si>
    <t>CL776</t>
  </si>
  <si>
    <t>C777</t>
  </si>
  <si>
    <t>CL777</t>
  </si>
  <si>
    <t>C778</t>
  </si>
  <si>
    <t>CL778</t>
  </si>
  <si>
    <t>C779</t>
  </si>
  <si>
    <t>CL779</t>
  </si>
  <si>
    <t>C780</t>
  </si>
  <si>
    <t>CL780</t>
  </si>
  <si>
    <t>C781</t>
  </si>
  <si>
    <t>CL781</t>
  </si>
  <si>
    <t>C782</t>
  </si>
  <si>
    <t>CL782</t>
  </si>
  <si>
    <t>C783</t>
  </si>
  <si>
    <t>CL783</t>
  </si>
  <si>
    <t>C784</t>
  </si>
  <si>
    <t>CL784</t>
  </si>
  <si>
    <t>C785</t>
  </si>
  <si>
    <t>CL785</t>
  </si>
  <si>
    <t>C786</t>
  </si>
  <si>
    <t>CL786</t>
  </si>
  <si>
    <t>C787</t>
  </si>
  <si>
    <t>CL787</t>
  </si>
  <si>
    <t>C788</t>
  </si>
  <si>
    <t>CL788</t>
  </si>
  <si>
    <t>C789</t>
  </si>
  <si>
    <t>CL789</t>
  </si>
  <si>
    <t>C790</t>
  </si>
  <si>
    <t>CL790</t>
  </si>
  <si>
    <t>C791</t>
  </si>
  <si>
    <t>CL791</t>
  </si>
  <si>
    <t>C792</t>
  </si>
  <si>
    <t>CL792</t>
  </si>
  <si>
    <t>C793</t>
  </si>
  <si>
    <t>CL793</t>
  </si>
  <si>
    <t>C794</t>
  </si>
  <si>
    <t>CL794</t>
  </si>
  <si>
    <t>C795</t>
  </si>
  <si>
    <t>CL795</t>
  </si>
  <si>
    <t>C796</t>
  </si>
  <si>
    <t>CL796</t>
  </si>
  <si>
    <t>C797</t>
  </si>
  <si>
    <t>CL797</t>
  </si>
  <si>
    <t>C798</t>
  </si>
  <si>
    <t>CL798</t>
  </si>
  <si>
    <t>C799</t>
  </si>
  <si>
    <t>CL799</t>
  </si>
  <si>
    <t>C800</t>
  </si>
  <si>
    <t>CL800</t>
  </si>
  <si>
    <t>C801</t>
  </si>
  <si>
    <t>CL801</t>
  </si>
  <si>
    <t>C802</t>
  </si>
  <si>
    <t>CL802</t>
  </si>
  <si>
    <t>C803</t>
  </si>
  <si>
    <t>CL803</t>
  </si>
  <si>
    <t>C804</t>
  </si>
  <si>
    <t>CL804</t>
  </si>
  <si>
    <t>C805</t>
  </si>
  <si>
    <t>CL805</t>
  </si>
  <si>
    <t>C806</t>
  </si>
  <si>
    <t>CL806</t>
  </si>
  <si>
    <t>C807</t>
  </si>
  <si>
    <t>CL807</t>
  </si>
  <si>
    <t>C808</t>
  </si>
  <si>
    <t>CL808</t>
  </si>
  <si>
    <t>C809</t>
  </si>
  <si>
    <t>CL809</t>
  </si>
  <si>
    <t>C810</t>
  </si>
  <si>
    <t>CL810</t>
  </si>
  <si>
    <t>C811</t>
  </si>
  <si>
    <t>CL811</t>
  </si>
  <si>
    <t>C812</t>
  </si>
  <si>
    <t>CL812</t>
  </si>
  <si>
    <t>C813</t>
  </si>
  <si>
    <t>CL813</t>
  </si>
  <si>
    <t>C814</t>
  </si>
  <si>
    <t>CL814</t>
  </si>
  <si>
    <t>C815</t>
  </si>
  <si>
    <t>CL815</t>
  </si>
  <si>
    <t>C816</t>
  </si>
  <si>
    <t>CL816</t>
  </si>
  <si>
    <t>C817</t>
  </si>
  <si>
    <t>CL817</t>
  </si>
  <si>
    <t>C818</t>
  </si>
  <si>
    <t>CL818</t>
  </si>
  <si>
    <t>C819</t>
  </si>
  <si>
    <t>CL819</t>
  </si>
  <si>
    <t>C820</t>
  </si>
  <si>
    <t>CL820</t>
  </si>
  <si>
    <t>C821</t>
  </si>
  <si>
    <t>CL821</t>
  </si>
  <si>
    <t>C822</t>
  </si>
  <si>
    <t>CL822</t>
  </si>
  <si>
    <t>C823</t>
  </si>
  <si>
    <t>CL823</t>
  </si>
  <si>
    <t>C824</t>
  </si>
  <si>
    <t>CL824</t>
  </si>
  <si>
    <t>C825</t>
  </si>
  <si>
    <t>CL825</t>
  </si>
  <si>
    <t>C826</t>
  </si>
  <si>
    <t>CL826</t>
  </si>
  <si>
    <t>C827</t>
  </si>
  <si>
    <t>CL827</t>
  </si>
  <si>
    <t>C828</t>
  </si>
  <si>
    <t>CL828</t>
  </si>
  <si>
    <t>C829</t>
  </si>
  <si>
    <t>CL829</t>
  </si>
  <si>
    <t>C830</t>
  </si>
  <si>
    <t>CL830</t>
  </si>
  <si>
    <t>C831</t>
  </si>
  <si>
    <t>CL831</t>
  </si>
  <si>
    <t>C832</t>
  </si>
  <si>
    <t>CL832</t>
  </si>
  <si>
    <t>C833</t>
  </si>
  <si>
    <t>CL833</t>
  </si>
  <si>
    <t>C834</t>
  </si>
  <si>
    <t>CL834</t>
  </si>
  <si>
    <t>C835</t>
  </si>
  <si>
    <t>CL835</t>
  </si>
  <si>
    <t>C836</t>
  </si>
  <si>
    <t>CL836</t>
  </si>
  <si>
    <t>C837</t>
  </si>
  <si>
    <t>CL837</t>
  </si>
  <si>
    <t>C838</t>
  </si>
  <si>
    <t>CL838</t>
  </si>
  <si>
    <t>C839</t>
  </si>
  <si>
    <t>CL839</t>
  </si>
  <si>
    <t>C840</t>
  </si>
  <si>
    <t>CL840</t>
  </si>
  <si>
    <t>C841</t>
  </si>
  <si>
    <t>CL841</t>
  </si>
  <si>
    <t>C842</t>
  </si>
  <si>
    <t>CL842</t>
  </si>
  <si>
    <t>C843</t>
  </si>
  <si>
    <t>CL843</t>
  </si>
  <si>
    <t>C844</t>
  </si>
  <si>
    <t>CL844</t>
  </si>
  <si>
    <t>C845</t>
  </si>
  <si>
    <t>CL845</t>
  </si>
  <si>
    <t>C846</t>
  </si>
  <si>
    <t>CL846</t>
  </si>
  <si>
    <t>C847</t>
  </si>
  <si>
    <t>CL847</t>
  </si>
  <si>
    <t>C848</t>
  </si>
  <si>
    <t>CL848</t>
  </si>
  <si>
    <t>C849</t>
  </si>
  <si>
    <t>CL849</t>
  </si>
  <si>
    <t>C850</t>
  </si>
  <si>
    <t>CL850</t>
  </si>
  <si>
    <t>C851</t>
  </si>
  <si>
    <t>CL851</t>
  </si>
  <si>
    <t>C852</t>
  </si>
  <si>
    <t>CL852</t>
  </si>
  <si>
    <t>C853</t>
  </si>
  <si>
    <t>CL853</t>
  </si>
  <si>
    <t>C854</t>
  </si>
  <si>
    <t>CL854</t>
  </si>
  <si>
    <t>C855</t>
  </si>
  <si>
    <t>CL855</t>
  </si>
  <si>
    <t>C856</t>
  </si>
  <si>
    <t>CL856</t>
  </si>
  <si>
    <t>C857</t>
  </si>
  <si>
    <t>CL857</t>
  </si>
  <si>
    <t>C858</t>
  </si>
  <si>
    <t>CL858</t>
  </si>
  <si>
    <t>C859</t>
  </si>
  <si>
    <t>CL859</t>
  </si>
  <si>
    <t>C860</t>
  </si>
  <si>
    <t>CL860</t>
  </si>
  <si>
    <t>C861</t>
  </si>
  <si>
    <t>CL861</t>
  </si>
  <si>
    <t>C862</t>
  </si>
  <si>
    <t>CL862</t>
  </si>
  <si>
    <t>C863</t>
  </si>
  <si>
    <t>CL863</t>
  </si>
  <si>
    <t>C864</t>
  </si>
  <si>
    <t>CL864</t>
  </si>
  <si>
    <t>C865</t>
  </si>
  <si>
    <t>CL865</t>
  </si>
  <si>
    <t>C866</t>
  </si>
  <si>
    <t>CL866</t>
  </si>
  <si>
    <t>C867</t>
  </si>
  <si>
    <t>CL867</t>
  </si>
  <si>
    <t>C868</t>
  </si>
  <si>
    <t>CL868</t>
  </si>
  <si>
    <t>C869</t>
  </si>
  <si>
    <t>CL869</t>
  </si>
  <si>
    <t>C870</t>
  </si>
  <si>
    <t>CL870</t>
  </si>
  <si>
    <t>C871</t>
  </si>
  <si>
    <t>CL871</t>
  </si>
  <si>
    <t>C872</t>
  </si>
  <si>
    <t>CL872</t>
  </si>
  <si>
    <t>C873</t>
  </si>
  <si>
    <t>CL873</t>
  </si>
  <si>
    <t>C874</t>
  </si>
  <si>
    <t>CL874</t>
  </si>
  <si>
    <t>C875</t>
  </si>
  <si>
    <t>CL875</t>
  </si>
  <si>
    <t>C876</t>
  </si>
  <si>
    <t>CL876</t>
  </si>
  <si>
    <t>C877</t>
  </si>
  <si>
    <t>CL877</t>
  </si>
  <si>
    <t>C878</t>
  </si>
  <si>
    <t>CL878</t>
  </si>
  <si>
    <t>C879</t>
  </si>
  <si>
    <t>CL879</t>
  </si>
  <si>
    <t>C880</t>
  </si>
  <si>
    <t>CL880</t>
  </si>
  <si>
    <t>C881</t>
  </si>
  <si>
    <t>CL881</t>
  </si>
  <si>
    <t>C882</t>
  </si>
  <si>
    <t>CL882</t>
  </si>
  <si>
    <t>C883</t>
  </si>
  <si>
    <t>CL883</t>
  </si>
  <si>
    <t>C884</t>
  </si>
  <si>
    <t>CL884</t>
  </si>
  <si>
    <t>C885</t>
  </si>
  <si>
    <t>CL885</t>
  </si>
  <si>
    <t>C886</t>
  </si>
  <si>
    <t>CL886</t>
  </si>
  <si>
    <t>C887</t>
  </si>
  <si>
    <t>CL887</t>
  </si>
  <si>
    <t>C888</t>
  </si>
  <si>
    <t>CL888</t>
  </si>
  <si>
    <t>C889</t>
  </si>
  <si>
    <t>CL889</t>
  </si>
  <si>
    <t>C890</t>
  </si>
  <si>
    <t>CL890</t>
  </si>
  <si>
    <t>C891</t>
  </si>
  <si>
    <t>CL891</t>
  </si>
  <si>
    <t>C892</t>
  </si>
  <si>
    <t>CL892</t>
  </si>
  <si>
    <t>C893</t>
  </si>
  <si>
    <t>CL893</t>
  </si>
  <si>
    <t>C894</t>
  </si>
  <si>
    <t>CL894</t>
  </si>
  <si>
    <t>C895</t>
  </si>
  <si>
    <t>CL895</t>
  </si>
  <si>
    <t>C896</t>
  </si>
  <si>
    <t>CL896</t>
  </si>
  <si>
    <t>C897</t>
  </si>
  <si>
    <t>CL897</t>
  </si>
  <si>
    <t>C898</t>
  </si>
  <si>
    <t>CL898</t>
  </si>
  <si>
    <t>C899</t>
  </si>
  <si>
    <t>CL899</t>
  </si>
  <si>
    <t>C900</t>
  </si>
  <si>
    <t>CL900</t>
  </si>
  <si>
    <t>C901</t>
  </si>
  <si>
    <t>CL901</t>
  </si>
  <si>
    <t>C902</t>
  </si>
  <si>
    <t>CL902</t>
  </si>
  <si>
    <t>C903</t>
  </si>
  <si>
    <t>CL903</t>
  </si>
  <si>
    <t>C904</t>
  </si>
  <si>
    <t>CL904</t>
  </si>
  <si>
    <t>C905</t>
  </si>
  <si>
    <t>CL905</t>
  </si>
  <si>
    <t>C906</t>
  </si>
  <si>
    <t>CL906</t>
  </si>
  <si>
    <t>C907</t>
  </si>
  <si>
    <t>CL907</t>
  </si>
  <si>
    <t>C908</t>
  </si>
  <si>
    <t>CL908</t>
  </si>
  <si>
    <t>C909</t>
  </si>
  <si>
    <t>CL909</t>
  </si>
  <si>
    <t>C910</t>
  </si>
  <si>
    <t>CL910</t>
  </si>
  <si>
    <t>C911</t>
  </si>
  <si>
    <t>CL911</t>
  </si>
  <si>
    <t>C912</t>
  </si>
  <si>
    <t>CL912</t>
  </si>
  <si>
    <t>C913</t>
  </si>
  <si>
    <t>CL913</t>
  </si>
  <si>
    <t>C914</t>
  </si>
  <si>
    <t>CL914</t>
  </si>
  <si>
    <t>C915</t>
  </si>
  <si>
    <t>CL915</t>
  </si>
  <si>
    <t>C916</t>
  </si>
  <si>
    <t>CL916</t>
  </si>
  <si>
    <t>C917</t>
  </si>
  <si>
    <t>CL917</t>
  </si>
  <si>
    <t>C918</t>
  </si>
  <si>
    <t>CL918</t>
  </si>
  <si>
    <t>C919</t>
  </si>
  <si>
    <t>CL919</t>
  </si>
  <si>
    <t>C920</t>
  </si>
  <si>
    <t>CL920</t>
  </si>
  <si>
    <t>C921</t>
  </si>
  <si>
    <t>CL921</t>
  </si>
  <si>
    <t>C922</t>
  </si>
  <si>
    <t>CL922</t>
  </si>
  <si>
    <t>C923</t>
  </si>
  <si>
    <t>CL923</t>
  </si>
  <si>
    <t>C924</t>
  </si>
  <si>
    <t>CL924</t>
  </si>
  <si>
    <t>C925</t>
  </si>
  <si>
    <t>CL925</t>
  </si>
  <si>
    <t>C926</t>
  </si>
  <si>
    <t>CL926</t>
  </si>
  <si>
    <t>C927</t>
  </si>
  <si>
    <t>CL927</t>
  </si>
  <si>
    <t>C928</t>
  </si>
  <si>
    <t>CL928</t>
  </si>
  <si>
    <t>C929</t>
  </si>
  <si>
    <t>CL929</t>
  </si>
  <si>
    <t>C930</t>
  </si>
  <si>
    <t>CL930</t>
  </si>
  <si>
    <t>C931</t>
  </si>
  <si>
    <t>CL931</t>
  </si>
  <si>
    <t>C932</t>
  </si>
  <si>
    <t>CL932</t>
  </si>
  <si>
    <t>C933</t>
  </si>
  <si>
    <t>CL933</t>
  </si>
  <si>
    <t>C934</t>
  </si>
  <si>
    <t>CL934</t>
  </si>
  <si>
    <t>C935</t>
  </si>
  <si>
    <t>CL935</t>
  </si>
  <si>
    <t>C936</t>
  </si>
  <si>
    <t>CL936</t>
  </si>
  <si>
    <t>C937</t>
  </si>
  <si>
    <t>CL937</t>
  </si>
  <si>
    <t>C938</t>
  </si>
  <si>
    <t>CL938</t>
  </si>
  <si>
    <t>C939</t>
  </si>
  <si>
    <t>CL939</t>
  </si>
  <si>
    <t>C940</t>
  </si>
  <si>
    <t>CL940</t>
  </si>
  <si>
    <t>C941</t>
  </si>
  <si>
    <t>CL941</t>
  </si>
  <si>
    <t>C942</t>
  </si>
  <si>
    <t>CL942</t>
  </si>
  <si>
    <t>C943</t>
  </si>
  <si>
    <t>CL943</t>
  </si>
  <si>
    <t>C944</t>
  </si>
  <si>
    <t>CL944</t>
  </si>
  <si>
    <t>C945</t>
  </si>
  <si>
    <t>CL945</t>
  </si>
  <si>
    <t>C946</t>
  </si>
  <si>
    <t>CL946</t>
  </si>
  <si>
    <t>C947</t>
  </si>
  <si>
    <t>CL947</t>
  </si>
  <si>
    <t>C948</t>
  </si>
  <si>
    <t>CL948</t>
  </si>
  <si>
    <t>C949</t>
  </si>
  <si>
    <t>CL949</t>
  </si>
  <si>
    <t>C950</t>
  </si>
  <si>
    <t>CL950</t>
  </si>
  <si>
    <t>C951</t>
  </si>
  <si>
    <t>CL951</t>
  </si>
  <si>
    <t>C952</t>
  </si>
  <si>
    <t>CL952</t>
  </si>
  <si>
    <t>C953</t>
  </si>
  <si>
    <t>CL953</t>
  </si>
  <si>
    <t>C954</t>
  </si>
  <si>
    <t>CL954</t>
  </si>
  <si>
    <t>C955</t>
  </si>
  <si>
    <t>CL955</t>
  </si>
  <si>
    <t>C956</t>
  </si>
  <si>
    <t>CL956</t>
  </si>
  <si>
    <t>C957</t>
  </si>
  <si>
    <t>CL957</t>
  </si>
  <si>
    <t>C958</t>
  </si>
  <si>
    <t>CL958</t>
  </si>
  <si>
    <t>C959</t>
  </si>
  <si>
    <t>CL959</t>
  </si>
  <si>
    <t>C960</t>
  </si>
  <si>
    <t>CL960</t>
  </si>
  <si>
    <t>C961</t>
  </si>
  <si>
    <t>CL961</t>
  </si>
  <si>
    <t>C962</t>
  </si>
  <si>
    <t>CL962</t>
  </si>
  <si>
    <t>C963</t>
  </si>
  <si>
    <t>CL963</t>
  </si>
  <si>
    <t>C964</t>
  </si>
  <si>
    <t>CL964</t>
  </si>
  <si>
    <t>C965</t>
  </si>
  <si>
    <t>CL965</t>
  </si>
  <si>
    <t>C966</t>
  </si>
  <si>
    <t>CL966</t>
  </si>
  <si>
    <t>C967</t>
  </si>
  <si>
    <t>CL967</t>
  </si>
  <si>
    <t>C968</t>
  </si>
  <si>
    <t>CL968</t>
  </si>
  <si>
    <t>C969</t>
  </si>
  <si>
    <t>CL969</t>
  </si>
  <si>
    <t>C970</t>
  </si>
  <si>
    <t>CL970</t>
  </si>
  <si>
    <t>C971</t>
  </si>
  <si>
    <t>CL971</t>
  </si>
  <si>
    <t>C972</t>
  </si>
  <si>
    <t>CL972</t>
  </si>
  <si>
    <t>C973</t>
  </si>
  <si>
    <t>CL973</t>
  </si>
  <si>
    <t>C974</t>
  </si>
  <si>
    <t>CL974</t>
  </si>
  <si>
    <t>C975</t>
  </si>
  <si>
    <t>CL975</t>
  </si>
  <si>
    <t>C976</t>
  </si>
  <si>
    <t>CL976</t>
  </si>
  <si>
    <t>C977</t>
  </si>
  <si>
    <t>CL977</t>
  </si>
  <si>
    <t>C978</t>
  </si>
  <si>
    <t>CL978</t>
  </si>
  <si>
    <t>C979</t>
  </si>
  <si>
    <t>CL979</t>
  </si>
  <si>
    <t>C980</t>
  </si>
  <si>
    <t>CL980</t>
  </si>
  <si>
    <t>C981</t>
  </si>
  <si>
    <t>CL981</t>
  </si>
  <si>
    <t>C982</t>
  </si>
  <si>
    <t>CL982</t>
  </si>
  <si>
    <t>C983</t>
  </si>
  <si>
    <t>CL983</t>
  </si>
  <si>
    <t>C984</t>
  </si>
  <si>
    <t>CL984</t>
  </si>
  <si>
    <t>C985</t>
  </si>
  <si>
    <t>CL985</t>
  </si>
  <si>
    <t>C986</t>
  </si>
  <si>
    <t>CL986</t>
  </si>
  <si>
    <t>C987</t>
  </si>
  <si>
    <t>CL987</t>
  </si>
  <si>
    <t>C988</t>
  </si>
  <si>
    <t>CL988</t>
  </si>
  <si>
    <t>C989</t>
  </si>
  <si>
    <t>CL989</t>
  </si>
  <si>
    <t>C990</t>
  </si>
  <si>
    <t>CL990</t>
  </si>
  <si>
    <t>C991</t>
  </si>
  <si>
    <t>CL991</t>
  </si>
  <si>
    <t>C992</t>
  </si>
  <si>
    <t>CL992</t>
  </si>
  <si>
    <t>C993</t>
  </si>
  <si>
    <t>CL993</t>
  </si>
  <si>
    <t>C994</t>
  </si>
  <si>
    <t>CL994</t>
  </si>
  <si>
    <t>C995</t>
  </si>
  <si>
    <t>CL995</t>
  </si>
  <si>
    <t>C996</t>
  </si>
  <si>
    <t>CL996</t>
  </si>
  <si>
    <t>C997</t>
  </si>
  <si>
    <t>CL997</t>
  </si>
  <si>
    <t>C998</t>
  </si>
  <si>
    <t>CL998</t>
  </si>
  <si>
    <t>C999</t>
  </si>
  <si>
    <t>CL999</t>
  </si>
  <si>
    <t>C1000</t>
  </si>
  <si>
    <t>CL1000</t>
  </si>
  <si>
    <t>Grand Total</t>
  </si>
  <si>
    <t>Impressions '000</t>
  </si>
  <si>
    <t>ROAS</t>
  </si>
  <si>
    <t>BUDGET UTILISATION</t>
  </si>
  <si>
    <t>Row Labels</t>
  </si>
  <si>
    <t>Average of ROAS</t>
  </si>
  <si>
    <t>Count of Campaign ID</t>
  </si>
  <si>
    <t>Column Labels</t>
  </si>
  <si>
    <t>Conversion Rate</t>
  </si>
  <si>
    <t>Click Through Rate</t>
  </si>
  <si>
    <t>Cost per click</t>
  </si>
  <si>
    <t>Cost per acquisition</t>
  </si>
  <si>
    <t>Duration of Campaign</t>
  </si>
  <si>
    <t>Status of Campaign</t>
  </si>
  <si>
    <t>Completed</t>
  </si>
  <si>
    <t>Ongoing</t>
  </si>
  <si>
    <t>Sum of Budget</t>
  </si>
  <si>
    <t>Average of Click Through Rate</t>
  </si>
  <si>
    <t>Average of Conversion Rate</t>
  </si>
  <si>
    <t>Average of Cost per click</t>
  </si>
  <si>
    <t>Average of Cost per acquisition</t>
  </si>
  <si>
    <t>Average of BUDGET UTILISATION</t>
  </si>
  <si>
    <t>Sum of Revenue</t>
  </si>
  <si>
    <t>Rating Classification</t>
  </si>
  <si>
    <t>High</t>
  </si>
  <si>
    <t>Low</t>
  </si>
  <si>
    <t>Sum of Revenue2</t>
  </si>
  <si>
    <t>Insight to extract:</t>
  </si>
  <si>
    <t>High ROAS sectors = “double down” areas</t>
  </si>
  <si>
    <t>Low ROAS sectors = “optimise or reduce spend”</t>
  </si>
  <si>
    <t>Insight:</t>
  </si>
  <si>
    <t>“High satisfaction = higher ROAS” (usually true)</t>
  </si>
  <si>
    <t>“Low satisfaction segments consistently underperform”</t>
  </si>
  <si>
    <t>High CPA = “expensive segment / optimisation needed”</t>
  </si>
  <si>
    <t>Low CPA = “efficient sector worth scaling”</t>
  </si>
  <si>
    <t>High CVR = “strong execution &amp; targeting”</t>
  </si>
  <si>
    <t>Low CVR = “campaign inefficiency or wrong audience”</t>
  </si>
  <si>
    <t>High CTR + high CVR = “ideal audience”</t>
  </si>
  <si>
    <t>High CTR + low CVR = “engaged but not converting”</t>
  </si>
  <si>
    <t>Low CTR + high CVR = “good quality small audience”</t>
  </si>
  <si>
    <t>Over-utilised = unreliable budget planning</t>
  </si>
  <si>
    <t>Under-utilised = pacing problems</t>
  </si>
  <si>
    <t>Sum of Ad Spend</t>
  </si>
  <si>
    <t>2023</t>
  </si>
  <si>
    <t>2024</t>
  </si>
  <si>
    <t>Qtr1</t>
  </si>
  <si>
    <t>Qtr2</t>
  </si>
  <si>
    <t>Qtr3</t>
  </si>
  <si>
    <t>Qtr4</t>
  </si>
  <si>
    <t>Jan</t>
  </si>
  <si>
    <t>Feb</t>
  </si>
  <si>
    <t>Mar</t>
  </si>
  <si>
    <t>Apr</t>
  </si>
  <si>
    <t>May</t>
  </si>
  <si>
    <t>Jun</t>
  </si>
  <si>
    <t>Jul</t>
  </si>
  <si>
    <t>Aug</t>
  </si>
  <si>
    <t>Sep</t>
  </si>
  <si>
    <t>Oct</t>
  </si>
  <si>
    <t>Nov</t>
  </si>
  <si>
    <t>Dec</t>
  </si>
  <si>
    <t>K$</t>
  </si>
  <si>
    <t>Average of average</t>
  </si>
  <si>
    <t xml:space="preserve">Budget Utilization </t>
  </si>
  <si>
    <t>Avg of Budget Utilization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</si>
</sst>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quot;$&quot;#,##0.00"/>
    <numFmt numFmtId="166" formatCode="yyyy\-mm\-dd\ h:mm:ss"/>
    <numFmt numFmtId="167" formatCode="0.0,"/>
  </numFmts>
  <fonts count="8" x14ac:knownFonts="1">
    <font>
      <sz val="10"/>
      <color rgb="FF000000"/>
      <name val="Arial"/>
      <scheme val="minor"/>
    </font>
    <font>
      <b/>
      <sz val="8"/>
      <color theme="1"/>
      <name val="Arial"/>
      <family val="2"/>
      <scheme val="minor"/>
    </font>
    <font>
      <sz val="8"/>
      <color theme="1"/>
      <name val="Arial"/>
      <family val="2"/>
      <scheme val="minor"/>
    </font>
    <font>
      <b/>
      <sz val="8"/>
      <color theme="1"/>
      <name val="Arial"/>
      <family val="2"/>
      <scheme val="minor"/>
    </font>
    <font>
      <sz val="8"/>
      <color theme="1"/>
      <name val="Arial"/>
      <family val="2"/>
      <scheme val="minor"/>
    </font>
    <font>
      <sz val="10"/>
      <color rgb="FF000000"/>
      <name val="Arial"/>
      <family val="2"/>
      <scheme val="minor"/>
    </font>
    <font>
      <b/>
      <sz val="13.5"/>
      <color rgb="FF000000"/>
      <name val="Arial"/>
      <family val="2"/>
      <scheme val="minor"/>
    </font>
    <font>
      <b/>
      <sz val="10"/>
      <color theme="1"/>
      <name val="Arial"/>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3" tint="0.49998474074526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48">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1" fillId="2" borderId="0" xfId="0" applyNumberFormat="1" applyFont="1" applyFill="1" applyAlignment="1">
      <alignment horizontal="center" vertical="center"/>
    </xf>
    <xf numFmtId="164" fontId="2" fillId="2" borderId="0" xfId="0" applyNumberFormat="1" applyFont="1" applyFill="1" applyAlignment="1">
      <alignment horizontal="center" vertical="center"/>
    </xf>
    <xf numFmtId="0" fontId="0" fillId="2" borderId="0" xfId="0" applyFill="1"/>
    <xf numFmtId="3" fontId="1" fillId="2" borderId="0" xfId="0" applyNumberFormat="1" applyFont="1" applyFill="1" applyAlignment="1">
      <alignment horizontal="center" vertical="center"/>
    </xf>
    <xf numFmtId="3" fontId="2"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5" fontId="2" fillId="2" borderId="0" xfId="0" applyNumberFormat="1" applyFont="1" applyFill="1" applyAlignment="1">
      <alignment horizontal="center" vertical="center"/>
    </xf>
    <xf numFmtId="10" fontId="3" fillId="3" borderId="0" xfId="0" applyNumberFormat="1" applyFont="1" applyFill="1" applyAlignment="1">
      <alignment horizontal="center" vertical="center"/>
    </xf>
    <xf numFmtId="165" fontId="3" fillId="3" borderId="0" xfId="0" applyNumberFormat="1" applyFont="1" applyFill="1" applyAlignment="1">
      <alignment horizontal="center" vertical="center"/>
    </xf>
    <xf numFmtId="10" fontId="2" fillId="3" borderId="0" xfId="0" applyNumberFormat="1" applyFont="1" applyFill="1" applyAlignment="1">
      <alignment horizontal="center" vertical="center"/>
    </xf>
    <xf numFmtId="165" fontId="2" fillId="3" borderId="0" xfId="0" applyNumberFormat="1" applyFont="1" applyFill="1" applyAlignment="1">
      <alignment horizontal="center" vertical="center"/>
    </xf>
    <xf numFmtId="10" fontId="0" fillId="3" borderId="0" xfId="0" applyNumberFormat="1" applyFill="1"/>
    <xf numFmtId="0" fontId="0" fillId="3" borderId="0" xfId="0" applyFill="1"/>
    <xf numFmtId="0" fontId="1" fillId="4" borderId="0" xfId="0" applyFont="1" applyFill="1" applyAlignment="1">
      <alignment horizontal="center" vertical="center"/>
    </xf>
    <xf numFmtId="0" fontId="2" fillId="4" borderId="0" xfId="0" applyFont="1" applyFill="1" applyAlignment="1">
      <alignment horizontal="center" vertical="center"/>
    </xf>
    <xf numFmtId="0" fontId="0" fillId="4" borderId="0" xfId="0" applyFill="1"/>
    <xf numFmtId="166" fontId="2" fillId="4" borderId="0" xfId="0" applyNumberFormat="1" applyFont="1" applyFill="1" applyAlignment="1">
      <alignment horizontal="center" vertical="center"/>
    </xf>
    <xf numFmtId="166" fontId="4" fillId="4" borderId="0" xfId="0" applyNumberFormat="1" applyFont="1" applyFill="1" applyAlignment="1">
      <alignment horizontal="center" vertical="center"/>
    </xf>
    <xf numFmtId="2" fontId="2" fillId="4" borderId="0" xfId="0" applyNumberFormat="1" applyFont="1" applyFill="1" applyAlignment="1">
      <alignment horizontal="center" vertical="center"/>
    </xf>
    <xf numFmtId="2" fontId="0" fillId="4" borderId="0" xfId="0" applyNumberFormat="1" applyFill="1"/>
    <xf numFmtId="2" fontId="3" fillId="4" borderId="0" xfId="0" applyNumberFormat="1" applyFont="1" applyFill="1" applyAlignment="1">
      <alignment horizontal="center" vertical="center"/>
    </xf>
    <xf numFmtId="0" fontId="3" fillId="4" borderId="0" xfId="0" applyFont="1" applyFill="1" applyAlignment="1">
      <alignment horizontal="center" vertical="center"/>
    </xf>
    <xf numFmtId="0" fontId="0" fillId="0" borderId="0" xfId="0" applyAlignment="1">
      <alignment horizontal="left" indent="1"/>
    </xf>
    <xf numFmtId="164" fontId="0" fillId="0" borderId="0" xfId="0" applyNumberFormat="1"/>
    <xf numFmtId="0" fontId="4" fillId="0" borderId="0" xfId="0" applyFont="1" applyAlignment="1">
      <alignment horizontal="center" vertical="center"/>
    </xf>
    <xf numFmtId="2" fontId="4" fillId="4" borderId="0" xfId="0" applyNumberFormat="1" applyFont="1" applyFill="1" applyAlignment="1">
      <alignment horizontal="center" vertical="center"/>
    </xf>
    <xf numFmtId="164" fontId="4" fillId="2" borderId="0" xfId="0" applyNumberFormat="1" applyFont="1" applyFill="1" applyAlignment="1">
      <alignment horizontal="center" vertical="center"/>
    </xf>
    <xf numFmtId="0" fontId="4" fillId="4" borderId="0" xfId="0" applyFont="1" applyFill="1" applyAlignment="1">
      <alignment horizontal="center" vertical="center"/>
    </xf>
    <xf numFmtId="3" fontId="4" fillId="2" borderId="0" xfId="0" applyNumberFormat="1" applyFont="1" applyFill="1" applyAlignment="1">
      <alignment horizontal="center" vertical="center"/>
    </xf>
    <xf numFmtId="165" fontId="4" fillId="2" borderId="0" xfId="0" applyNumberFormat="1" applyFont="1" applyFill="1" applyAlignment="1">
      <alignment horizontal="center" vertical="center"/>
    </xf>
    <xf numFmtId="10" fontId="4" fillId="3" borderId="0" xfId="0" applyNumberFormat="1" applyFont="1" applyFill="1" applyAlignment="1">
      <alignment horizontal="center" vertical="center"/>
    </xf>
    <xf numFmtId="165" fontId="4" fillId="3" borderId="0" xfId="0" applyNumberFormat="1" applyFont="1" applyFill="1" applyAlignment="1">
      <alignment horizontal="center" vertical="center"/>
    </xf>
    <xf numFmtId="0" fontId="5" fillId="0" borderId="0" xfId="0" applyFont="1"/>
    <xf numFmtId="0" fontId="6" fillId="0" borderId="0" xfId="0" applyFont="1"/>
    <xf numFmtId="1" fontId="0" fillId="0" borderId="0" xfId="0" applyNumberFormat="1"/>
    <xf numFmtId="0" fontId="0" fillId="0" borderId="0" xfId="0" applyAlignment="1">
      <alignment horizontal="left" indent="2"/>
    </xf>
    <xf numFmtId="167" fontId="0" fillId="0" borderId="0" xfId="0" applyNumberFormat="1"/>
    <xf numFmtId="9" fontId="0" fillId="0" borderId="0" xfId="0" applyNumberFormat="1"/>
    <xf numFmtId="10" fontId="7" fillId="5" borderId="1" xfId="0" applyNumberFormat="1" applyFont="1" applyFill="1" applyBorder="1"/>
    <xf numFmtId="0" fontId="0" fillId="6" borderId="0" xfId="0" applyFill="1"/>
    <xf numFmtId="0" fontId="0" fillId="0" borderId="0" xfId="0" applyNumberFormat="1"/>
  </cellXfs>
  <cellStyles count="1">
    <cellStyle name="Normal" xfId="0" builtinId="0"/>
  </cellStyles>
  <dxfs count="50">
    <dxf>
      <numFmt numFmtId="165" formatCode="&quot;$&quot;#,##0.00"/>
    </dxf>
    <dxf>
      <numFmt numFmtId="165" formatCode="&quot;$&quot;#,##0.00"/>
    </dxf>
    <dxf>
      <numFmt numFmtId="0" formatCode="General"/>
    </dxf>
    <dxf>
      <font>
        <b val="0"/>
        <i val="0"/>
        <strike val="0"/>
        <condense val="0"/>
        <extend val="0"/>
        <outline val="0"/>
        <shadow val="0"/>
        <u val="none"/>
        <vertAlign val="baseline"/>
        <sz val="8"/>
        <color theme="1"/>
        <name val="Arial"/>
        <family val="2"/>
        <scheme val="minor"/>
      </font>
      <numFmt numFmtId="3" formatCode="#,##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3" formatCode="#,##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64" formatCode="&quot;$&quot;#,##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64" formatCode="&quot;$&quot;#,##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4" formatCode="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4" formatCode="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4" formatCode="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4" formatCode="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65" formatCode="&quot;$&quot;#,##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65" formatCode="&quot;$&quot;#,##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65" formatCode="&quot;$&quot;#,##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65" formatCode="&quot;$&quot;#,##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4" formatCode="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4" formatCode="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4" formatCode="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4" formatCode="0.0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65" formatCode="&quot;$&quot;#,##0.0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65" formatCode="&quot;$&quot;#,##0.0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3" formatCode="#,##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3" formatCode="#,##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3" formatCode="#,##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3" formatCode="#,##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3" formatCode="#,##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3" formatCode="#,##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64" formatCode="&quot;$&quot;#,##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64" formatCode="&quot;$&quot;#,##0"/>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2" formatCode="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2" formatCode="0.00"/>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66" formatCode="yyyy\-mm\-dd\ h:mm:ss"/>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66" formatCode="yyyy\-mm\-dd\ h:mm:ss"/>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66" formatCode="yyyy\-mm\-dd\ h:mm:ss"/>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66" formatCode="yyyy\-mm\-dd\ h:mm:ss"/>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numFmt numFmtId="166" formatCode="yyyy\-mm\-dd\ h:mm:ss"/>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numFmt numFmtId="166" formatCode="yyyy\-mm\-dd\ h:mm:ss"/>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minor"/>
      </font>
      <alignment horizontal="center" vertical="center" textRotation="0" wrapText="0" indent="0" justifyLastLine="0" shrinkToFit="0" readingOrder="0"/>
    </dxf>
    <dxf>
      <numFmt numFmtId="13" formatCode="0%"/>
    </dxf>
    <dxf>
      <numFmt numFmtId="167" formatCode="0.0,"/>
    </dxf>
    <dxf>
      <numFmt numFmtId="1" formatCode="0"/>
    </dxf>
  </dxfs>
  <tableStyles count="0" defaultTableStyle="TableStyleMedium2" defaultPivotStyle="PivotStyleLight16"/>
  <colors>
    <mruColors>
      <color rgb="FFD9A3F8"/>
      <color rgb="FF7500BA"/>
      <color rgb="FFDB86FF"/>
      <color rgb="FFC65EFF"/>
      <color rgb="FF980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Insight.xlsx]Status of Campaign - Sector!PivotTable6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of Campaign - Sector'!$B$1:$B$3</c:f>
              <c:strCache>
                <c:ptCount val="1"/>
                <c:pt idx="0">
                  <c:v>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of Campaign - Sector'!$A$4:$A$9</c:f>
              <c:strCache>
                <c:ptCount val="5"/>
                <c:pt idx="0">
                  <c:v>Education</c:v>
                </c:pt>
                <c:pt idx="1">
                  <c:v>Fashion</c:v>
                </c:pt>
                <c:pt idx="2">
                  <c:v>Food</c:v>
                </c:pt>
                <c:pt idx="3">
                  <c:v>Health</c:v>
                </c:pt>
                <c:pt idx="4">
                  <c:v>Technology</c:v>
                </c:pt>
              </c:strCache>
            </c:strRef>
          </c:cat>
          <c:val>
            <c:numRef>
              <c:f>'Status of Campaign - Sector'!$B$4:$B$9</c:f>
              <c:numCache>
                <c:formatCode>General</c:formatCode>
                <c:ptCount val="5"/>
                <c:pt idx="0">
                  <c:v>94</c:v>
                </c:pt>
                <c:pt idx="1">
                  <c:v>98</c:v>
                </c:pt>
                <c:pt idx="2">
                  <c:v>112</c:v>
                </c:pt>
                <c:pt idx="3">
                  <c:v>100</c:v>
                </c:pt>
                <c:pt idx="4">
                  <c:v>88</c:v>
                </c:pt>
              </c:numCache>
            </c:numRef>
          </c:val>
          <c:extLst>
            <c:ext xmlns:c16="http://schemas.microsoft.com/office/drawing/2014/chart" uri="{C3380CC4-5D6E-409C-BE32-E72D297353CC}">
              <c16:uniqueId val="{00000000-11B2-7646-8AE6-74608FCA34C3}"/>
            </c:ext>
          </c:extLst>
        </c:ser>
        <c:ser>
          <c:idx val="1"/>
          <c:order val="1"/>
          <c:tx>
            <c:strRef>
              <c:f>'Status of Campaign - Sector'!$C$1:$C$3</c:f>
              <c:strCache>
                <c:ptCount val="1"/>
                <c:pt idx="0">
                  <c:v>Ongoing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of Campaign - Sector'!$A$4:$A$9</c:f>
              <c:strCache>
                <c:ptCount val="5"/>
                <c:pt idx="0">
                  <c:v>Education</c:v>
                </c:pt>
                <c:pt idx="1">
                  <c:v>Fashion</c:v>
                </c:pt>
                <c:pt idx="2">
                  <c:v>Food</c:v>
                </c:pt>
                <c:pt idx="3">
                  <c:v>Health</c:v>
                </c:pt>
                <c:pt idx="4">
                  <c:v>Technology</c:v>
                </c:pt>
              </c:strCache>
            </c:strRef>
          </c:cat>
          <c:val>
            <c:numRef>
              <c:f>'Status of Campaign - Sector'!$C$4:$C$9</c:f>
              <c:numCache>
                <c:formatCode>General</c:formatCode>
                <c:ptCount val="5"/>
                <c:pt idx="0">
                  <c:v>99</c:v>
                </c:pt>
                <c:pt idx="1">
                  <c:v>88</c:v>
                </c:pt>
                <c:pt idx="2">
                  <c:v>99</c:v>
                </c:pt>
                <c:pt idx="3">
                  <c:v>102</c:v>
                </c:pt>
                <c:pt idx="4">
                  <c:v>120</c:v>
                </c:pt>
              </c:numCache>
            </c:numRef>
          </c:val>
          <c:extLst>
            <c:ext xmlns:c16="http://schemas.microsoft.com/office/drawing/2014/chart" uri="{C3380CC4-5D6E-409C-BE32-E72D297353CC}">
              <c16:uniqueId val="{00000001-11B2-7646-8AE6-74608FCA34C3}"/>
            </c:ext>
          </c:extLst>
        </c:ser>
        <c:dLbls>
          <c:dLblPos val="outEnd"/>
          <c:showLegendKey val="0"/>
          <c:showVal val="1"/>
          <c:showCatName val="0"/>
          <c:showSerName val="0"/>
          <c:showPercent val="0"/>
          <c:showBubbleSize val="0"/>
        </c:dLbls>
        <c:gapWidth val="219"/>
        <c:overlap val="-27"/>
        <c:axId val="590918336"/>
        <c:axId val="972161472"/>
      </c:barChart>
      <c:catAx>
        <c:axId val="59091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61472"/>
        <c:crosses val="autoZero"/>
        <c:auto val="1"/>
        <c:lblAlgn val="ctr"/>
        <c:lblOffset val="100"/>
        <c:noMultiLvlLbl val="0"/>
      </c:catAx>
      <c:valAx>
        <c:axId val="97216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18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ON AD SPEND by Sector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'1'!$B$1</c:f>
              <c:strCache>
                <c:ptCount val="1"/>
                <c:pt idx="0">
                  <c:v>Total</c:v>
                </c:pt>
              </c:strCache>
            </c:strRef>
          </c:tx>
          <c:spPr>
            <a:solidFill>
              <a:schemeClr val="accent1"/>
            </a:solidFill>
            <a:ln>
              <a:noFill/>
            </a:ln>
            <a:effectLst/>
          </c:spPr>
          <c:invertIfNegative val="0"/>
          <c:cat>
            <c:strRef>
              <c:f>'1'!$A$2:$A$7</c:f>
              <c:strCache>
                <c:ptCount val="5"/>
                <c:pt idx="0">
                  <c:v>Education</c:v>
                </c:pt>
                <c:pt idx="1">
                  <c:v>Fashion</c:v>
                </c:pt>
                <c:pt idx="2">
                  <c:v>Food</c:v>
                </c:pt>
                <c:pt idx="3">
                  <c:v>Health</c:v>
                </c:pt>
                <c:pt idx="4">
                  <c:v>Technology</c:v>
                </c:pt>
              </c:strCache>
            </c:strRef>
          </c:cat>
          <c:val>
            <c:numRef>
              <c:f>'1'!$B$2:$B$7</c:f>
              <c:numCache>
                <c:formatCode>0.00%</c:formatCode>
                <c:ptCount val="5"/>
                <c:pt idx="0">
                  <c:v>1.6533080185286957</c:v>
                </c:pt>
                <c:pt idx="1">
                  <c:v>1.191519491707419</c:v>
                </c:pt>
                <c:pt idx="2">
                  <c:v>1.3367473249677047</c:v>
                </c:pt>
                <c:pt idx="3">
                  <c:v>1.7024788504974131</c:v>
                </c:pt>
                <c:pt idx="4">
                  <c:v>1.449518289025731</c:v>
                </c:pt>
              </c:numCache>
            </c:numRef>
          </c:val>
          <c:extLst>
            <c:ext xmlns:c16="http://schemas.microsoft.com/office/drawing/2014/chart" uri="{C3380CC4-5D6E-409C-BE32-E72D297353CC}">
              <c16:uniqueId val="{00000000-2745-C844-A277-FB7EBEA67F7C}"/>
            </c:ext>
          </c:extLst>
        </c:ser>
        <c:dLbls>
          <c:showLegendKey val="0"/>
          <c:showVal val="0"/>
          <c:showCatName val="0"/>
          <c:showSerName val="0"/>
          <c:showPercent val="0"/>
          <c:showBubbleSize val="0"/>
        </c:dLbls>
        <c:gapWidth val="219"/>
        <c:overlap val="-27"/>
        <c:axId val="1339563455"/>
        <c:axId val="753831424"/>
      </c:barChart>
      <c:catAx>
        <c:axId val="133956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31424"/>
        <c:crosses val="autoZero"/>
        <c:auto val="1"/>
        <c:lblAlgn val="ctr"/>
        <c:lblOffset val="100"/>
        <c:noMultiLvlLbl val="0"/>
      </c:catAx>
      <c:valAx>
        <c:axId val="753831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56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Conversion rate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'2'!$B$1</c:f>
              <c:strCache>
                <c:ptCount val="1"/>
                <c:pt idx="0">
                  <c:v>Total</c:v>
                </c:pt>
              </c:strCache>
            </c:strRef>
          </c:tx>
          <c:spPr>
            <a:solidFill>
              <a:schemeClr val="accent1"/>
            </a:solidFill>
            <a:ln>
              <a:noFill/>
            </a:ln>
            <a:effectLst/>
          </c:spPr>
          <c:invertIfNegative val="0"/>
          <c:cat>
            <c:strRef>
              <c:f>'2'!$A$2:$A$7</c:f>
              <c:strCache>
                <c:ptCount val="5"/>
                <c:pt idx="0">
                  <c:v>Education</c:v>
                </c:pt>
                <c:pt idx="1">
                  <c:v>Fashion</c:v>
                </c:pt>
                <c:pt idx="2">
                  <c:v>Food</c:v>
                </c:pt>
                <c:pt idx="3">
                  <c:v>Health</c:v>
                </c:pt>
                <c:pt idx="4">
                  <c:v>Technology</c:v>
                </c:pt>
              </c:strCache>
            </c:strRef>
          </c:cat>
          <c:val>
            <c:numRef>
              <c:f>'2'!$B$2:$B$7</c:f>
              <c:numCache>
                <c:formatCode>0.00%</c:formatCode>
                <c:ptCount val="5"/>
                <c:pt idx="0">
                  <c:v>0.39347055445958884</c:v>
                </c:pt>
                <c:pt idx="1">
                  <c:v>0.45663460024116181</c:v>
                </c:pt>
                <c:pt idx="2">
                  <c:v>0.40406187052069464</c:v>
                </c:pt>
                <c:pt idx="3">
                  <c:v>0.41481428881914684</c:v>
                </c:pt>
                <c:pt idx="4">
                  <c:v>0.40473023639208727</c:v>
                </c:pt>
              </c:numCache>
            </c:numRef>
          </c:val>
          <c:extLst>
            <c:ext xmlns:c16="http://schemas.microsoft.com/office/drawing/2014/chart" uri="{C3380CC4-5D6E-409C-BE32-E72D297353CC}">
              <c16:uniqueId val="{00000000-CC5E-A747-A87F-4100CE10DE83}"/>
            </c:ext>
          </c:extLst>
        </c:ser>
        <c:dLbls>
          <c:showLegendKey val="0"/>
          <c:showVal val="0"/>
          <c:showCatName val="0"/>
          <c:showSerName val="0"/>
          <c:showPercent val="0"/>
          <c:showBubbleSize val="0"/>
        </c:dLbls>
        <c:gapWidth val="219"/>
        <c:overlap val="-27"/>
        <c:axId val="590316864"/>
        <c:axId val="590420096"/>
      </c:barChart>
      <c:catAx>
        <c:axId val="5903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0096"/>
        <c:crosses val="autoZero"/>
        <c:auto val="1"/>
        <c:lblAlgn val="ctr"/>
        <c:lblOffset val="100"/>
        <c:noMultiLvlLbl val="0"/>
      </c:catAx>
      <c:valAx>
        <c:axId val="590420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Insight.xlsx]3!PivotTable12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ACQUISITION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'3'!$B$1</c:f>
              <c:strCache>
                <c:ptCount val="1"/>
                <c:pt idx="0">
                  <c:v>Total</c:v>
                </c:pt>
              </c:strCache>
            </c:strRef>
          </c:tx>
          <c:spPr>
            <a:solidFill>
              <a:schemeClr val="accent1"/>
            </a:solidFill>
            <a:ln>
              <a:noFill/>
            </a:ln>
            <a:effectLst/>
          </c:spPr>
          <c:invertIfNegative val="0"/>
          <c:cat>
            <c:strRef>
              <c:f>'3'!$A$2:$A$7</c:f>
              <c:strCache>
                <c:ptCount val="5"/>
                <c:pt idx="0">
                  <c:v>Education</c:v>
                </c:pt>
                <c:pt idx="1">
                  <c:v>Fashion</c:v>
                </c:pt>
                <c:pt idx="2">
                  <c:v>Food</c:v>
                </c:pt>
                <c:pt idx="3">
                  <c:v>Health</c:v>
                </c:pt>
                <c:pt idx="4">
                  <c:v>Technology</c:v>
                </c:pt>
              </c:strCache>
            </c:strRef>
          </c:cat>
          <c:val>
            <c:numRef>
              <c:f>'3'!$B$2:$B$7</c:f>
              <c:numCache>
                <c:formatCode>0</c:formatCode>
                <c:ptCount val="5"/>
                <c:pt idx="0">
                  <c:v>74.553643542927901</c:v>
                </c:pt>
                <c:pt idx="1">
                  <c:v>104.04812684877334</c:v>
                </c:pt>
                <c:pt idx="2">
                  <c:v>86.252481410929548</c:v>
                </c:pt>
                <c:pt idx="3">
                  <c:v>74.053283091032142</c:v>
                </c:pt>
                <c:pt idx="4">
                  <c:v>80.702581511154733</c:v>
                </c:pt>
              </c:numCache>
            </c:numRef>
          </c:val>
          <c:extLst>
            <c:ext xmlns:c16="http://schemas.microsoft.com/office/drawing/2014/chart" uri="{C3380CC4-5D6E-409C-BE32-E72D297353CC}">
              <c16:uniqueId val="{00000000-814B-BA46-94D2-3232F70C86CC}"/>
            </c:ext>
          </c:extLst>
        </c:ser>
        <c:dLbls>
          <c:showLegendKey val="0"/>
          <c:showVal val="0"/>
          <c:showCatName val="0"/>
          <c:showSerName val="0"/>
          <c:showPercent val="0"/>
          <c:showBubbleSize val="0"/>
        </c:dLbls>
        <c:gapWidth val="219"/>
        <c:overlap val="-27"/>
        <c:axId val="1362680831"/>
        <c:axId val="1362679935"/>
      </c:barChart>
      <c:catAx>
        <c:axId val="136268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79935"/>
        <c:crosses val="autoZero"/>
        <c:auto val="1"/>
        <c:lblAlgn val="ctr"/>
        <c:lblOffset val="100"/>
        <c:noMultiLvlLbl val="0"/>
      </c:catAx>
      <c:valAx>
        <c:axId val="1362679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8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Operations Commercial Insight.xlsx]4!PivotTable13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on Ad spend by Satisfaction Level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'4'!$B$3:$B$4</c:f>
              <c:strCache>
                <c:ptCount val="1"/>
                <c:pt idx="0">
                  <c:v>High</c:v>
                </c:pt>
              </c:strCache>
            </c:strRef>
          </c:tx>
          <c:spPr>
            <a:solidFill>
              <a:schemeClr val="accent1">
                <a:shade val="65000"/>
              </a:schemeClr>
            </a:solidFill>
            <a:ln>
              <a:noFill/>
            </a:ln>
            <a:effectLst/>
          </c:spPr>
          <c:invertIfNegative val="0"/>
          <c:cat>
            <c:strRef>
              <c:f>'4'!$A$5:$A$10</c:f>
              <c:strCache>
                <c:ptCount val="5"/>
                <c:pt idx="0">
                  <c:v>Education</c:v>
                </c:pt>
                <c:pt idx="1">
                  <c:v>Fashion</c:v>
                </c:pt>
                <c:pt idx="2">
                  <c:v>Food</c:v>
                </c:pt>
                <c:pt idx="3">
                  <c:v>Health</c:v>
                </c:pt>
                <c:pt idx="4">
                  <c:v>Technology</c:v>
                </c:pt>
              </c:strCache>
            </c:strRef>
          </c:cat>
          <c:val>
            <c:numRef>
              <c:f>'4'!$B$5:$B$10</c:f>
              <c:numCache>
                <c:formatCode>0.00%</c:formatCode>
                <c:ptCount val="5"/>
                <c:pt idx="0">
                  <c:v>1.8938061178438124</c:v>
                </c:pt>
                <c:pt idx="1">
                  <c:v>0.84477246299971842</c:v>
                </c:pt>
                <c:pt idx="2">
                  <c:v>1.2804656204786107</c:v>
                </c:pt>
                <c:pt idx="3">
                  <c:v>1.4478971358867647</c:v>
                </c:pt>
                <c:pt idx="4">
                  <c:v>1.507762496638329</c:v>
                </c:pt>
              </c:numCache>
            </c:numRef>
          </c:val>
          <c:extLst>
            <c:ext xmlns:c16="http://schemas.microsoft.com/office/drawing/2014/chart" uri="{C3380CC4-5D6E-409C-BE32-E72D297353CC}">
              <c16:uniqueId val="{00000002-1413-4D4F-9A69-0A55E0E2651A}"/>
            </c:ext>
          </c:extLst>
        </c:ser>
        <c:ser>
          <c:idx val="1"/>
          <c:order val="1"/>
          <c:tx>
            <c:strRef>
              <c:f>'4'!$C$3:$C$4</c:f>
              <c:strCache>
                <c:ptCount val="1"/>
                <c:pt idx="0">
                  <c:v>Medium</c:v>
                </c:pt>
              </c:strCache>
            </c:strRef>
          </c:tx>
          <c:spPr>
            <a:solidFill>
              <a:schemeClr val="accent1"/>
            </a:solidFill>
            <a:ln>
              <a:noFill/>
            </a:ln>
            <a:effectLst/>
          </c:spPr>
          <c:invertIfNegative val="0"/>
          <c:cat>
            <c:strRef>
              <c:f>'4'!$A$5:$A$10</c:f>
              <c:strCache>
                <c:ptCount val="5"/>
                <c:pt idx="0">
                  <c:v>Education</c:v>
                </c:pt>
                <c:pt idx="1">
                  <c:v>Fashion</c:v>
                </c:pt>
                <c:pt idx="2">
                  <c:v>Food</c:v>
                </c:pt>
                <c:pt idx="3">
                  <c:v>Health</c:v>
                </c:pt>
                <c:pt idx="4">
                  <c:v>Technology</c:v>
                </c:pt>
              </c:strCache>
            </c:strRef>
          </c:cat>
          <c:val>
            <c:numRef>
              <c:f>'4'!$C$5:$C$10</c:f>
              <c:numCache>
                <c:formatCode>0.00%</c:formatCode>
                <c:ptCount val="5"/>
                <c:pt idx="0">
                  <c:v>1.3161758149769036</c:v>
                </c:pt>
                <c:pt idx="1">
                  <c:v>1.3702935461910006</c:v>
                </c:pt>
                <c:pt idx="2">
                  <c:v>1.3389243684079613</c:v>
                </c:pt>
                <c:pt idx="3">
                  <c:v>1.9597093338159115</c:v>
                </c:pt>
                <c:pt idx="4">
                  <c:v>1.2757599495675784</c:v>
                </c:pt>
              </c:numCache>
            </c:numRef>
          </c:val>
          <c:extLst>
            <c:ext xmlns:c16="http://schemas.microsoft.com/office/drawing/2014/chart" uri="{C3380CC4-5D6E-409C-BE32-E72D297353CC}">
              <c16:uniqueId val="{00000000-E777-F747-A66E-58DA097417F4}"/>
            </c:ext>
          </c:extLst>
        </c:ser>
        <c:ser>
          <c:idx val="2"/>
          <c:order val="2"/>
          <c:tx>
            <c:strRef>
              <c:f>'4'!$D$3:$D$4</c:f>
              <c:strCache>
                <c:ptCount val="1"/>
                <c:pt idx="0">
                  <c:v>Low</c:v>
                </c:pt>
              </c:strCache>
            </c:strRef>
          </c:tx>
          <c:spPr>
            <a:solidFill>
              <a:schemeClr val="accent1">
                <a:tint val="65000"/>
              </a:schemeClr>
            </a:solidFill>
            <a:ln>
              <a:noFill/>
            </a:ln>
            <a:effectLst/>
          </c:spPr>
          <c:invertIfNegative val="0"/>
          <c:cat>
            <c:strRef>
              <c:f>'4'!$A$5:$A$10</c:f>
              <c:strCache>
                <c:ptCount val="5"/>
                <c:pt idx="0">
                  <c:v>Education</c:v>
                </c:pt>
                <c:pt idx="1">
                  <c:v>Fashion</c:v>
                </c:pt>
                <c:pt idx="2">
                  <c:v>Food</c:v>
                </c:pt>
                <c:pt idx="3">
                  <c:v>Health</c:v>
                </c:pt>
                <c:pt idx="4">
                  <c:v>Technology</c:v>
                </c:pt>
              </c:strCache>
            </c:strRef>
          </c:cat>
          <c:val>
            <c:numRef>
              <c:f>'4'!$D$5:$D$10</c:f>
              <c:numCache>
                <c:formatCode>0.00%</c:formatCode>
                <c:ptCount val="5"/>
                <c:pt idx="0">
                  <c:v>1.8164596065238274</c:v>
                </c:pt>
                <c:pt idx="1">
                  <c:v>1.4128574253186035</c:v>
                </c:pt>
                <c:pt idx="2">
                  <c:v>1.4227636314742991</c:v>
                </c:pt>
                <c:pt idx="3">
                  <c:v>1.6715244839675631</c:v>
                </c:pt>
                <c:pt idx="4">
                  <c:v>1.7386136178967762</c:v>
                </c:pt>
              </c:numCache>
            </c:numRef>
          </c:val>
          <c:extLst>
            <c:ext xmlns:c16="http://schemas.microsoft.com/office/drawing/2014/chart" uri="{C3380CC4-5D6E-409C-BE32-E72D297353CC}">
              <c16:uniqueId val="{00000001-E777-F747-A66E-58DA097417F4}"/>
            </c:ext>
          </c:extLst>
        </c:ser>
        <c:dLbls>
          <c:showLegendKey val="0"/>
          <c:showVal val="0"/>
          <c:showCatName val="0"/>
          <c:showSerName val="0"/>
          <c:showPercent val="0"/>
          <c:showBubbleSize val="0"/>
        </c:dLbls>
        <c:gapWidth val="219"/>
        <c:overlap val="-27"/>
        <c:axId val="1330032447"/>
        <c:axId val="1330034239"/>
      </c:barChart>
      <c:catAx>
        <c:axId val="13300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34239"/>
        <c:crosses val="autoZero"/>
        <c:auto val="1"/>
        <c:lblAlgn val="ctr"/>
        <c:lblOffset val="100"/>
        <c:noMultiLvlLbl val="0"/>
      </c:catAx>
      <c:valAx>
        <c:axId val="1330034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3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Insight.xlsx]5!PivotTable14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cap="none" spc="0" normalizeH="0" baseline="0" dirty="0">
                <a:solidFill>
                  <a:srgbClr val="000000">
                    <a:lumMod val="50000"/>
                    <a:lumOff val="50000"/>
                  </a:srgbClr>
                </a:solidFill>
              </a:rPr>
              <a:t>Audience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'5'!$B$1</c:f>
              <c:strCache>
                <c:ptCount val="1"/>
                <c:pt idx="0">
                  <c:v>Average of Conversion Rate</c:v>
                </c:pt>
              </c:strCache>
            </c:strRef>
          </c:tx>
          <c:spPr>
            <a:solidFill>
              <a:schemeClr val="accent1"/>
            </a:solidFill>
            <a:ln>
              <a:noFill/>
            </a:ln>
            <a:effectLst/>
          </c:spPr>
          <c:invertIfNegative val="0"/>
          <c:cat>
            <c:strRef>
              <c:f>'5'!$A$2:$A$6</c:f>
              <c:strCache>
                <c:ptCount val="4"/>
                <c:pt idx="0">
                  <c:v>Youths 18-24</c:v>
                </c:pt>
                <c:pt idx="1">
                  <c:v>Adults 25-34</c:v>
                </c:pt>
                <c:pt idx="2">
                  <c:v>Parents 30-40</c:v>
                </c:pt>
                <c:pt idx="3">
                  <c:v>Professionals 35-50</c:v>
                </c:pt>
              </c:strCache>
            </c:strRef>
          </c:cat>
          <c:val>
            <c:numRef>
              <c:f>'5'!$B$2:$B$6</c:f>
              <c:numCache>
                <c:formatCode>0.00%</c:formatCode>
                <c:ptCount val="4"/>
                <c:pt idx="0">
                  <c:v>0.46330104543828149</c:v>
                </c:pt>
                <c:pt idx="1">
                  <c:v>0.39410025569043688</c:v>
                </c:pt>
                <c:pt idx="2">
                  <c:v>0.37845836381197284</c:v>
                </c:pt>
                <c:pt idx="3">
                  <c:v>0.41549982806837943</c:v>
                </c:pt>
              </c:numCache>
            </c:numRef>
          </c:val>
          <c:extLst>
            <c:ext xmlns:c16="http://schemas.microsoft.com/office/drawing/2014/chart" uri="{C3380CC4-5D6E-409C-BE32-E72D297353CC}">
              <c16:uniqueId val="{00000003-D4DC-BE45-AD0C-FBB4EE4BB59E}"/>
            </c:ext>
          </c:extLst>
        </c:ser>
        <c:ser>
          <c:idx val="1"/>
          <c:order val="1"/>
          <c:tx>
            <c:strRef>
              <c:f>'5'!$C$1</c:f>
              <c:strCache>
                <c:ptCount val="1"/>
                <c:pt idx="0">
                  <c:v>Average of Click Through Rate</c:v>
                </c:pt>
              </c:strCache>
            </c:strRef>
          </c:tx>
          <c:spPr>
            <a:solidFill>
              <a:schemeClr val="accent2"/>
            </a:solidFill>
            <a:ln>
              <a:noFill/>
            </a:ln>
            <a:effectLst/>
          </c:spPr>
          <c:invertIfNegative val="0"/>
          <c:cat>
            <c:strRef>
              <c:f>'5'!$A$2:$A$6</c:f>
              <c:strCache>
                <c:ptCount val="4"/>
                <c:pt idx="0">
                  <c:v>Youths 18-24</c:v>
                </c:pt>
                <c:pt idx="1">
                  <c:v>Adults 25-34</c:v>
                </c:pt>
                <c:pt idx="2">
                  <c:v>Parents 30-40</c:v>
                </c:pt>
                <c:pt idx="3">
                  <c:v>Professionals 35-50</c:v>
                </c:pt>
              </c:strCache>
            </c:strRef>
          </c:cat>
          <c:val>
            <c:numRef>
              <c:f>'5'!$C$2:$C$6</c:f>
              <c:numCache>
                <c:formatCode>0.00%</c:formatCode>
                <c:ptCount val="4"/>
                <c:pt idx="0">
                  <c:v>0.14279945039695763</c:v>
                </c:pt>
                <c:pt idx="1">
                  <c:v>0.14801436424808104</c:v>
                </c:pt>
                <c:pt idx="2">
                  <c:v>0.16221460745082894</c:v>
                </c:pt>
                <c:pt idx="3">
                  <c:v>0.15428365734173147</c:v>
                </c:pt>
              </c:numCache>
            </c:numRef>
          </c:val>
          <c:extLst>
            <c:ext xmlns:c16="http://schemas.microsoft.com/office/drawing/2014/chart" uri="{C3380CC4-5D6E-409C-BE32-E72D297353CC}">
              <c16:uniqueId val="{00000005-D4DC-BE45-AD0C-FBB4EE4BB59E}"/>
            </c:ext>
          </c:extLst>
        </c:ser>
        <c:dLbls>
          <c:showLegendKey val="0"/>
          <c:showVal val="0"/>
          <c:showCatName val="0"/>
          <c:showSerName val="0"/>
          <c:showPercent val="0"/>
          <c:showBubbleSize val="0"/>
        </c:dLbls>
        <c:gapWidth val="75"/>
        <c:overlap val="-25"/>
        <c:axId val="1339560767"/>
        <c:axId val="1328790847"/>
      </c:barChart>
      <c:catAx>
        <c:axId val="133956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790847"/>
        <c:crosses val="autoZero"/>
        <c:auto val="1"/>
        <c:lblAlgn val="ctr"/>
        <c:lblOffset val="100"/>
        <c:noMultiLvlLbl val="0"/>
      </c:catAx>
      <c:valAx>
        <c:axId val="1328790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560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Insight.xlsx]6!PivotTable15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 Utilization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'6'!$B$1</c:f>
              <c:strCache>
                <c:ptCount val="1"/>
                <c:pt idx="0">
                  <c:v>Total</c:v>
                </c:pt>
              </c:strCache>
            </c:strRef>
          </c:tx>
          <c:spPr>
            <a:solidFill>
              <a:schemeClr val="accent1"/>
            </a:solidFill>
            <a:ln>
              <a:noFill/>
            </a:ln>
            <a:effectLst/>
          </c:spPr>
          <c:invertIfNegative val="0"/>
          <c:cat>
            <c:strRef>
              <c:f>'6'!$A$2:$A$7</c:f>
              <c:strCache>
                <c:ptCount val="5"/>
                <c:pt idx="0">
                  <c:v>Education</c:v>
                </c:pt>
                <c:pt idx="1">
                  <c:v>Fashion</c:v>
                </c:pt>
                <c:pt idx="2">
                  <c:v>Food</c:v>
                </c:pt>
                <c:pt idx="3">
                  <c:v>Health</c:v>
                </c:pt>
                <c:pt idx="4">
                  <c:v>Technology</c:v>
                </c:pt>
              </c:strCache>
            </c:strRef>
          </c:cat>
          <c:val>
            <c:numRef>
              <c:f>'6'!$B$2:$B$7</c:f>
              <c:numCache>
                <c:formatCode>0.00%</c:formatCode>
                <c:ptCount val="5"/>
                <c:pt idx="0">
                  <c:v>2.5051979567219811</c:v>
                </c:pt>
                <c:pt idx="1">
                  <c:v>2.7089284184779494</c:v>
                </c:pt>
                <c:pt idx="2">
                  <c:v>2.6910410697678717</c:v>
                </c:pt>
                <c:pt idx="3">
                  <c:v>2.725674062221668</c:v>
                </c:pt>
                <c:pt idx="4">
                  <c:v>2.5500534164874598</c:v>
                </c:pt>
              </c:numCache>
            </c:numRef>
          </c:val>
          <c:extLst>
            <c:ext xmlns:c16="http://schemas.microsoft.com/office/drawing/2014/chart" uri="{C3380CC4-5D6E-409C-BE32-E72D297353CC}">
              <c16:uniqueId val="{00000000-801E-DF47-884D-42CD4C34F90B}"/>
            </c:ext>
          </c:extLst>
        </c:ser>
        <c:dLbls>
          <c:showLegendKey val="0"/>
          <c:showVal val="0"/>
          <c:showCatName val="0"/>
          <c:showSerName val="0"/>
          <c:showPercent val="0"/>
          <c:showBubbleSize val="0"/>
        </c:dLbls>
        <c:gapWidth val="219"/>
        <c:overlap val="-27"/>
        <c:axId val="1329105535"/>
        <c:axId val="1329109119"/>
      </c:barChart>
      <c:catAx>
        <c:axId val="132910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09119"/>
        <c:crosses val="autoZero"/>
        <c:auto val="1"/>
        <c:lblAlgn val="ctr"/>
        <c:lblOffset val="100"/>
        <c:noMultiLvlLbl val="0"/>
      </c:catAx>
      <c:valAx>
        <c:axId val="132910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0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Insight.xlsx]dashboard pivot - 1 !PivotTable16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 - 1 '!$B$1</c:f>
              <c:strCache>
                <c:ptCount val="1"/>
                <c:pt idx="0">
                  <c:v>Average of ROAS</c:v>
                </c:pt>
              </c:strCache>
            </c:strRef>
          </c:tx>
          <c:spPr>
            <a:solidFill>
              <a:schemeClr val="accent1"/>
            </a:solidFill>
            <a:ln>
              <a:noFill/>
            </a:ln>
            <a:effectLst/>
          </c:spPr>
          <c:invertIfNegative val="0"/>
          <c:cat>
            <c:strRef>
              <c:f>'dashboard pivot - 1 '!$A$2:$A$7</c:f>
              <c:strCache>
                <c:ptCount val="5"/>
                <c:pt idx="0">
                  <c:v>Education</c:v>
                </c:pt>
                <c:pt idx="1">
                  <c:v>Fashion</c:v>
                </c:pt>
                <c:pt idx="2">
                  <c:v>Food</c:v>
                </c:pt>
                <c:pt idx="3">
                  <c:v>Health</c:v>
                </c:pt>
                <c:pt idx="4">
                  <c:v>Technology</c:v>
                </c:pt>
              </c:strCache>
            </c:strRef>
          </c:cat>
          <c:val>
            <c:numRef>
              <c:f>'dashboard pivot - 1 '!$B$2:$B$7</c:f>
              <c:numCache>
                <c:formatCode>0.00%</c:formatCode>
                <c:ptCount val="5"/>
                <c:pt idx="0">
                  <c:v>1.6533080185286957</c:v>
                </c:pt>
                <c:pt idx="1">
                  <c:v>1.191519491707419</c:v>
                </c:pt>
                <c:pt idx="2">
                  <c:v>1.3367473249677047</c:v>
                </c:pt>
                <c:pt idx="3">
                  <c:v>1.7024788504974131</c:v>
                </c:pt>
                <c:pt idx="4">
                  <c:v>1.449518289025731</c:v>
                </c:pt>
              </c:numCache>
            </c:numRef>
          </c:val>
          <c:extLst>
            <c:ext xmlns:c16="http://schemas.microsoft.com/office/drawing/2014/chart" uri="{C3380CC4-5D6E-409C-BE32-E72D297353CC}">
              <c16:uniqueId val="{00000000-62C1-0A4F-873A-230F27717DF7}"/>
            </c:ext>
          </c:extLst>
        </c:ser>
        <c:ser>
          <c:idx val="1"/>
          <c:order val="1"/>
          <c:tx>
            <c:strRef>
              <c:f>'dashboard pivot - 1 '!$C$1</c:f>
              <c:strCache>
                <c:ptCount val="1"/>
                <c:pt idx="0">
                  <c:v>Average of Cost per acquisition</c:v>
                </c:pt>
              </c:strCache>
            </c:strRef>
          </c:tx>
          <c:spPr>
            <a:solidFill>
              <a:schemeClr val="accent2"/>
            </a:solidFill>
            <a:ln>
              <a:noFill/>
            </a:ln>
            <a:effectLst/>
          </c:spPr>
          <c:invertIfNegative val="0"/>
          <c:cat>
            <c:strRef>
              <c:f>'dashboard pivot - 1 '!$A$2:$A$7</c:f>
              <c:strCache>
                <c:ptCount val="5"/>
                <c:pt idx="0">
                  <c:v>Education</c:v>
                </c:pt>
                <c:pt idx="1">
                  <c:v>Fashion</c:v>
                </c:pt>
                <c:pt idx="2">
                  <c:v>Food</c:v>
                </c:pt>
                <c:pt idx="3">
                  <c:v>Health</c:v>
                </c:pt>
                <c:pt idx="4">
                  <c:v>Technology</c:v>
                </c:pt>
              </c:strCache>
            </c:strRef>
          </c:cat>
          <c:val>
            <c:numRef>
              <c:f>'dashboard pivot - 1 '!$C$2:$C$7</c:f>
              <c:numCache>
                <c:formatCode>"$"#,##0.00</c:formatCode>
                <c:ptCount val="5"/>
                <c:pt idx="0">
                  <c:v>74.553643542927901</c:v>
                </c:pt>
                <c:pt idx="1">
                  <c:v>104.04812684877334</c:v>
                </c:pt>
                <c:pt idx="2">
                  <c:v>86.252481410929548</c:v>
                </c:pt>
                <c:pt idx="3">
                  <c:v>74.053283091032142</c:v>
                </c:pt>
                <c:pt idx="4">
                  <c:v>80.702581511154733</c:v>
                </c:pt>
              </c:numCache>
            </c:numRef>
          </c:val>
          <c:extLst>
            <c:ext xmlns:c16="http://schemas.microsoft.com/office/drawing/2014/chart" uri="{C3380CC4-5D6E-409C-BE32-E72D297353CC}">
              <c16:uniqueId val="{00000002-62C1-0A4F-873A-230F27717DF7}"/>
            </c:ext>
          </c:extLst>
        </c:ser>
        <c:ser>
          <c:idx val="2"/>
          <c:order val="2"/>
          <c:tx>
            <c:strRef>
              <c:f>'dashboard pivot - 1 '!$D$1</c:f>
              <c:strCache>
                <c:ptCount val="1"/>
                <c:pt idx="0">
                  <c:v>Average of Conversion Rate</c:v>
                </c:pt>
              </c:strCache>
            </c:strRef>
          </c:tx>
          <c:spPr>
            <a:solidFill>
              <a:schemeClr val="accent3"/>
            </a:solidFill>
            <a:ln>
              <a:noFill/>
            </a:ln>
            <a:effectLst/>
          </c:spPr>
          <c:invertIfNegative val="0"/>
          <c:cat>
            <c:strRef>
              <c:f>'dashboard pivot - 1 '!$A$2:$A$7</c:f>
              <c:strCache>
                <c:ptCount val="5"/>
                <c:pt idx="0">
                  <c:v>Education</c:v>
                </c:pt>
                <c:pt idx="1">
                  <c:v>Fashion</c:v>
                </c:pt>
                <c:pt idx="2">
                  <c:v>Food</c:v>
                </c:pt>
                <c:pt idx="3">
                  <c:v>Health</c:v>
                </c:pt>
                <c:pt idx="4">
                  <c:v>Technology</c:v>
                </c:pt>
              </c:strCache>
            </c:strRef>
          </c:cat>
          <c:val>
            <c:numRef>
              <c:f>'dashboard pivot - 1 '!$D$2:$D$7</c:f>
              <c:numCache>
                <c:formatCode>0.00%</c:formatCode>
                <c:ptCount val="5"/>
                <c:pt idx="0">
                  <c:v>0.39347055445958884</c:v>
                </c:pt>
                <c:pt idx="1">
                  <c:v>0.45663460024116181</c:v>
                </c:pt>
                <c:pt idx="2">
                  <c:v>0.40406187052069464</c:v>
                </c:pt>
                <c:pt idx="3">
                  <c:v>0.41481428881914684</c:v>
                </c:pt>
                <c:pt idx="4">
                  <c:v>0.40473023639208727</c:v>
                </c:pt>
              </c:numCache>
            </c:numRef>
          </c:val>
          <c:extLst>
            <c:ext xmlns:c16="http://schemas.microsoft.com/office/drawing/2014/chart" uri="{C3380CC4-5D6E-409C-BE32-E72D297353CC}">
              <c16:uniqueId val="{00000003-62C1-0A4F-873A-230F27717DF7}"/>
            </c:ext>
          </c:extLst>
        </c:ser>
        <c:ser>
          <c:idx val="3"/>
          <c:order val="3"/>
          <c:tx>
            <c:strRef>
              <c:f>'dashboard pivot - 1 '!$E$1</c:f>
              <c:strCache>
                <c:ptCount val="1"/>
                <c:pt idx="0">
                  <c:v>Average of Click Through Rate</c:v>
                </c:pt>
              </c:strCache>
            </c:strRef>
          </c:tx>
          <c:spPr>
            <a:solidFill>
              <a:schemeClr val="accent4"/>
            </a:solidFill>
            <a:ln>
              <a:noFill/>
            </a:ln>
            <a:effectLst/>
          </c:spPr>
          <c:invertIfNegative val="0"/>
          <c:cat>
            <c:strRef>
              <c:f>'dashboard pivot - 1 '!$A$2:$A$7</c:f>
              <c:strCache>
                <c:ptCount val="5"/>
                <c:pt idx="0">
                  <c:v>Education</c:v>
                </c:pt>
                <c:pt idx="1">
                  <c:v>Fashion</c:v>
                </c:pt>
                <c:pt idx="2">
                  <c:v>Food</c:v>
                </c:pt>
                <c:pt idx="3">
                  <c:v>Health</c:v>
                </c:pt>
                <c:pt idx="4">
                  <c:v>Technology</c:v>
                </c:pt>
              </c:strCache>
            </c:strRef>
          </c:cat>
          <c:val>
            <c:numRef>
              <c:f>'dashboard pivot - 1 '!$E$2:$E$7</c:f>
              <c:numCache>
                <c:formatCode>0.00%</c:formatCode>
                <c:ptCount val="5"/>
                <c:pt idx="0">
                  <c:v>0.17259480308048977</c:v>
                </c:pt>
                <c:pt idx="1">
                  <c:v>0.14939825781459998</c:v>
                </c:pt>
                <c:pt idx="2">
                  <c:v>0.13062212877326621</c:v>
                </c:pt>
                <c:pt idx="3">
                  <c:v>0.13690541495309425</c:v>
                </c:pt>
                <c:pt idx="4">
                  <c:v>0.17072117554404992</c:v>
                </c:pt>
              </c:numCache>
            </c:numRef>
          </c:val>
          <c:extLst>
            <c:ext xmlns:c16="http://schemas.microsoft.com/office/drawing/2014/chart" uri="{C3380CC4-5D6E-409C-BE32-E72D297353CC}">
              <c16:uniqueId val="{00000004-62C1-0A4F-873A-230F27717DF7}"/>
            </c:ext>
          </c:extLst>
        </c:ser>
        <c:ser>
          <c:idx val="4"/>
          <c:order val="4"/>
          <c:tx>
            <c:strRef>
              <c:f>'dashboard pivot - 1 '!$F$1</c:f>
              <c:strCache>
                <c:ptCount val="1"/>
                <c:pt idx="0">
                  <c:v>Sum of Ad Spend</c:v>
                </c:pt>
              </c:strCache>
            </c:strRef>
          </c:tx>
          <c:spPr>
            <a:solidFill>
              <a:schemeClr val="accent5"/>
            </a:solidFill>
            <a:ln>
              <a:noFill/>
            </a:ln>
            <a:effectLst/>
          </c:spPr>
          <c:invertIfNegative val="0"/>
          <c:cat>
            <c:strRef>
              <c:f>'dashboard pivot - 1 '!$A$2:$A$7</c:f>
              <c:strCache>
                <c:ptCount val="5"/>
                <c:pt idx="0">
                  <c:v>Education</c:v>
                </c:pt>
                <c:pt idx="1">
                  <c:v>Fashion</c:v>
                </c:pt>
                <c:pt idx="2">
                  <c:v>Food</c:v>
                </c:pt>
                <c:pt idx="3">
                  <c:v>Health</c:v>
                </c:pt>
                <c:pt idx="4">
                  <c:v>Technology</c:v>
                </c:pt>
              </c:strCache>
            </c:strRef>
          </c:cat>
          <c:val>
            <c:numRef>
              <c:f>'dashboard pivot - 1 '!$F$2:$F$7</c:f>
              <c:numCache>
                <c:formatCode>"$"#,##0</c:formatCode>
                <c:ptCount val="5"/>
                <c:pt idx="0">
                  <c:v>1879679</c:v>
                </c:pt>
                <c:pt idx="1">
                  <c:v>2018900</c:v>
                </c:pt>
                <c:pt idx="2">
                  <c:v>2216107</c:v>
                </c:pt>
                <c:pt idx="3">
                  <c:v>1997307</c:v>
                </c:pt>
                <c:pt idx="4">
                  <c:v>2062699</c:v>
                </c:pt>
              </c:numCache>
            </c:numRef>
          </c:val>
          <c:extLst>
            <c:ext xmlns:c16="http://schemas.microsoft.com/office/drawing/2014/chart" uri="{C3380CC4-5D6E-409C-BE32-E72D297353CC}">
              <c16:uniqueId val="{00000006-62C1-0A4F-873A-230F27717DF7}"/>
            </c:ext>
          </c:extLst>
        </c:ser>
        <c:ser>
          <c:idx val="5"/>
          <c:order val="5"/>
          <c:tx>
            <c:strRef>
              <c:f>'dashboard pivot - 1 '!$G$1</c:f>
              <c:strCache>
                <c:ptCount val="1"/>
                <c:pt idx="0">
                  <c:v>Sum of Revenue</c:v>
                </c:pt>
              </c:strCache>
            </c:strRef>
          </c:tx>
          <c:spPr>
            <a:solidFill>
              <a:schemeClr val="accent6"/>
            </a:solidFill>
            <a:ln>
              <a:noFill/>
            </a:ln>
            <a:effectLst/>
          </c:spPr>
          <c:invertIfNegative val="0"/>
          <c:cat>
            <c:strRef>
              <c:f>'dashboard pivot - 1 '!$A$2:$A$7</c:f>
              <c:strCache>
                <c:ptCount val="5"/>
                <c:pt idx="0">
                  <c:v>Education</c:v>
                </c:pt>
                <c:pt idx="1">
                  <c:v>Fashion</c:v>
                </c:pt>
                <c:pt idx="2">
                  <c:v>Food</c:v>
                </c:pt>
                <c:pt idx="3">
                  <c:v>Health</c:v>
                </c:pt>
                <c:pt idx="4">
                  <c:v>Technology</c:v>
                </c:pt>
              </c:strCache>
            </c:strRef>
          </c:cat>
          <c:val>
            <c:numRef>
              <c:f>'dashboard pivot - 1 '!$G$2:$G$7</c:f>
              <c:numCache>
                <c:formatCode>"$"#,##0.00</c:formatCode>
                <c:ptCount val="5"/>
                <c:pt idx="0">
                  <c:v>1419462</c:v>
                </c:pt>
                <c:pt idx="1">
                  <c:v>1424637</c:v>
                </c:pt>
                <c:pt idx="2">
                  <c:v>1619963</c:v>
                </c:pt>
                <c:pt idx="3">
                  <c:v>1554848</c:v>
                </c:pt>
                <c:pt idx="4">
                  <c:v>1618381</c:v>
                </c:pt>
              </c:numCache>
            </c:numRef>
          </c:val>
          <c:extLst>
            <c:ext xmlns:c16="http://schemas.microsoft.com/office/drawing/2014/chart" uri="{C3380CC4-5D6E-409C-BE32-E72D297353CC}">
              <c16:uniqueId val="{00000007-62C1-0A4F-873A-230F27717DF7}"/>
            </c:ext>
          </c:extLst>
        </c:ser>
        <c:dLbls>
          <c:showLegendKey val="0"/>
          <c:showVal val="0"/>
          <c:showCatName val="0"/>
          <c:showSerName val="0"/>
          <c:showPercent val="0"/>
          <c:showBubbleSize val="0"/>
        </c:dLbls>
        <c:gapWidth val="219"/>
        <c:overlap val="-27"/>
        <c:axId val="590917888"/>
        <c:axId val="590912512"/>
      </c:barChart>
      <c:catAx>
        <c:axId val="59091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12512"/>
        <c:crosses val="autoZero"/>
        <c:auto val="1"/>
        <c:lblAlgn val="ctr"/>
        <c:lblOffset val="100"/>
        <c:noMultiLvlLbl val="0"/>
      </c:catAx>
      <c:valAx>
        <c:axId val="590912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1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Insight.xlsx]roas vs satisfaction!PivotTable18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'roas vs satisfaction'!$B$1:$B$2</c:f>
              <c:strCache>
                <c:ptCount val="1"/>
                <c:pt idx="0">
                  <c:v>High</c:v>
                </c:pt>
              </c:strCache>
            </c:strRef>
          </c:tx>
          <c:spPr>
            <a:solidFill>
              <a:schemeClr val="accent1"/>
            </a:solidFill>
            <a:ln>
              <a:noFill/>
            </a:ln>
            <a:effectLst/>
          </c:spPr>
          <c:invertIfNegative val="0"/>
          <c:cat>
            <c:strRef>
              <c:f>'roas vs satisfaction'!$A$3:$A$8</c:f>
              <c:strCache>
                <c:ptCount val="5"/>
                <c:pt idx="0">
                  <c:v>Education</c:v>
                </c:pt>
                <c:pt idx="1">
                  <c:v>Fashion</c:v>
                </c:pt>
                <c:pt idx="2">
                  <c:v>Food</c:v>
                </c:pt>
                <c:pt idx="3">
                  <c:v>Health</c:v>
                </c:pt>
                <c:pt idx="4">
                  <c:v>Technology</c:v>
                </c:pt>
              </c:strCache>
            </c:strRef>
          </c:cat>
          <c:val>
            <c:numRef>
              <c:f>'roas vs satisfaction'!$B$3:$B$8</c:f>
              <c:numCache>
                <c:formatCode>0.00%</c:formatCode>
                <c:ptCount val="5"/>
                <c:pt idx="0">
                  <c:v>1.8938061178438124</c:v>
                </c:pt>
                <c:pt idx="1">
                  <c:v>0.84477246299971842</c:v>
                </c:pt>
                <c:pt idx="2">
                  <c:v>1.2804656204786107</c:v>
                </c:pt>
                <c:pt idx="3">
                  <c:v>1.4478971358867647</c:v>
                </c:pt>
                <c:pt idx="4">
                  <c:v>1.507762496638329</c:v>
                </c:pt>
              </c:numCache>
            </c:numRef>
          </c:val>
          <c:extLst>
            <c:ext xmlns:c16="http://schemas.microsoft.com/office/drawing/2014/chart" uri="{C3380CC4-5D6E-409C-BE32-E72D297353CC}">
              <c16:uniqueId val="{00000000-819A-D04E-8B51-7F7F11436AB8}"/>
            </c:ext>
          </c:extLst>
        </c:ser>
        <c:ser>
          <c:idx val="1"/>
          <c:order val="1"/>
          <c:tx>
            <c:strRef>
              <c:f>'roas vs satisfaction'!$C$1:$C$2</c:f>
              <c:strCache>
                <c:ptCount val="1"/>
                <c:pt idx="0">
                  <c:v>Low</c:v>
                </c:pt>
              </c:strCache>
            </c:strRef>
          </c:tx>
          <c:spPr>
            <a:solidFill>
              <a:schemeClr val="accent2"/>
            </a:solidFill>
            <a:ln>
              <a:noFill/>
            </a:ln>
            <a:effectLst/>
          </c:spPr>
          <c:invertIfNegative val="0"/>
          <c:cat>
            <c:strRef>
              <c:f>'roas vs satisfaction'!$A$3:$A$8</c:f>
              <c:strCache>
                <c:ptCount val="5"/>
                <c:pt idx="0">
                  <c:v>Education</c:v>
                </c:pt>
                <c:pt idx="1">
                  <c:v>Fashion</c:v>
                </c:pt>
                <c:pt idx="2">
                  <c:v>Food</c:v>
                </c:pt>
                <c:pt idx="3">
                  <c:v>Health</c:v>
                </c:pt>
                <c:pt idx="4">
                  <c:v>Technology</c:v>
                </c:pt>
              </c:strCache>
            </c:strRef>
          </c:cat>
          <c:val>
            <c:numRef>
              <c:f>'roas vs satisfaction'!$C$3:$C$8</c:f>
              <c:numCache>
                <c:formatCode>0.00%</c:formatCode>
                <c:ptCount val="5"/>
                <c:pt idx="0">
                  <c:v>1.8164596065238274</c:v>
                </c:pt>
                <c:pt idx="1">
                  <c:v>1.4128574253186035</c:v>
                </c:pt>
                <c:pt idx="2">
                  <c:v>1.4227636314742991</c:v>
                </c:pt>
                <c:pt idx="3">
                  <c:v>1.6715244839675631</c:v>
                </c:pt>
                <c:pt idx="4">
                  <c:v>1.7386136178967762</c:v>
                </c:pt>
              </c:numCache>
            </c:numRef>
          </c:val>
          <c:extLst>
            <c:ext xmlns:c16="http://schemas.microsoft.com/office/drawing/2014/chart" uri="{C3380CC4-5D6E-409C-BE32-E72D297353CC}">
              <c16:uniqueId val="{00000000-395E-F047-9BA2-7D32B852779B}"/>
            </c:ext>
          </c:extLst>
        </c:ser>
        <c:ser>
          <c:idx val="2"/>
          <c:order val="2"/>
          <c:tx>
            <c:strRef>
              <c:f>'roas vs satisfaction'!$D$1:$D$2</c:f>
              <c:strCache>
                <c:ptCount val="1"/>
                <c:pt idx="0">
                  <c:v>Medium</c:v>
                </c:pt>
              </c:strCache>
            </c:strRef>
          </c:tx>
          <c:spPr>
            <a:solidFill>
              <a:schemeClr val="accent3"/>
            </a:solidFill>
            <a:ln>
              <a:noFill/>
            </a:ln>
            <a:effectLst/>
          </c:spPr>
          <c:invertIfNegative val="0"/>
          <c:cat>
            <c:strRef>
              <c:f>'roas vs satisfaction'!$A$3:$A$8</c:f>
              <c:strCache>
                <c:ptCount val="5"/>
                <c:pt idx="0">
                  <c:v>Education</c:v>
                </c:pt>
                <c:pt idx="1">
                  <c:v>Fashion</c:v>
                </c:pt>
                <c:pt idx="2">
                  <c:v>Food</c:v>
                </c:pt>
                <c:pt idx="3">
                  <c:v>Health</c:v>
                </c:pt>
                <c:pt idx="4">
                  <c:v>Technology</c:v>
                </c:pt>
              </c:strCache>
            </c:strRef>
          </c:cat>
          <c:val>
            <c:numRef>
              <c:f>'roas vs satisfaction'!$D$3:$D$8</c:f>
              <c:numCache>
                <c:formatCode>0.00%</c:formatCode>
                <c:ptCount val="5"/>
                <c:pt idx="0">
                  <c:v>1.3161758149769036</c:v>
                </c:pt>
                <c:pt idx="1">
                  <c:v>1.3702935461910006</c:v>
                </c:pt>
                <c:pt idx="2">
                  <c:v>1.3389243684079613</c:v>
                </c:pt>
                <c:pt idx="3">
                  <c:v>1.9597093338159115</c:v>
                </c:pt>
                <c:pt idx="4">
                  <c:v>1.2757599495675784</c:v>
                </c:pt>
              </c:numCache>
            </c:numRef>
          </c:val>
          <c:extLst>
            <c:ext xmlns:c16="http://schemas.microsoft.com/office/drawing/2014/chart" uri="{C3380CC4-5D6E-409C-BE32-E72D297353CC}">
              <c16:uniqueId val="{00000001-395E-F047-9BA2-7D32B852779B}"/>
            </c:ext>
          </c:extLst>
        </c:ser>
        <c:dLbls>
          <c:showLegendKey val="0"/>
          <c:showVal val="0"/>
          <c:showCatName val="0"/>
          <c:showSerName val="0"/>
          <c:showPercent val="0"/>
          <c:showBubbleSize val="0"/>
        </c:dLbls>
        <c:gapWidth val="219"/>
        <c:overlap val="-27"/>
        <c:axId val="1315828415"/>
        <c:axId val="1315826623"/>
      </c:barChart>
      <c:catAx>
        <c:axId val="131582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26623"/>
        <c:crosses val="autoZero"/>
        <c:auto val="1"/>
        <c:lblAlgn val="ctr"/>
        <c:lblOffset val="100"/>
        <c:noMultiLvlLbl val="0"/>
      </c:catAx>
      <c:valAx>
        <c:axId val="1315826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2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Insight.xlsx]avg ctr cvr!PivotTable20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ctr cvr'!$B$1</c:f>
              <c:strCache>
                <c:ptCount val="1"/>
                <c:pt idx="0">
                  <c:v>Average of Click Through Rate</c:v>
                </c:pt>
              </c:strCache>
            </c:strRef>
          </c:tx>
          <c:spPr>
            <a:solidFill>
              <a:schemeClr val="accent1"/>
            </a:solidFill>
            <a:ln>
              <a:noFill/>
            </a:ln>
            <a:effectLst/>
          </c:spPr>
          <c:invertIfNegative val="0"/>
          <c:cat>
            <c:strRef>
              <c:f>'avg ctr cvr'!$A$2:$A$6</c:f>
              <c:strCache>
                <c:ptCount val="4"/>
                <c:pt idx="0">
                  <c:v>Adults 25-34</c:v>
                </c:pt>
                <c:pt idx="1">
                  <c:v>Parents 30-40</c:v>
                </c:pt>
                <c:pt idx="2">
                  <c:v>Professionals 35-50</c:v>
                </c:pt>
                <c:pt idx="3">
                  <c:v>Youths 18-24</c:v>
                </c:pt>
              </c:strCache>
            </c:strRef>
          </c:cat>
          <c:val>
            <c:numRef>
              <c:f>'avg ctr cvr'!$B$2:$B$6</c:f>
              <c:numCache>
                <c:formatCode>0.00%</c:formatCode>
                <c:ptCount val="4"/>
                <c:pt idx="0">
                  <c:v>0.14801436424808104</c:v>
                </c:pt>
                <c:pt idx="1">
                  <c:v>0.16221460745082894</c:v>
                </c:pt>
                <c:pt idx="2">
                  <c:v>0.15428365734173147</c:v>
                </c:pt>
                <c:pt idx="3">
                  <c:v>0.14279945039695763</c:v>
                </c:pt>
              </c:numCache>
            </c:numRef>
          </c:val>
          <c:extLst>
            <c:ext xmlns:c16="http://schemas.microsoft.com/office/drawing/2014/chart" uri="{C3380CC4-5D6E-409C-BE32-E72D297353CC}">
              <c16:uniqueId val="{00000000-800E-9344-826A-DF99E95B4ACB}"/>
            </c:ext>
          </c:extLst>
        </c:ser>
        <c:ser>
          <c:idx val="1"/>
          <c:order val="1"/>
          <c:tx>
            <c:strRef>
              <c:f>'avg ctr cvr'!$C$1</c:f>
              <c:strCache>
                <c:ptCount val="1"/>
                <c:pt idx="0">
                  <c:v>Average of Conversion Rate</c:v>
                </c:pt>
              </c:strCache>
            </c:strRef>
          </c:tx>
          <c:spPr>
            <a:solidFill>
              <a:schemeClr val="accent2"/>
            </a:solidFill>
            <a:ln>
              <a:noFill/>
            </a:ln>
            <a:effectLst/>
          </c:spPr>
          <c:invertIfNegative val="0"/>
          <c:cat>
            <c:strRef>
              <c:f>'avg ctr cvr'!$A$2:$A$6</c:f>
              <c:strCache>
                <c:ptCount val="4"/>
                <c:pt idx="0">
                  <c:v>Adults 25-34</c:v>
                </c:pt>
                <c:pt idx="1">
                  <c:v>Parents 30-40</c:v>
                </c:pt>
                <c:pt idx="2">
                  <c:v>Professionals 35-50</c:v>
                </c:pt>
                <c:pt idx="3">
                  <c:v>Youths 18-24</c:v>
                </c:pt>
              </c:strCache>
            </c:strRef>
          </c:cat>
          <c:val>
            <c:numRef>
              <c:f>'avg ctr cvr'!$C$2:$C$6</c:f>
              <c:numCache>
                <c:formatCode>0.00%</c:formatCode>
                <c:ptCount val="4"/>
                <c:pt idx="0">
                  <c:v>0.39410025569043688</c:v>
                </c:pt>
                <c:pt idx="1">
                  <c:v>0.37845836381197284</c:v>
                </c:pt>
                <c:pt idx="2">
                  <c:v>0.41549982806837943</c:v>
                </c:pt>
                <c:pt idx="3">
                  <c:v>0.46330104543828149</c:v>
                </c:pt>
              </c:numCache>
            </c:numRef>
          </c:val>
          <c:extLst>
            <c:ext xmlns:c16="http://schemas.microsoft.com/office/drawing/2014/chart" uri="{C3380CC4-5D6E-409C-BE32-E72D297353CC}">
              <c16:uniqueId val="{00000002-800E-9344-826A-DF99E95B4ACB}"/>
            </c:ext>
          </c:extLst>
        </c:ser>
        <c:dLbls>
          <c:showLegendKey val="0"/>
          <c:showVal val="0"/>
          <c:showCatName val="0"/>
          <c:showSerName val="0"/>
          <c:showPercent val="0"/>
          <c:showBubbleSize val="0"/>
        </c:dLbls>
        <c:gapWidth val="219"/>
        <c:overlap val="-27"/>
        <c:axId val="932075200"/>
        <c:axId val="972162368"/>
      </c:barChart>
      <c:catAx>
        <c:axId val="93207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62368"/>
        <c:crosses val="autoZero"/>
        <c:auto val="1"/>
        <c:lblAlgn val="ctr"/>
        <c:lblOffset val="100"/>
        <c:noMultiLvlLbl val="0"/>
      </c:catAx>
      <c:valAx>
        <c:axId val="972162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07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Insight.xlsx]avg budget utilization!PivotTable22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budget utilization'!$B$1</c:f>
              <c:strCache>
                <c:ptCount val="1"/>
                <c:pt idx="0">
                  <c:v>Total</c:v>
                </c:pt>
              </c:strCache>
            </c:strRef>
          </c:tx>
          <c:spPr>
            <a:solidFill>
              <a:schemeClr val="accent1"/>
            </a:solidFill>
            <a:ln>
              <a:noFill/>
            </a:ln>
            <a:effectLst/>
          </c:spPr>
          <c:invertIfNegative val="0"/>
          <c:cat>
            <c:strRef>
              <c:f>'avg budget utilization'!$A$2:$A$7</c:f>
              <c:strCache>
                <c:ptCount val="5"/>
                <c:pt idx="0">
                  <c:v>Education</c:v>
                </c:pt>
                <c:pt idx="1">
                  <c:v>Fashion</c:v>
                </c:pt>
                <c:pt idx="2">
                  <c:v>Food</c:v>
                </c:pt>
                <c:pt idx="3">
                  <c:v>Health</c:v>
                </c:pt>
                <c:pt idx="4">
                  <c:v>Technology</c:v>
                </c:pt>
              </c:strCache>
            </c:strRef>
          </c:cat>
          <c:val>
            <c:numRef>
              <c:f>'avg budget utilization'!$B$2:$B$7</c:f>
              <c:numCache>
                <c:formatCode>0.00%</c:formatCode>
                <c:ptCount val="5"/>
                <c:pt idx="0">
                  <c:v>2.5051979567219811</c:v>
                </c:pt>
                <c:pt idx="1">
                  <c:v>2.7089284184779494</c:v>
                </c:pt>
                <c:pt idx="2">
                  <c:v>2.6910410697678717</c:v>
                </c:pt>
                <c:pt idx="3">
                  <c:v>2.725674062221668</c:v>
                </c:pt>
                <c:pt idx="4">
                  <c:v>2.5500534164874598</c:v>
                </c:pt>
              </c:numCache>
            </c:numRef>
          </c:val>
          <c:extLst>
            <c:ext xmlns:c16="http://schemas.microsoft.com/office/drawing/2014/chart" uri="{C3380CC4-5D6E-409C-BE32-E72D297353CC}">
              <c16:uniqueId val="{00000000-C0CD-5547-A62C-76FD1768E064}"/>
            </c:ext>
          </c:extLst>
        </c:ser>
        <c:dLbls>
          <c:showLegendKey val="0"/>
          <c:showVal val="0"/>
          <c:showCatName val="0"/>
          <c:showSerName val="0"/>
          <c:showPercent val="0"/>
          <c:showBubbleSize val="0"/>
        </c:dLbls>
        <c:gapWidth val="219"/>
        <c:overlap val="-27"/>
        <c:axId val="1339970815"/>
        <c:axId val="938275520"/>
      </c:barChart>
      <c:catAx>
        <c:axId val="13399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75520"/>
        <c:crosses val="autoZero"/>
        <c:auto val="1"/>
        <c:lblAlgn val="ctr"/>
        <c:lblOffset val="100"/>
        <c:noMultiLvlLbl val="0"/>
      </c:catAx>
      <c:valAx>
        <c:axId val="938275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9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'avg budget utilization'!$G$1</c:f>
              <c:strCache>
                <c:ptCount val="1"/>
                <c:pt idx="0">
                  <c:v>Budget Utilization </c:v>
                </c:pt>
              </c:strCache>
            </c:strRef>
          </c:tx>
          <c:spPr>
            <a:solidFill>
              <a:schemeClr val="accent1"/>
            </a:solidFill>
            <a:ln>
              <a:noFill/>
            </a:ln>
            <a:effectLst/>
          </c:spPr>
          <c:invertIfNegative val="0"/>
          <c:cat>
            <c:strRef>
              <c:f>'avg budget utilization'!$F$2:$F$6</c:f>
              <c:strCache>
                <c:ptCount val="5"/>
                <c:pt idx="0">
                  <c:v>Education</c:v>
                </c:pt>
                <c:pt idx="1">
                  <c:v>Fashion</c:v>
                </c:pt>
                <c:pt idx="2">
                  <c:v>Food</c:v>
                </c:pt>
                <c:pt idx="3">
                  <c:v>Health</c:v>
                </c:pt>
                <c:pt idx="4">
                  <c:v>Technology</c:v>
                </c:pt>
              </c:strCache>
            </c:strRef>
          </c:cat>
          <c:val>
            <c:numRef>
              <c:f>'avg budget utilization'!$G$2:$G$6</c:f>
              <c:numCache>
                <c:formatCode>0.00%</c:formatCode>
                <c:ptCount val="5"/>
                <c:pt idx="0">
                  <c:v>2.5051979567219811</c:v>
                </c:pt>
                <c:pt idx="1">
                  <c:v>2.7089284184779494</c:v>
                </c:pt>
                <c:pt idx="2">
                  <c:v>2.6910410697678717</c:v>
                </c:pt>
                <c:pt idx="3">
                  <c:v>2.725674062221668</c:v>
                </c:pt>
                <c:pt idx="4">
                  <c:v>2.5500534164874598</c:v>
                </c:pt>
              </c:numCache>
            </c:numRef>
          </c:val>
          <c:extLst>
            <c:ext xmlns:c16="http://schemas.microsoft.com/office/drawing/2014/chart" uri="{C3380CC4-5D6E-409C-BE32-E72D297353CC}">
              <c16:uniqueId val="{00000000-3F73-494E-A0CE-5DFBF0E938AC}"/>
            </c:ext>
          </c:extLst>
        </c:ser>
        <c:dLbls>
          <c:showLegendKey val="0"/>
          <c:showVal val="0"/>
          <c:showCatName val="0"/>
          <c:showSerName val="0"/>
          <c:showPercent val="0"/>
          <c:showBubbleSize val="0"/>
        </c:dLbls>
        <c:gapWidth val="150"/>
        <c:axId val="1265853183"/>
        <c:axId val="262414656"/>
      </c:barChart>
      <c:lineChart>
        <c:grouping val="standard"/>
        <c:varyColors val="0"/>
        <c:ser>
          <c:idx val="1"/>
          <c:order val="1"/>
          <c:tx>
            <c:strRef>
              <c:f>'avg budget utilization'!$H$1</c:f>
              <c:strCache>
                <c:ptCount val="1"/>
                <c:pt idx="0">
                  <c:v>Avg of Budget Utilization</c:v>
                </c:pt>
              </c:strCache>
            </c:strRef>
          </c:tx>
          <c:spPr>
            <a:ln w="28575" cap="rnd">
              <a:solidFill>
                <a:schemeClr val="accent2"/>
              </a:solidFill>
              <a:round/>
            </a:ln>
            <a:effectLst/>
          </c:spPr>
          <c:marker>
            <c:symbol val="none"/>
          </c:marker>
          <c:cat>
            <c:strRef>
              <c:f>'avg budget utilization'!$F$2:$F$6</c:f>
              <c:strCache>
                <c:ptCount val="5"/>
                <c:pt idx="0">
                  <c:v>Education</c:v>
                </c:pt>
                <c:pt idx="1">
                  <c:v>Fashion</c:v>
                </c:pt>
                <c:pt idx="2">
                  <c:v>Food</c:v>
                </c:pt>
                <c:pt idx="3">
                  <c:v>Health</c:v>
                </c:pt>
                <c:pt idx="4">
                  <c:v>Technology</c:v>
                </c:pt>
              </c:strCache>
            </c:strRef>
          </c:cat>
          <c:val>
            <c:numRef>
              <c:f>'avg budget utilization'!$H$2:$H$6</c:f>
              <c:numCache>
                <c:formatCode>0.00%</c:formatCode>
                <c:ptCount val="5"/>
                <c:pt idx="0">
                  <c:v>2.636170828403428</c:v>
                </c:pt>
                <c:pt idx="1">
                  <c:v>2.636170828403428</c:v>
                </c:pt>
                <c:pt idx="2">
                  <c:v>2.636170828403428</c:v>
                </c:pt>
                <c:pt idx="3">
                  <c:v>2.636170828403428</c:v>
                </c:pt>
                <c:pt idx="4">
                  <c:v>2.636170828403428</c:v>
                </c:pt>
              </c:numCache>
            </c:numRef>
          </c:val>
          <c:smooth val="0"/>
          <c:extLst>
            <c:ext xmlns:c16="http://schemas.microsoft.com/office/drawing/2014/chart" uri="{C3380CC4-5D6E-409C-BE32-E72D297353CC}">
              <c16:uniqueId val="{00000001-3F73-494E-A0CE-5DFBF0E938AC}"/>
            </c:ext>
          </c:extLst>
        </c:ser>
        <c:dLbls>
          <c:showLegendKey val="0"/>
          <c:showVal val="0"/>
          <c:showCatName val="0"/>
          <c:showSerName val="0"/>
          <c:showPercent val="0"/>
          <c:showBubbleSize val="0"/>
        </c:dLbls>
        <c:marker val="1"/>
        <c:smooth val="0"/>
        <c:axId val="1265853183"/>
        <c:axId val="262414656"/>
      </c:lineChart>
      <c:catAx>
        <c:axId val="126585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14656"/>
        <c:crosses val="autoZero"/>
        <c:auto val="1"/>
        <c:lblAlgn val="ctr"/>
        <c:lblOffset val="100"/>
        <c:noMultiLvlLbl val="0"/>
      </c:catAx>
      <c:valAx>
        <c:axId val="262414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53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Insight.xlsx]Campaign No!PivotTable1</c:name>
    <c:fmtId val="0"/>
  </c:pivotSource>
  <c:chart>
    <c:title>
      <c:tx>
        <c:rich>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r>
              <a:rPr lang="en-US" sz="1100" b="1" u="sng"/>
              <a:t>Period wise Campaign</a:t>
            </a:r>
            <a:r>
              <a:rPr lang="en-US" sz="1100" b="1" u="sng" baseline="0"/>
              <a:t> Numbers</a:t>
            </a:r>
            <a:endParaRPr lang="en-US" sz="1100" b="1" u="sng"/>
          </a:p>
        </c:rich>
      </c:tx>
      <c:overlay val="0"/>
      <c:spPr>
        <a:noFill/>
        <a:ln>
          <a:noFill/>
        </a:ln>
        <a:effectLst/>
      </c:spPr>
      <c:txPr>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No'!$B$1:$B$2</c:f>
              <c:strCache>
                <c:ptCount val="1"/>
                <c:pt idx="0">
                  <c:v>Completed</c:v>
                </c:pt>
              </c:strCache>
            </c:strRef>
          </c:tx>
          <c:spPr>
            <a:solidFill>
              <a:schemeClr val="accent1"/>
            </a:solidFill>
            <a:ln>
              <a:noFill/>
            </a:ln>
            <a:effectLst/>
          </c:spPr>
          <c:invertIfNegative val="0"/>
          <c:cat>
            <c:multiLvlStrRef>
              <c:f>'Campaign No'!$A$3:$A$37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2023</c:v>
                  </c:pt>
                  <c:pt idx="12">
                    <c:v>2024</c:v>
                  </c:pt>
                </c:lvl>
              </c:multiLvlStrCache>
            </c:multiLvlStrRef>
          </c:cat>
          <c:val>
            <c:numRef>
              <c:f>'Campaign No'!$B$3:$B$37</c:f>
              <c:numCache>
                <c:formatCode>General</c:formatCode>
                <c:ptCount val="24"/>
                <c:pt idx="0">
                  <c:v>32</c:v>
                </c:pt>
                <c:pt idx="1">
                  <c:v>42</c:v>
                </c:pt>
                <c:pt idx="2">
                  <c:v>43</c:v>
                </c:pt>
                <c:pt idx="3">
                  <c:v>41</c:v>
                </c:pt>
                <c:pt idx="4">
                  <c:v>40</c:v>
                </c:pt>
                <c:pt idx="5">
                  <c:v>30</c:v>
                </c:pt>
                <c:pt idx="6">
                  <c:v>23</c:v>
                </c:pt>
                <c:pt idx="7">
                  <c:v>30</c:v>
                </c:pt>
                <c:pt idx="8">
                  <c:v>25</c:v>
                </c:pt>
                <c:pt idx="9">
                  <c:v>25</c:v>
                </c:pt>
                <c:pt idx="10">
                  <c:v>16</c:v>
                </c:pt>
                <c:pt idx="11">
                  <c:v>26</c:v>
                </c:pt>
                <c:pt idx="12">
                  <c:v>16</c:v>
                </c:pt>
                <c:pt idx="13">
                  <c:v>16</c:v>
                </c:pt>
                <c:pt idx="14">
                  <c:v>16</c:v>
                </c:pt>
                <c:pt idx="15">
                  <c:v>22</c:v>
                </c:pt>
                <c:pt idx="16">
                  <c:v>12</c:v>
                </c:pt>
                <c:pt idx="17">
                  <c:v>9</c:v>
                </c:pt>
                <c:pt idx="18">
                  <c:v>11</c:v>
                </c:pt>
                <c:pt idx="19">
                  <c:v>7</c:v>
                </c:pt>
                <c:pt idx="20">
                  <c:v>6</c:v>
                </c:pt>
                <c:pt idx="21">
                  <c:v>2</c:v>
                </c:pt>
                <c:pt idx="22">
                  <c:v>2</c:v>
                </c:pt>
              </c:numCache>
            </c:numRef>
          </c:val>
          <c:extLst>
            <c:ext xmlns:c16="http://schemas.microsoft.com/office/drawing/2014/chart" uri="{C3380CC4-5D6E-409C-BE32-E72D297353CC}">
              <c16:uniqueId val="{00000000-1916-482B-B209-C90388C47C9A}"/>
            </c:ext>
          </c:extLst>
        </c:ser>
        <c:ser>
          <c:idx val="1"/>
          <c:order val="1"/>
          <c:tx>
            <c:strRef>
              <c:f>'Campaign No'!$C$1:$C$2</c:f>
              <c:strCache>
                <c:ptCount val="1"/>
                <c:pt idx="0">
                  <c:v>Ongoing</c:v>
                </c:pt>
              </c:strCache>
            </c:strRef>
          </c:tx>
          <c:spPr>
            <a:solidFill>
              <a:schemeClr val="accent2"/>
            </a:solidFill>
            <a:ln>
              <a:noFill/>
            </a:ln>
            <a:effectLst/>
          </c:spPr>
          <c:invertIfNegative val="0"/>
          <c:cat>
            <c:multiLvlStrRef>
              <c:f>'Campaign No'!$A$3:$A$37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2023</c:v>
                  </c:pt>
                  <c:pt idx="12">
                    <c:v>2024</c:v>
                  </c:pt>
                </c:lvl>
              </c:multiLvlStrCache>
            </c:multiLvlStrRef>
          </c:cat>
          <c:val>
            <c:numRef>
              <c:f>'Campaign No'!$C$3:$C$37</c:f>
              <c:numCache>
                <c:formatCode>General</c:formatCode>
                <c:ptCount val="24"/>
                <c:pt idx="2">
                  <c:v>1</c:v>
                </c:pt>
                <c:pt idx="3">
                  <c:v>8</c:v>
                </c:pt>
                <c:pt idx="4">
                  <c:v>5</c:v>
                </c:pt>
                <c:pt idx="5">
                  <c:v>7</c:v>
                </c:pt>
                <c:pt idx="6">
                  <c:v>16</c:v>
                </c:pt>
                <c:pt idx="7">
                  <c:v>20</c:v>
                </c:pt>
                <c:pt idx="8">
                  <c:v>12</c:v>
                </c:pt>
                <c:pt idx="9">
                  <c:v>22</c:v>
                </c:pt>
                <c:pt idx="10">
                  <c:v>18</c:v>
                </c:pt>
                <c:pt idx="11">
                  <c:v>21</c:v>
                </c:pt>
                <c:pt idx="12">
                  <c:v>28</c:v>
                </c:pt>
                <c:pt idx="13">
                  <c:v>21</c:v>
                </c:pt>
                <c:pt idx="14">
                  <c:v>24</c:v>
                </c:pt>
                <c:pt idx="15">
                  <c:v>33</c:v>
                </c:pt>
                <c:pt idx="16">
                  <c:v>27</c:v>
                </c:pt>
                <c:pt idx="17">
                  <c:v>41</c:v>
                </c:pt>
                <c:pt idx="18">
                  <c:v>37</c:v>
                </c:pt>
                <c:pt idx="19">
                  <c:v>30</c:v>
                </c:pt>
                <c:pt idx="20">
                  <c:v>25</c:v>
                </c:pt>
                <c:pt idx="21">
                  <c:v>46</c:v>
                </c:pt>
                <c:pt idx="22">
                  <c:v>32</c:v>
                </c:pt>
                <c:pt idx="23">
                  <c:v>34</c:v>
                </c:pt>
              </c:numCache>
            </c:numRef>
          </c:val>
          <c:extLst>
            <c:ext xmlns:c16="http://schemas.microsoft.com/office/drawing/2014/chart" uri="{C3380CC4-5D6E-409C-BE32-E72D297353CC}">
              <c16:uniqueId val="{00000002-1916-482B-B209-C90388C47C9A}"/>
            </c:ext>
          </c:extLst>
        </c:ser>
        <c:dLbls>
          <c:showLegendKey val="0"/>
          <c:showVal val="0"/>
          <c:showCatName val="0"/>
          <c:showSerName val="0"/>
          <c:showPercent val="0"/>
          <c:showBubbleSize val="0"/>
        </c:dLbls>
        <c:gapWidth val="219"/>
        <c:overlap val="-27"/>
        <c:axId val="1750822175"/>
        <c:axId val="146473599"/>
      </c:barChart>
      <c:catAx>
        <c:axId val="175082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3599"/>
        <c:crosses val="autoZero"/>
        <c:auto val="1"/>
        <c:lblAlgn val="ctr"/>
        <c:lblOffset val="100"/>
        <c:noMultiLvlLbl val="0"/>
      </c:catAx>
      <c:valAx>
        <c:axId val="14647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82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Budget</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Sheet3!$A$2:$A$22</c:f>
              <c:multiLvlStrCache>
                <c:ptCount val="15"/>
                <c:lvl>
                  <c:pt idx="0">
                    <c:v>High</c:v>
                  </c:pt>
                  <c:pt idx="1">
                    <c:v>Low</c:v>
                  </c:pt>
                  <c:pt idx="2">
                    <c:v>Medium</c:v>
                  </c:pt>
                  <c:pt idx="3">
                    <c:v>High</c:v>
                  </c:pt>
                  <c:pt idx="4">
                    <c:v>Low</c:v>
                  </c:pt>
                  <c:pt idx="5">
                    <c:v>Medium</c:v>
                  </c:pt>
                  <c:pt idx="6">
                    <c:v>High</c:v>
                  </c:pt>
                  <c:pt idx="7">
                    <c:v>Low</c:v>
                  </c:pt>
                  <c:pt idx="8">
                    <c:v>Medium</c:v>
                  </c:pt>
                  <c:pt idx="9">
                    <c:v>High</c:v>
                  </c:pt>
                  <c:pt idx="10">
                    <c:v>Low</c:v>
                  </c:pt>
                  <c:pt idx="11">
                    <c:v>Medium</c:v>
                  </c:pt>
                  <c:pt idx="12">
                    <c:v>High</c:v>
                  </c:pt>
                  <c:pt idx="13">
                    <c:v>Low</c:v>
                  </c:pt>
                  <c:pt idx="14">
                    <c:v>Medium</c:v>
                  </c:pt>
                </c:lvl>
                <c:lvl>
                  <c:pt idx="0">
                    <c:v>Education</c:v>
                  </c:pt>
                  <c:pt idx="3">
                    <c:v>Fashion</c:v>
                  </c:pt>
                  <c:pt idx="6">
                    <c:v>Food</c:v>
                  </c:pt>
                  <c:pt idx="9">
                    <c:v>Health</c:v>
                  </c:pt>
                  <c:pt idx="12">
                    <c:v>Technology</c:v>
                  </c:pt>
                </c:lvl>
              </c:multiLvlStrCache>
            </c:multiLvlStrRef>
          </c:cat>
          <c:val>
            <c:numRef>
              <c:f>Sheet3!$B$2:$B$22</c:f>
              <c:numCache>
                <c:formatCode>0.0,</c:formatCode>
                <c:ptCount val="15"/>
                <c:pt idx="0">
                  <c:v>455659</c:v>
                </c:pt>
                <c:pt idx="1">
                  <c:v>236450</c:v>
                </c:pt>
                <c:pt idx="2">
                  <c:v>417397</c:v>
                </c:pt>
                <c:pt idx="3">
                  <c:v>331378</c:v>
                </c:pt>
                <c:pt idx="4">
                  <c:v>284976</c:v>
                </c:pt>
                <c:pt idx="5">
                  <c:v>391421</c:v>
                </c:pt>
                <c:pt idx="6">
                  <c:v>462065</c:v>
                </c:pt>
                <c:pt idx="7">
                  <c:v>277143</c:v>
                </c:pt>
                <c:pt idx="8">
                  <c:v>424591</c:v>
                </c:pt>
                <c:pt idx="9">
                  <c:v>396865</c:v>
                </c:pt>
                <c:pt idx="10">
                  <c:v>223476</c:v>
                </c:pt>
                <c:pt idx="11">
                  <c:v>474915</c:v>
                </c:pt>
                <c:pt idx="12">
                  <c:v>395595</c:v>
                </c:pt>
                <c:pt idx="13">
                  <c:v>249436</c:v>
                </c:pt>
                <c:pt idx="14">
                  <c:v>499020</c:v>
                </c:pt>
              </c:numCache>
            </c:numRef>
          </c:val>
          <c:extLst>
            <c:ext xmlns:c16="http://schemas.microsoft.com/office/drawing/2014/chart" uri="{C3380CC4-5D6E-409C-BE32-E72D297353CC}">
              <c16:uniqueId val="{00000000-BC53-4D93-80B9-9A1E5AE7514F}"/>
            </c:ext>
          </c:extLst>
        </c:ser>
        <c:ser>
          <c:idx val="1"/>
          <c:order val="1"/>
          <c:tx>
            <c:strRef>
              <c:f>Sheet3!$C$1</c:f>
              <c:strCache>
                <c:ptCount val="1"/>
                <c:pt idx="0">
                  <c:v>Sum of Revenue</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Sheet3!$A$2:$A$22</c:f>
              <c:multiLvlStrCache>
                <c:ptCount val="15"/>
                <c:lvl>
                  <c:pt idx="0">
                    <c:v>High</c:v>
                  </c:pt>
                  <c:pt idx="1">
                    <c:v>Low</c:v>
                  </c:pt>
                  <c:pt idx="2">
                    <c:v>Medium</c:v>
                  </c:pt>
                  <c:pt idx="3">
                    <c:v>High</c:v>
                  </c:pt>
                  <c:pt idx="4">
                    <c:v>Low</c:v>
                  </c:pt>
                  <c:pt idx="5">
                    <c:v>Medium</c:v>
                  </c:pt>
                  <c:pt idx="6">
                    <c:v>High</c:v>
                  </c:pt>
                  <c:pt idx="7">
                    <c:v>Low</c:v>
                  </c:pt>
                  <c:pt idx="8">
                    <c:v>Medium</c:v>
                  </c:pt>
                  <c:pt idx="9">
                    <c:v>High</c:v>
                  </c:pt>
                  <c:pt idx="10">
                    <c:v>Low</c:v>
                  </c:pt>
                  <c:pt idx="11">
                    <c:v>Medium</c:v>
                  </c:pt>
                  <c:pt idx="12">
                    <c:v>High</c:v>
                  </c:pt>
                  <c:pt idx="13">
                    <c:v>Low</c:v>
                  </c:pt>
                  <c:pt idx="14">
                    <c:v>Medium</c:v>
                  </c:pt>
                </c:lvl>
                <c:lvl>
                  <c:pt idx="0">
                    <c:v>Education</c:v>
                  </c:pt>
                  <c:pt idx="3">
                    <c:v>Fashion</c:v>
                  </c:pt>
                  <c:pt idx="6">
                    <c:v>Food</c:v>
                  </c:pt>
                  <c:pt idx="9">
                    <c:v>Health</c:v>
                  </c:pt>
                  <c:pt idx="12">
                    <c:v>Technology</c:v>
                  </c:pt>
                </c:lvl>
              </c:multiLvlStrCache>
            </c:multiLvlStrRef>
          </c:cat>
          <c:val>
            <c:numRef>
              <c:f>Sheet3!$C$2:$C$22</c:f>
              <c:numCache>
                <c:formatCode>0.0,</c:formatCode>
                <c:ptCount val="15"/>
                <c:pt idx="0">
                  <c:v>575325</c:v>
                </c:pt>
                <c:pt idx="1">
                  <c:v>266898</c:v>
                </c:pt>
                <c:pt idx="2">
                  <c:v>577239</c:v>
                </c:pt>
                <c:pt idx="3">
                  <c:v>464889</c:v>
                </c:pt>
                <c:pt idx="4">
                  <c:v>393431</c:v>
                </c:pt>
                <c:pt idx="5">
                  <c:v>566317</c:v>
                </c:pt>
                <c:pt idx="6">
                  <c:v>620654</c:v>
                </c:pt>
                <c:pt idx="7">
                  <c:v>405706</c:v>
                </c:pt>
                <c:pt idx="8">
                  <c:v>593603</c:v>
                </c:pt>
                <c:pt idx="9">
                  <c:v>605601</c:v>
                </c:pt>
                <c:pt idx="10">
                  <c:v>307805</c:v>
                </c:pt>
                <c:pt idx="11">
                  <c:v>641442</c:v>
                </c:pt>
                <c:pt idx="12">
                  <c:v>556809</c:v>
                </c:pt>
                <c:pt idx="13">
                  <c:v>311430</c:v>
                </c:pt>
                <c:pt idx="14">
                  <c:v>750142</c:v>
                </c:pt>
              </c:numCache>
            </c:numRef>
          </c:val>
          <c:extLst>
            <c:ext xmlns:c16="http://schemas.microsoft.com/office/drawing/2014/chart" uri="{C3380CC4-5D6E-409C-BE32-E72D297353CC}">
              <c16:uniqueId val="{00000001-BC53-4D93-80B9-9A1E5AE7514F}"/>
            </c:ext>
          </c:extLst>
        </c:ser>
        <c:dLbls>
          <c:showLegendKey val="0"/>
          <c:showVal val="1"/>
          <c:showCatName val="0"/>
          <c:showSerName val="0"/>
          <c:showPercent val="0"/>
          <c:showBubbleSize val="0"/>
        </c:dLbls>
        <c:gapWidth val="219"/>
        <c:axId val="1748129663"/>
        <c:axId val="1748130143"/>
      </c:barChart>
      <c:lineChart>
        <c:grouping val="standard"/>
        <c:varyColors val="0"/>
        <c:ser>
          <c:idx val="2"/>
          <c:order val="2"/>
          <c:tx>
            <c:strRef>
              <c:f>Sheet3!$D$1</c:f>
              <c:strCache>
                <c:ptCount val="1"/>
                <c:pt idx="0">
                  <c:v>Average of ROAS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Sheet3!$A$2:$A$22</c:f>
              <c:multiLvlStrCache>
                <c:ptCount val="15"/>
                <c:lvl>
                  <c:pt idx="0">
                    <c:v>High</c:v>
                  </c:pt>
                  <c:pt idx="1">
                    <c:v>Low</c:v>
                  </c:pt>
                  <c:pt idx="2">
                    <c:v>Medium</c:v>
                  </c:pt>
                  <c:pt idx="3">
                    <c:v>High</c:v>
                  </c:pt>
                  <c:pt idx="4">
                    <c:v>Low</c:v>
                  </c:pt>
                  <c:pt idx="5">
                    <c:v>Medium</c:v>
                  </c:pt>
                  <c:pt idx="6">
                    <c:v>High</c:v>
                  </c:pt>
                  <c:pt idx="7">
                    <c:v>Low</c:v>
                  </c:pt>
                  <c:pt idx="8">
                    <c:v>Medium</c:v>
                  </c:pt>
                  <c:pt idx="9">
                    <c:v>High</c:v>
                  </c:pt>
                  <c:pt idx="10">
                    <c:v>Low</c:v>
                  </c:pt>
                  <c:pt idx="11">
                    <c:v>Medium</c:v>
                  </c:pt>
                  <c:pt idx="12">
                    <c:v>High</c:v>
                  </c:pt>
                  <c:pt idx="13">
                    <c:v>Low</c:v>
                  </c:pt>
                  <c:pt idx="14">
                    <c:v>Medium</c:v>
                  </c:pt>
                </c:lvl>
                <c:lvl>
                  <c:pt idx="0">
                    <c:v>Education</c:v>
                  </c:pt>
                  <c:pt idx="3">
                    <c:v>Fashion</c:v>
                  </c:pt>
                  <c:pt idx="6">
                    <c:v>Food</c:v>
                  </c:pt>
                  <c:pt idx="9">
                    <c:v>Health</c:v>
                  </c:pt>
                  <c:pt idx="12">
                    <c:v>Technology</c:v>
                  </c:pt>
                </c:lvl>
              </c:multiLvlStrCache>
            </c:multiLvlStrRef>
          </c:cat>
          <c:val>
            <c:numRef>
              <c:f>Sheet3!$D$2:$D$22</c:f>
              <c:numCache>
                <c:formatCode>0%</c:formatCode>
                <c:ptCount val="15"/>
                <c:pt idx="0">
                  <c:v>1.8938061178438124</c:v>
                </c:pt>
                <c:pt idx="1">
                  <c:v>1.8164596065238274</c:v>
                </c:pt>
                <c:pt idx="2">
                  <c:v>1.3161758149769036</c:v>
                </c:pt>
                <c:pt idx="3">
                  <c:v>0.84477246299971842</c:v>
                </c:pt>
                <c:pt idx="4">
                  <c:v>1.4128574253186035</c:v>
                </c:pt>
                <c:pt idx="5">
                  <c:v>1.3702935461910006</c:v>
                </c:pt>
                <c:pt idx="6">
                  <c:v>1.2804656204786107</c:v>
                </c:pt>
                <c:pt idx="7">
                  <c:v>1.4227636314742991</c:v>
                </c:pt>
                <c:pt idx="8">
                  <c:v>1.3389243684079613</c:v>
                </c:pt>
                <c:pt idx="9">
                  <c:v>1.4478971358867647</c:v>
                </c:pt>
                <c:pt idx="10">
                  <c:v>1.6715244839675631</c:v>
                </c:pt>
                <c:pt idx="11">
                  <c:v>1.9597093338159115</c:v>
                </c:pt>
                <c:pt idx="12">
                  <c:v>1.507762496638329</c:v>
                </c:pt>
                <c:pt idx="13">
                  <c:v>1.7386136178967762</c:v>
                </c:pt>
                <c:pt idx="14">
                  <c:v>1.2757599495675784</c:v>
                </c:pt>
              </c:numCache>
            </c:numRef>
          </c:val>
          <c:smooth val="0"/>
          <c:extLst>
            <c:ext xmlns:c16="http://schemas.microsoft.com/office/drawing/2014/chart" uri="{C3380CC4-5D6E-409C-BE32-E72D297353CC}">
              <c16:uniqueId val="{0000001A-BC53-4D93-80B9-9A1E5AE7514F}"/>
            </c:ext>
          </c:extLst>
        </c:ser>
        <c:dLbls>
          <c:showLegendKey val="0"/>
          <c:showVal val="1"/>
          <c:showCatName val="0"/>
          <c:showSerName val="0"/>
          <c:showPercent val="0"/>
          <c:showBubbleSize val="0"/>
        </c:dLbls>
        <c:marker val="1"/>
        <c:smooth val="0"/>
        <c:axId val="436915567"/>
        <c:axId val="436913167"/>
      </c:lineChart>
      <c:catAx>
        <c:axId val="174812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8130143"/>
        <c:crosses val="autoZero"/>
        <c:auto val="1"/>
        <c:lblAlgn val="ctr"/>
        <c:lblOffset val="100"/>
        <c:noMultiLvlLbl val="0"/>
      </c:catAx>
      <c:valAx>
        <c:axId val="174813014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8129663"/>
        <c:crosses val="autoZero"/>
        <c:crossBetween val="between"/>
      </c:valAx>
      <c:valAx>
        <c:axId val="4369131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6915567"/>
        <c:crosses val="max"/>
        <c:crossBetween val="between"/>
      </c:valAx>
      <c:catAx>
        <c:axId val="436915567"/>
        <c:scaling>
          <c:orientation val="minMax"/>
        </c:scaling>
        <c:delete val="1"/>
        <c:axPos val="b"/>
        <c:numFmt formatCode="General" sourceLinked="1"/>
        <c:majorTickMark val="out"/>
        <c:minorTickMark val="none"/>
        <c:tickLblPos val="nextTo"/>
        <c:crossAx val="4369131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Insight.xlsx]1!PivotTable10</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1" u="sng"/>
              <a:t>Revenue</a:t>
            </a:r>
            <a:r>
              <a:rPr lang="en-US" sz="1200" b="1" u="sng" baseline="0"/>
              <a:t> on Ad Spend (By Sector)</a:t>
            </a:r>
            <a:r>
              <a:rPr lang="en-US" sz="1200" b="1" u="sng"/>
              <a:t>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'1'!$B$1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0-F236-4B6A-A31C-1CF0A53AF5D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236-4B6A-A31C-1CF0A53AF5D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F236-4B6A-A31C-1CF0A53AF5D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236-4B6A-A31C-1CF0A53AF5D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236-4B6A-A31C-1CF0A53AF5D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0-F236-4B6A-A31C-1CF0A53AF5D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F236-4B6A-A31C-1CF0A53AF5D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F236-4B6A-A31C-1CF0A53AF5D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F236-4B6A-A31C-1CF0A53AF5D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F236-4B6A-A31C-1CF0A53AF5D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'1'!$A$2:$A$7</c:f>
              <c:strCache>
                <c:ptCount val="5"/>
                <c:pt idx="0">
                  <c:v>Education</c:v>
                </c:pt>
                <c:pt idx="1">
                  <c:v>Fashion</c:v>
                </c:pt>
                <c:pt idx="2">
                  <c:v>Food</c:v>
                </c:pt>
                <c:pt idx="3">
                  <c:v>Health</c:v>
                </c:pt>
                <c:pt idx="4">
                  <c:v>Technology</c:v>
                </c:pt>
              </c:strCache>
            </c:strRef>
          </c:cat>
          <c:val>
            <c:numRef>
              <c:f>'1'!$B$2:$B$7</c:f>
              <c:numCache>
                <c:formatCode>0.00%</c:formatCode>
                <c:ptCount val="5"/>
                <c:pt idx="0">
                  <c:v>1.6533080185286957</c:v>
                </c:pt>
                <c:pt idx="1">
                  <c:v>1.191519491707419</c:v>
                </c:pt>
                <c:pt idx="2">
                  <c:v>1.3367473249677047</c:v>
                </c:pt>
                <c:pt idx="3">
                  <c:v>1.7024788504974131</c:v>
                </c:pt>
                <c:pt idx="4">
                  <c:v>1.449518289025731</c:v>
                </c:pt>
              </c:numCache>
            </c:numRef>
          </c:val>
          <c:extLst>
            <c:ext xmlns:c16="http://schemas.microsoft.com/office/drawing/2014/chart" uri="{C3380CC4-5D6E-409C-BE32-E72D297353CC}">
              <c16:uniqueId val="{00000002-793D-4E47-A7BC-E98106DC08D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Insight.xlsx]2!PivotTable11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t>Average Conversion Rate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801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2"/>
          </a:solidFill>
          <a:ln>
            <a:noFill/>
          </a:ln>
          <a:effectLst/>
        </c:spPr>
      </c:pivotFmt>
      <c:pivotFmt>
        <c:idx val="5"/>
        <c:spPr>
          <a:solidFill>
            <a:schemeClr val="accent3"/>
          </a:solidFill>
          <a:ln>
            <a:noFill/>
          </a:ln>
          <a:effectLst/>
        </c:spPr>
      </c:pivotFmt>
      <c:pivotFmt>
        <c:idx val="6"/>
        <c:spPr>
          <a:solidFill>
            <a:schemeClr val="accent4"/>
          </a:solidFill>
          <a:ln>
            <a:noFill/>
          </a:ln>
          <a:effectLst/>
        </c:spPr>
      </c:pivotFmt>
      <c:pivotFmt>
        <c:idx val="7"/>
        <c:spPr>
          <a:solidFill>
            <a:schemeClr val="accent5"/>
          </a:solidFill>
          <a:ln>
            <a:noFill/>
          </a:ln>
          <a:effectLst/>
        </c:spPr>
      </c:pivotFmt>
    </c:pivotFmts>
    <c:plotArea>
      <c:layout/>
      <c:barChart>
        <c:barDir val="bar"/>
        <c:grouping val="stacked"/>
        <c:varyColors val="0"/>
        <c:ser>
          <c:idx val="0"/>
          <c:order val="0"/>
          <c:tx>
            <c:strRef>
              <c:f>'2'!$B$1</c:f>
              <c:strCache>
                <c:ptCount val="1"/>
                <c:pt idx="0">
                  <c:v>Total</c:v>
                </c:pt>
              </c:strCache>
            </c:strRef>
          </c:tx>
          <c:spPr>
            <a:solidFill>
              <a:srgbClr val="9801F2"/>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4-27C2-1646-A705-C657D3323006}"/>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27C2-1646-A705-C657D332300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27C2-1646-A705-C657D3323006}"/>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1-27C2-1646-A705-C657D332300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27C2-1646-A705-C657D33230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'2'!$A$2:$A$7</c:f>
              <c:strCache>
                <c:ptCount val="5"/>
                <c:pt idx="0">
                  <c:v>Education</c:v>
                </c:pt>
                <c:pt idx="1">
                  <c:v>Fashion</c:v>
                </c:pt>
                <c:pt idx="2">
                  <c:v>Food</c:v>
                </c:pt>
                <c:pt idx="3">
                  <c:v>Health</c:v>
                </c:pt>
                <c:pt idx="4">
                  <c:v>Technology</c:v>
                </c:pt>
              </c:strCache>
            </c:strRef>
          </c:cat>
          <c:val>
            <c:numRef>
              <c:f>'2'!$B$2:$B$7</c:f>
              <c:numCache>
                <c:formatCode>0.00%</c:formatCode>
                <c:ptCount val="5"/>
                <c:pt idx="0">
                  <c:v>0.39347055445958884</c:v>
                </c:pt>
                <c:pt idx="1">
                  <c:v>0.45663460024116181</c:v>
                </c:pt>
                <c:pt idx="2">
                  <c:v>0.40406187052069464</c:v>
                </c:pt>
                <c:pt idx="3">
                  <c:v>0.41481428881914684</c:v>
                </c:pt>
                <c:pt idx="4">
                  <c:v>0.40473023639208727</c:v>
                </c:pt>
              </c:numCache>
            </c:numRef>
          </c:val>
          <c:extLst>
            <c:ext xmlns:c16="http://schemas.microsoft.com/office/drawing/2014/chart" uri="{C3380CC4-5D6E-409C-BE32-E72D297353CC}">
              <c16:uniqueId val="{00000000-FC79-3447-BCFA-B418AC7B3863}"/>
            </c:ext>
          </c:extLst>
        </c:ser>
        <c:dLbls>
          <c:showLegendKey val="0"/>
          <c:showVal val="1"/>
          <c:showCatName val="0"/>
          <c:showSerName val="0"/>
          <c:showPercent val="0"/>
          <c:showBubbleSize val="0"/>
        </c:dLbls>
        <c:gapWidth val="219"/>
        <c:overlap val="100"/>
        <c:axId val="590316864"/>
        <c:axId val="590420096"/>
      </c:barChart>
      <c:catAx>
        <c:axId val="59031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0096"/>
        <c:crosses val="autoZero"/>
        <c:auto val="1"/>
        <c:lblAlgn val="ctr"/>
        <c:lblOffset val="100"/>
        <c:noMultiLvlLbl val="0"/>
      </c:catAx>
      <c:valAx>
        <c:axId val="5904200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1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Insight.xlsx]3!PivotTable12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t>Avg Cost</a:t>
            </a:r>
            <a:r>
              <a:rPr lang="en-US" sz="1200" b="1" u="sng" baseline="0"/>
              <a:t> Per Acquisition (By Sector)</a:t>
            </a:r>
            <a:endParaRPr lang="en-US" sz="12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2"/>
          </a:solidFill>
          <a:ln>
            <a:noFill/>
          </a:ln>
          <a:effectLst/>
        </c:spPr>
      </c:pivotFmt>
      <c:pivotFmt>
        <c:idx val="5"/>
        <c:spPr>
          <a:solidFill>
            <a:schemeClr val="accent3"/>
          </a:solidFill>
          <a:ln>
            <a:noFill/>
          </a:ln>
          <a:effectLst/>
        </c:spPr>
      </c:pivotFmt>
      <c:pivotFmt>
        <c:idx val="6"/>
        <c:spPr>
          <a:solidFill>
            <a:schemeClr val="accent4"/>
          </a:solidFill>
          <a:ln>
            <a:noFill/>
          </a:ln>
          <a:effectLst/>
        </c:spPr>
      </c:pivotFmt>
      <c:pivotFmt>
        <c:idx val="7"/>
        <c:spPr>
          <a:solidFill>
            <a:schemeClr val="accent5"/>
          </a:solidFill>
          <a:ln>
            <a:noFill/>
          </a:ln>
          <a:effectLst/>
        </c:spPr>
      </c:pivotFmt>
    </c:pivotFmts>
    <c:plotArea>
      <c:layout/>
      <c:barChart>
        <c:barDir val="col"/>
        <c:grouping val="clustered"/>
        <c:varyColors val="0"/>
        <c:ser>
          <c:idx val="0"/>
          <c:order val="0"/>
          <c:tx>
            <c:strRef>
              <c:f>'3'!$B$1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B3FE-4119-8F1C-CC44DD30055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B3FE-4119-8F1C-CC44DD30055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B3FE-4119-8F1C-CC44DD30055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B3FE-4119-8F1C-CC44DD30055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4-B3FE-4119-8F1C-CC44DD30055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'3'!$A$2:$A$7</c:f>
              <c:strCache>
                <c:ptCount val="5"/>
                <c:pt idx="0">
                  <c:v>Education</c:v>
                </c:pt>
                <c:pt idx="1">
                  <c:v>Fashion</c:v>
                </c:pt>
                <c:pt idx="2">
                  <c:v>Food</c:v>
                </c:pt>
                <c:pt idx="3">
                  <c:v>Health</c:v>
                </c:pt>
                <c:pt idx="4">
                  <c:v>Technology</c:v>
                </c:pt>
              </c:strCache>
            </c:strRef>
          </c:cat>
          <c:val>
            <c:numRef>
              <c:f>'3'!$B$2:$B$7</c:f>
              <c:numCache>
                <c:formatCode>0</c:formatCode>
                <c:ptCount val="5"/>
                <c:pt idx="0">
                  <c:v>74.553643542927901</c:v>
                </c:pt>
                <c:pt idx="1">
                  <c:v>104.04812684877334</c:v>
                </c:pt>
                <c:pt idx="2">
                  <c:v>86.252481410929548</c:v>
                </c:pt>
                <c:pt idx="3">
                  <c:v>74.053283091032142</c:v>
                </c:pt>
                <c:pt idx="4">
                  <c:v>80.702581511154733</c:v>
                </c:pt>
              </c:numCache>
            </c:numRef>
          </c:val>
          <c:extLst>
            <c:ext xmlns:c16="http://schemas.microsoft.com/office/drawing/2014/chart" uri="{C3380CC4-5D6E-409C-BE32-E72D297353CC}">
              <c16:uniqueId val="{00000000-0198-214A-A887-82787DB2D169}"/>
            </c:ext>
          </c:extLst>
        </c:ser>
        <c:dLbls>
          <c:dLblPos val="outEnd"/>
          <c:showLegendKey val="0"/>
          <c:showVal val="1"/>
          <c:showCatName val="0"/>
          <c:showSerName val="0"/>
          <c:showPercent val="0"/>
          <c:showBubbleSize val="0"/>
        </c:dLbls>
        <c:gapWidth val="75"/>
        <c:overlap val="-25"/>
        <c:axId val="1362680831"/>
        <c:axId val="1362679935"/>
      </c:barChart>
      <c:catAx>
        <c:axId val="136268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2679935"/>
        <c:crosses val="autoZero"/>
        <c:auto val="1"/>
        <c:lblAlgn val="ctr"/>
        <c:lblOffset val="100"/>
        <c:noMultiLvlLbl val="0"/>
      </c:catAx>
      <c:valAx>
        <c:axId val="1362679935"/>
        <c:scaling>
          <c:orientation val="minMax"/>
        </c:scaling>
        <c:delete val="1"/>
        <c:axPos val="l"/>
        <c:numFmt formatCode="0" sourceLinked="1"/>
        <c:majorTickMark val="none"/>
        <c:minorTickMark val="none"/>
        <c:tickLblPos val="nextTo"/>
        <c:crossAx val="136268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Operations Commercial Insight.xlsx]4!PivotTable13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Revenue on Ad spend by Satisfaction Level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a:solidFill>
              <a:srgbClr val="7500BA"/>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DB86FF"/>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'4'!$B$3:$B$4</c:f>
              <c:strCache>
                <c:ptCount val="1"/>
                <c:pt idx="0">
                  <c:v>High</c:v>
                </c:pt>
              </c:strCache>
            </c:strRef>
          </c:tx>
          <c:spPr>
            <a:ln w="28575" cap="rnd">
              <a:solidFill>
                <a:srgbClr val="7500BA"/>
              </a:solidFill>
              <a:round/>
            </a:ln>
            <a:effectLst/>
          </c:spPr>
          <c:marker>
            <c:symbol val="circle"/>
            <c:size val="5"/>
            <c:spPr>
              <a:solidFill>
                <a:schemeClr val="accent1">
                  <a:shade val="65000"/>
                </a:schemeClr>
              </a:solidFill>
              <a:ln w="9525">
                <a:solidFill>
                  <a:schemeClr val="accent1">
                    <a:shade val="65000"/>
                  </a:schemeClr>
                </a:solidFill>
              </a:ln>
              <a:effectLst/>
            </c:spPr>
          </c:marker>
          <c:cat>
            <c:strRef>
              <c:f>'4'!$A$5:$A$10</c:f>
              <c:strCache>
                <c:ptCount val="5"/>
                <c:pt idx="0">
                  <c:v>Education</c:v>
                </c:pt>
                <c:pt idx="1">
                  <c:v>Fashion</c:v>
                </c:pt>
                <c:pt idx="2">
                  <c:v>Food</c:v>
                </c:pt>
                <c:pt idx="3">
                  <c:v>Health</c:v>
                </c:pt>
                <c:pt idx="4">
                  <c:v>Technology</c:v>
                </c:pt>
              </c:strCache>
            </c:strRef>
          </c:cat>
          <c:val>
            <c:numRef>
              <c:f>'4'!$B$5:$B$10</c:f>
              <c:numCache>
                <c:formatCode>0.00%</c:formatCode>
                <c:ptCount val="5"/>
                <c:pt idx="0">
                  <c:v>1.8938061178438124</c:v>
                </c:pt>
                <c:pt idx="1">
                  <c:v>0.84477246299971842</c:v>
                </c:pt>
                <c:pt idx="2">
                  <c:v>1.2804656204786107</c:v>
                </c:pt>
                <c:pt idx="3">
                  <c:v>1.4478971358867647</c:v>
                </c:pt>
                <c:pt idx="4">
                  <c:v>1.507762496638329</c:v>
                </c:pt>
              </c:numCache>
            </c:numRef>
          </c:val>
          <c:smooth val="0"/>
          <c:extLst>
            <c:ext xmlns:c16="http://schemas.microsoft.com/office/drawing/2014/chart" uri="{C3380CC4-5D6E-409C-BE32-E72D297353CC}">
              <c16:uniqueId val="{00000000-3EE8-5D41-AD17-E463C0FAF186}"/>
            </c:ext>
          </c:extLst>
        </c:ser>
        <c:ser>
          <c:idx val="1"/>
          <c:order val="1"/>
          <c:tx>
            <c:strRef>
              <c:f>'4'!$C$3:$C$4</c:f>
              <c:strCache>
                <c:ptCount val="1"/>
                <c:pt idx="0">
                  <c:v>Medium</c:v>
                </c:pt>
              </c:strCache>
            </c:strRef>
          </c:tx>
          <c:spPr>
            <a:ln w="28575" cap="rnd">
              <a:solidFill>
                <a:srgbClr val="DB86FF"/>
              </a:solidFill>
              <a:round/>
            </a:ln>
            <a:effectLst/>
          </c:spPr>
          <c:marker>
            <c:symbol val="circle"/>
            <c:size val="5"/>
            <c:spPr>
              <a:solidFill>
                <a:schemeClr val="accent1"/>
              </a:solidFill>
              <a:ln w="9525">
                <a:solidFill>
                  <a:schemeClr val="accent1"/>
                </a:solidFill>
              </a:ln>
              <a:effectLst/>
            </c:spPr>
          </c:marker>
          <c:cat>
            <c:strRef>
              <c:f>'4'!$A$5:$A$10</c:f>
              <c:strCache>
                <c:ptCount val="5"/>
                <c:pt idx="0">
                  <c:v>Education</c:v>
                </c:pt>
                <c:pt idx="1">
                  <c:v>Fashion</c:v>
                </c:pt>
                <c:pt idx="2">
                  <c:v>Food</c:v>
                </c:pt>
                <c:pt idx="3">
                  <c:v>Health</c:v>
                </c:pt>
                <c:pt idx="4">
                  <c:v>Technology</c:v>
                </c:pt>
              </c:strCache>
            </c:strRef>
          </c:cat>
          <c:val>
            <c:numRef>
              <c:f>'4'!$C$5:$C$10</c:f>
              <c:numCache>
                <c:formatCode>0.00%</c:formatCode>
                <c:ptCount val="5"/>
                <c:pt idx="0">
                  <c:v>1.3161758149769036</c:v>
                </c:pt>
                <c:pt idx="1">
                  <c:v>1.3702935461910006</c:v>
                </c:pt>
                <c:pt idx="2">
                  <c:v>1.3389243684079613</c:v>
                </c:pt>
                <c:pt idx="3">
                  <c:v>1.9597093338159115</c:v>
                </c:pt>
                <c:pt idx="4">
                  <c:v>1.2757599495675784</c:v>
                </c:pt>
              </c:numCache>
            </c:numRef>
          </c:val>
          <c:smooth val="0"/>
          <c:extLst>
            <c:ext xmlns:c16="http://schemas.microsoft.com/office/drawing/2014/chart" uri="{C3380CC4-5D6E-409C-BE32-E72D297353CC}">
              <c16:uniqueId val="{00000001-CC27-9C43-9F76-1BAE78952B2B}"/>
            </c:ext>
          </c:extLst>
        </c:ser>
        <c:ser>
          <c:idx val="2"/>
          <c:order val="2"/>
          <c:tx>
            <c:strRef>
              <c:f>'4'!$D$3:$D$4</c:f>
              <c:strCache>
                <c:ptCount val="1"/>
                <c:pt idx="0">
                  <c:v>Low</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cat>
            <c:strRef>
              <c:f>'4'!$A$5:$A$10</c:f>
              <c:strCache>
                <c:ptCount val="5"/>
                <c:pt idx="0">
                  <c:v>Education</c:v>
                </c:pt>
                <c:pt idx="1">
                  <c:v>Fashion</c:v>
                </c:pt>
                <c:pt idx="2">
                  <c:v>Food</c:v>
                </c:pt>
                <c:pt idx="3">
                  <c:v>Health</c:v>
                </c:pt>
                <c:pt idx="4">
                  <c:v>Technology</c:v>
                </c:pt>
              </c:strCache>
            </c:strRef>
          </c:cat>
          <c:val>
            <c:numRef>
              <c:f>'4'!$D$5:$D$10</c:f>
              <c:numCache>
                <c:formatCode>0.00%</c:formatCode>
                <c:ptCount val="5"/>
                <c:pt idx="0">
                  <c:v>1.8164596065238274</c:v>
                </c:pt>
                <c:pt idx="1">
                  <c:v>1.4128574253186035</c:v>
                </c:pt>
                <c:pt idx="2">
                  <c:v>1.4227636314742991</c:v>
                </c:pt>
                <c:pt idx="3">
                  <c:v>1.6715244839675631</c:v>
                </c:pt>
                <c:pt idx="4">
                  <c:v>1.7386136178967762</c:v>
                </c:pt>
              </c:numCache>
            </c:numRef>
          </c:val>
          <c:smooth val="0"/>
          <c:extLst>
            <c:ext xmlns:c16="http://schemas.microsoft.com/office/drawing/2014/chart" uri="{C3380CC4-5D6E-409C-BE32-E72D297353CC}">
              <c16:uniqueId val="{00000002-CC27-9C43-9F76-1BAE78952B2B}"/>
            </c:ext>
          </c:extLst>
        </c:ser>
        <c:dLbls>
          <c:showLegendKey val="0"/>
          <c:showVal val="0"/>
          <c:showCatName val="0"/>
          <c:showSerName val="0"/>
          <c:showPercent val="0"/>
          <c:showBubbleSize val="0"/>
        </c:dLbls>
        <c:marker val="1"/>
        <c:smooth val="0"/>
        <c:axId val="1330032447"/>
        <c:axId val="1330034239"/>
      </c:lineChart>
      <c:catAx>
        <c:axId val="13300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34239"/>
        <c:crosses val="autoZero"/>
        <c:auto val="1"/>
        <c:lblAlgn val="ctr"/>
        <c:lblOffset val="100"/>
        <c:noMultiLvlLbl val="0"/>
      </c:catAx>
      <c:valAx>
        <c:axId val="1330034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3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Insight.xlsx]5!PivotTable14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cap="none" spc="0" normalizeH="0" baseline="0" dirty="0">
                <a:solidFill>
                  <a:srgbClr val="000000">
                    <a:lumMod val="50000"/>
                    <a:lumOff val="50000"/>
                  </a:srgbClr>
                </a:solidFill>
              </a:rPr>
              <a:t>Audience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801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1">
                <a:lumMod val="95000"/>
                <a:lumOff val="5000"/>
              </a:schemeClr>
            </a:solidFill>
            <a:round/>
          </a:ln>
          <a:effectLst/>
        </c:spPr>
        <c:marker>
          <c:symbol val="none"/>
        </c:marker>
        <c:dLbl>
          <c:idx val="0"/>
          <c:layout>
            <c:manualLayout>
              <c:x val="-2.4561214071770639E-2"/>
              <c:y val="2.9429382805593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1">
                <a:lumMod val="95000"/>
                <a:lumOff val="5000"/>
              </a:schemeClr>
            </a:solidFill>
            <a:round/>
          </a:ln>
          <a:effectLst/>
        </c:spPr>
        <c:marker>
          <c:symbol val="none"/>
        </c:marker>
        <c:dLbl>
          <c:idx val="0"/>
          <c:layout>
            <c:manualLayout>
              <c:x val="-2.8654749750399118E-2"/>
              <c:y val="2.3543506244474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1">
                <a:lumMod val="95000"/>
                <a:lumOff val="5000"/>
              </a:schemeClr>
            </a:solidFill>
            <a:round/>
          </a:ln>
          <a:effectLst/>
        </c:spPr>
        <c:marker>
          <c:symbol val="none"/>
        </c:marker>
        <c:dLbl>
          <c:idx val="0"/>
          <c:layout>
            <c:manualLayout>
              <c:x val="-3.4795053268341737E-2"/>
              <c:y val="3.8258197647271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'5'!$B$1</c:f>
              <c:strCache>
                <c:ptCount val="1"/>
                <c:pt idx="0">
                  <c:v>Average of Conversion Rate</c:v>
                </c:pt>
              </c:strCache>
            </c:strRef>
          </c:tx>
          <c:spPr>
            <a:solidFill>
              <a:srgbClr val="9801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'5'!$A$2:$A$6</c:f>
              <c:strCache>
                <c:ptCount val="4"/>
                <c:pt idx="0">
                  <c:v>Youths 18-24</c:v>
                </c:pt>
                <c:pt idx="1">
                  <c:v>Adults 25-34</c:v>
                </c:pt>
                <c:pt idx="2">
                  <c:v>Parents 30-40</c:v>
                </c:pt>
                <c:pt idx="3">
                  <c:v>Professionals 35-50</c:v>
                </c:pt>
              </c:strCache>
            </c:strRef>
          </c:cat>
          <c:val>
            <c:numRef>
              <c:f>'5'!$B$2:$B$6</c:f>
              <c:numCache>
                <c:formatCode>0.00%</c:formatCode>
                <c:ptCount val="4"/>
                <c:pt idx="0">
                  <c:v>0.46330104543828149</c:v>
                </c:pt>
                <c:pt idx="1">
                  <c:v>0.39410025569043688</c:v>
                </c:pt>
                <c:pt idx="2">
                  <c:v>0.37845836381197284</c:v>
                </c:pt>
                <c:pt idx="3">
                  <c:v>0.41549982806837943</c:v>
                </c:pt>
              </c:numCache>
            </c:numRef>
          </c:val>
          <c:extLst>
            <c:ext xmlns:c16="http://schemas.microsoft.com/office/drawing/2014/chart" uri="{C3380CC4-5D6E-409C-BE32-E72D297353CC}">
              <c16:uniqueId val="{00000000-D189-C046-A1C9-E2FE29AE3CBF}"/>
            </c:ext>
          </c:extLst>
        </c:ser>
        <c:dLbls>
          <c:showLegendKey val="0"/>
          <c:showVal val="1"/>
          <c:showCatName val="0"/>
          <c:showSerName val="0"/>
          <c:showPercent val="0"/>
          <c:showBubbleSize val="0"/>
        </c:dLbls>
        <c:gapWidth val="75"/>
        <c:axId val="1339560767"/>
        <c:axId val="1328790847"/>
      </c:barChart>
      <c:lineChart>
        <c:grouping val="standard"/>
        <c:varyColors val="0"/>
        <c:ser>
          <c:idx val="1"/>
          <c:order val="1"/>
          <c:tx>
            <c:strRef>
              <c:f>'5'!$C$1</c:f>
              <c:strCache>
                <c:ptCount val="1"/>
                <c:pt idx="0">
                  <c:v>Average of Click Through Rate</c:v>
                </c:pt>
              </c:strCache>
            </c:strRef>
          </c:tx>
          <c:spPr>
            <a:ln w="28575" cap="rnd">
              <a:solidFill>
                <a:schemeClr val="tx1">
                  <a:lumMod val="95000"/>
                  <a:lumOff val="5000"/>
                </a:schemeClr>
              </a:solidFill>
              <a:round/>
            </a:ln>
            <a:effectLst/>
          </c:spPr>
          <c:marker>
            <c:symbol val="none"/>
          </c:marker>
          <c:dPt>
            <c:idx val="0"/>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1-4FA1-4445-A082-86133ED66275}"/>
              </c:ext>
            </c:extLst>
          </c:dPt>
          <c:dPt>
            <c:idx val="1"/>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0-4FA1-4445-A082-86133ED66275}"/>
              </c:ext>
            </c:extLst>
          </c:dPt>
          <c:dPt>
            <c:idx val="3"/>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2-4FA1-4445-A082-86133ED66275}"/>
              </c:ext>
            </c:extLst>
          </c:dPt>
          <c:dLbls>
            <c:dLbl>
              <c:idx val="0"/>
              <c:layout>
                <c:manualLayout>
                  <c:x val="-2.8654749750399118E-2"/>
                  <c:y val="2.3543506244474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A1-4445-A082-86133ED66275}"/>
                </c:ext>
              </c:extLst>
            </c:dLbl>
            <c:dLbl>
              <c:idx val="1"/>
              <c:layout>
                <c:manualLayout>
                  <c:x val="-2.4561214071770639E-2"/>
                  <c:y val="2.9429382805593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A1-4445-A082-86133ED66275}"/>
                </c:ext>
              </c:extLst>
            </c:dLbl>
            <c:dLbl>
              <c:idx val="3"/>
              <c:layout>
                <c:manualLayout>
                  <c:x val="-3.4795053268341737E-2"/>
                  <c:y val="3.8258197647271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A1-4445-A082-86133ED662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'5'!$A$2:$A$6</c:f>
              <c:strCache>
                <c:ptCount val="4"/>
                <c:pt idx="0">
                  <c:v>Youths 18-24</c:v>
                </c:pt>
                <c:pt idx="1">
                  <c:v>Adults 25-34</c:v>
                </c:pt>
                <c:pt idx="2">
                  <c:v>Parents 30-40</c:v>
                </c:pt>
                <c:pt idx="3">
                  <c:v>Professionals 35-50</c:v>
                </c:pt>
              </c:strCache>
            </c:strRef>
          </c:cat>
          <c:val>
            <c:numRef>
              <c:f>'5'!$C$2:$C$6</c:f>
              <c:numCache>
                <c:formatCode>0.00%</c:formatCode>
                <c:ptCount val="4"/>
                <c:pt idx="0">
                  <c:v>0.14279945039695763</c:v>
                </c:pt>
                <c:pt idx="1">
                  <c:v>0.14801436424808104</c:v>
                </c:pt>
                <c:pt idx="2">
                  <c:v>0.16221460745082894</c:v>
                </c:pt>
                <c:pt idx="3">
                  <c:v>0.15428365734173147</c:v>
                </c:pt>
              </c:numCache>
            </c:numRef>
          </c:val>
          <c:smooth val="0"/>
          <c:extLst>
            <c:ext xmlns:c16="http://schemas.microsoft.com/office/drawing/2014/chart" uri="{C3380CC4-5D6E-409C-BE32-E72D297353CC}">
              <c16:uniqueId val="{00000001-D189-C046-A1C9-E2FE29AE3CBF}"/>
            </c:ext>
          </c:extLst>
        </c:ser>
        <c:dLbls>
          <c:showLegendKey val="0"/>
          <c:showVal val="0"/>
          <c:showCatName val="0"/>
          <c:showSerName val="0"/>
          <c:showPercent val="0"/>
          <c:showBubbleSize val="0"/>
        </c:dLbls>
        <c:marker val="1"/>
        <c:smooth val="0"/>
        <c:axId val="1181676223"/>
        <c:axId val="1181675775"/>
      </c:lineChart>
      <c:catAx>
        <c:axId val="133956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790847"/>
        <c:crosses val="autoZero"/>
        <c:auto val="1"/>
        <c:lblAlgn val="ctr"/>
        <c:lblOffset val="100"/>
        <c:noMultiLvlLbl val="0"/>
      </c:catAx>
      <c:valAx>
        <c:axId val="13287908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9560767"/>
        <c:crosses val="autoZero"/>
        <c:crossBetween val="between"/>
      </c:valAx>
      <c:valAx>
        <c:axId val="11816757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1676223"/>
        <c:crosses val="max"/>
        <c:crossBetween val="between"/>
      </c:valAx>
      <c:catAx>
        <c:axId val="1181676223"/>
        <c:scaling>
          <c:orientation val="minMax"/>
        </c:scaling>
        <c:delete val="1"/>
        <c:axPos val="b"/>
        <c:numFmt formatCode="General" sourceLinked="1"/>
        <c:majorTickMark val="out"/>
        <c:minorTickMark val="none"/>
        <c:tickLblPos val="nextTo"/>
        <c:crossAx val="1181675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Insight.xlsx]6!PivotTable15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t>Budget Utilization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801F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5"/>
          </a:solidFill>
          <a:ln w="19050">
            <a:solidFill>
              <a:schemeClr val="lt1"/>
            </a:solidFill>
          </a:ln>
          <a:effectLst/>
        </c:spPr>
      </c:pivotFmt>
    </c:pivotFmts>
    <c:plotArea>
      <c:layout/>
      <c:barChart>
        <c:barDir val="col"/>
        <c:grouping val="clustered"/>
        <c:varyColors val="0"/>
        <c:ser>
          <c:idx val="0"/>
          <c:order val="0"/>
          <c:tx>
            <c:strRef>
              <c:f>'6'!$B$1</c:f>
              <c:strCache>
                <c:ptCount val="1"/>
                <c:pt idx="0">
                  <c:v>Total</c:v>
                </c:pt>
              </c:strCache>
            </c:strRef>
          </c:tx>
          <c:spPr>
            <a:solidFill>
              <a:srgbClr val="9801F2"/>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5A5-4137-A329-2FB009E68DAA}"/>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E5A5-4137-A329-2FB009E68DAA}"/>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5-E5A5-4137-A329-2FB009E68DAA}"/>
              </c:ext>
            </c:extLst>
          </c:dPt>
          <c:dPt>
            <c:idx val="3"/>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07-E5A5-4137-A329-2FB009E68DAA}"/>
              </c:ext>
            </c:extLst>
          </c:dPt>
          <c:dPt>
            <c:idx val="4"/>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09-E5A5-4137-A329-2FB009E68D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'6'!$A$2:$A$7</c:f>
              <c:strCache>
                <c:ptCount val="5"/>
                <c:pt idx="0">
                  <c:v>Education</c:v>
                </c:pt>
                <c:pt idx="1">
                  <c:v>Fashion</c:v>
                </c:pt>
                <c:pt idx="2">
                  <c:v>Food</c:v>
                </c:pt>
                <c:pt idx="3">
                  <c:v>Health</c:v>
                </c:pt>
                <c:pt idx="4">
                  <c:v>Technology</c:v>
                </c:pt>
              </c:strCache>
            </c:strRef>
          </c:cat>
          <c:val>
            <c:numRef>
              <c:f>'6'!$B$2:$B$7</c:f>
              <c:numCache>
                <c:formatCode>0.00%</c:formatCode>
                <c:ptCount val="5"/>
                <c:pt idx="0">
                  <c:v>2.5051979567219811</c:v>
                </c:pt>
                <c:pt idx="1">
                  <c:v>2.7089284184779494</c:v>
                </c:pt>
                <c:pt idx="2">
                  <c:v>2.6910410697678717</c:v>
                </c:pt>
                <c:pt idx="3">
                  <c:v>2.725674062221668</c:v>
                </c:pt>
                <c:pt idx="4">
                  <c:v>2.5500534164874598</c:v>
                </c:pt>
              </c:numCache>
            </c:numRef>
          </c:val>
          <c:extLst>
            <c:ext xmlns:c16="http://schemas.microsoft.com/office/drawing/2014/chart" uri="{C3380CC4-5D6E-409C-BE32-E72D297353CC}">
              <c16:uniqueId val="{00000000-E7B0-B740-950B-9DE57E7DD3BF}"/>
            </c:ext>
          </c:extLst>
        </c:ser>
        <c:dLbls>
          <c:showLegendKey val="0"/>
          <c:showVal val="0"/>
          <c:showCatName val="0"/>
          <c:showSerName val="0"/>
          <c:showPercent val="0"/>
          <c:showBubbleSize val="0"/>
        </c:dLbls>
        <c:gapWidth val="100"/>
        <c:axId val="1480999360"/>
        <c:axId val="1480998912"/>
      </c:barChart>
      <c:catAx>
        <c:axId val="148099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98912"/>
        <c:crosses val="autoZero"/>
        <c:auto val="1"/>
        <c:lblAlgn val="ctr"/>
        <c:lblOffset val="100"/>
        <c:noMultiLvlLbl val="0"/>
      </c:catAx>
      <c:valAx>
        <c:axId val="1480998912"/>
        <c:scaling>
          <c:orientation val="minMax"/>
          <c:min val="2.0000000000000999"/>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0999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Commercial Insight.xlsx]Campaign No!PivotTable1</c:name>
    <c:fmtId val="2"/>
  </c:pivotSource>
  <c:chart>
    <c:title>
      <c:tx>
        <c:rich>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r>
              <a:rPr lang="en-US" sz="1400" b="1" u="sng"/>
              <a:t>Period wise Campaign</a:t>
            </a:r>
            <a:r>
              <a:rPr lang="en-US" sz="1400" b="1" u="sng" baseline="0"/>
              <a:t> Numbers All Sectors</a:t>
            </a:r>
          </a:p>
        </c:rich>
      </c:tx>
      <c:overlay val="0"/>
      <c:spPr>
        <a:noFill/>
        <a:ln>
          <a:noFill/>
        </a:ln>
        <a:effectLst/>
      </c:spPr>
      <c:txPr>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9A3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500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No'!$B$1:$B$2</c:f>
              <c:strCache>
                <c:ptCount val="1"/>
                <c:pt idx="0">
                  <c:v>Completed</c:v>
                </c:pt>
              </c:strCache>
            </c:strRef>
          </c:tx>
          <c:spPr>
            <a:solidFill>
              <a:srgbClr val="D9A3F8"/>
            </a:solidFill>
            <a:ln>
              <a:noFill/>
            </a:ln>
            <a:effectLst/>
          </c:spPr>
          <c:invertIfNegative val="0"/>
          <c:cat>
            <c:multiLvlStrRef>
              <c:f>'Campaign No'!$A$3:$A$37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2023</c:v>
                  </c:pt>
                  <c:pt idx="12">
                    <c:v>2024</c:v>
                  </c:pt>
                </c:lvl>
              </c:multiLvlStrCache>
            </c:multiLvlStrRef>
          </c:cat>
          <c:val>
            <c:numRef>
              <c:f>'Campaign No'!$B$3:$B$37</c:f>
              <c:numCache>
                <c:formatCode>General</c:formatCode>
                <c:ptCount val="24"/>
                <c:pt idx="0">
                  <c:v>32</c:v>
                </c:pt>
                <c:pt idx="1">
                  <c:v>42</c:v>
                </c:pt>
                <c:pt idx="2">
                  <c:v>43</c:v>
                </c:pt>
                <c:pt idx="3">
                  <c:v>41</c:v>
                </c:pt>
                <c:pt idx="4">
                  <c:v>40</c:v>
                </c:pt>
                <c:pt idx="5">
                  <c:v>30</c:v>
                </c:pt>
                <c:pt idx="6">
                  <c:v>23</c:v>
                </c:pt>
                <c:pt idx="7">
                  <c:v>30</c:v>
                </c:pt>
                <c:pt idx="8">
                  <c:v>25</c:v>
                </c:pt>
                <c:pt idx="9">
                  <c:v>25</c:v>
                </c:pt>
                <c:pt idx="10">
                  <c:v>16</c:v>
                </c:pt>
                <c:pt idx="11">
                  <c:v>26</c:v>
                </c:pt>
                <c:pt idx="12">
                  <c:v>16</c:v>
                </c:pt>
                <c:pt idx="13">
                  <c:v>16</c:v>
                </c:pt>
                <c:pt idx="14">
                  <c:v>16</c:v>
                </c:pt>
                <c:pt idx="15">
                  <c:v>22</c:v>
                </c:pt>
                <c:pt idx="16">
                  <c:v>12</c:v>
                </c:pt>
                <c:pt idx="17">
                  <c:v>9</c:v>
                </c:pt>
                <c:pt idx="18">
                  <c:v>11</c:v>
                </c:pt>
                <c:pt idx="19">
                  <c:v>7</c:v>
                </c:pt>
                <c:pt idx="20">
                  <c:v>6</c:v>
                </c:pt>
                <c:pt idx="21">
                  <c:v>2</c:v>
                </c:pt>
                <c:pt idx="22">
                  <c:v>2</c:v>
                </c:pt>
              </c:numCache>
            </c:numRef>
          </c:val>
          <c:extLst>
            <c:ext xmlns:c16="http://schemas.microsoft.com/office/drawing/2014/chart" uri="{C3380CC4-5D6E-409C-BE32-E72D297353CC}">
              <c16:uniqueId val="{00000000-E11E-5D4B-84C7-70AC9FD603E2}"/>
            </c:ext>
          </c:extLst>
        </c:ser>
        <c:ser>
          <c:idx val="1"/>
          <c:order val="1"/>
          <c:tx>
            <c:strRef>
              <c:f>'Campaign No'!$C$1:$C$2</c:f>
              <c:strCache>
                <c:ptCount val="1"/>
                <c:pt idx="0">
                  <c:v>Ongoing</c:v>
                </c:pt>
              </c:strCache>
            </c:strRef>
          </c:tx>
          <c:spPr>
            <a:solidFill>
              <a:srgbClr val="7500BA"/>
            </a:solidFill>
            <a:ln>
              <a:noFill/>
            </a:ln>
            <a:effectLst/>
          </c:spPr>
          <c:invertIfNegative val="0"/>
          <c:cat>
            <c:multiLvlStrRef>
              <c:f>'Campaign No'!$A$3:$A$37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2023</c:v>
                  </c:pt>
                  <c:pt idx="12">
                    <c:v>2024</c:v>
                  </c:pt>
                </c:lvl>
              </c:multiLvlStrCache>
            </c:multiLvlStrRef>
          </c:cat>
          <c:val>
            <c:numRef>
              <c:f>'Campaign No'!$C$3:$C$37</c:f>
              <c:numCache>
                <c:formatCode>General</c:formatCode>
                <c:ptCount val="24"/>
                <c:pt idx="2">
                  <c:v>1</c:v>
                </c:pt>
                <c:pt idx="3">
                  <c:v>8</c:v>
                </c:pt>
                <c:pt idx="4">
                  <c:v>5</c:v>
                </c:pt>
                <c:pt idx="5">
                  <c:v>7</c:v>
                </c:pt>
                <c:pt idx="6">
                  <c:v>16</c:v>
                </c:pt>
                <c:pt idx="7">
                  <c:v>20</c:v>
                </c:pt>
                <c:pt idx="8">
                  <c:v>12</c:v>
                </c:pt>
                <c:pt idx="9">
                  <c:v>22</c:v>
                </c:pt>
                <c:pt idx="10">
                  <c:v>18</c:v>
                </c:pt>
                <c:pt idx="11">
                  <c:v>21</c:v>
                </c:pt>
                <c:pt idx="12">
                  <c:v>28</c:v>
                </c:pt>
                <c:pt idx="13">
                  <c:v>21</c:v>
                </c:pt>
                <c:pt idx="14">
                  <c:v>24</c:v>
                </c:pt>
                <c:pt idx="15">
                  <c:v>33</c:v>
                </c:pt>
                <c:pt idx="16">
                  <c:v>27</c:v>
                </c:pt>
                <c:pt idx="17">
                  <c:v>41</c:v>
                </c:pt>
                <c:pt idx="18">
                  <c:v>37</c:v>
                </c:pt>
                <c:pt idx="19">
                  <c:v>30</c:v>
                </c:pt>
                <c:pt idx="20">
                  <c:v>25</c:v>
                </c:pt>
                <c:pt idx="21">
                  <c:v>46</c:v>
                </c:pt>
                <c:pt idx="22">
                  <c:v>32</c:v>
                </c:pt>
                <c:pt idx="23">
                  <c:v>34</c:v>
                </c:pt>
              </c:numCache>
            </c:numRef>
          </c:val>
          <c:extLst>
            <c:ext xmlns:c16="http://schemas.microsoft.com/office/drawing/2014/chart" uri="{C3380CC4-5D6E-409C-BE32-E72D297353CC}">
              <c16:uniqueId val="{00000001-E11E-5D4B-84C7-70AC9FD603E2}"/>
            </c:ext>
          </c:extLst>
        </c:ser>
        <c:dLbls>
          <c:showLegendKey val="0"/>
          <c:showVal val="0"/>
          <c:showCatName val="0"/>
          <c:showSerName val="0"/>
          <c:showPercent val="0"/>
          <c:showBubbleSize val="0"/>
        </c:dLbls>
        <c:gapWidth val="219"/>
        <c:overlap val="-27"/>
        <c:axId val="1750822175"/>
        <c:axId val="146473599"/>
      </c:barChart>
      <c:catAx>
        <c:axId val="175082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3599"/>
        <c:crosses val="autoZero"/>
        <c:auto val="1"/>
        <c:lblAlgn val="ctr"/>
        <c:lblOffset val="100"/>
        <c:noMultiLvlLbl val="0"/>
      </c:catAx>
      <c:valAx>
        <c:axId val="14647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82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14939</xdr:colOff>
      <xdr:row>9</xdr:row>
      <xdr:rowOff>115047</xdr:rowOff>
    </xdr:from>
    <xdr:to>
      <xdr:col>9</xdr:col>
      <xdr:colOff>59763</xdr:colOff>
      <xdr:row>33</xdr:row>
      <xdr:rowOff>141941</xdr:rowOff>
    </xdr:to>
    <xdr:graphicFrame macro="">
      <xdr:nvGraphicFramePr>
        <xdr:cNvPr id="4" name="Chart 3">
          <a:extLst>
            <a:ext uri="{FF2B5EF4-FFF2-40B4-BE49-F238E27FC236}">
              <a16:creationId xmlns:a16="http://schemas.microsoft.com/office/drawing/2014/main" id="{922BE9A5-E33B-D50F-0AE7-6559C04F4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596900</xdr:colOff>
      <xdr:row>12</xdr:row>
      <xdr:rowOff>114300</xdr:rowOff>
    </xdr:from>
    <xdr:to>
      <xdr:col>30</xdr:col>
      <xdr:colOff>114300</xdr:colOff>
      <xdr:row>62</xdr:row>
      <xdr:rowOff>63500</xdr:rowOff>
    </xdr:to>
    <xdr:graphicFrame macro="">
      <xdr:nvGraphicFramePr>
        <xdr:cNvPr id="2" name="Chart 1">
          <a:extLst>
            <a:ext uri="{FF2B5EF4-FFF2-40B4-BE49-F238E27FC236}">
              <a16:creationId xmlns:a16="http://schemas.microsoft.com/office/drawing/2014/main" id="{53CB4198-0D10-AEF6-72DC-62C5DEE4A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596900</xdr:colOff>
      <xdr:row>10</xdr:row>
      <xdr:rowOff>101600</xdr:rowOff>
    </xdr:from>
    <xdr:to>
      <xdr:col>18</xdr:col>
      <xdr:colOff>609600</xdr:colOff>
      <xdr:row>61</xdr:row>
      <xdr:rowOff>101600</xdr:rowOff>
    </xdr:to>
    <xdr:graphicFrame macro="">
      <xdr:nvGraphicFramePr>
        <xdr:cNvPr id="2" name="Chart 1">
          <a:extLst>
            <a:ext uri="{FF2B5EF4-FFF2-40B4-BE49-F238E27FC236}">
              <a16:creationId xmlns:a16="http://schemas.microsoft.com/office/drawing/2014/main" id="{28AFA611-AAFB-C277-838A-477558C57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482600</xdr:colOff>
      <xdr:row>9</xdr:row>
      <xdr:rowOff>38100</xdr:rowOff>
    </xdr:from>
    <xdr:to>
      <xdr:col>12</xdr:col>
      <xdr:colOff>101600</xdr:colOff>
      <xdr:row>45</xdr:row>
      <xdr:rowOff>0</xdr:rowOff>
    </xdr:to>
    <xdr:graphicFrame macro="">
      <xdr:nvGraphicFramePr>
        <xdr:cNvPr id="2" name="Chart 1">
          <a:extLst>
            <a:ext uri="{FF2B5EF4-FFF2-40B4-BE49-F238E27FC236}">
              <a16:creationId xmlns:a16="http://schemas.microsoft.com/office/drawing/2014/main" id="{95A366CA-27E9-1CDD-5930-827864254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355600</xdr:colOff>
      <xdr:row>11</xdr:row>
      <xdr:rowOff>152400</xdr:rowOff>
    </xdr:from>
    <xdr:to>
      <xdr:col>16</xdr:col>
      <xdr:colOff>457200</xdr:colOff>
      <xdr:row>59</xdr:row>
      <xdr:rowOff>50800</xdr:rowOff>
    </xdr:to>
    <xdr:graphicFrame macro="">
      <xdr:nvGraphicFramePr>
        <xdr:cNvPr id="2" name="Chart 1">
          <a:extLst>
            <a:ext uri="{FF2B5EF4-FFF2-40B4-BE49-F238E27FC236}">
              <a16:creationId xmlns:a16="http://schemas.microsoft.com/office/drawing/2014/main" id="{1C31BEE5-DFC6-406F-7DDA-150D63335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254000</xdr:colOff>
      <xdr:row>11</xdr:row>
      <xdr:rowOff>101600</xdr:rowOff>
    </xdr:from>
    <xdr:to>
      <xdr:col>19</xdr:col>
      <xdr:colOff>215900</xdr:colOff>
      <xdr:row>60</xdr:row>
      <xdr:rowOff>50800</xdr:rowOff>
    </xdr:to>
    <xdr:graphicFrame macro="">
      <xdr:nvGraphicFramePr>
        <xdr:cNvPr id="2" name="Chart 1">
          <a:extLst>
            <a:ext uri="{FF2B5EF4-FFF2-40B4-BE49-F238E27FC236}">
              <a16:creationId xmlns:a16="http://schemas.microsoft.com/office/drawing/2014/main" id="{186A2635-9CF5-90B5-85D1-4EECFE612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863600</xdr:colOff>
      <xdr:row>11</xdr:row>
      <xdr:rowOff>88900</xdr:rowOff>
    </xdr:from>
    <xdr:to>
      <xdr:col>15</xdr:col>
      <xdr:colOff>596900</xdr:colOff>
      <xdr:row>55</xdr:row>
      <xdr:rowOff>38100</xdr:rowOff>
    </xdr:to>
    <xdr:graphicFrame macro="">
      <xdr:nvGraphicFramePr>
        <xdr:cNvPr id="2" name="Chart 1">
          <a:extLst>
            <a:ext uri="{FF2B5EF4-FFF2-40B4-BE49-F238E27FC236}">
              <a16:creationId xmlns:a16="http://schemas.microsoft.com/office/drawing/2014/main" id="{74762D7B-69E0-D8B9-E2F1-AF886EBB9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292100</xdr:colOff>
      <xdr:row>28</xdr:row>
      <xdr:rowOff>88900</xdr:rowOff>
    </xdr:from>
    <xdr:to>
      <xdr:col>7</xdr:col>
      <xdr:colOff>533400</xdr:colOff>
      <xdr:row>45</xdr:row>
      <xdr:rowOff>25400</xdr:rowOff>
    </xdr:to>
    <xdr:graphicFrame macro="">
      <xdr:nvGraphicFramePr>
        <xdr:cNvPr id="2" name="Chart 1">
          <a:extLst>
            <a:ext uri="{FF2B5EF4-FFF2-40B4-BE49-F238E27FC236}">
              <a16:creationId xmlns:a16="http://schemas.microsoft.com/office/drawing/2014/main" id="{B530705B-ACD0-4D2B-0F3F-D108593BA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254000</xdr:colOff>
      <xdr:row>18</xdr:row>
      <xdr:rowOff>38100</xdr:rowOff>
    </xdr:from>
    <xdr:to>
      <xdr:col>8</xdr:col>
      <xdr:colOff>279400</xdr:colOff>
      <xdr:row>34</xdr:row>
      <xdr:rowOff>139700</xdr:rowOff>
    </xdr:to>
    <xdr:graphicFrame macro="">
      <xdr:nvGraphicFramePr>
        <xdr:cNvPr id="2" name="Chart 1">
          <a:extLst>
            <a:ext uri="{FF2B5EF4-FFF2-40B4-BE49-F238E27FC236}">
              <a16:creationId xmlns:a16="http://schemas.microsoft.com/office/drawing/2014/main" id="{0781F1E5-A3A0-796E-CDE3-A43BE1F2D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190500</xdr:colOff>
      <xdr:row>10</xdr:row>
      <xdr:rowOff>152400</xdr:rowOff>
    </xdr:from>
    <xdr:to>
      <xdr:col>10</xdr:col>
      <xdr:colOff>114300</xdr:colOff>
      <xdr:row>61</xdr:row>
      <xdr:rowOff>25400</xdr:rowOff>
    </xdr:to>
    <xdr:graphicFrame macro="">
      <xdr:nvGraphicFramePr>
        <xdr:cNvPr id="2" name="Chart 1">
          <a:extLst>
            <a:ext uri="{FF2B5EF4-FFF2-40B4-BE49-F238E27FC236}">
              <a16:creationId xmlns:a16="http://schemas.microsoft.com/office/drawing/2014/main" id="{F89F4769-1C6D-F7DF-D3D9-7A5C9B7F7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455177</xdr:colOff>
      <xdr:row>8</xdr:row>
      <xdr:rowOff>0</xdr:rowOff>
    </xdr:from>
    <xdr:to>
      <xdr:col>2</xdr:col>
      <xdr:colOff>2068527</xdr:colOff>
      <xdr:row>24</xdr:row>
      <xdr:rowOff>101600</xdr:rowOff>
    </xdr:to>
    <xdr:graphicFrame macro="">
      <xdr:nvGraphicFramePr>
        <xdr:cNvPr id="2" name="Chart 1">
          <a:extLst>
            <a:ext uri="{FF2B5EF4-FFF2-40B4-BE49-F238E27FC236}">
              <a16:creationId xmlns:a16="http://schemas.microsoft.com/office/drawing/2014/main" id="{281F88E6-0AC7-E91A-8398-24F2DB0E1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3933</xdr:colOff>
      <xdr:row>8</xdr:row>
      <xdr:rowOff>72604</xdr:rowOff>
    </xdr:from>
    <xdr:to>
      <xdr:col>9</xdr:col>
      <xdr:colOff>421459</xdr:colOff>
      <xdr:row>31</xdr:row>
      <xdr:rowOff>162964</xdr:rowOff>
    </xdr:to>
    <xdr:graphicFrame macro="">
      <xdr:nvGraphicFramePr>
        <xdr:cNvPr id="4" name="Chart 3">
          <a:extLst>
            <a:ext uri="{FF2B5EF4-FFF2-40B4-BE49-F238E27FC236}">
              <a16:creationId xmlns:a16="http://schemas.microsoft.com/office/drawing/2014/main" id="{A2BE8D8A-99A0-B20E-FF20-149B072CD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304800</xdr:colOff>
      <xdr:row>1</xdr:row>
      <xdr:rowOff>114300</xdr:rowOff>
    </xdr:from>
    <xdr:to>
      <xdr:col>29</xdr:col>
      <xdr:colOff>571500</xdr:colOff>
      <xdr:row>57</xdr:row>
      <xdr:rowOff>63500</xdr:rowOff>
    </xdr:to>
    <xdr:graphicFrame macro="">
      <xdr:nvGraphicFramePr>
        <xdr:cNvPr id="2" name="Chart 1">
          <a:extLst>
            <a:ext uri="{FF2B5EF4-FFF2-40B4-BE49-F238E27FC236}">
              <a16:creationId xmlns:a16="http://schemas.microsoft.com/office/drawing/2014/main" id="{59788269-1815-38ED-8908-3A4DD6F22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241300</xdr:colOff>
      <xdr:row>24</xdr:row>
      <xdr:rowOff>38100</xdr:rowOff>
    </xdr:from>
    <xdr:to>
      <xdr:col>15</xdr:col>
      <xdr:colOff>728980</xdr:colOff>
      <xdr:row>53</xdr:row>
      <xdr:rowOff>149860</xdr:rowOff>
    </xdr:to>
    <xdr:graphicFrame macro="">
      <xdr:nvGraphicFramePr>
        <xdr:cNvPr id="2" name="Chart 1">
          <a:extLst>
            <a:ext uri="{FF2B5EF4-FFF2-40B4-BE49-F238E27FC236}">
              <a16:creationId xmlns:a16="http://schemas.microsoft.com/office/drawing/2014/main" id="{A7A95471-6DE8-6C73-8E13-EF6C2C329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22</xdr:col>
      <xdr:colOff>14112</xdr:colOff>
      <xdr:row>0</xdr:row>
      <xdr:rowOff>34674</xdr:rowOff>
    </xdr:from>
    <xdr:to>
      <xdr:col>23</xdr:col>
      <xdr:colOff>583080</xdr:colOff>
      <xdr:row>14</xdr:row>
      <xdr:rowOff>12699</xdr:rowOff>
    </xdr:to>
    <mc:AlternateContent xmlns:mc="http://schemas.openxmlformats.org/markup-compatibility/2006" xmlns:a14="http://schemas.microsoft.com/office/drawing/2010/main">
      <mc:Choice Requires="a14">
        <xdr:graphicFrame macro="">
          <xdr:nvGraphicFramePr>
            <xdr:cNvPr id="2" name="Audience">
              <a:extLst>
                <a:ext uri="{FF2B5EF4-FFF2-40B4-BE49-F238E27FC236}">
                  <a16:creationId xmlns:a16="http://schemas.microsoft.com/office/drawing/2014/main" id="{C1BD71CA-8601-B37A-3509-CBEB742F391F}"/>
                </a:ext>
              </a:extLst>
            </xdr:cNvPr>
            <xdr:cNvGraphicFramePr/>
          </xdr:nvGraphicFramePr>
          <xdr:xfrm>
            <a:off x="0" y="0"/>
            <a:ext cx="0" cy="0"/>
          </xdr:xfrm>
          <a:graphic>
            <a:graphicData uri="http://schemas.microsoft.com/office/drawing/2010/slicer">
              <sle:slicer xmlns:sle="http://schemas.microsoft.com/office/drawing/2010/slicer" name="Audience"/>
            </a:graphicData>
          </a:graphic>
        </xdr:graphicFrame>
      </mc:Choice>
      <mc:Fallback xmlns="">
        <xdr:sp macro="" textlink="">
          <xdr:nvSpPr>
            <xdr:cNvPr id="0" name=""/>
            <xdr:cNvSpPr>
              <a:spLocks noTextEdit="1"/>
            </xdr:cNvSpPr>
          </xdr:nvSpPr>
          <xdr:spPr>
            <a:xfrm>
              <a:off x="28600451" y="34674"/>
              <a:ext cx="1850308" cy="235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661812</xdr:colOff>
      <xdr:row>0</xdr:row>
      <xdr:rowOff>32543</xdr:rowOff>
    </xdr:from>
    <xdr:to>
      <xdr:col>25</xdr:col>
      <xdr:colOff>65523</xdr:colOff>
      <xdr:row>13</xdr:row>
      <xdr:rowOff>132923</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7D6545B8-9D31-5AC6-8774-69CA28B5C972}"/>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30529491" y="32543"/>
              <a:ext cx="1966389" cy="2311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125611</xdr:colOff>
      <xdr:row>0</xdr:row>
      <xdr:rowOff>48937</xdr:rowOff>
    </xdr:from>
    <xdr:to>
      <xdr:col>26</xdr:col>
      <xdr:colOff>694342</xdr:colOff>
      <xdr:row>13</xdr:row>
      <xdr:rowOff>149317</xdr:rowOff>
    </xdr:to>
    <mc:AlternateContent xmlns:mc="http://schemas.openxmlformats.org/markup-compatibility/2006" xmlns:a14="http://schemas.microsoft.com/office/drawing/2010/main">
      <mc:Choice Requires="a14">
        <xdr:graphicFrame macro="">
          <xdr:nvGraphicFramePr>
            <xdr:cNvPr id="4" name="Company Size 1">
              <a:extLst>
                <a:ext uri="{FF2B5EF4-FFF2-40B4-BE49-F238E27FC236}">
                  <a16:creationId xmlns:a16="http://schemas.microsoft.com/office/drawing/2014/main" id="{0931DC97-A392-6D34-8E82-58FE64E91C8D}"/>
                </a:ext>
              </a:extLst>
            </xdr:cNvPr>
            <xdr:cNvGraphicFramePr/>
          </xdr:nvGraphicFramePr>
          <xdr:xfrm>
            <a:off x="0" y="0"/>
            <a:ext cx="0" cy="0"/>
          </xdr:xfrm>
          <a:graphic>
            <a:graphicData uri="http://schemas.microsoft.com/office/drawing/2010/slicer">
              <sle:slicer xmlns:sle="http://schemas.microsoft.com/office/drawing/2010/slicer" name="Company Size 1"/>
            </a:graphicData>
          </a:graphic>
        </xdr:graphicFrame>
      </mc:Choice>
      <mc:Fallback xmlns="">
        <xdr:sp macro="" textlink="">
          <xdr:nvSpPr>
            <xdr:cNvPr id="0" name=""/>
            <xdr:cNvSpPr>
              <a:spLocks noTextEdit="1"/>
            </xdr:cNvSpPr>
          </xdr:nvSpPr>
          <xdr:spPr>
            <a:xfrm>
              <a:off x="32555968" y="48937"/>
              <a:ext cx="1850070" cy="2311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777114</xdr:colOff>
      <xdr:row>0</xdr:row>
      <xdr:rowOff>33553</xdr:rowOff>
    </xdr:from>
    <xdr:to>
      <xdr:col>28</xdr:col>
      <xdr:colOff>73225</xdr:colOff>
      <xdr:row>13</xdr:row>
      <xdr:rowOff>133933</xdr:rowOff>
    </xdr:to>
    <mc:AlternateContent xmlns:mc="http://schemas.openxmlformats.org/markup-compatibility/2006" xmlns:a14="http://schemas.microsoft.com/office/drawing/2010/main">
      <mc:Choice Requires="a14">
        <xdr:graphicFrame macro="">
          <xdr:nvGraphicFramePr>
            <xdr:cNvPr id="5" name="Rating Classification">
              <a:extLst>
                <a:ext uri="{FF2B5EF4-FFF2-40B4-BE49-F238E27FC236}">
                  <a16:creationId xmlns:a16="http://schemas.microsoft.com/office/drawing/2014/main" id="{99C1D457-4DAC-82CE-E005-7B7FD8042D47}"/>
                </a:ext>
              </a:extLst>
            </xdr:cNvPr>
            <xdr:cNvGraphicFramePr/>
          </xdr:nvGraphicFramePr>
          <xdr:xfrm>
            <a:off x="0" y="0"/>
            <a:ext cx="0" cy="0"/>
          </xdr:xfrm>
          <a:graphic>
            <a:graphicData uri="http://schemas.microsoft.com/office/drawing/2010/slicer">
              <sle:slicer xmlns:sle="http://schemas.microsoft.com/office/drawing/2010/slicer" name="Rating Classification"/>
            </a:graphicData>
          </a:graphic>
        </xdr:graphicFrame>
      </mc:Choice>
      <mc:Fallback xmlns="">
        <xdr:sp macro="" textlink="">
          <xdr:nvSpPr>
            <xdr:cNvPr id="0" name=""/>
            <xdr:cNvSpPr>
              <a:spLocks noTextEdit="1"/>
            </xdr:cNvSpPr>
          </xdr:nvSpPr>
          <xdr:spPr>
            <a:xfrm>
              <a:off x="34488810" y="33553"/>
              <a:ext cx="1858790" cy="2311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14112</xdr:colOff>
      <xdr:row>14</xdr:row>
      <xdr:rowOff>119028</xdr:rowOff>
    </xdr:from>
    <xdr:to>
      <xdr:col>27</xdr:col>
      <xdr:colOff>8215</xdr:colOff>
      <xdr:row>36</xdr:row>
      <xdr:rowOff>34664</xdr:rowOff>
    </xdr:to>
    <xdr:graphicFrame macro="">
      <xdr:nvGraphicFramePr>
        <xdr:cNvPr id="6" name="Chart 5">
          <a:extLst>
            <a:ext uri="{FF2B5EF4-FFF2-40B4-BE49-F238E27FC236}">
              <a16:creationId xmlns:a16="http://schemas.microsoft.com/office/drawing/2014/main" id="{2B8E1855-41D0-654E-AE72-19CB8DBCF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135052</xdr:colOff>
      <xdr:row>14</xdr:row>
      <xdr:rowOff>119028</xdr:rowOff>
    </xdr:from>
    <xdr:to>
      <xdr:col>32</xdr:col>
      <xdr:colOff>129156</xdr:colOff>
      <xdr:row>36</xdr:row>
      <xdr:rowOff>34664</xdr:rowOff>
    </xdr:to>
    <xdr:graphicFrame macro="">
      <xdr:nvGraphicFramePr>
        <xdr:cNvPr id="7" name="Chart 6">
          <a:extLst>
            <a:ext uri="{FF2B5EF4-FFF2-40B4-BE49-F238E27FC236}">
              <a16:creationId xmlns:a16="http://schemas.microsoft.com/office/drawing/2014/main" id="{BB6FB974-8C7E-264E-8230-AFBDCEA4D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255992</xdr:colOff>
      <xdr:row>14</xdr:row>
      <xdr:rowOff>119028</xdr:rowOff>
    </xdr:from>
    <xdr:to>
      <xdr:col>37</xdr:col>
      <xdr:colOff>250095</xdr:colOff>
      <xdr:row>36</xdr:row>
      <xdr:rowOff>34664</xdr:rowOff>
    </xdr:to>
    <xdr:graphicFrame macro="">
      <xdr:nvGraphicFramePr>
        <xdr:cNvPr id="8" name="AVG_CPA_BY+SECTOR">
          <a:extLst>
            <a:ext uri="{FF2B5EF4-FFF2-40B4-BE49-F238E27FC236}">
              <a16:creationId xmlns:a16="http://schemas.microsoft.com/office/drawing/2014/main" id="{ADDA1450-E7ED-604A-ACAF-96FF3E40E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14112</xdr:colOff>
      <xdr:row>38</xdr:row>
      <xdr:rowOff>82303</xdr:rowOff>
    </xdr:from>
    <xdr:to>
      <xdr:col>27</xdr:col>
      <xdr:colOff>8215</xdr:colOff>
      <xdr:row>59</xdr:row>
      <xdr:rowOff>168028</xdr:rowOff>
    </xdr:to>
    <xdr:graphicFrame macro="">
      <xdr:nvGraphicFramePr>
        <xdr:cNvPr id="9" name="Chart 8">
          <a:extLst>
            <a:ext uri="{FF2B5EF4-FFF2-40B4-BE49-F238E27FC236}">
              <a16:creationId xmlns:a16="http://schemas.microsoft.com/office/drawing/2014/main" id="{DC182882-92E6-714D-A256-C75621151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135051</xdr:colOff>
      <xdr:row>38</xdr:row>
      <xdr:rowOff>82303</xdr:rowOff>
    </xdr:from>
    <xdr:to>
      <xdr:col>32</xdr:col>
      <xdr:colOff>129155</xdr:colOff>
      <xdr:row>59</xdr:row>
      <xdr:rowOff>168028</xdr:rowOff>
    </xdr:to>
    <xdr:graphicFrame macro="">
      <xdr:nvGraphicFramePr>
        <xdr:cNvPr id="10" name="Chart 9">
          <a:extLst>
            <a:ext uri="{FF2B5EF4-FFF2-40B4-BE49-F238E27FC236}">
              <a16:creationId xmlns:a16="http://schemas.microsoft.com/office/drawing/2014/main" id="{8064B9B6-E50F-3146-8351-1630C3CE5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255992</xdr:colOff>
      <xdr:row>38</xdr:row>
      <xdr:rowOff>82303</xdr:rowOff>
    </xdr:from>
    <xdr:to>
      <xdr:col>37</xdr:col>
      <xdr:colOff>250095</xdr:colOff>
      <xdr:row>59</xdr:row>
      <xdr:rowOff>168028</xdr:rowOff>
    </xdr:to>
    <xdr:graphicFrame macro="">
      <xdr:nvGraphicFramePr>
        <xdr:cNvPr id="11" name="Chart 10">
          <a:extLst>
            <a:ext uri="{FF2B5EF4-FFF2-40B4-BE49-F238E27FC236}">
              <a16:creationId xmlns:a16="http://schemas.microsoft.com/office/drawing/2014/main" id="{FB24A983-2C4F-3B42-987F-C3E827E67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385535</xdr:colOff>
      <xdr:row>14</xdr:row>
      <xdr:rowOff>116114</xdr:rowOff>
    </xdr:from>
    <xdr:to>
      <xdr:col>45</xdr:col>
      <xdr:colOff>1213302</xdr:colOff>
      <xdr:row>60</xdr:row>
      <xdr:rowOff>11338</xdr:rowOff>
    </xdr:to>
    <xdr:graphicFrame macro="">
      <xdr:nvGraphicFramePr>
        <xdr:cNvPr id="12" name="Chart 11">
          <a:extLst>
            <a:ext uri="{FF2B5EF4-FFF2-40B4-BE49-F238E27FC236}">
              <a16:creationId xmlns:a16="http://schemas.microsoft.com/office/drawing/2014/main" id="{5F6C8C35-68CD-0D45-B26F-29170A6E2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635000</xdr:colOff>
      <xdr:row>47</xdr:row>
      <xdr:rowOff>0</xdr:rowOff>
    </xdr:from>
    <xdr:to>
      <xdr:col>12</xdr:col>
      <xdr:colOff>622300</xdr:colOff>
      <xdr:row>57</xdr:row>
      <xdr:rowOff>152400</xdr:rowOff>
    </xdr:to>
    <xdr:sp macro="" textlink="">
      <xdr:nvSpPr>
        <xdr:cNvPr id="13" name="Right Arrow 12">
          <a:extLst>
            <a:ext uri="{FF2B5EF4-FFF2-40B4-BE49-F238E27FC236}">
              <a16:creationId xmlns:a16="http://schemas.microsoft.com/office/drawing/2014/main" id="{E1469B7F-1B89-93A5-4E9A-0946193F1F5C}"/>
            </a:ext>
          </a:extLst>
        </xdr:cNvPr>
        <xdr:cNvSpPr/>
      </xdr:nvSpPr>
      <xdr:spPr>
        <a:xfrm>
          <a:off x="12293600" y="7759700"/>
          <a:ext cx="5295900" cy="1803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Scroll to see the</a:t>
          </a:r>
          <a:r>
            <a:rPr lang="en-US" sz="2400" baseline="0"/>
            <a:t> full Dashboard with Filters and Slicers. </a:t>
          </a:r>
          <a:endParaRPr lang="en-US"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s Tilwani" refreshedDate="45975.133899305554" createdVersion="8" refreshedVersion="8" minRefreshableVersion="3" recordCount="1000" xr:uid="{CA4B9EA0-4ABC-B340-B35C-1A5591EAAB07}">
  <cacheSource type="worksheet">
    <worksheetSource name="Table1"/>
  </cacheSource>
  <cacheFields count="26">
    <cacheField name="Campaign ID" numFmtId="0">
      <sharedItems/>
    </cacheField>
    <cacheField name="Start Date" numFmtId="166">
      <sharedItems containsSemiMixedTypes="0" containsNonDate="0" containsDate="1" containsString="0" minDate="2023-01-01T16:10:36" maxDate="2024-12-30T22:11:16" count="1000">
        <d v="2023-04-19T22:56:21"/>
        <d v="2023-08-23T07:38:51"/>
        <d v="2023-03-22T11:56:35"/>
        <d v="2024-05-09T09:29:28"/>
        <d v="2023-07-22T13:42:06"/>
        <d v="2024-12-27T08:38:10"/>
        <d v="2023-04-18T21:03:25"/>
        <d v="2024-04-10T16:42:06"/>
        <d v="2023-07-09T11:59:33"/>
        <d v="2024-04-01T10:40:37"/>
        <d v="2023-06-26T12:33:51"/>
        <d v="2023-10-15T22:22:58"/>
        <d v="2024-07-28T04:47:12"/>
        <d v="2023-10-06T23:51:43"/>
        <d v="2024-06-20T18:01:59"/>
        <d v="2024-07-14T13:40:46"/>
        <d v="2023-01-25T14:40:45"/>
        <d v="2024-06-24T22:26:16"/>
        <d v="2023-03-18T14:01:35"/>
        <d v="2023-06-30T23:49:37"/>
        <d v="2024-01-14T15:17:40"/>
        <d v="2024-05-30T21:44:09"/>
        <d v="2023-06-14T23:29:23"/>
        <d v="2024-07-14T02:30:52"/>
        <d v="2023-03-15T12:28:15"/>
        <d v="2023-05-17T04:03:22"/>
        <d v="2024-09-23T18:03:38"/>
        <d v="2023-09-30T02:43:08"/>
        <d v="2024-02-01T07:16:13"/>
        <d v="2023-06-13T00:17:59"/>
        <d v="2024-05-09T10:57:39"/>
        <d v="2024-04-16T01:29:58"/>
        <d v="2023-01-12T09:51:32"/>
        <d v="2024-11-21T01:45:23"/>
        <d v="2023-08-17T10:21:21"/>
        <d v="2023-10-04T11:03:02"/>
        <d v="2023-04-27T12:56:10"/>
        <d v="2024-04-14T12:04:57"/>
        <d v="2024-09-08T19:48:46"/>
        <d v="2023-11-13T07:43:56"/>
        <d v="2024-11-01T07:39:39"/>
        <d v="2024-08-15T09:39:18"/>
        <d v="2024-10-04T06:28:20"/>
        <d v="2023-06-12T21:28:02"/>
        <d v="2024-06-07T21:28:43"/>
        <d v="2024-10-05T09:36:11"/>
        <d v="2024-07-16T00:10:41"/>
        <d v="2024-05-25T12:19:10"/>
        <d v="2023-04-08T22:47:32"/>
        <d v="2023-08-16T05:02:59"/>
        <d v="2023-08-15T20:21:08"/>
        <d v="2023-05-11T09:55:21"/>
        <d v="2023-08-09T19:20:38"/>
        <d v="2024-04-11T19:57:05"/>
        <d v="2023-11-09T22:52:14"/>
        <d v="2024-03-11T13:30:17"/>
        <d v="2023-04-09T11:14:36"/>
        <d v="2023-03-09T21:23:16"/>
        <d v="2024-05-22T23:10:38"/>
        <d v="2024-06-27T12:38:00"/>
        <d v="2023-10-29T12:58:45"/>
        <d v="2023-03-02T15:40:51"/>
        <d v="2024-11-23T21:11:35"/>
        <d v="2024-07-13T11:58:21"/>
        <d v="2023-12-22T11:42:38"/>
        <d v="2023-04-23T17:23:07"/>
        <d v="2023-08-30T18:21:30"/>
        <d v="2024-07-30T19:08:11"/>
        <d v="2024-06-22T02:08:15"/>
        <d v="2024-11-29T00:13:41"/>
        <d v="2024-12-09T15:53:03"/>
        <d v="2024-03-17T17:52:20"/>
        <d v="2024-02-11T00:30:12"/>
        <d v="2024-01-08T08:52:36"/>
        <d v="2024-03-03T15:24:44"/>
        <d v="2024-09-10T03:51:49"/>
        <d v="2024-05-21T16:22:01"/>
        <d v="2024-08-13T11:32:15"/>
        <d v="2024-08-10T13:55:55"/>
        <d v="2024-06-09T06:02:14"/>
        <d v="2024-08-09T01:18:48"/>
        <d v="2023-12-13T17:25:36"/>
        <d v="2023-08-12T15:35:16"/>
        <d v="2023-04-28T10:25:21"/>
        <d v="2023-04-15T18:40:34"/>
        <d v="2023-03-11T16:19:24"/>
        <d v="2024-11-04T20:40:29"/>
        <d v="2024-10-27T03:38:25"/>
        <d v="2023-01-24T07:52:57"/>
        <d v="2023-02-23T18:39:17"/>
        <d v="2024-09-22T02:00:54"/>
        <d v="2024-03-10T23:27:38"/>
        <d v="2023-04-29T00:52:48"/>
        <d v="2024-05-17T12:29:26"/>
        <d v="2024-07-10T07:52:55"/>
        <d v="2023-03-17T19:00:41"/>
        <d v="2023-08-09T15:58:15"/>
        <d v="2023-12-15T14:21:01"/>
        <d v="2023-07-22T04:13:20"/>
        <d v="2024-08-11T18:28:21"/>
        <d v="2023-10-04T02:38:10"/>
        <d v="2024-04-05T14:14:55"/>
        <d v="2023-12-29T05:48:27"/>
        <d v="2023-02-03T20:52:37"/>
        <d v="2023-10-28T21:46:04"/>
        <d v="2023-08-15T19:24:15"/>
        <d v="2023-09-02T22:27:21"/>
        <d v="2024-02-15T21:42:28"/>
        <d v="2024-05-24T01:15:24"/>
        <d v="2023-06-12T17:57:27"/>
        <d v="2023-01-04T15:38:56"/>
        <d v="2023-04-06T18:19:04"/>
        <d v="2024-10-10T23:17:16"/>
        <d v="2024-07-15T16:28:44"/>
        <d v="2024-09-07T12:06:21"/>
        <d v="2023-10-06T16:48:08"/>
        <d v="2024-07-11T22:04:53"/>
        <d v="2023-05-16T02:35:22"/>
        <d v="2024-06-02T04:19:59"/>
        <d v="2024-08-03T05:30:00"/>
        <d v="2024-04-11T19:49:44"/>
        <d v="2024-07-07T01:07:58"/>
        <d v="2023-05-22T05:34:06"/>
        <d v="2024-06-28T21:30:14"/>
        <d v="2024-05-27T12:04:48"/>
        <d v="2024-04-06T02:30:28"/>
        <d v="2024-02-01T07:51:52"/>
        <d v="2023-03-10T06:49:10"/>
        <d v="2023-10-24T09:44:43"/>
        <d v="2023-08-03T09:16:50"/>
        <d v="2024-11-27T04:27:18"/>
        <d v="2023-01-14T08:47:46"/>
        <d v="2023-03-14T13:43:28"/>
        <d v="2023-03-16T03:58:43"/>
        <d v="2023-05-07T21:37:41"/>
        <d v="2024-02-03T16:30:56"/>
        <d v="2023-02-15T21:52:12"/>
        <d v="2024-06-29T16:26:51"/>
        <d v="2023-12-31T10:00:36"/>
        <d v="2024-02-23T08:25:23"/>
        <d v="2024-07-29T15:29:10"/>
        <d v="2024-02-03T21:37:50"/>
        <d v="2023-02-13T22:27:07"/>
        <d v="2023-05-22T01:13:59"/>
        <d v="2024-08-11T02:21:36"/>
        <d v="2023-05-26T20:56:05"/>
        <d v="2024-04-20T18:20:24"/>
        <d v="2023-01-03T04:51:07"/>
        <d v="2023-08-07T15:52:12"/>
        <d v="2024-12-03T19:39:44"/>
        <d v="2024-07-14T09:42:32"/>
        <d v="2023-05-09T13:35:53"/>
        <d v="2024-03-23T17:40:55"/>
        <d v="2023-02-10T19:18:32"/>
        <d v="2023-02-01T12:20:40"/>
        <d v="2023-06-22T04:51:36"/>
        <d v="2024-06-13T04:35:21"/>
        <d v="2023-01-06T10:34:21"/>
        <d v="2023-11-15T04:09:38"/>
        <d v="2023-11-01T06:13:44"/>
        <d v="2023-02-19T18:52:02"/>
        <d v="2024-03-03T12:51:10"/>
        <d v="2023-03-20T14:07:44"/>
        <d v="2023-05-06T12:22:19"/>
        <d v="2023-08-31T08:49:00"/>
        <d v="2024-10-26T00:09:35"/>
        <d v="2024-04-15T11:40:42"/>
        <d v="2023-07-12T07:18:57"/>
        <d v="2024-06-18T08:09:47"/>
        <d v="2024-11-15T17:01:00"/>
        <d v="2023-04-11T08:05:20"/>
        <d v="2023-12-31T12:56:53"/>
        <d v="2024-04-05T07:32:40"/>
        <d v="2024-05-15T20:10:58"/>
        <d v="2023-01-20T22:58:12"/>
        <d v="2024-04-26T22:16:04"/>
        <d v="2023-11-28T02:25:15"/>
        <d v="2023-06-01T11:57:30"/>
        <d v="2023-01-24T21:56:28"/>
        <d v="2024-03-23T13:04:28"/>
        <d v="2023-07-06T11:12:14"/>
        <d v="2023-06-14T20:53:00"/>
        <d v="2023-04-08T19:49:31"/>
        <d v="2023-02-15T08:17:06"/>
        <d v="2024-08-07T04:56:39"/>
        <d v="2024-10-05T02:20:04"/>
        <d v="2023-12-23T02:16:19"/>
        <d v="2024-06-07T00:46:20"/>
        <d v="2023-01-13T13:27:16"/>
        <d v="2023-10-08T22:47:09"/>
        <d v="2023-10-09T09:54:34"/>
        <d v="2023-10-19T17:05:38"/>
        <d v="2024-04-17T08:53:05"/>
        <d v="2024-04-26T06:47:56"/>
        <d v="2023-10-27T17:01:26"/>
        <d v="2023-12-04T17:03:16"/>
        <d v="2024-07-31T01:15:51"/>
        <d v="2023-02-07T06:39:33"/>
        <d v="2023-09-14T01:38:19"/>
        <d v="2023-06-30T22:06:28"/>
        <d v="2024-01-14T12:45:09"/>
        <d v="2023-04-14T04:46:34"/>
        <d v="2023-06-24T01:45:11"/>
        <d v="2023-11-10T21:58:48"/>
        <d v="2023-08-04T08:48:17"/>
        <d v="2023-02-22T12:23:58"/>
        <d v="2024-10-07T02:57:46"/>
        <d v="2023-09-26T07:56:55"/>
        <d v="2024-10-28T10:02:05"/>
        <d v="2024-12-17T04:40:46"/>
        <d v="2023-10-03T09:11:50"/>
        <d v="2024-02-27T10:28:19"/>
        <d v="2023-03-18T14:57:03"/>
        <d v="2024-05-06T10:29:19"/>
        <d v="2024-02-24T18:56:32"/>
        <d v="2023-10-02T05:33:25"/>
        <d v="2023-02-20T15:52:29"/>
        <d v="2024-01-04T02:19:05"/>
        <d v="2023-01-19T12:24:45"/>
        <d v="2024-11-27T10:39:29"/>
        <d v="2023-09-23T23:39:35"/>
        <d v="2024-04-14T16:29:48"/>
        <d v="2023-05-30T21:49:15"/>
        <d v="2024-01-12T09:13:12"/>
        <d v="2024-08-22T11:32:51"/>
        <d v="2024-06-17T00:18:25"/>
        <d v="2023-04-20T17:41:32"/>
        <d v="2024-08-24T21:22:11"/>
        <d v="2024-03-19T19:01:23"/>
        <d v="2024-01-26T21:01:57"/>
        <d v="2024-12-02T15:00:14"/>
        <d v="2024-11-04T20:45:29"/>
        <d v="2024-01-18T18:14:17"/>
        <d v="2023-04-19T21:32:42"/>
        <d v="2024-08-11T23:30:38"/>
        <d v="2024-08-18T15:13:17"/>
        <d v="2023-04-19T08:38:46"/>
        <d v="2023-11-14T16:15:31"/>
        <d v="2024-08-25T03:23:23"/>
        <d v="2023-08-08T14:58:17"/>
        <d v="2024-06-09T18:31:11"/>
        <d v="2024-10-18T23:27:47"/>
        <d v="2023-01-12T07:58:04"/>
        <d v="2023-12-17T05:35:11"/>
        <d v="2024-03-22T09:14:58"/>
        <d v="2023-09-13T19:15:32"/>
        <d v="2023-12-04T16:32:00"/>
        <d v="2023-11-20T22:53:08"/>
        <d v="2024-12-04T00:34:19"/>
        <d v="2024-10-13T02:40:54"/>
        <d v="2024-10-22T18:49:32"/>
        <d v="2023-06-10T18:54:29"/>
        <d v="2023-11-08T10:58:32"/>
        <d v="2024-08-26T12:05:13"/>
        <d v="2023-09-22T16:04:49"/>
        <d v="2024-04-19T10:30:20"/>
        <d v="2024-04-08T11:45:37"/>
        <d v="2024-05-20T03:56:11"/>
        <d v="2024-06-20T05:05:06"/>
        <d v="2024-11-05T01:01:11"/>
        <d v="2023-03-10T15:57:35"/>
        <d v="2024-05-11T15:34:24"/>
        <d v="2024-05-19T21:09:29"/>
        <d v="2023-03-16T12:56:15"/>
        <d v="2023-07-27T09:19:18"/>
        <d v="2023-05-07T11:23:49"/>
        <d v="2024-06-19T18:04:01"/>
        <d v="2023-10-25T12:13:32"/>
        <d v="2024-08-30T13:02:34"/>
        <d v="2024-02-21T17:43:25"/>
        <d v="2023-03-05T13:36:50"/>
        <d v="2024-03-11T10:44:13"/>
        <d v="2024-01-10T04:37:19"/>
        <d v="2024-08-30T06:29:10"/>
        <d v="2024-12-11T05:31:09"/>
        <d v="2024-09-15T13:43:05"/>
        <d v="2024-05-19T17:51:44"/>
        <d v="2024-03-24T18:01:57"/>
        <d v="2024-07-19T05:57:20"/>
        <d v="2024-06-19T00:41:54"/>
        <d v="2023-09-15T15:40:17"/>
        <d v="2023-01-02T23:44:46"/>
        <d v="2023-12-08T05:44:36"/>
        <d v="2023-06-25T19:38:10"/>
        <d v="2023-09-13T16:52:02"/>
        <d v="2024-07-28T20:09:41"/>
        <d v="2023-03-27T16:33:17"/>
        <d v="2023-04-19T04:34:00"/>
        <d v="2023-08-01T21:31:42"/>
        <d v="2023-04-09T05:59:58"/>
        <d v="2023-09-30T20:42:22"/>
        <d v="2023-03-11T01:48:25"/>
        <d v="2024-09-06T13:10:20"/>
        <d v="2023-10-28T15:38:32"/>
        <d v="2023-08-06T09:54:39"/>
        <d v="2023-08-05T23:56:56"/>
        <d v="2024-11-28T10:00:17"/>
        <d v="2023-12-29T06:58:46"/>
        <d v="2023-02-17T12:59:34"/>
        <d v="2024-01-06T08:51:15"/>
        <d v="2024-01-03T05:54:31"/>
        <d v="2023-10-06T18:26:49"/>
        <d v="2024-03-08T17:13:18"/>
        <d v="2023-09-27T23:21:35"/>
        <d v="2023-04-28T10:39:48"/>
        <d v="2024-06-26T19:02:44"/>
        <d v="2024-11-20T22:26:59"/>
        <d v="2023-08-21T14:41:56"/>
        <d v="2024-02-10T06:57:34"/>
        <d v="2023-10-26T10:38:59"/>
        <d v="2023-01-19T10:03:10"/>
        <d v="2023-10-16T01:29:25"/>
        <d v="2023-04-28T01:44:42"/>
        <d v="2023-10-24T15:22:52"/>
        <d v="2023-09-29T19:19:24"/>
        <d v="2024-03-09T23:34:28"/>
        <d v="2024-09-21T06:14:37"/>
        <d v="2023-03-13T09:49:38"/>
        <d v="2023-10-15T14:22:18"/>
        <d v="2023-12-31T19:32:24"/>
        <d v="2023-09-30T16:19:00"/>
        <d v="2023-08-11T11:41:46"/>
        <d v="2023-02-20T11:37:53"/>
        <d v="2023-08-18T15:56:44"/>
        <d v="2024-07-14T17:55:29"/>
        <d v="2023-07-07T21:16:59"/>
        <d v="2024-07-29T12:57:01"/>
        <d v="2024-03-02T10:18:23"/>
        <d v="2024-09-01T10:17:47"/>
        <d v="2023-03-11T18:44:14"/>
        <d v="2024-12-02T03:17:00"/>
        <d v="2024-04-06T14:12:48"/>
        <d v="2023-05-25T12:28:00"/>
        <d v="2023-04-23T23:12:45"/>
        <d v="2023-12-12T10:13:35"/>
        <d v="2024-07-19T13:01:20"/>
        <d v="2023-12-09T10:03:42"/>
        <d v="2024-05-16T07:33:47"/>
        <d v="2024-05-15T11:03:19"/>
        <d v="2023-01-25T14:25:48"/>
        <d v="2023-11-12T11:31:45"/>
        <d v="2024-06-29T08:48:36"/>
        <d v="2023-12-02T14:46:49"/>
        <d v="2024-04-01T01:41:12"/>
        <d v="2023-07-20T04:43:30"/>
        <d v="2023-06-11T13:57:21"/>
        <d v="2024-02-26T07:13:54"/>
        <d v="2023-10-28T13:31:50"/>
        <d v="2024-10-07T14:42:40"/>
        <d v="2023-01-06T11:48:55"/>
        <d v="2023-09-13T05:28:37"/>
        <d v="2024-12-13T10:48:01"/>
        <d v="2024-04-01T23:04:57"/>
        <d v="2023-02-21T19:30:11"/>
        <d v="2024-04-05T04:20:19"/>
        <d v="2024-07-08T04:57:31"/>
        <d v="2024-05-20T13:00:23"/>
        <d v="2023-12-05T00:03:46"/>
        <d v="2024-01-12T22:44:07"/>
        <d v="2024-05-22T10:12:16"/>
        <d v="2023-08-29T20:28:01"/>
        <d v="2024-02-09T11:23:20"/>
        <d v="2023-02-03T18:40:52"/>
        <d v="2024-05-04T20:01:21"/>
        <d v="2023-06-14T03:05:55"/>
        <d v="2023-01-05T21:46:08"/>
        <d v="2023-04-30T05:02:32"/>
        <d v="2024-01-17T05:24:23"/>
        <d v="2024-08-27T03:50:31"/>
        <d v="2024-12-13T03:15:57"/>
        <d v="2024-06-03T08:08:31"/>
        <d v="2024-11-28T20:58:04"/>
        <d v="2024-06-05T19:55:08"/>
        <d v="2023-10-07T02:12:07"/>
        <d v="2023-05-12T00:39:43"/>
        <d v="2024-11-07T08:47:03"/>
        <d v="2024-12-30T03:50:58"/>
        <d v="2023-11-24T07:42:00"/>
        <d v="2023-07-15T01:34:54"/>
        <d v="2024-04-12T18:02:01"/>
        <d v="2023-10-29T09:27:57"/>
        <d v="2024-02-29T05:19:38"/>
        <d v="2023-05-05T18:31:16"/>
        <d v="2024-12-03T01:17:06"/>
        <d v="2024-02-04T21:38:37"/>
        <d v="2023-01-29T22:41:35"/>
        <d v="2023-07-29T03:36:56"/>
        <d v="2023-07-13T10:06:00"/>
        <d v="2023-03-16T15:42:24"/>
        <d v="2024-10-28T02:13:51"/>
        <d v="2023-07-21T18:08:41"/>
        <d v="2023-08-26T02:14:50"/>
        <d v="2024-07-27T12:24:27"/>
        <d v="2023-11-17T13:25:32"/>
        <d v="2024-09-19T23:56:59"/>
        <d v="2024-04-15T11:36:51"/>
        <d v="2023-12-19T02:12:58"/>
        <d v="2023-08-23T17:22:02"/>
        <d v="2024-07-28T16:58:38"/>
        <d v="2024-07-02T06:37:05"/>
        <d v="2023-09-07T00:25:33"/>
        <d v="2024-04-20T20:03:48"/>
        <d v="2023-11-15T11:03:53"/>
        <d v="2024-04-05T23:59:39"/>
        <d v="2023-09-11T14:37:11"/>
        <d v="2023-12-11T05:53:28"/>
        <d v="2024-03-17T00:58:44"/>
        <d v="2024-10-24T23:57:27"/>
        <d v="2024-01-13T05:25:23"/>
        <d v="2023-05-01T00:57:58"/>
        <d v="2024-06-20T00:46:03"/>
        <d v="2024-10-16T06:15:39"/>
        <d v="2023-04-07T23:03:06"/>
        <d v="2023-12-06T12:18:00"/>
        <d v="2024-04-15T06:26:24"/>
        <d v="2023-08-12T20:55:09"/>
        <d v="2024-07-30T13:46:19"/>
        <d v="2024-10-29T07:49:40"/>
        <d v="2024-12-22T16:04:37"/>
        <d v="2024-03-06T23:54:56"/>
        <d v="2024-04-24T12:43:05"/>
        <d v="2023-07-04T13:01:44"/>
        <d v="2023-06-29T23:59:07"/>
        <d v="2023-10-07T20:52:07"/>
        <d v="2024-11-12T18:28:09"/>
        <d v="2023-09-11T06:56:29"/>
        <d v="2024-12-25T13:08:55"/>
        <d v="2024-05-05T18:33:05"/>
        <d v="2023-02-20T18:49:08"/>
        <d v="2023-05-12T10:07:28"/>
        <d v="2023-01-21T05:12:50"/>
        <d v="2024-04-13T12:44:32"/>
        <d v="2023-12-21T00:04:03"/>
        <d v="2024-01-24T06:43:37"/>
        <d v="2023-08-06T14:28:37"/>
        <d v="2024-06-12T12:38:52"/>
        <d v="2024-03-19T10:15:03"/>
        <d v="2023-11-20T13:53:38"/>
        <d v="2024-09-20T11:23:20"/>
        <d v="2024-02-04T01:04:05"/>
        <d v="2024-08-09T06:24:07"/>
        <d v="2024-03-24T12:07:11"/>
        <d v="2023-08-01T05:19:10"/>
        <d v="2023-02-04T02:05:58"/>
        <d v="2024-08-28T10:27:23"/>
        <d v="2024-07-05T07:20:04"/>
        <d v="2024-12-23T02:22:37"/>
        <d v="2023-03-24T02:11:39"/>
        <d v="2023-04-05T14:27:02"/>
        <d v="2023-09-30T23:05:08"/>
        <d v="2023-04-10T14:49:26"/>
        <d v="2024-07-02T06:49:08"/>
        <d v="2023-08-20T18:52:40"/>
        <d v="2024-11-05T03:54:54"/>
        <d v="2023-08-11T16:25:25"/>
        <d v="2023-04-07T04:16:52"/>
        <d v="2024-02-26T10:51:37"/>
        <d v="2024-09-15T02:44:15"/>
        <d v="2023-04-26T03:21:58"/>
        <d v="2024-06-19T17:46:57"/>
        <d v="2023-06-16T07:00:50"/>
        <d v="2023-02-02T08:58:47"/>
        <d v="2024-02-12T17:12:21"/>
        <d v="2024-08-27T22:24:39"/>
        <d v="2024-01-16T03:16:37"/>
        <d v="2023-04-07T23:27:53"/>
        <d v="2024-12-08T10:49:48"/>
        <d v="2024-07-14T19:58:18"/>
        <d v="2024-06-22T13:50:38"/>
        <d v="2024-03-14T17:59:52"/>
        <d v="2023-04-12T01:54:36"/>
        <d v="2024-10-08T07:26:47"/>
        <d v="2023-06-14T23:39:16"/>
        <d v="2023-10-17T01:43:29"/>
        <d v="2024-07-08T12:51:46"/>
        <d v="2024-11-18T08:10:09"/>
        <d v="2023-03-24T18:11:20"/>
        <d v="2023-06-15T09:07:24"/>
        <d v="2023-03-25T08:06:41"/>
        <d v="2023-09-22T09:24:37"/>
        <d v="2023-10-09T06:23:06"/>
        <d v="2024-04-02T01:28:31"/>
        <d v="2024-03-27T14:47:04"/>
        <d v="2023-04-07T10:01:19"/>
        <d v="2024-10-28T20:48:51"/>
        <d v="2023-10-02T07:35:10"/>
        <d v="2024-03-29T05:38:25"/>
        <d v="2024-01-13T14:00:28"/>
        <d v="2023-01-24T15:02:29"/>
        <d v="2023-12-17T06:33:48"/>
        <d v="2023-07-13T10:06:03"/>
        <d v="2024-08-12T15:00:56"/>
        <d v="2023-07-29T18:03:43"/>
        <d v="2024-07-28T20:33:31"/>
        <d v="2024-06-24T16:23:45"/>
        <d v="2023-10-23T03:43:13"/>
        <d v="2023-05-07T10:49:31"/>
        <d v="2023-10-24T19:37:18"/>
        <d v="2024-08-31T13:50:53"/>
        <d v="2023-06-30T23:10:25"/>
        <d v="2023-08-08T12:16:29"/>
        <d v="2024-05-06T17:35:00"/>
        <d v="2023-09-01T00:57:00"/>
        <d v="2023-01-15T10:35:11"/>
        <d v="2023-06-14T12:34:49"/>
        <d v="2024-12-01T04:24:45"/>
        <d v="2024-12-02T21:40:58"/>
        <d v="2023-08-28T14:10:34"/>
        <d v="2024-01-06T06:23:08"/>
        <d v="2023-07-23T14:49:50"/>
        <d v="2023-03-03T00:17:18"/>
        <d v="2024-05-28T18:03:43"/>
        <d v="2024-10-15T20:47:39"/>
        <d v="2023-01-30T15:53:39"/>
        <d v="2024-10-18T10:03:20"/>
        <d v="2024-10-05T07:54:50"/>
        <d v="2023-11-25T12:30:24"/>
        <d v="2023-05-15T21:31:21"/>
        <d v="2023-07-18T15:42:50"/>
        <d v="2024-02-19T04:56:54"/>
        <d v="2023-07-30T09:45:25"/>
        <d v="2024-12-09T00:36:06"/>
        <d v="2024-03-17T14:59:56"/>
        <d v="2023-02-11T13:25:55"/>
        <d v="2023-02-09T23:22:02"/>
        <d v="2023-03-12T02:40:53"/>
        <d v="2023-12-03T02:30:47"/>
        <d v="2023-05-25T18:58:49"/>
        <d v="2024-12-28T02:56:32"/>
        <d v="2024-09-13T12:07:45"/>
        <d v="2023-10-07T02:17:27"/>
        <d v="2023-10-01T09:52:39"/>
        <d v="2024-10-18T04:35:01"/>
        <d v="2023-10-10T04:40:32"/>
        <d v="2024-05-18T02:06:34"/>
        <d v="2023-08-24T03:00:40"/>
        <d v="2023-03-03T13:15:04"/>
        <d v="2023-09-28T01:45:01"/>
        <d v="2023-04-12T18:40:35"/>
        <d v="2024-12-06T05:05:40"/>
        <d v="2024-10-15T18:36:37"/>
        <d v="2024-08-16T15:37:50"/>
        <d v="2024-01-12T20:10:46"/>
        <d v="2024-07-11T19:20:17"/>
        <d v="2023-06-14T21:26:18"/>
        <d v="2023-11-18T00:37:57"/>
        <d v="2024-07-30T10:37:02"/>
        <d v="2024-12-05T05:10:45"/>
        <d v="2023-04-12T14:15:30"/>
        <d v="2023-12-03T09:55:06"/>
        <d v="2023-08-30T19:37:22"/>
        <d v="2023-06-02T02:27:36"/>
        <d v="2023-06-12T21:01:23"/>
        <d v="2023-06-27T23:09:26"/>
        <d v="2024-02-19T05:59:52"/>
        <d v="2023-02-03T08:10:12"/>
        <d v="2023-09-28T13:57:36"/>
        <d v="2024-01-17T20:51:09"/>
        <d v="2023-06-08T09:48:18"/>
        <d v="2023-09-13T00:02:18"/>
        <d v="2023-05-18T02:24:55"/>
        <d v="2023-03-27T09:41:05"/>
        <d v="2024-08-14T04:18:20"/>
        <d v="2024-02-06T09:08:12"/>
        <d v="2023-05-26T01:20:12"/>
        <d v="2023-08-21T09:54:39"/>
        <d v="2024-03-23T17:18:01"/>
        <d v="2024-04-07T22:10:21"/>
        <d v="2024-01-08T02:52:00"/>
        <d v="2024-05-03T19:38:17"/>
        <d v="2024-07-27T21:27:49"/>
        <d v="2024-06-28T18:46:25"/>
        <d v="2023-02-20T17:29:43"/>
        <d v="2024-01-11T09:15:54"/>
        <d v="2023-12-02T02:53:29"/>
        <d v="2024-06-27T10:42:58"/>
        <d v="2024-06-21T15:55:38"/>
        <d v="2023-07-25T00:57:26"/>
        <d v="2024-02-18T00:08:15"/>
        <d v="2023-04-17T01:24:33"/>
        <d v="2024-04-07T13:59:17"/>
        <d v="2024-09-03T20:09:37"/>
        <d v="2023-03-19T22:17:14"/>
        <d v="2024-11-25T01:18:00"/>
        <d v="2023-05-20T01:24:00"/>
        <d v="2024-01-01T15:16:40"/>
        <d v="2024-10-26T13:12:18"/>
        <d v="2024-08-28T16:57:48"/>
        <d v="2024-04-10T13:50:16"/>
        <d v="2024-05-29T16:20:12"/>
        <d v="2023-07-14T15:19:31"/>
        <d v="2023-11-27T20:04:40"/>
        <d v="2024-01-31T14:27:07"/>
        <d v="2023-08-12T09:01:26"/>
        <d v="2023-11-13T08:56:02"/>
        <d v="2023-08-12T19:38:28"/>
        <d v="2024-06-18T21:10:05"/>
        <d v="2023-06-22T07:36:30"/>
        <d v="2023-11-02T11:16:39"/>
        <d v="2023-08-25T17:48:22"/>
        <d v="2024-06-27T21:38:48"/>
        <d v="2024-10-03T06:55:30"/>
        <d v="2023-05-05T08:22:54"/>
        <d v="2023-06-14T03:45:07"/>
        <d v="2024-03-30T08:24:25"/>
        <d v="2023-08-04T20:10:40"/>
        <d v="2024-01-29T05:47:20"/>
        <d v="2024-04-02T18:27:00"/>
        <d v="2024-07-25T07:29:26"/>
        <d v="2024-12-29T01:10:50"/>
        <d v="2023-12-11T06:23:28"/>
        <d v="2023-07-09T01:52:14"/>
        <d v="2024-11-12T05:07:30"/>
        <d v="2023-10-08T21:31:42"/>
        <d v="2023-05-01T10:29:08"/>
        <d v="2024-04-04T05:07:54"/>
        <d v="2023-05-27T08:10:52"/>
        <d v="2023-12-25T04:54:43"/>
        <d v="2023-08-13T01:25:40"/>
        <d v="2024-12-21T08:26:17"/>
        <d v="2024-03-26T09:34:49"/>
        <d v="2024-10-22T12:39:39"/>
        <d v="2023-04-26T19:19:06"/>
        <d v="2024-09-07T15:31:52"/>
        <d v="2023-11-03T01:36:01"/>
        <d v="2024-05-07T23:52:40"/>
        <d v="2024-02-29T11:43:18"/>
        <d v="2024-10-23T11:58:49"/>
        <d v="2023-10-11T15:55:15"/>
        <d v="2024-09-12T06:29:04"/>
        <d v="2023-02-11T12:45:31"/>
        <d v="2024-03-29T16:11:07"/>
        <d v="2024-05-08T11:19:08"/>
        <d v="2024-04-30T04:01:12"/>
        <d v="2024-12-17T05:59:21"/>
        <d v="2023-03-03T15:19:38"/>
        <d v="2024-02-13T21:42:10"/>
        <d v="2024-05-20T03:34:08"/>
        <d v="2024-08-18T23:40:37"/>
        <d v="2023-08-29T13:07:56"/>
        <d v="2023-01-23T16:44:28"/>
        <d v="2023-05-15T12:56:31"/>
        <d v="2023-11-14T10:04:03"/>
        <d v="2024-06-06T17:24:53"/>
        <d v="2024-09-02T03:03:50"/>
        <d v="2024-11-11T23:30:29"/>
        <d v="2024-07-05T08:01:37"/>
        <d v="2023-10-08T20:42:17"/>
        <d v="2023-07-21T20:04:39"/>
        <d v="2023-12-11T16:27:34"/>
        <d v="2024-05-03T21:19:38"/>
        <d v="2023-11-17T12:40:14"/>
        <d v="2024-11-28T22:10:17"/>
        <d v="2023-12-21T20:49:59"/>
        <d v="2023-12-08T21:50:38"/>
        <d v="2024-04-03T03:52:03"/>
        <d v="2024-08-17T20:57:37"/>
        <d v="2023-02-09T07:27:15"/>
        <d v="2023-11-29T18:14:46"/>
        <d v="2024-02-21T22:53:31"/>
        <d v="2024-10-13T14:40:59"/>
        <d v="2023-01-10T04:06:28"/>
        <d v="2023-02-06T13:01:51"/>
        <d v="2023-11-23T10:43:51"/>
        <d v="2024-02-14T22:51:45"/>
        <d v="2023-02-19T20:57:10"/>
        <d v="2024-04-07T05:35:47"/>
        <d v="2024-10-26T07:01:33"/>
        <d v="2024-08-07T22:44:02"/>
        <d v="2023-02-18T20:27:51"/>
        <d v="2023-11-25T06:48:44"/>
        <d v="2023-04-26T06:04:14"/>
        <d v="2023-11-12T02:25:55"/>
        <d v="2023-12-18T03:33:10"/>
        <d v="2024-01-11T18:53:10"/>
        <d v="2024-08-31T17:35:45"/>
        <d v="2023-12-06T18:19:49"/>
        <d v="2023-05-09T16:00:55"/>
        <d v="2023-09-30T20:22:47"/>
        <d v="2023-07-27T14:35:21"/>
        <d v="2023-12-06T08:00:57"/>
        <d v="2023-06-23T14:45:44"/>
        <d v="2023-02-25T00:42:45"/>
        <d v="2024-10-29T02:07:13"/>
        <d v="2024-03-13T04:53:37"/>
        <d v="2023-02-19T00:01:20"/>
        <d v="2024-10-04T09:33:26"/>
        <d v="2023-12-02T03:06:58"/>
        <d v="2023-08-20T11:04:07"/>
        <d v="2023-12-31T08:15:25"/>
        <d v="2023-06-14T04:48:29"/>
        <d v="2024-10-06T09:42:39"/>
        <d v="2024-01-04T16:37:20"/>
        <d v="2023-09-13T17:15:04"/>
        <d v="2024-11-05T13:04:42"/>
        <d v="2024-03-03T12:56:11"/>
        <d v="2024-06-10T13:18:03"/>
        <d v="2023-05-27T15:19:02"/>
        <d v="2024-11-13T14:31:24"/>
        <d v="2024-06-01T17:57:19"/>
        <d v="2023-04-13T21:59:24"/>
        <d v="2023-03-06T05:28:41"/>
        <d v="2024-01-04T11:17:28"/>
        <d v="2024-11-11T19:49:04"/>
        <d v="2023-07-11T16:17:11"/>
        <d v="2023-12-15T18:00:40"/>
        <d v="2023-09-10T07:02:39"/>
        <d v="2024-03-27T06:28:18"/>
        <d v="2024-02-17T11:14:38"/>
        <d v="2023-05-13T20:33:24"/>
        <d v="2024-01-24T15:43:20"/>
        <d v="2023-02-09T16:44:04"/>
        <d v="2023-12-27T23:07:44"/>
        <d v="2024-03-04T12:49:22"/>
        <d v="2024-01-04T10:18:02"/>
        <d v="2023-01-25T21:29:35"/>
        <d v="2023-07-13T01:18:02"/>
        <d v="2023-09-04T02:55:31"/>
        <d v="2023-02-16T13:12:57"/>
        <d v="2023-08-09T05:38:32"/>
        <d v="2024-02-07T21:27:47"/>
        <d v="2024-05-13T02:58:58"/>
        <d v="2023-01-01T16:10:36"/>
        <d v="2024-10-20T23:33:17"/>
        <d v="2024-10-24T05:21:21"/>
        <d v="2023-10-23T16:34:39"/>
        <d v="2024-01-08T20:04:49"/>
        <d v="2024-07-11T12:19:50"/>
        <d v="2024-10-25T01:14:40"/>
        <d v="2024-10-31T13:43:56"/>
        <d v="2023-07-06T14:57:09"/>
        <d v="2024-11-22T17:45:54"/>
        <d v="2023-01-12T21:12:04"/>
        <d v="2024-04-19T00:58:00"/>
        <d v="2024-05-31T08:34:17"/>
        <d v="2024-05-31T09:55:39"/>
        <d v="2024-04-02T19:34:08"/>
        <d v="2024-01-17T21:18:31"/>
        <d v="2023-01-16T13:27:41"/>
        <d v="2024-11-12T21:49:25"/>
        <d v="2023-04-05T12:02:42"/>
        <d v="2024-10-02T13:15:59"/>
        <d v="2023-09-01T21:51:08"/>
        <d v="2023-07-06T12:59:10"/>
        <d v="2023-05-09T20:48:56"/>
        <d v="2023-05-05T02:03:04"/>
        <d v="2023-01-06T12:13:45"/>
        <d v="2024-04-23T20:13:19"/>
        <d v="2024-07-26T20:17:44"/>
        <d v="2023-07-04T10:26:03"/>
        <d v="2024-11-20T05:43:37"/>
        <d v="2023-08-18T19:12:25"/>
        <d v="2024-07-31T14:25:24"/>
        <d v="2024-03-23T16:16:44"/>
        <d v="2023-06-19T00:48:13"/>
        <d v="2024-02-12T17:29:08"/>
        <d v="2024-06-19T10:49:02"/>
        <d v="2023-12-24T12:49:02"/>
        <d v="2023-11-16T18:34:55"/>
        <d v="2024-02-26T21:53:41"/>
        <d v="2024-05-13T05:42:24"/>
        <d v="2023-11-04T21:06:57"/>
        <d v="2024-03-06T16:17:23"/>
        <d v="2023-05-12T22:34:50"/>
        <d v="2024-07-11T20:54:05"/>
        <d v="2024-11-05T02:39:15"/>
        <d v="2023-07-18T19:59:50"/>
        <d v="2024-08-14T21:16:01"/>
        <d v="2024-03-20T23:34:20"/>
        <d v="2023-10-31T08:26:20"/>
        <d v="2024-10-08T09:29:56"/>
        <d v="2024-09-26T05:38:19"/>
        <d v="2024-07-06T01:16:21"/>
        <d v="2023-04-04T10:28:24"/>
        <d v="2024-03-04T10:21:04"/>
        <d v="2023-02-10T16:25:56"/>
        <d v="2024-06-27T09:46:11"/>
        <d v="2023-06-09T14:17:56"/>
        <d v="2024-07-08T01:46:12"/>
        <d v="2024-04-15T21:44:04"/>
        <d v="2024-08-23T22:01:16"/>
        <d v="2024-07-27T09:39:29"/>
        <d v="2023-12-14T20:15:26"/>
        <d v="2024-04-24T13:37:09"/>
        <d v="2023-02-06T22:35:40"/>
        <d v="2023-08-20T06:01:14"/>
        <d v="2024-06-16T05:29:20"/>
        <d v="2024-12-01T23:22:03"/>
        <d v="2023-03-22T20:12:36"/>
        <d v="2024-05-01T07:52:34"/>
        <d v="2023-12-05T06:16:16"/>
        <d v="2023-05-31T23:38:58"/>
        <d v="2024-03-24T13:12:41"/>
        <d v="2023-12-04T03:02:49"/>
        <d v="2024-04-01T11:41:19"/>
        <d v="2024-07-18T23:22:14"/>
        <d v="2024-09-04T18:20:01"/>
        <d v="2023-04-15T07:02:22"/>
        <d v="2024-07-13T13:53:47"/>
        <d v="2024-04-04T06:28:56"/>
        <d v="2023-02-21T09:13:03"/>
        <d v="2023-07-06T16:19:31"/>
        <d v="2023-05-02T11:13:01"/>
        <d v="2023-11-22T03:29:38"/>
        <d v="2023-05-30T01:53:25"/>
        <d v="2024-01-02T01:26:31"/>
        <d v="2024-12-22T06:16:02"/>
        <d v="2024-03-13T13:24:56"/>
        <d v="2024-06-25T01:11:11"/>
        <d v="2024-04-09T17:00:21"/>
        <d v="2023-06-18T06:06:29"/>
        <d v="2024-01-07T04:52:47"/>
        <d v="2023-03-28T08:02:42"/>
        <d v="2024-05-23T08:35:05"/>
        <d v="2024-09-20T18:49:52"/>
        <d v="2023-03-25T19:23:35"/>
        <d v="2024-10-10T23:04:05"/>
        <d v="2023-05-12T13:42:11"/>
        <d v="2023-06-14T22:41:45"/>
        <d v="2024-01-02T08:06:45"/>
        <d v="2023-10-17T18:53:24"/>
        <d v="2024-01-07T06:25:36"/>
        <d v="2024-10-23T13:44:35"/>
        <d v="2024-04-13T19:50:42"/>
        <d v="2023-03-15T14:27:57"/>
        <d v="2024-07-18T08:41:20"/>
        <d v="2024-01-22T14:52:32"/>
        <d v="2023-02-24T08:09:01"/>
        <d v="2024-11-16T21:23:02"/>
        <d v="2023-02-13T01:37:04"/>
        <d v="2023-02-12T13:52:43"/>
        <d v="2023-11-05T20:39:08"/>
        <d v="2024-05-19T16:39:39"/>
        <d v="2024-06-03T22:04:25"/>
        <d v="2024-07-01T15:56:18"/>
        <d v="2024-11-10T19:16:03"/>
        <d v="2024-06-28T07:36:03"/>
        <d v="2024-07-31T08:06:11"/>
        <d v="2024-04-26T08:21:20"/>
        <d v="2024-10-12T04:03:57"/>
        <d v="2023-09-29T04:56:56"/>
        <d v="2024-04-24T16:07:40"/>
        <d v="2023-01-02T22:30:54"/>
        <d v="2024-07-01T22:57:09"/>
        <d v="2024-10-12T22:24:48"/>
        <d v="2024-12-11T14:35:34"/>
        <d v="2024-02-14T23:36:08"/>
        <d v="2024-08-08T07:26:41"/>
        <d v="2023-12-02T01:26:58"/>
        <d v="2023-07-16T17:18:29"/>
        <d v="2023-11-25T20:35:04"/>
        <d v="2024-09-25T12:40:48"/>
        <d v="2024-03-27T10:23:52"/>
        <d v="2023-03-25T14:35:41"/>
        <d v="2024-08-06T20:27:46"/>
        <d v="2024-03-20T09:54:03"/>
        <d v="2023-07-13T15:28:46"/>
        <d v="2023-09-10T09:04:55"/>
        <d v="2023-10-07T18:31:36"/>
        <d v="2024-01-24T01:04:07"/>
        <d v="2023-05-21T09:18:51"/>
        <d v="2024-04-09T12:14:52"/>
        <d v="2024-09-30T20:49:43"/>
        <d v="2024-01-30T20:34:35"/>
        <d v="2023-04-20T03:56:40"/>
        <d v="2024-04-22T23:14:02"/>
        <d v="2023-12-03T15:52:25"/>
        <d v="2024-04-17T12:28:58"/>
        <d v="2024-10-30T19:04:18"/>
        <d v="2023-04-01T20:58:02"/>
        <d v="2023-03-30T09:58:37"/>
        <d v="2023-08-06T12:36:42"/>
        <d v="2024-06-21T22:12:11"/>
        <d v="2023-05-04T17:05:39"/>
        <d v="2024-03-02T06:17:03"/>
        <d v="2024-10-04T07:05:42"/>
        <d v="2024-04-03T04:41:47"/>
        <d v="2023-02-13T09:33:54"/>
        <d v="2023-04-13T13:47:39"/>
        <d v="2023-12-30T02:57:20"/>
        <d v="2023-02-18T09:32:43"/>
        <d v="2023-07-08T15:00:06"/>
        <d v="2023-01-26T14:07:08"/>
        <d v="2023-09-06T00:24:23"/>
        <d v="2024-01-29T21:54:42"/>
        <d v="2024-01-10T02:46:45"/>
        <d v="2024-09-01T19:30:32"/>
        <d v="2024-09-13T10:12:06"/>
        <d v="2024-06-30T18:04:48"/>
        <d v="2024-06-15T08:00:48"/>
        <d v="2023-05-13T15:02:52"/>
        <d v="2023-07-17T01:05:34"/>
        <d v="2023-09-17T02:02:19"/>
        <d v="2024-04-03T22:04:58"/>
        <d v="2023-08-09T01:59:37"/>
        <d v="2023-09-22T19:04:02"/>
        <d v="2024-08-10T21:04:09"/>
        <d v="2023-04-27T01:28:45"/>
        <d v="2024-02-17T12:39:37"/>
        <d v="2023-03-08T17:24:41"/>
        <d v="2023-04-24T10:57:54"/>
        <d v="2023-08-13T02:43:11"/>
        <d v="2024-08-06T15:10:41"/>
        <d v="2023-10-28T03:49:57"/>
        <d v="2023-09-15T19:53:37"/>
        <d v="2024-06-08T10:06:35"/>
        <d v="2024-05-03T10:55:17"/>
        <d v="2023-10-18T20:09:11"/>
        <d v="2023-01-11T06:16:43"/>
        <d v="2023-12-23T07:04:54"/>
        <d v="2023-07-11T07:36:05"/>
        <d v="2023-04-05T10:39:32"/>
        <d v="2024-08-13T16:56:57"/>
        <d v="2023-12-16T06:20:44"/>
        <d v="2023-07-30T05:45:00"/>
        <d v="2024-08-22T21:48:49"/>
        <d v="2023-07-24T04:52:00"/>
        <d v="2024-04-15T16:01:42"/>
        <d v="2023-07-08T12:50:10"/>
        <d v="2023-04-28T21:03:32"/>
        <d v="2024-09-23T23:22:43"/>
        <d v="2024-01-07T00:13:32"/>
        <d v="2023-06-25T19:46:09"/>
        <d v="2024-11-22T01:06:13"/>
        <d v="2023-10-10T08:21:29"/>
        <d v="2024-12-18T09:13:24"/>
        <d v="2024-07-14T14:27:47"/>
        <d v="2024-10-27T15:03:51"/>
        <d v="2024-09-10T21:26:26"/>
        <d v="2023-02-19T13:04:10"/>
        <d v="2023-10-15T06:51:17"/>
        <d v="2024-02-24T08:13:06"/>
        <d v="2023-10-29T10:47:04"/>
        <d v="2024-11-28T20:11:34"/>
        <d v="2023-12-03T19:16:05"/>
        <d v="2024-02-08T05:46:29"/>
        <d v="2023-08-09T00:58:54"/>
        <d v="2024-06-01T11:51:18"/>
        <d v="2023-02-17T09:38:31"/>
        <d v="2023-08-25T12:52:58"/>
        <d v="2023-05-18T05:40:31"/>
        <d v="2024-11-04T12:53:03"/>
        <d v="2024-03-03T21:14:21"/>
        <d v="2024-06-25T17:39:56"/>
        <d v="2024-05-02T09:40:22"/>
        <d v="2024-07-31T21:38:51"/>
        <d v="2023-09-27T17:42:22"/>
        <d v="2023-05-29T19:39:17"/>
        <d v="2023-05-25T18:35:01"/>
        <d v="2024-02-14T04:28:31"/>
        <d v="2023-10-11T12:09:30"/>
        <d v="2024-06-04T00:45:44"/>
        <d v="2024-12-30T22:11:16"/>
        <d v="2023-03-20T00:04:05"/>
        <d v="2024-09-25T20:33:25"/>
        <d v="2024-09-19T11:42:28"/>
        <d v="2023-05-27T20:09:04"/>
        <d v="2024-10-07T16:53:40"/>
        <d v="2023-07-10T00:01:35"/>
        <d v="2023-03-25T18:06:40"/>
        <d v="2024-12-30T10:28:44"/>
        <d v="2024-04-16T11:08:08"/>
        <d v="2024-10-01T21:55:26"/>
        <d v="2023-04-02T12:52:48"/>
        <d v="2024-09-27T12:55:53"/>
        <d v="2023-06-17T15:03:28"/>
        <d v="2024-02-16T14:38:01"/>
        <d v="2024-06-17T01:18:36"/>
        <d v="2023-08-26T05:50:39"/>
        <d v="2024-01-14T15:05:20"/>
        <d v="2023-03-24T04:59:10"/>
        <d v="2023-05-08T02:05:41"/>
        <d v="2023-04-07T23:33:34"/>
        <d v="2024-11-26T17:18:22"/>
        <d v="2023-09-18T05:50:25"/>
        <d v="2023-05-20T23:56:19"/>
        <d v="2024-01-26T06:31:48"/>
        <d v="2024-12-12T17:01:17"/>
        <d v="2023-11-23T12:49:04"/>
        <d v="2023-02-28T01:30:11"/>
        <d v="2024-09-30T19:03:15"/>
        <d v="2024-09-01T09:03:42"/>
        <d v="2023-03-01T23:44:57"/>
        <d v="2023-11-04T01:40:36"/>
        <d v="2023-03-25T12:32:19"/>
        <d v="2023-08-27T16:38:58"/>
        <d v="2024-12-19T10:55:25"/>
        <d v="2024-10-14T02:23:42"/>
        <d v="2024-06-11T12:03:19"/>
        <d v="2023-11-23T06:05:49"/>
        <d v="2023-06-10T12:52:25"/>
        <d v="2023-03-02T18:14:29"/>
        <d v="2024-12-10T18:58:49"/>
        <d v="2024-01-18T03:40:57"/>
        <d v="2023-10-29T04:56:37"/>
        <d v="2024-02-20T10:58:57"/>
        <d v="2023-04-20T03:41:51"/>
        <d v="2023-03-23T10:28:25"/>
        <d v="2024-06-03T22:49:44"/>
        <d v="2023-09-06T07:17:40"/>
      </sharedItems>
      <fieldGroup par="25"/>
    </cacheField>
    <cacheField name="End Date" numFmtId="166">
      <sharedItems containsSemiMixedTypes="0" containsNonDate="0" containsDate="1" containsString="0" minDate="2023-02-04T06:08:28" maxDate="2024-12-30T22:11:16"/>
    </cacheField>
    <cacheField name="Status of Campaign" numFmtId="166">
      <sharedItems count="2">
        <s v="Completed"/>
        <s v="Ongoing"/>
      </sharedItems>
    </cacheField>
    <cacheField name="Duration of Campaign" numFmtId="2">
      <sharedItems containsSemiMixedTypes="0" containsString="0" containsNumber="1" minValue="0" maxValue="693.28155092592351"/>
    </cacheField>
    <cacheField name="Budget" numFmtId="164">
      <sharedItems containsSemiMixedTypes="0" containsString="0" containsNumber="1" containsInteger="1" minValue="1007" maxValue="9996"/>
    </cacheField>
    <cacheField name="Audience" numFmtId="0">
      <sharedItems count="4">
        <s v="Adults 25-34"/>
        <s v="Professionals 35-50"/>
        <s v="Youths 18-24"/>
        <s v="Parents 30-40"/>
      </sharedItems>
    </cacheField>
    <cacheField name="Impressions '000" numFmtId="3">
      <sharedItems containsSemiMixedTypes="0" containsString="0" containsNumber="1" containsInteger="1" minValue="1018" maxValue="19956"/>
    </cacheField>
    <cacheField name="Clicks" numFmtId="3">
      <sharedItems containsSemiMixedTypes="0" containsString="0" containsNumber="1" containsInteger="1" minValue="101" maxValue="1994"/>
    </cacheField>
    <cacheField name="Conversions" numFmtId="3">
      <sharedItems containsSemiMixedTypes="0" containsString="0" containsNumber="1" containsInteger="1" minValue="10" maxValue="500"/>
    </cacheField>
    <cacheField name="Revenue" numFmtId="165">
      <sharedItems containsSemiMixedTypes="0" containsString="0" containsNumber="1" containsInteger="1" minValue="509" maxValue="14951"/>
    </cacheField>
    <cacheField name="Click Through Rate" numFmtId="10">
      <sharedItems containsSemiMixedTypes="0" containsString="0" containsNumber="1" minValue="5.4806070826306915E-3" maxValue="1.5740418118466899"/>
    </cacheField>
    <cacheField name="Conversion Rate" numFmtId="10">
      <sharedItems containsSemiMixedTypes="0" containsString="0" containsNumber="1" minValue="6.0851926977687626E-3" maxValue="3.5405405405405403" count="1000">
        <n v="0.14792899408284024"/>
        <n v="0.28176795580110497"/>
        <n v="0.22665883734586026"/>
        <n v="4.8667439165701043E-2"/>
        <n v="0.31129132875857768"/>
        <n v="9.5522388059701493E-2"/>
        <n v="0.63855421686746983"/>
        <n v="0.83291139240506329"/>
        <n v="0.13262815296989422"/>
        <n v="0.17583497053045186"/>
        <n v="0.23449001051524712"/>
        <n v="6.7452521283562536E-2"/>
        <n v="0.1308139534883721"/>
        <n v="0.27146361406377761"/>
        <n v="0.45091514143094841"/>
        <n v="0.23546344271732872"/>
        <n v="1.2784810126582278"/>
        <n v="0.13107241063244729"/>
        <n v="0.76303317535545023"/>
        <n v="5.3097345132743362E-2"/>
        <n v="0.13749309773605742"/>
        <n v="0.10412926391382406"/>
        <n v="0.25429326287978865"/>
        <n v="0.18181818181818182"/>
        <n v="0.36435643564356435"/>
        <n v="0.16503737780333524"/>
        <n v="0.1357361963190184"/>
        <n v="0.57499999999999996"/>
        <n v="0.20778145695364239"/>
        <n v="1.8431372549019607"/>
        <n v="0.50976138828633411"/>
        <n v="0.25734265734265732"/>
        <n v="1.054945054945055"/>
        <n v="8.7782805429864247E-2"/>
        <n v="0.91922005571030641"/>
        <n v="0.62992125984251968"/>
        <n v="0.27134146341463417"/>
        <n v="0.97762863534675615"/>
        <n v="0.48344370860927155"/>
        <n v="0.12350936967632027"/>
        <n v="2.3418367346938775"/>
        <n v="0.20668859649122806"/>
        <n v="0.29468599033816423"/>
        <n v="0.80597014925373134"/>
        <n v="0.19727891156462585"/>
        <n v="0.1522230595327807"/>
        <n v="0.46300211416490489"/>
        <n v="0.59928443649373886"/>
        <n v="0.82225913621262459"/>
        <n v="0.44583987441130296"/>
        <n v="0.25584691708008506"/>
        <n v="0.20152091254752852"/>
        <n v="2.3663366336633662"/>
        <n v="6.07008760951189E-2"/>
        <n v="0.24698795180722891"/>
        <n v="0.23227917121046893"/>
        <n v="0.42005958291956308"/>
        <n v="5.7812500000000003E-2"/>
        <n v="0.63259668508287292"/>
        <n v="0.38492063492063494"/>
        <n v="9.9009900990099011E-3"/>
        <n v="0.4238013698630137"/>
        <n v="0.14217443249701314"/>
        <n v="0.17379820390913894"/>
        <n v="0.31805157593123207"/>
        <n v="9.2342342342342343E-2"/>
        <n v="0.94405594405594406"/>
        <n v="0.19503105590062111"/>
        <n v="8.2201572551822727E-2"/>
        <n v="8.8618592528236312E-2"/>
        <n v="0.16722689075630251"/>
        <n v="0.81302521008403361"/>
        <n v="0.32533733133433285"/>
        <n v="1.4482758620689655"/>
        <n v="0.90987124463519309"/>
        <n v="6.5972222222222224E-2"/>
        <n v="0.19844357976653695"/>
        <n v="0.5875576036866359"/>
        <n v="0.13414634146341464"/>
        <n v="8.3720930232558138E-2"/>
        <n v="0.81090909090909091"/>
        <n v="2.5362318840579712E-2"/>
        <n v="0.15989159891598917"/>
        <n v="3.12157721796276E-2"/>
        <n v="0.13288135593220338"/>
        <n v="0.18490878938640132"/>
        <n v="0.15859375000000001"/>
        <n v="0.21799628942486085"/>
        <n v="1.8355263157894737"/>
        <n v="4.8044692737430165E-2"/>
        <n v="1.0394366197183098"/>
        <n v="0.44090909090909092"/>
        <n v="7.9250720461095103E-2"/>
        <n v="0.27903091060985796"/>
        <n v="9.6187683284457481E-2"/>
        <n v="0.21560130010834236"/>
        <n v="0.13410596026490065"/>
        <n v="1.8257575757575757"/>
        <n v="0.19110378912685339"/>
        <n v="0.30894308943089432"/>
        <n v="0.67297762478485368"/>
        <n v="0.27486910994764396"/>
        <n v="0.18253521126760563"/>
        <n v="0.43689320388349512"/>
        <n v="0.15555555555555556"/>
        <n v="0.31049250535331907"/>
        <n v="0.27349465391108613"/>
        <n v="0.34647460197119029"/>
        <n v="0.29516994633273702"/>
        <n v="0.24711316397228639"/>
        <n v="0.31448763250883394"/>
        <n v="0.31769436997319034"/>
        <n v="0.1788031723143475"/>
        <n v="0.1497294046903187"/>
        <n v="0.92553191489361697"/>
        <n v="0.14088916718847841"/>
        <n v="0.53179190751445082"/>
        <n v="0.12075769534333071"/>
        <n v="0.31306306306306309"/>
        <n v="0.29601990049751242"/>
        <n v="0.1286472148541114"/>
        <n v="0.48210290827740493"/>
        <n v="7.2340425531914887E-2"/>
        <n v="0.5419847328244275"/>
        <n v="2.6406429391504019E-2"/>
        <n v="0.50710900473933651"/>
        <n v="0.12589928057553956"/>
        <n v="0.37219730941704038"/>
        <n v="4.5602605863192182E-2"/>
        <n v="0.21193573068094873"/>
        <n v="0.34530938123752497"/>
        <n v="9.5350669818754924E-2"/>
        <n v="0.12849162011173185"/>
        <n v="0.10576923076923077"/>
        <n v="1.3429394812680115"/>
        <n v="1.4845605700712588E-2"/>
        <n v="0.69584245076586437"/>
        <n v="0.24350086655112652"/>
        <n v="0.29272619751626255"/>
        <n v="2.3368421052631581"/>
        <n v="0.10414333706606943"/>
        <n v="0.96026490066225167"/>
        <n v="0.24090909090909091"/>
        <n v="0.30635838150289019"/>
        <n v="3.2477064220183487"/>
        <n v="2.9449423815621E-2"/>
        <n v="1.3258426966292134"/>
        <n v="0.23424021234240211"/>
        <n v="8.0142930066360391E-2"/>
        <n v="0.52608695652173909"/>
        <n v="7.18232044198895E-2"/>
        <n v="1.1345218800648298E-2"/>
        <n v="6.5498857578065506E-2"/>
        <n v="1.1466275659824048"/>
        <n v="0.26320754716981132"/>
        <n v="7.1102413568166989E-2"/>
        <n v="0.19164619164619165"/>
        <n v="0.22740315638450503"/>
        <n v="7.9100145137880981E-2"/>
        <n v="3.2825322391559206E-2"/>
        <n v="0.11955307262569832"/>
        <n v="0.77024793388429758"/>
        <n v="0.97795591182364727"/>
        <n v="0.16526019690576652"/>
        <n v="0.44129554655870445"/>
        <n v="0.20540935672514621"/>
        <n v="0.22178683385579936"/>
        <n v="0.25259875259875259"/>
        <n v="0.11480865224625623"/>
        <n v="0.17838638045891933"/>
        <n v="0.16436251920122888"/>
        <n v="5.5928411633109618E-2"/>
        <n v="0.67679999999999996"/>
        <n v="0.23152709359605911"/>
        <n v="1.1538461538461537"/>
        <n v="0.71186440677966101"/>
        <n v="1.1475409836065573"/>
        <n v="0.10077519379844961"/>
        <n v="0.42463958060288337"/>
        <n v="0.23753665689149561"/>
        <n v="0.10424242424242425"/>
        <n v="0.42235410484668645"/>
        <n v="0.24722427831236121"/>
        <n v="0.381198347107438"/>
        <n v="0.16608187134502925"/>
        <n v="0.10309278350515463"/>
        <n v="0.23050379572118704"/>
        <n v="0.45127118644067798"/>
        <n v="0.17396991497710923"/>
        <n v="1.1271133375078271E-2"/>
        <n v="0.38304721030042921"/>
        <n v="0.91787439613526567"/>
        <n v="0.25299145299145298"/>
        <n v="0.3107638888888889"/>
        <n v="8.5470085470085479E-3"/>
        <n v="8.8217880402605087E-2"/>
        <n v="0.3283261802575107"/>
        <n v="2.764367816091954"/>
        <n v="0.25610417797069995"/>
        <n v="0.28515625"/>
        <n v="0.2267536704730832"/>
        <n v="0.30552861299709022"/>
        <n v="0.30783699059561126"/>
        <n v="0.21691176470588236"/>
        <n v="0.49892008639308855"/>
        <n v="8.6705202312138727E-2"/>
        <n v="0.22427745664739884"/>
        <n v="0.15003024803387779"/>
        <n v="0.65722379603399439"/>
        <n v="0.33044733044733043"/>
        <n v="0.32325886990801578"/>
        <n v="0.94262295081967218"/>
        <n v="1.4767441860465116"/>
        <n v="0.1629249518922386"/>
        <n v="0.12254901960784313"/>
        <n v="0.26954732510288065"/>
        <n v="3.66182014001077E-2"/>
        <n v="0.11522134627046694"/>
        <n v="0.16402116402116401"/>
        <n v="0.59671302149178251"/>
        <n v="0.92920353982300885"/>
        <n v="0.11618004866180048"/>
        <n v="0.20168067226890757"/>
        <n v="0.13089267803410232"/>
        <n v="0.13309352517985612"/>
        <n v="0.64686468646864681"/>
        <n v="1.0251630941286114E-2"/>
        <n v="0.33700254022015241"/>
        <n v="0.40078843626806832"/>
        <n v="1.662049861495845E-2"/>
        <n v="0.18128654970760233"/>
        <n v="0.45909645909645908"/>
        <n v="0.611328125"/>
        <n v="0.1275239107332625"/>
        <n v="0.24954128440366974"/>
        <n v="0.41416309012875535"/>
        <n v="0.40949554896142432"/>
        <n v="0.57485029940119758"/>
        <n v="0.55915317559153177"/>
        <n v="0.30343980343980342"/>
        <n v="1.1415384615384616"/>
        <n v="2.5666834423754403E-2"/>
        <n v="0.28235294117647058"/>
        <n v="5.0602409638554217E-2"/>
        <n v="3.2051282051282048E-2"/>
        <n v="0.37475728155339805"/>
        <n v="2.3669064748201438"/>
        <n v="1.2817460317460319"/>
        <n v="0.16552119129438717"/>
        <n v="3.4013605442176874E-2"/>
        <n v="0.32174688057041001"/>
        <n v="0.27011070110701108"/>
        <n v="0.20626432391138275"/>
        <n v="0.36081632653061224"/>
        <n v="0.12659574468085105"/>
        <n v="0.890625"/>
        <n v="0.69512195121951215"/>
        <n v="0.13043478260869565"/>
        <n v="0.29280948851000743"/>
        <n v="0.12187333688131985"/>
        <n v="0.21989528795811519"/>
        <n v="0.16449885233358838"/>
        <n v="1.786096256684492"/>
        <n v="0.29547641963426374"/>
        <n v="0.34732824427480918"/>
        <n v="0.56902356902356899"/>
        <n v="0.99559471365638763"/>
        <n v="0.56938483547925611"/>
        <n v="0.30402629416598193"/>
        <n v="0.12142403051493961"/>
        <n v="7.4123989218328842E-2"/>
        <n v="0.13259668508287292"/>
        <n v="0.52934898612593384"/>
        <n v="2.3774834437086092"/>
        <n v="0.2401656314699793"/>
        <n v="0.27635542168674698"/>
        <n v="2.4070021881838075E-2"/>
        <n v="0.30355731225296445"/>
        <n v="1.4005602240896358"/>
        <n v="2.0266666666666665E-2"/>
        <n v="0.27553956834532373"/>
        <n v="0.11311239193083573"/>
        <n v="0.16559691912708602"/>
        <n v="0.24019607843137256"/>
        <n v="1.1138211382113821"/>
        <n v="0.28351783517835177"/>
        <n v="0.43309222423146476"/>
        <n v="0.53057199211045369"/>
        <n v="0.39327731092436974"/>
        <n v="8.4931506849315067E-2"/>
        <n v="0.2893491124260355"/>
        <n v="0.1839557399723375"/>
        <n v="0.49190535491905357"/>
        <n v="5.7196731615336269E-2"/>
        <n v="0.39270687237026647"/>
        <n v="0.41703539823008851"/>
        <n v="1.8901358535144713E-2"/>
        <n v="0.19410456062291434"/>
        <n v="0.20348475420037337"/>
        <n v="0.36296296296296299"/>
        <n v="0.14563106796116504"/>
        <n v="0.83333333333333337"/>
        <n v="0.15155131264916469"/>
        <n v="0.37057220708446864"/>
        <n v="0.32118294360385147"/>
        <n v="0.39978331527627303"/>
        <n v="0.24616626311541565"/>
        <n v="0.34734133790737565"/>
        <n v="0.31065088757396447"/>
        <n v="0.31058234189104572"/>
        <n v="1.5682539682539682"/>
        <n v="0.26736370425690814"/>
        <n v="0.2538405267008047"/>
        <n v="6.3437926330150066E-2"/>
        <n v="0.12470023980815348"/>
        <n v="0.37333333333333335"/>
        <n v="0.37648456057007124"/>
        <n v="0.69186046511627908"/>
        <n v="0.15480519480519481"/>
        <n v="0.44720496894409939"/>
        <n v="4.245029554003224E-2"/>
        <n v="0.98571428571428577"/>
        <n v="2.321857485988791E-2"/>
        <n v="2.0187793427230045"/>
        <n v="0.18149646107178968"/>
        <n v="0.1312883435582822"/>
        <n v="0.17040358744394618"/>
        <n v="0.14251207729468598"/>
        <n v="0.21962616822429906"/>
        <n v="0.24958677685950414"/>
        <n v="0.43985849056603776"/>
        <n v="0.22268254790264111"/>
        <n v="0.16410670978173"/>
        <n v="1.2051282051282051"/>
        <n v="0.61368653421633557"/>
        <n v="2.7777777777777776E-2"/>
        <n v="0.36603221083455345"/>
        <n v="0.20096463022508038"/>
        <n v="0.23574561403508773"/>
        <n v="0.14245014245014245"/>
        <n v="9.4576719576719578E-2"/>
        <n v="0.26174496644295303"/>
        <n v="0.11627906976744186"/>
        <n v="0.25492125984251968"/>
        <n v="1.3245614035087718"/>
        <n v="0.31352154531946508"/>
        <n v="0.19062499999999999"/>
        <n v="2.679938744257274E-2"/>
        <n v="0.12418300653594772"/>
        <n v="0.43647058823529411"/>
        <n v="0.42401500938086306"/>
        <n v="3.5932721712538224E-2"/>
        <n v="0.35121234386480527"/>
        <n v="1.3093922651933703"/>
        <n v="0.15682478218780252"/>
        <n v="2.4939759036144578"/>
        <n v="0.61793372319688111"/>
        <n v="0.14459295261239369"/>
        <n v="0.17542918454935622"/>
        <n v="6.0565275908479141E-2"/>
        <n v="0.31927710843373491"/>
        <n v="0.1169931180518793"/>
        <n v="0.74645390070921991"/>
        <n v="1.5168067226890756"/>
        <n v="0.71951219512195119"/>
        <n v="0.18946047678795483"/>
        <n v="0.30089820359281438"/>
        <n v="0.21079258010118043"/>
        <n v="0.67808219178082196"/>
        <n v="0.25517702070808285"/>
        <n v="0.34509803921568627"/>
        <n v="0.82399999999999995"/>
        <n v="0.29893778452200304"/>
        <n v="0.15956151035322777"/>
        <n v="0.45291902071563089"/>
        <n v="0.15411824153612935"/>
        <n v="0.18166526492851134"/>
        <n v="0.19934640522875818"/>
        <n v="0.17555555555555555"/>
        <n v="0.17652764306498545"/>
        <n v="0.25614489003880986"/>
        <n v="0.13933236574746008"/>
        <n v="0.84299516908212557"/>
        <n v="0.32976588628762543"/>
        <n v="0.27088036117381492"/>
        <n v="0.13579604578563995"/>
        <n v="1.1283185840707965"/>
        <n v="0.33508311461067369"/>
        <n v="0.27080062794348508"/>
        <n v="0.10538461538461538"/>
        <n v="0.1076923076923077"/>
        <n v="0.13268937468225725"/>
        <n v="0.2574626865671642"/>
        <n v="0.32866152768044848"/>
        <n v="0.22252155172413793"/>
        <n v="0.26371447455386648"/>
        <n v="0.42336683417085424"/>
        <n v="0.12366737739872068"/>
        <n v="0.26253687315634217"/>
        <n v="0.13374805598755832"/>
        <n v="0.20092378752886836"/>
        <n v="3.0373134328358211"/>
        <n v="0.26764436296975253"/>
        <n v="2.391629297458894E-2"/>
        <n v="0.203125"/>
        <n v="1.9473684210526316"/>
        <n v="0.17784476262245666"/>
        <n v="0.24236037934668073"/>
        <n v="0.37590361445783133"/>
        <n v="0.24897959183673468"/>
        <n v="0.74619289340101524"/>
        <n v="0.16355489171023152"/>
        <n v="0.34317862165963431"/>
        <n v="0.25544437904649792"/>
        <n v="0.14986853637160386"/>
        <n v="0.1623931623931624"/>
        <n v="0.35193133047210301"/>
        <n v="0.10189739985945186"/>
        <n v="9.6741344195519344E-2"/>
        <n v="0.11199364575059571"/>
        <n v="0.20793269230769232"/>
        <n v="0.80524344569288386"/>
        <n v="0.27070063694267515"/>
        <n v="0.35745614035087719"/>
        <n v="0.30272596843615496"/>
        <n v="1.3375527426160339"/>
        <n v="0.21052631578947367"/>
        <n v="0.83090379008746351"/>
        <n v="0.2439222042139384"/>
        <n v="0.39543726235741444"/>
        <n v="0.10486486486486486"/>
        <n v="0.11198738170347003"/>
        <n v="0.22702702702702704"/>
        <n v="6.2765957446808504E-2"/>
        <n v="0.2347266881028939"/>
        <n v="0.40358744394618834"/>
        <n v="0.4228855721393035"/>
        <n v="2.0440251572327043E-2"/>
        <n v="0.25761772853185594"/>
        <n v="2.4052916416115455E-2"/>
        <n v="0.1927236971484759"/>
        <n v="0.26305220883534136"/>
        <n v="7.7393075356415472E-2"/>
        <n v="1.896551724137931E-2"/>
        <n v="0.25161290322580643"/>
        <n v="0.39701492537313432"/>
        <n v="0.69913419913419916"/>
        <n v="0.65560165975103735"/>
        <n v="6.8430132259919493E-2"/>
        <n v="0.29545454545454547"/>
        <n v="0.58175355450236965"/>
        <n v="0.22514285714285714"/>
        <n v="0.38103919781221512"/>
        <n v="5.9767570558937465E-2"/>
        <n v="0.16330935251798562"/>
        <n v="0.14820675105485231"/>
        <n v="0.29677419354838708"/>
        <n v="0.15136650315346881"/>
        <n v="0.34822051639916257"/>
        <n v="7.6176250933532488E-2"/>
        <n v="0.66274509803921566"/>
        <n v="0.37722772277227723"/>
        <n v="0.22155688622754491"/>
        <n v="0.35141509433962265"/>
        <n v="0.4563106796116505"/>
        <n v="0.35029069767441862"/>
        <n v="5.0666666666666665E-2"/>
        <n v="0.13230429988974643"/>
        <n v="8.1807081807081808E-2"/>
        <n v="0.2019704433497537"/>
        <n v="0.154126213592233"/>
        <n v="0.51539708265802264"/>
        <n v="2.5445292620865138E-2"/>
        <n v="0.23181818181818181"/>
        <n v="9.7623966942148754E-2"/>
        <n v="0.17458359037631091"/>
        <n v="0.34637964774951074"/>
        <n v="0.23880597014925373"/>
        <n v="0.11706349206349206"/>
        <n v="0.28364222401289285"/>
        <n v="1.1813602015113349"/>
        <n v="0.25422138836772984"/>
        <n v="3.4592592592592593"/>
        <n v="0.24985899605188946"/>
        <n v="9.3574547723019336E-3"/>
        <n v="1.5743589743589743"/>
        <n v="0.3880157170923379"/>
        <n v="0.20887245841035121"/>
        <n v="1.0819112627986349"/>
        <n v="0.43382352941176472"/>
        <n v="0.23715753424657535"/>
        <n v="6.3076923076923072E-2"/>
        <n v="0.39550561797752809"/>
        <n v="0.26998689384010482"/>
        <n v="0.21493076459963878"/>
        <n v="7.2336265884652987E-2"/>
        <n v="9.0716180371352789E-2"/>
        <n v="0.25864909390444812"/>
        <n v="0.20549656464709556"/>
        <n v="1.5345911949685536"/>
        <n v="1.9581151832460733"/>
        <n v="0.12140287769784172"/>
        <n v="0.15276273022751896"/>
        <n v="0.50762195121951215"/>
        <n v="0.31025118805159541"/>
        <n v="0.23576826196473552"/>
        <n v="0.12808875441250631"/>
        <n v="0.60896445131375576"/>
        <n v="0.54545454545454541"/>
        <n v="6.1636556854410204E-2"/>
        <n v="0.12345679012345678"/>
        <n v="5.3271028037383178E-2"/>
        <n v="0.19514767932489452"/>
        <n v="0.48723404255319147"/>
        <n v="0.1357142857142857"/>
        <n v="1.7488789237668161"/>
        <n v="0.31372549019607843"/>
        <n v="9.7173144876325085E-3"/>
        <n v="0.10394736842105264"/>
        <n v="0.15149544863459039"/>
        <n v="0.41778975741239893"/>
        <n v="1.9075144508670521"/>
        <n v="6.4753495217071383E-2"/>
        <n v="9.4488188976377951E-2"/>
        <n v="0.20727272727272728"/>
        <n v="0.57453416149068326"/>
        <n v="0.27645985401459855"/>
        <n v="0.13392363032650803"/>
        <n v="0.47633434038267874"/>
        <n v="0.18076285240464346"/>
        <n v="0.18537074148296592"/>
        <n v="0.13227513227513227"/>
        <n v="0.2498360655737705"/>
        <n v="1.4229390681003584"/>
        <n v="4.0633245382585753E-2"/>
        <n v="0.18419144307469182"/>
        <n v="9.3375065206051128E-2"/>
        <n v="2.0253164556962026E-2"/>
        <n v="0.73854961832061072"/>
        <n v="0.45421245421245421"/>
        <n v="0.25"/>
        <n v="0.69747899159663862"/>
        <n v="0.1313364055299539"/>
        <n v="0.12711241734019105"/>
        <n v="0.16645569620253164"/>
        <n v="1.3926084627745045E-2"/>
        <n v="0.47021943573667713"/>
        <n v="0.4713493530499076"/>
        <n v="0.30855263157894736"/>
        <n v="9.8666666666666666E-2"/>
        <n v="1.4545454545454546"/>
        <n v="9.3828399397892628E-2"/>
        <n v="0.70630372492836679"/>
        <n v="0.11507936507936507"/>
        <n v="9.1523660946437851E-2"/>
        <n v="4.0783034257748776E-2"/>
        <n v="0.15384615384615385"/>
        <n v="9.2506459948320408E-2"/>
        <n v="0.21933962264150944"/>
        <n v="0.25421611492816987"/>
        <n v="0.2896174863387978"/>
        <n v="0.11940298507462686"/>
        <n v="3.5405405405405403"/>
        <n v="1.7267759562841529"/>
        <n v="0.75348837209302322"/>
        <n v="0.26868829337094502"/>
        <n v="0.55756578947368418"/>
        <n v="4.3523316062176166E-2"/>
        <n v="9.0589270008795075E-2"/>
        <n v="0.29053420805998126"/>
        <n v="0.35405405405405405"/>
        <n v="1.6791808873720135"/>
        <n v="0.23805147058823528"/>
        <n v="0.34888438133874239"/>
        <n v="0.23352033660589061"/>
        <n v="0.19892473118279569"/>
        <n v="0.97303921568627449"/>
        <n v="0.7426597582037997"/>
        <n v="0.34769230769230769"/>
        <n v="7.7806122448979595E-2"/>
        <n v="0.26126126126126126"/>
        <n v="0.32085561497326204"/>
        <n v="0.21243523316062177"/>
        <n v="0.44402035623409669"/>
        <n v="0.31666666666666665"/>
        <n v="1.2338062924120914E-2"/>
        <n v="0.1158974358974359"/>
        <n v="0.34351145038167941"/>
        <n v="0.16923076923076924"/>
        <n v="0.66946778711484589"/>
        <n v="0.19488817891373802"/>
        <n v="0.90980392156862744"/>
        <n v="1.7543859649122806E-2"/>
        <n v="0.24933687002652519"/>
        <n v="0.2744186046511628"/>
        <n v="0.30808080808080807"/>
        <n v="0.2779220779220779"/>
        <n v="0.27259684361549497"/>
        <n v="1.1357142857142857"/>
        <n v="2.1018518518518516"/>
        <n v="0.81086142322097376"/>
        <n v="0.48337028824833705"/>
        <n v="0.18836405529953917"/>
        <n v="0.14018691588785046"/>
        <n v="8.8633993743482797E-2"/>
        <n v="0.24129353233830847"/>
        <n v="0.16907932831499711"/>
        <n v="0.4303201506591337"/>
        <n v="7.5531914893617019E-2"/>
        <n v="1.1885245901639345"/>
        <n v="0.32608695652173914"/>
        <n v="2.2448979591836733E-2"/>
        <n v="9.020436927413672E-2"/>
        <n v="1.6887417218543046"/>
        <n v="0.20213577421815407"/>
        <n v="0.36512261580381472"/>
        <n v="8.1402629931120844E-3"/>
        <n v="8.7412587412587409E-2"/>
        <n v="0.10169491525423729"/>
        <n v="0.10371243370654096"/>
        <n v="0.39603960396039606"/>
        <n v="0.4831591173054588"/>
        <n v="0.1373070782331027"/>
        <n v="0.18790218790218791"/>
        <n v="0.57020757020757018"/>
        <n v="1.221105527638191"/>
        <n v="1.6605166051660517E-2"/>
        <n v="0.12296037296037296"/>
        <n v="0.23552502453385674"/>
        <n v="0.16180235535074244"/>
        <n v="2.3495934959349594"/>
        <n v="0.84520123839009287"/>
        <n v="0.13973063973063973"/>
        <n v="0.17228464419475656"/>
        <n v="0.3758782201405152"/>
        <n v="0.12773722627737227"/>
        <n v="0.1148936170212766"/>
        <n v="0.11625615763546798"/>
        <n v="1.0041407867494825"/>
        <n v="0.34848484848484851"/>
        <n v="0.25405971712938713"/>
        <n v="0.18283166109253066"/>
        <n v="0.60542168674698793"/>
        <n v="0.44869215291750503"/>
        <n v="8.520179372197309E-2"/>
        <n v="2.4675324675324677E-2"/>
        <n v="7.0028011204481794E-2"/>
        <n v="0.96507936507936509"/>
        <n v="1.0584615384615386"/>
        <n v="2.9895366218236172E-2"/>
        <n v="0.40237226277372262"/>
        <n v="8.3696599825632087E-2"/>
        <n v="0.23690621193666261"/>
        <n v="0.56586483390607101"/>
        <n v="0.25152439024390244"/>
        <n v="7.4712643678160925E-2"/>
        <n v="0.37257617728531855"/>
        <n v="0.94871794871794868"/>
        <n v="0.13591433278418452"/>
        <n v="0.32594936708860761"/>
        <n v="0.22273901808785529"/>
        <n v="2.5602836879432624"/>
        <n v="3.3599088838268794E-2"/>
        <n v="0.17146282973621102"/>
        <n v="0.36779107725788901"/>
        <n v="0.7857142857142857"/>
        <n v="6.7190850607576846E-2"/>
        <n v="0.984375"/>
        <n v="1.6541666666666666"/>
        <n v="1.4727272727272727"/>
        <n v="0.34419551934826886"/>
        <n v="1.0626992561105207E-2"/>
        <n v="1.1779661016949152"/>
        <n v="0.11764705882352941"/>
        <n v="0.24731182795698925"/>
        <n v="0.27366746221161498"/>
        <n v="0.57630979498861046"/>
        <n v="0.17598187311178248"/>
        <n v="0.17890909090909091"/>
        <n v="0.21069958847736625"/>
        <n v="0.21708185053380782"/>
        <n v="0.19167176974892836"/>
        <n v="0.15627051871306633"/>
        <n v="0.39894179894179893"/>
        <n v="0.23170731707317074"/>
        <n v="0.22605099931082012"/>
        <n v="0.18783783783783783"/>
        <n v="0.22309197651663404"/>
        <n v="0.45238095238095238"/>
        <n v="0.29417773237997957"/>
        <n v="0.35434574976122252"/>
        <n v="0.48245614035087719"/>
        <n v="4.5889101338432124E-2"/>
        <n v="0.61691542288557211"/>
        <n v="0.25676453655728265"/>
        <n v="0.27397260273972601"/>
        <n v="1.0035971223021583"/>
        <n v="0.56751467710371817"/>
        <n v="0.22291021671826625"/>
        <n v="0.2177650429799427"/>
        <n v="2.2750775594622543E-2"/>
        <n v="0.5975395430579965"/>
        <n v="2.9423076923076925"/>
        <n v="0.17126725219573399"/>
        <n v="0.56526946107784426"/>
        <n v="1.418960244648318"/>
        <n v="6.0851926977687626E-3"/>
        <n v="0.69324090121317161"/>
        <n v="0.20321931589537223"/>
        <n v="0.19215686274509805"/>
        <n v="1.4494949494949494"/>
        <n v="1.089430894308943"/>
        <n v="0.16315378610460576"/>
        <n v="9.4368340943683404E-2"/>
        <n v="6.6004258339247696E-2"/>
        <n v="0.66911764705882348"/>
        <n v="8.38963963963964E-2"/>
        <n v="0.14115308151093439"/>
        <n v="0.20854271356783918"/>
        <n v="0.33485193621867881"/>
        <n v="0.25218150087260033"/>
        <n v="0.24176507147296458"/>
        <n v="0.13501026694045173"/>
        <n v="0.16183206106870229"/>
        <n v="0.44416873449131511"/>
        <n v="0.33133561643835618"/>
        <n v="0.42383292383292381"/>
        <n v="0.20036764705882354"/>
        <n v="0.72673559822747413"/>
        <n v="8.6790044671346517E-2"/>
        <n v="1.2802768166089966"/>
        <n v="0.30030959752321984"/>
        <n v="7.8735632183908041E-2"/>
        <n v="1.2727272727272727"/>
        <n v="0.21965317919075145"/>
        <n v="0.58886509635974305"/>
        <n v="2.0379146919431279"/>
        <n v="0.33712984054669703"/>
        <n v="1.5496183206106871"/>
        <n v="1.2813370473537604E-2"/>
        <n v="5.1317614424410539E-2"/>
        <n v="0.26594301221166894"/>
        <n v="0.26852400711321872"/>
        <n v="0.20657276995305165"/>
        <n v="0.4095826893353941"/>
        <n v="0.29914529914529914"/>
        <n v="1.396551724137931"/>
        <n v="0.13781163434903046"/>
        <n v="0.34580960130187144"/>
        <n v="0.50366300366300365"/>
        <n v="2.0930232558139535E-2"/>
        <n v="5.9278350515463915E-2"/>
        <n v="0.15574263379434755"/>
        <n v="0.10045074050225371"/>
        <n v="0.18787878787878787"/>
        <n v="0.20814061054579094"/>
        <n v="0.52107279693486586"/>
        <n v="0.26198997852541162"/>
        <n v="8.1442699243746364E-2"/>
        <n v="0.3740122914837577"/>
        <n v="0.13928761297182349"/>
        <n v="0.26376146788990823"/>
        <n v="0.70875179340028693"/>
        <n v="0.39690222652468538"/>
        <n v="0.54746423927178156"/>
        <n v="0.24510385756676559"/>
        <n v="0.49700598802395207"/>
        <n v="0.29850746268656714"/>
        <n v="5.9663437021927591E-2"/>
        <n v="0.29818887451487708"/>
        <n v="1.2016718913270637E-2"/>
        <n v="1.1589041095890411"/>
        <n v="0.27961672473867594"/>
        <n v="0.11981205951448708"/>
        <n v="0.25745682888540034"/>
        <n v="0.14791796146674954"/>
        <n v="0.24830977258758452"/>
        <n v="3.6417322834645667E-2"/>
        <n v="0.45115452930728239"/>
        <n v="0.23967774420946628"/>
        <n v="8.5036794766966475E-2"/>
        <n v="0.20734597156398105"/>
        <n v="0.43519619500594531"/>
        <n v="2.203883495145631"/>
        <n v="0.31966053748231965"/>
        <n v="0.6179775280898876"/>
        <n v="0.21932114882506529"/>
        <n v="0.25842696629213485"/>
        <n v="1.0425531914893618"/>
        <n v="9.213180901143242E-2"/>
        <n v="0.63404825737265413"/>
        <n v="0.30939226519337015"/>
        <n v="0.95464852607709749"/>
        <n v="0.1218925421010425"/>
        <n v="0.3271484375"/>
        <n v="0.27081138040042152"/>
        <n v="8.5963734049697788E-2"/>
        <n v="0.16273291925465838"/>
        <n v="0.51334180432020327"/>
        <n v="2.2481265611990008E-2"/>
        <n v="4.9166666666666664E-2"/>
        <n v="0.78187919463087252"/>
        <n v="0.59751037344398339"/>
        <n v="0.46639919759277831"/>
        <n v="0.26315789473684209"/>
        <n v="0.35714285714285715"/>
        <n v="0.56470588235294117"/>
        <n v="0.12759815242494227"/>
        <n v="0.42113821138211383"/>
        <n v="0.48663697104677062"/>
        <n v="0.21014492753623187"/>
        <n v="0.10596026490066225"/>
        <n v="0.7896174863387978"/>
        <n v="2.97196261682243"/>
        <n v="3.4188034188034191E-2"/>
        <n v="0.53606027987082883"/>
        <n v="0.13300000000000001"/>
        <n v="6.0561299852289516E-2"/>
        <n v="0.26415094339622641"/>
        <n v="0.2565707133917397"/>
        <n v="0.11734431291816778"/>
        <n v="0.37450826121164438"/>
        <n v="0.32244897959183672"/>
        <n v="0.3261032161555722"/>
        <n v="0.47826086956521741"/>
        <n v="0.32642019837691616"/>
        <n v="0.18923076923076923"/>
        <n v="0.13938053097345132"/>
        <n v="0.81896551724137934"/>
        <n v="0.51459854014598538"/>
        <n v="0.568075117370892"/>
        <n v="9.7465886939571145E-2"/>
        <n v="0.91973969631236441"/>
        <n v="0.79039301310043664"/>
        <n v="0.21125827814569537"/>
        <n v="1.8562874251497007E-2"/>
        <n v="0.5867269984917044"/>
        <n v="3.9938556067588324E-2"/>
        <n v="3.9787798408488062E-2"/>
        <n v="9.6671949286846276E-2"/>
        <n v="0.13934863854778431"/>
        <n v="0.17377567140600317"/>
        <n v="2.2123893805309734E-2"/>
        <n v="0.27127272727272728"/>
        <n v="0.33623693379790942"/>
        <n v="0.1782693558880937"/>
        <n v="0.80851063829787229"/>
        <n v="2.5735294117647058E-2"/>
        <n v="0.13241723922548407"/>
        <n v="0.13136729222520108"/>
        <n v="0.50802919708029193"/>
        <n v="0.23902167871039467"/>
        <n v="5.5961070559610707E-2"/>
        <n v="0.65750528541226216"/>
        <n v="0.11744386873920552"/>
        <n v="0.38362068965517243"/>
        <n v="7.2750478621569872E-2"/>
        <n v="0.36966824644549762"/>
        <n v="0.28902316213494461"/>
        <n v="0.54707985697258643"/>
        <n v="0.22408963585434175"/>
        <n v="0.40116279069767441"/>
        <n v="0.95966029723991508"/>
        <n v="0.20899303356554783"/>
        <n v="0.25662718556119574"/>
        <n v="1.6474464579901153E-2"/>
        <n v="0.35758835758835761"/>
        <n v="0.16552901023890784"/>
        <n v="0.48961937716262977"/>
        <n v="8.0745341614906832E-2"/>
        <n v="0.12808177991581479"/>
        <n v="0.29103448275862071"/>
        <n v="0.1857707509881423"/>
        <n v="0.33189282627484873"/>
        <n v="0.30858806404657935"/>
        <n v="0.96494845360824744"/>
        <n v="0.63857374392220423"/>
        <n v="0.6673728813559322"/>
        <n v="0.19219219219219219"/>
        <n v="0.21695594125500667"/>
        <n v="0.12342135476463835"/>
        <n v="0.11150652431791222"/>
        <n v="7.3446327683615822E-2"/>
        <n v="0.31596091205211724"/>
        <n v="0.94533762057877813"/>
        <n v="0.51638269986893837"/>
        <n v="0.24144310823311749"/>
        <n v="1.0520833333333333"/>
        <n v="7.0880094506792682E-2"/>
        <n v="0.25778863775198535"/>
        <n v="6.7367119901112479E-2"/>
        <n v="0.1363395225464191"/>
        <n v="0.1810431293881645"/>
        <n v="0.75335570469798663"/>
        <n v="0.21274298056155508"/>
        <n v="0.27769679300291544"/>
        <n v="7.63582966226138E-2"/>
        <n v="1.8484288354898338E-2"/>
        <n v="7.6406381192275399E-2"/>
        <n v="0.13962690785754664"/>
        <n v="5.7254391672088484E-2"/>
        <n v="0.79523809523809519"/>
        <n v="0.1281526925698705"/>
        <n v="0.13240418118466898"/>
        <n v="0.82008368200836823"/>
        <n v="1.3507246376811595"/>
        <n v="0.19132149901380671"/>
        <n v="0.65198237885462551"/>
        <n v="0.23178807947019867"/>
        <n v="1.1363636363636364E-2"/>
        <n v="0.36984352773826457"/>
        <n v="0.11842105263157894"/>
        <n v="0.7109375"/>
        <n v="0.43328335832083958"/>
        <n v="2.7910447761194028"/>
        <n v="0.64932562620423895"/>
        <n v="0.29452485840151038"/>
        <n v="0.23740133576199149"/>
        <n v="1.2173913043478262"/>
        <n v="0.2218769422001243"/>
        <n v="1.8450704225352113"/>
        <n v="0.40380952380952378"/>
        <n v="2.7867647058823528"/>
        <n v="5.6916426512968299E-2"/>
        <n v="0.13166144200626959"/>
        <n v="0.18069306930693069"/>
        <n v="2.496"/>
        <n v="0.99371069182389937"/>
        <n v="2.7366020524515394E-2"/>
        <n v="0.12577639751552794"/>
        <n v="0.93871866295264628"/>
        <n v="0.244668911335578"/>
        <n v="0.2106951871657754"/>
        <n v="0.54950495049504955"/>
        <n v="3.6760788492274904E-2"/>
        <n v="0.27520435967302453"/>
        <n v="1.1117974058060531E-2"/>
        <n v="0.33333333333333331"/>
        <n v="0.10710607621009269"/>
        <n v="3.5211267605633804E-2"/>
        <n v="6.8311195445920306E-2"/>
        <n v="0.18550106609808104"/>
        <n v="0.4110854503464203"/>
        <n v="7.716049382716049E-2"/>
        <n v="8.9153046062407128E-3"/>
        <n v="0.43628185907046479"/>
        <n v="5.4357204486626405E-2"/>
        <n v="0.1992731677771048"/>
        <n v="1.0106157112526539"/>
        <n v="1.618867924528302"/>
        <n v="0.23646333104866346"/>
        <n v="0.23594266813671444"/>
        <n v="0.2"/>
        <n v="0.55062413314840497"/>
        <n v="1.6871165644171779E-2"/>
        <n v="0.25856885147324116"/>
        <n v="0.48672566371681414"/>
        <n v="0.39194139194139194"/>
        <n v="7.7419354838709681E-2"/>
        <n v="1.1212121212121211"/>
        <n v="0.2789661319073084"/>
        <n v="0.15259259259259259"/>
        <n v="0.5764411027568922"/>
        <n v="0.81347150259067358"/>
        <n v="0.24808184143222506"/>
        <n v="0.29393939393939394"/>
        <n v="1.4592833876221498"/>
        <n v="0.46016771488469604"/>
        <n v="0.15862808145766344"/>
        <n v="0.53529411764705881"/>
        <n v="1.1067961165048543"/>
        <n v="1.1861111111111111"/>
        <n v="8.2324455205811137E-2"/>
        <n v="0.40915208613728127"/>
        <n v="0.11007462686567164"/>
        <n v="0.63289280469897213"/>
        <n v="4.6848856664807585E-2"/>
        <n v="0.30582524271844658"/>
        <n v="7.3852295409181631E-2"/>
        <n v="0.43859649122807015"/>
        <n v="2.0663265306122449"/>
        <n v="0.61212121212121207"/>
        <n v="0.69117647058823528"/>
        <n v="9.4420600858369105E-2"/>
        <n v="1.08274231678487"/>
        <n v="0.6875"/>
        <n v="0.26410564225690275"/>
        <n v="0.5436893203883495"/>
        <n v="0.24715261958997722"/>
        <n v="0.20659340659340658"/>
        <n v="0.14590747330960854"/>
        <n v="0.21200648999459168"/>
        <n v="3.085177733065057E-2"/>
        <n v="0.2274914089347079"/>
        <n v="0.41425818882466281"/>
        <n v="1.9411764705882353"/>
        <n v="0.3028994447871684"/>
        <n v="0.18834080717488788"/>
        <n v="0.24317492416582406"/>
        <n v="1.6923076923076923"/>
      </sharedItems>
    </cacheField>
    <cacheField name="Cost per click" numFmtId="165">
      <sharedItems containsSemiMixedTypes="0" containsString="0" containsNumber="1" minValue="0.33979974968710891" maxValue="173.73831775700936"/>
    </cacheField>
    <cacheField name="Cost per acquisition" numFmtId="165">
      <sharedItems containsSemiMixedTypes="0" containsString="0" containsNumber="1" minValue="1.165948275862069" maxValue="1889.1"/>
    </cacheField>
    <cacheField name="BUDGET UTILISATION" numFmtId="10">
      <sharedItems containsSemiMixedTypes="0" containsString="0" containsNumber="1" minValue="5.9834710743801652E-2" maxValue="18.99514563106796"/>
    </cacheField>
    <cacheField name="ROAS" numFmtId="10">
      <sharedItems containsSemiMixedTypes="0" containsString="0" containsNumber="1" minValue="3.5840188014101056E-2" maxValue="24.531914893617021"/>
    </cacheField>
    <cacheField name="Client ID" numFmtId="0">
      <sharedItems/>
    </cacheField>
    <cacheField name="Sector" numFmtId="0">
      <sharedItems count="5">
        <s v="Health"/>
        <s v="Technology"/>
        <s v="Fashion"/>
        <s v="Food"/>
        <s v="Education"/>
      </sharedItems>
    </cacheField>
    <cacheField name="Company Size" numFmtId="0">
      <sharedItems count="3">
        <s v="Medium"/>
        <s v="Small"/>
        <s v="Large"/>
      </sharedItems>
    </cacheField>
    <cacheField name="Ad Spend" numFmtId="164">
      <sharedItems containsSemiMixedTypes="0" containsString="0" containsNumber="1" containsInteger="1" minValue="541" maxValue="19996"/>
    </cacheField>
    <cacheField name="Satisfaction Rating" numFmtId="3">
      <sharedItems containsSemiMixedTypes="0" containsString="0" containsNumber="1" containsInteger="1" minValue="1" maxValue="5"/>
    </cacheField>
    <cacheField name="Rating Classification" numFmtId="0">
      <sharedItems count="3">
        <s v="High"/>
        <s v="Medium"/>
        <s v="Low"/>
      </sharedItems>
    </cacheField>
    <cacheField name="Months (Start Date)" numFmtId="0" databaseField="0">
      <fieldGroup base="1">
        <rangePr groupBy="months" startDate="2023-01-01T16:10:36" endDate="2024-12-30T22:11:16"/>
        <groupItems count="14">
          <s v="&lt;01-01-2023"/>
          <s v="Jan"/>
          <s v="Feb"/>
          <s v="Mar"/>
          <s v="Apr"/>
          <s v="May"/>
          <s v="Jun"/>
          <s v="Jul"/>
          <s v="Aug"/>
          <s v="Sep"/>
          <s v="Oct"/>
          <s v="Nov"/>
          <s v="Dec"/>
          <s v="&gt;30-12-2024"/>
        </groupItems>
      </fieldGroup>
    </cacheField>
    <cacheField name="Quarters (Start Date)" numFmtId="0" databaseField="0">
      <fieldGroup base="1">
        <rangePr groupBy="quarters" startDate="2023-01-01T16:10:36" endDate="2024-12-30T22:11:16"/>
        <groupItems count="6">
          <s v="&lt;01-01-2023"/>
          <s v="Qtr1"/>
          <s v="Qtr2"/>
          <s v="Qtr3"/>
          <s v="Qtr4"/>
          <s v="&gt;30-12-2024"/>
        </groupItems>
      </fieldGroup>
    </cacheField>
    <cacheField name="Years (Start Date)" numFmtId="0" databaseField="0">
      <fieldGroup base="1">
        <rangePr groupBy="years" startDate="2023-01-01T16:10:36" endDate="2024-12-30T22:11:16"/>
        <groupItems count="4">
          <s v="&lt;01-01-2023"/>
          <s v="2023"/>
          <s v="2024"/>
          <s v="&gt;30-12-2024"/>
        </groupItems>
      </fieldGroup>
    </cacheField>
  </cacheFields>
  <extLst>
    <ext xmlns:x14="http://schemas.microsoft.com/office/spreadsheetml/2009/9/main" uri="{725AE2AE-9491-48be-B2B4-4EB974FC3084}">
      <x14:pivotCacheDefinition pivotCacheId="2482663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s Tilwani" refreshedDate="45977.070202314811" createdVersion="8" refreshedVersion="8" minRefreshableVersion="3" recordCount="1002" xr:uid="{E65E7D40-0E8F-B644-B55B-7A8BE16DFA24}">
  <cacheSource type="worksheet">
    <worksheetSource ref="A1:W1048576" sheet="SOPs DB"/>
  </cacheSource>
  <cacheFields count="23">
    <cacheField name="Campaign ID" numFmtId="0">
      <sharedItems containsBlank="1"/>
    </cacheField>
    <cacheField name="Start Date" numFmtId="0">
      <sharedItems containsNonDate="0" containsDate="1" containsString="0" containsBlank="1" minDate="2023-01-01T16:10:36" maxDate="2024-12-30T22:11:16"/>
    </cacheField>
    <cacheField name="End Date" numFmtId="0">
      <sharedItems containsNonDate="0" containsDate="1" containsString="0" containsBlank="1" minDate="2023-02-04T06:08:28" maxDate="2024-12-30T22:11:16"/>
    </cacheField>
    <cacheField name="Status of Campaign" numFmtId="0">
      <sharedItems containsBlank="1"/>
    </cacheField>
    <cacheField name="Duration of Campaign" numFmtId="2">
      <sharedItems containsString="0" containsBlank="1" containsNumber="1" minValue="0" maxValue="693.28155092592351"/>
    </cacheField>
    <cacheField name="Budget" numFmtId="0">
      <sharedItems containsString="0" containsBlank="1" containsNumber="1" containsInteger="1" minValue="1007" maxValue="9996"/>
    </cacheField>
    <cacheField name="Audience" numFmtId="0">
      <sharedItems containsBlank="1"/>
    </cacheField>
    <cacheField name="Impressions '000" numFmtId="0">
      <sharedItems containsString="0" containsBlank="1" containsNumber="1" containsInteger="1" minValue="1018" maxValue="19956"/>
    </cacheField>
    <cacheField name="Clicks" numFmtId="0">
      <sharedItems containsString="0" containsBlank="1" containsNumber="1" containsInteger="1" minValue="101" maxValue="1994"/>
    </cacheField>
    <cacheField name="Conversions" numFmtId="0">
      <sharedItems containsString="0" containsBlank="1" containsNumber="1" containsInteger="1" minValue="10" maxValue="500"/>
    </cacheField>
    <cacheField name="Revenue" numFmtId="0">
      <sharedItems containsString="0" containsBlank="1" containsNumber="1" containsInteger="1" minValue="509" maxValue="14951"/>
    </cacheField>
    <cacheField name="Click Through Rate" numFmtId="10">
      <sharedItems containsString="0" containsBlank="1" containsNumber="1" minValue="5.4806070826306915E-3" maxValue="1.5740418118466899"/>
    </cacheField>
    <cacheField name="Conversion Rate" numFmtId="10">
      <sharedItems containsString="0" containsBlank="1" containsNumber="1" minValue="6.0851926977687626E-3" maxValue="3.5405405405405403"/>
    </cacheField>
    <cacheField name="Cost per click" numFmtId="0">
      <sharedItems containsString="0" containsBlank="1" containsNumber="1" minValue="0.33979974968710891" maxValue="173.73831775700936"/>
    </cacheField>
    <cacheField name="Cost per acquisition" numFmtId="0">
      <sharedItems containsString="0" containsBlank="1" containsNumber="1" minValue="1.165948275862069" maxValue="1889.1"/>
    </cacheField>
    <cacheField name="BUDGET UTILISATION" numFmtId="10">
      <sharedItems containsString="0" containsBlank="1" containsNumber="1" minValue="5.9834710743801652E-2" maxValue="18.99514563106796"/>
    </cacheField>
    <cacheField name="ROAS" numFmtId="10">
      <sharedItems containsString="0" containsBlank="1" containsNumber="1" minValue="3.5840188014101056E-2" maxValue="24.531914893617021"/>
    </cacheField>
    <cacheField name="Client ID" numFmtId="0">
      <sharedItems containsBlank="1"/>
    </cacheField>
    <cacheField name="Sector" numFmtId="0">
      <sharedItems containsBlank="1" count="6">
        <s v="Health"/>
        <s v="Technology"/>
        <s v="Fashion"/>
        <s v="Food"/>
        <s v="Education"/>
        <m/>
      </sharedItems>
    </cacheField>
    <cacheField name="Company Size" numFmtId="0">
      <sharedItems containsBlank="1"/>
    </cacheField>
    <cacheField name="Ad Spend" numFmtId="0">
      <sharedItems containsString="0" containsBlank="1" containsNumber="1" containsInteger="1" minValue="541" maxValue="19996"/>
    </cacheField>
    <cacheField name="Satisfaction Rating" numFmtId="0">
      <sharedItems containsString="0" containsBlank="1" containsNumber="1" containsInteger="1" minValue="1" maxValue="5"/>
    </cacheField>
    <cacheField name="Rating Classifica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001"/>
    <x v="0"/>
    <d v="2024-02-15T11:43:27"/>
    <x v="0"/>
    <n v="301.53270833333227"/>
    <n v="3216"/>
    <x v="0"/>
    <n v="17862"/>
    <n v="1352"/>
    <n v="200"/>
    <n v="5912"/>
    <n v="7.5691411935953426E-2"/>
    <x v="0"/>
    <n v="2.165680473372781"/>
    <n v="14.64"/>
    <n v="0.91044776119402981"/>
    <n v="2.0191256830601092"/>
    <s v="CL001"/>
    <x v="0"/>
    <x v="0"/>
    <n v="2928"/>
    <n v="5"/>
    <x v="0"/>
  </r>
  <r>
    <s v="C002"/>
    <x v="1"/>
    <d v="2023-08-23T07:38:51"/>
    <x v="1"/>
    <n v="0"/>
    <n v="1702"/>
    <x v="1"/>
    <n v="8625"/>
    <n v="181"/>
    <n v="51"/>
    <n v="10101"/>
    <n v="2.0985507246376812E-2"/>
    <x v="1"/>
    <n v="9.0718232044198892"/>
    <n v="32.196078431372548"/>
    <n v="0.96474735605170392"/>
    <n v="6.1516443361753961"/>
    <s v="CL002"/>
    <x v="1"/>
    <x v="0"/>
    <n v="1642"/>
    <n v="2"/>
    <x v="1"/>
  </r>
  <r>
    <s v="C003"/>
    <x v="2"/>
    <d v="2024-12-22T16:29:11"/>
    <x v="0"/>
    <n v="641.18930555555562"/>
    <n v="1665"/>
    <x v="0"/>
    <n v="10136"/>
    <n v="1703"/>
    <n v="386"/>
    <n v="3148"/>
    <n v="0.1680149960536701"/>
    <x v="2"/>
    <n v="10.540810334703464"/>
    <n v="46.505181347150256"/>
    <n v="10.781381381381381"/>
    <n v="0.17536627485933931"/>
    <s v="CL003"/>
    <x v="2"/>
    <x v="0"/>
    <n v="17951"/>
    <n v="4"/>
    <x v="0"/>
  </r>
  <r>
    <s v="C004"/>
    <x v="3"/>
    <d v="2024-05-09T09:29:28"/>
    <x v="1"/>
    <n v="0"/>
    <n v="2883"/>
    <x v="1"/>
    <n v="7926"/>
    <n v="1726"/>
    <n v="84"/>
    <n v="2137"/>
    <n v="0.21776431995962656"/>
    <x v="3"/>
    <n v="7.5150637311703363"/>
    <n v="154.41666666666666"/>
    <n v="4.4991328477280614"/>
    <n v="0.16475213938786523"/>
    <s v="CL004"/>
    <x v="0"/>
    <x v="1"/>
    <n v="12971"/>
    <n v="4"/>
    <x v="0"/>
  </r>
  <r>
    <s v="C005"/>
    <x v="4"/>
    <d v="2024-11-10T14:52:20"/>
    <x v="0"/>
    <n v="477.04877314814803"/>
    <n v="9896"/>
    <x v="0"/>
    <n v="15176"/>
    <n v="1603"/>
    <n v="499"/>
    <n v="11513"/>
    <n v="0.10562730627306273"/>
    <x v="4"/>
    <n v="1.8041172800998129"/>
    <n v="5.7955911823647295"/>
    <n v="0.29223928860145515"/>
    <n v="3.9809820193637622"/>
    <s v="CL005"/>
    <x v="3"/>
    <x v="0"/>
    <n v="2892"/>
    <n v="4"/>
    <x v="0"/>
  </r>
  <r>
    <s v="C006"/>
    <x v="5"/>
    <d v="2024-12-27T08:38:10"/>
    <x v="1"/>
    <n v="0"/>
    <n v="6576"/>
    <x v="0"/>
    <n v="14195"/>
    <n v="1340"/>
    <n v="128"/>
    <n v="1074"/>
    <n v="9.4399436421275101E-2"/>
    <x v="5"/>
    <n v="12.394029850746268"/>
    <n v="129.75"/>
    <n v="2.5255474452554743"/>
    <n v="6.4667630057803474E-2"/>
    <s v="CL006"/>
    <x v="3"/>
    <x v="1"/>
    <n v="16608"/>
    <n v="2"/>
    <x v="1"/>
  </r>
  <r>
    <s v="C007"/>
    <x v="6"/>
    <d v="2024-01-28T06:43:16"/>
    <x v="0"/>
    <n v="284.40267361111182"/>
    <n v="2580"/>
    <x v="0"/>
    <n v="6310"/>
    <n v="664"/>
    <n v="424"/>
    <n v="7255"/>
    <n v="0.105229793977813"/>
    <x v="6"/>
    <n v="2.7379518072289155"/>
    <n v="4.2877358490566042"/>
    <n v="0.70465116279069773"/>
    <n v="3.9906490649064907"/>
    <s v="CL007"/>
    <x v="4"/>
    <x v="1"/>
    <n v="1818"/>
    <n v="2"/>
    <x v="1"/>
  </r>
  <r>
    <s v="C008"/>
    <x v="7"/>
    <d v="2024-04-10T16:42:06"/>
    <x v="1"/>
    <n v="0"/>
    <n v="8487"/>
    <x v="2"/>
    <n v="3619"/>
    <n v="395"/>
    <n v="329"/>
    <n v="6899"/>
    <n v="0.10914617297596022"/>
    <x v="7"/>
    <n v="23.703797468354431"/>
    <n v="28.458966565349545"/>
    <n v="1.1032166843407565"/>
    <n v="0.73683648403289548"/>
    <s v="CL008"/>
    <x v="2"/>
    <x v="1"/>
    <n v="9363"/>
    <n v="1"/>
    <x v="2"/>
  </r>
  <r>
    <s v="C009"/>
    <x v="8"/>
    <d v="2024-04-25T01:51:52"/>
    <x v="0"/>
    <n v="290.57799768518453"/>
    <n v="2452"/>
    <x v="1"/>
    <n v="2749"/>
    <n v="1229"/>
    <n v="163"/>
    <n v="4265"/>
    <n v="0.44707166242269919"/>
    <x v="8"/>
    <n v="14.959316517493898"/>
    <n v="112.79141104294479"/>
    <n v="7.4979608482871125"/>
    <n v="0.23198259450639108"/>
    <s v="CL009"/>
    <x v="2"/>
    <x v="0"/>
    <n v="18385"/>
    <n v="4"/>
    <x v="0"/>
  </r>
  <r>
    <s v="C010"/>
    <x v="9"/>
    <d v="2024-04-01T10:40:37"/>
    <x v="1"/>
    <n v="0"/>
    <n v="2112"/>
    <x v="1"/>
    <n v="18727"/>
    <n v="1018"/>
    <n v="179"/>
    <n v="671"/>
    <n v="5.436001495167405E-2"/>
    <x v="9"/>
    <n v="18.390962671905697"/>
    <n v="104.59217877094972"/>
    <n v="8.8645833333333339"/>
    <n v="3.5840188014101056E-2"/>
    <s v="CL010"/>
    <x v="2"/>
    <x v="0"/>
    <n v="18722"/>
    <n v="5"/>
    <x v="0"/>
  </r>
  <r>
    <s v="C011"/>
    <x v="10"/>
    <d v="2024-03-07T17:00:05"/>
    <x v="0"/>
    <n v="255.18488425925898"/>
    <n v="5739"/>
    <x v="1"/>
    <n v="10638"/>
    <n v="1902"/>
    <n v="446"/>
    <n v="4312"/>
    <n v="0.17879300620417371"/>
    <x v="10"/>
    <n v="2.0893796004206098"/>
    <n v="8.9103139013452921"/>
    <n v="0.69245513155602023"/>
    <n v="1.0850528434826372"/>
    <s v="CL011"/>
    <x v="0"/>
    <x v="2"/>
    <n v="3974"/>
    <n v="4"/>
    <x v="0"/>
  </r>
  <r>
    <s v="C012"/>
    <x v="11"/>
    <d v="2023-11-26T18:06:50"/>
    <x v="0"/>
    <n v="41.8221296296324"/>
    <n v="8988"/>
    <x v="1"/>
    <n v="1787"/>
    <n v="1527"/>
    <n v="103"/>
    <n v="7600"/>
    <n v="0.85450475657526581"/>
    <x v="11"/>
    <n v="8.4014407334643089"/>
    <n v="124.55339805825243"/>
    <n v="1.4273475745438362"/>
    <n v="0.5924078260191753"/>
    <s v="CL012"/>
    <x v="2"/>
    <x v="0"/>
    <n v="12829"/>
    <n v="1"/>
    <x v="2"/>
  </r>
  <r>
    <s v="C013"/>
    <x v="12"/>
    <d v="2024-07-28T04:47:12"/>
    <x v="1"/>
    <n v="0"/>
    <n v="8686"/>
    <x v="0"/>
    <n v="13836"/>
    <n v="1032"/>
    <n v="135"/>
    <n v="9430"/>
    <n v="7.4588031222896797E-2"/>
    <x v="12"/>
    <n v="1.8914728682170543"/>
    <n v="14.459259259259259"/>
    <n v="0.22472944968915495"/>
    <n v="4.8309426229508201"/>
    <s v="CL013"/>
    <x v="4"/>
    <x v="0"/>
    <n v="1952"/>
    <n v="2"/>
    <x v="1"/>
  </r>
  <r>
    <s v="C014"/>
    <x v="13"/>
    <d v="2024-01-14T19:59:46"/>
    <x v="0"/>
    <n v="99.838923611110658"/>
    <n v="1141"/>
    <x v="0"/>
    <n v="16637"/>
    <n v="1223"/>
    <n v="332"/>
    <n v="10732"/>
    <n v="7.3510849311774956E-2"/>
    <x v="13"/>
    <n v="8.6573998364677021"/>
    <n v="31.891566265060241"/>
    <n v="9.2795793163891318"/>
    <n v="1.0136003022289384"/>
    <s v="CL014"/>
    <x v="0"/>
    <x v="2"/>
    <n v="10588"/>
    <n v="3"/>
    <x v="1"/>
  </r>
  <r>
    <s v="C015"/>
    <x v="14"/>
    <d v="2024-09-04T12:51:53"/>
    <x v="0"/>
    <n v="75.784652777772862"/>
    <n v="2097"/>
    <x v="3"/>
    <n v="9164"/>
    <n v="601"/>
    <n v="271"/>
    <n v="11325"/>
    <n v="6.5582714971628112E-2"/>
    <x v="14"/>
    <n v="15.668885191347753"/>
    <n v="34.749077490774908"/>
    <n v="4.4907010014306152"/>
    <n v="1.2026122969098438"/>
    <s v="CL015"/>
    <x v="3"/>
    <x v="2"/>
    <n v="9417"/>
    <n v="4"/>
    <x v="0"/>
  </r>
  <r>
    <s v="C016"/>
    <x v="15"/>
    <d v="2024-08-02T13:34:54"/>
    <x v="0"/>
    <n v="18.995925925926713"/>
    <n v="1860"/>
    <x v="2"/>
    <n v="17013"/>
    <n v="1737"/>
    <n v="409"/>
    <n v="10043"/>
    <n v="0.10209839534473637"/>
    <x v="15"/>
    <n v="9.0725388601036272"/>
    <n v="38.530562347188265"/>
    <n v="8.4725806451612904"/>
    <n v="0.63728662986230089"/>
    <s v="CL016"/>
    <x v="3"/>
    <x v="1"/>
    <n v="15759"/>
    <n v="1"/>
    <x v="2"/>
  </r>
  <r>
    <s v="C017"/>
    <x v="16"/>
    <d v="2023-12-23T04:07:58"/>
    <x v="0"/>
    <n v="331.56056712963618"/>
    <n v="2969"/>
    <x v="2"/>
    <n v="2652"/>
    <n v="237"/>
    <n v="303"/>
    <n v="13662"/>
    <n v="8.9366515837104074E-2"/>
    <x v="16"/>
    <n v="60.801687763713083"/>
    <n v="47.557755775577554"/>
    <n v="4.8534860222297072"/>
    <n v="0.94809160305343509"/>
    <s v="CL017"/>
    <x v="1"/>
    <x v="2"/>
    <n v="14410"/>
    <n v="4"/>
    <x v="0"/>
  </r>
  <r>
    <s v="C018"/>
    <x v="17"/>
    <d v="2024-06-24T22:26:16"/>
    <x v="1"/>
    <n v="0"/>
    <n v="7893"/>
    <x v="3"/>
    <n v="14819"/>
    <n v="1091"/>
    <n v="143"/>
    <n v="1597"/>
    <n v="7.3621701869221942E-2"/>
    <x v="17"/>
    <n v="1.3519706691109075"/>
    <n v="10.314685314685315"/>
    <n v="0.18687444571138984"/>
    <n v="1.0827118644067797"/>
    <s v="CL018"/>
    <x v="0"/>
    <x v="0"/>
    <n v="1475"/>
    <n v="2"/>
    <x v="1"/>
  </r>
  <r>
    <s v="C019"/>
    <x v="18"/>
    <d v="2024-05-02T08:00:52"/>
    <x v="0"/>
    <n v="410.74950231481489"/>
    <n v="1624"/>
    <x v="1"/>
    <n v="19892"/>
    <n v="633"/>
    <n v="483"/>
    <n v="4694"/>
    <n v="3.1821837924793886E-2"/>
    <x v="18"/>
    <n v="11.898894154818326"/>
    <n v="15.594202898550725"/>
    <n v="4.6379310344827589"/>
    <n v="0.62320764737121614"/>
    <s v="CL019"/>
    <x v="4"/>
    <x v="1"/>
    <n v="7532"/>
    <n v="1"/>
    <x v="2"/>
  </r>
  <r>
    <s v="C020"/>
    <x v="19"/>
    <d v="2024-06-29T15:26:12"/>
    <x v="0"/>
    <n v="364.65040509258688"/>
    <n v="1950"/>
    <x v="1"/>
    <n v="10576"/>
    <n v="1808"/>
    <n v="96"/>
    <n v="8192"/>
    <n v="0.17095310136157338"/>
    <x v="19"/>
    <n v="8.3871681415929196"/>
    <n v="157.95833333333334"/>
    <n v="7.7764102564102568"/>
    <n v="0.54022685307306784"/>
    <s v="CL020"/>
    <x v="4"/>
    <x v="1"/>
    <n v="15164"/>
    <n v="1"/>
    <x v="2"/>
  </r>
  <r>
    <s v="C021"/>
    <x v="20"/>
    <d v="2024-01-14T15:17:40"/>
    <x v="1"/>
    <n v="0"/>
    <n v="1704"/>
    <x v="3"/>
    <n v="3050"/>
    <n v="1811"/>
    <n v="249"/>
    <n v="836"/>
    <n v="0.59377049180327868"/>
    <x v="20"/>
    <n v="3.962451684152402"/>
    <n v="28.819277108433734"/>
    <n v="4.211267605633803"/>
    <n v="0.1164994425863991"/>
    <s v="CL021"/>
    <x v="2"/>
    <x v="0"/>
    <n v="7176"/>
    <n v="2"/>
    <x v="1"/>
  </r>
  <r>
    <s v="C022"/>
    <x v="21"/>
    <d v="2024-05-30T21:44:09"/>
    <x v="1"/>
    <n v="0"/>
    <n v="5600"/>
    <x v="2"/>
    <n v="13567"/>
    <n v="1671"/>
    <n v="174"/>
    <n v="13357"/>
    <n v="0.12316650696543083"/>
    <x v="21"/>
    <n v="11.533812088569718"/>
    <n v="110.76436781609195"/>
    <n v="3.4416071428571429"/>
    <n v="0.69304207959321329"/>
    <s v="CL022"/>
    <x v="4"/>
    <x v="0"/>
    <n v="19273"/>
    <n v="4"/>
    <x v="0"/>
  </r>
  <r>
    <s v="C023"/>
    <x v="22"/>
    <d v="2024-12-29T07:09:02"/>
    <x v="0"/>
    <n v="563.31920138889109"/>
    <n v="6106"/>
    <x v="1"/>
    <n v="19338"/>
    <n v="1514"/>
    <n v="385"/>
    <n v="6256"/>
    <n v="7.8291446892129482E-2"/>
    <x v="22"/>
    <n v="3.2780713342140024"/>
    <n v="12.890909090909091"/>
    <n v="0.81280707500818872"/>
    <n v="1.2605279065081605"/>
    <s v="CL023"/>
    <x v="1"/>
    <x v="0"/>
    <n v="4963"/>
    <n v="2"/>
    <x v="1"/>
  </r>
  <r>
    <s v="C024"/>
    <x v="23"/>
    <d v="2024-10-23T05:45:16"/>
    <x v="0"/>
    <n v="101.13500000000204"/>
    <n v="6528"/>
    <x v="0"/>
    <n v="14851"/>
    <n v="1892"/>
    <n v="344"/>
    <n v="13299"/>
    <n v="0.12739882836172647"/>
    <x v="23"/>
    <n v="3.3705073995771668"/>
    <n v="18.537790697674417"/>
    <n v="0.97686887254901966"/>
    <n v="2.0854633840363808"/>
    <s v="CL024"/>
    <x v="4"/>
    <x v="2"/>
    <n v="6377"/>
    <n v="4"/>
    <x v="0"/>
  </r>
  <r>
    <s v="C025"/>
    <x v="24"/>
    <d v="2023-10-26T11:49:23"/>
    <x v="0"/>
    <n v="224.97300925925811"/>
    <n v="6053"/>
    <x v="3"/>
    <n v="13853"/>
    <n v="1010"/>
    <n v="368"/>
    <n v="1838"/>
    <n v="7.2908395293438247E-2"/>
    <x v="24"/>
    <n v="16.016831683168316"/>
    <n v="43.959239130434781"/>
    <n v="2.6725590616223363"/>
    <n v="0.11361809977128021"/>
    <s v="CL025"/>
    <x v="3"/>
    <x v="0"/>
    <n v="16177"/>
    <n v="1"/>
    <x v="2"/>
  </r>
  <r>
    <s v="C026"/>
    <x v="25"/>
    <d v="2023-07-08T02:15:59"/>
    <x v="0"/>
    <n v="51.925428240741894"/>
    <n v="4549"/>
    <x v="0"/>
    <n v="6912"/>
    <n v="1739"/>
    <n v="287"/>
    <n v="11590"/>
    <n v="0.25159143518518517"/>
    <x v="25"/>
    <n v="6.2524439332949973"/>
    <n v="37.88501742160279"/>
    <n v="2.3901956473950321"/>
    <n v="1.0659431619608204"/>
    <s v="CL026"/>
    <x v="4"/>
    <x v="0"/>
    <n v="10873"/>
    <n v="3"/>
    <x v="1"/>
  </r>
  <r>
    <s v="C027"/>
    <x v="26"/>
    <d v="2024-09-23T18:03:38"/>
    <x v="1"/>
    <n v="0"/>
    <n v="6545"/>
    <x v="2"/>
    <n v="1735"/>
    <n v="1304"/>
    <n v="177"/>
    <n v="8444"/>
    <n v="0.75158501440922187"/>
    <x v="26"/>
    <n v="2.5030674846625769"/>
    <n v="18.440677966101696"/>
    <n v="0.4987012987012987"/>
    <n v="2.5870098039215685"/>
    <s v="CL027"/>
    <x v="1"/>
    <x v="1"/>
    <n v="3264"/>
    <n v="5"/>
    <x v="0"/>
  </r>
  <r>
    <s v="C028"/>
    <x v="27"/>
    <d v="2023-09-30T02:43:08"/>
    <x v="1"/>
    <n v="0"/>
    <n v="1092"/>
    <x v="1"/>
    <n v="4713"/>
    <n v="320"/>
    <n v="184"/>
    <n v="11643"/>
    <n v="6.7897305325694893E-2"/>
    <x v="27"/>
    <n v="7.2125000000000004"/>
    <n v="12.543478260869565"/>
    <n v="2.1135531135531136"/>
    <n v="5.0446273830155981"/>
    <s v="CL028"/>
    <x v="1"/>
    <x v="0"/>
    <n v="2308"/>
    <n v="3"/>
    <x v="1"/>
  </r>
  <r>
    <s v="C029"/>
    <x v="28"/>
    <d v="2024-12-10T16:13:58"/>
    <x v="0"/>
    <n v="313.37343749999854"/>
    <n v="4780"/>
    <x v="0"/>
    <n v="3644"/>
    <n v="1208"/>
    <n v="251"/>
    <n v="14695"/>
    <n v="0.33150384193194293"/>
    <x v="28"/>
    <n v="4.0778145695364234"/>
    <n v="19.625498007968126"/>
    <n v="1.0305439330543933"/>
    <n v="2.9831506293138448"/>
    <s v="CL029"/>
    <x v="0"/>
    <x v="0"/>
    <n v="4926"/>
    <n v="5"/>
    <x v="0"/>
  </r>
  <r>
    <s v="C030"/>
    <x v="29"/>
    <d v="2024-03-04T17:54:35"/>
    <x v="0"/>
    <n v="265.73374999999942"/>
    <n v="7056"/>
    <x v="2"/>
    <n v="9331"/>
    <n v="153"/>
    <n v="282"/>
    <n v="7872"/>
    <n v="1.639695638195263E-2"/>
    <x v="29"/>
    <n v="5.8692810457516336"/>
    <n v="3.1843971631205674"/>
    <n v="0.12726757369614514"/>
    <n v="8.7661469933184861"/>
    <s v="CL030"/>
    <x v="3"/>
    <x v="1"/>
    <n v="898"/>
    <n v="5"/>
    <x v="0"/>
  </r>
  <r>
    <s v="C031"/>
    <x v="30"/>
    <d v="2024-05-09T10:57:39"/>
    <x v="1"/>
    <n v="0"/>
    <n v="7807"/>
    <x v="0"/>
    <n v="4416"/>
    <n v="922"/>
    <n v="470"/>
    <n v="4232"/>
    <n v="0.20878623188405798"/>
    <x v="30"/>
    <n v="12.951193058568331"/>
    <n v="25.406382978723403"/>
    <n v="1.529524785448956"/>
    <n v="0.35440917846076542"/>
    <s v="CL031"/>
    <x v="2"/>
    <x v="0"/>
    <n v="11941"/>
    <n v="1"/>
    <x v="2"/>
  </r>
  <r>
    <s v="C032"/>
    <x v="31"/>
    <d v="2024-04-16T01:29:58"/>
    <x v="1"/>
    <n v="0"/>
    <n v="9746"/>
    <x v="3"/>
    <n v="1611"/>
    <n v="1430"/>
    <n v="368"/>
    <n v="6214"/>
    <n v="0.88764742396027307"/>
    <x v="31"/>
    <n v="3.6923076923076925"/>
    <n v="14.347826086956522"/>
    <n v="0.54176072234762984"/>
    <n v="1.1768939393939395"/>
    <s v="CL032"/>
    <x v="4"/>
    <x v="2"/>
    <n v="5280"/>
    <n v="1"/>
    <x v="2"/>
  </r>
  <r>
    <s v="C033"/>
    <x v="32"/>
    <d v="2024-01-20T14:18:51"/>
    <x v="0"/>
    <n v="373.18563657407503"/>
    <n v="5215"/>
    <x v="1"/>
    <n v="2584"/>
    <n v="182"/>
    <n v="192"/>
    <n v="14543"/>
    <n v="7.0433436532507734E-2"/>
    <x v="32"/>
    <n v="40.57692307692308"/>
    <n v="38.463541666666664"/>
    <n v="1.4161073825503356"/>
    <n v="1.9692620176032498"/>
    <s v="CL033"/>
    <x v="1"/>
    <x v="1"/>
    <n v="7385"/>
    <n v="5"/>
    <x v="0"/>
  </r>
  <r>
    <s v="C034"/>
    <x v="33"/>
    <d v="2024-11-21T01:45:23"/>
    <x v="1"/>
    <n v="0"/>
    <n v="9587"/>
    <x v="1"/>
    <n v="16932"/>
    <n v="1105"/>
    <n v="97"/>
    <n v="4456"/>
    <n v="6.5261044176706834E-2"/>
    <x v="33"/>
    <n v="10.109502262443439"/>
    <n v="115.16494845360825"/>
    <n v="1.1652237404819026"/>
    <n v="0.39888998299167489"/>
    <s v="CL034"/>
    <x v="3"/>
    <x v="0"/>
    <n v="11171"/>
    <n v="3"/>
    <x v="1"/>
  </r>
  <r>
    <s v="C035"/>
    <x v="34"/>
    <d v="2023-08-17T10:21:21"/>
    <x v="1"/>
    <n v="0"/>
    <n v="5625"/>
    <x v="1"/>
    <n v="18293"/>
    <n v="359"/>
    <n v="330"/>
    <n v="9099"/>
    <n v="1.962499316678511E-2"/>
    <x v="34"/>
    <n v="54.902506963788298"/>
    <n v="59.727272727272727"/>
    <n v="3.504"/>
    <n v="0.46164383561643835"/>
    <s v="CL035"/>
    <x v="0"/>
    <x v="0"/>
    <n v="19710"/>
    <n v="2"/>
    <x v="1"/>
  </r>
  <r>
    <s v="C036"/>
    <x v="35"/>
    <d v="2024-03-16T02:59:18"/>
    <x v="0"/>
    <n v="163.66407407407678"/>
    <n v="3366"/>
    <x v="3"/>
    <n v="15705"/>
    <n v="381"/>
    <n v="240"/>
    <n v="875"/>
    <n v="2.425978987583572E-2"/>
    <x v="35"/>
    <n v="41.897637795275593"/>
    <n v="66.512500000000003"/>
    <n v="4.7424242424242422"/>
    <n v="5.4814257971559234E-2"/>
    <s v="CL036"/>
    <x v="2"/>
    <x v="0"/>
    <n v="15963"/>
    <n v="3"/>
    <x v="1"/>
  </r>
  <r>
    <s v="C037"/>
    <x v="36"/>
    <d v="2024-09-09T08:36:30"/>
    <x v="0"/>
    <n v="500.81967592592264"/>
    <n v="9689"/>
    <x v="3"/>
    <n v="4059"/>
    <n v="984"/>
    <n v="267"/>
    <n v="3568"/>
    <n v="0.24242424242424243"/>
    <x v="36"/>
    <n v="9.0243902439024382"/>
    <n v="33.258426966292134"/>
    <n v="0.91650325110950559"/>
    <n v="0.40180180180180181"/>
    <s v="CL037"/>
    <x v="1"/>
    <x v="1"/>
    <n v="8880"/>
    <n v="2"/>
    <x v="1"/>
  </r>
  <r>
    <s v="C038"/>
    <x v="37"/>
    <d v="2024-08-29T16:07:45"/>
    <x v="0"/>
    <n v="137.16861111110484"/>
    <n v="5201"/>
    <x v="0"/>
    <n v="16403"/>
    <n v="447"/>
    <n v="437"/>
    <n v="8058"/>
    <n v="2.7251112601353412E-2"/>
    <x v="37"/>
    <n v="29.029082774049218"/>
    <n v="29.693363844393591"/>
    <n v="2.4949048259950009"/>
    <n v="0.62099260172626392"/>
    <s v="CL038"/>
    <x v="2"/>
    <x v="1"/>
    <n v="12976"/>
    <n v="5"/>
    <x v="0"/>
  </r>
  <r>
    <s v="C039"/>
    <x v="38"/>
    <d v="2024-09-08T19:48:46"/>
    <x v="1"/>
    <n v="0"/>
    <n v="4944"/>
    <x v="1"/>
    <n v="11642"/>
    <n v="302"/>
    <n v="146"/>
    <n v="5588"/>
    <n v="2.5940560041230028E-2"/>
    <x v="38"/>
    <n v="10.235099337748345"/>
    <n v="21.171232876712327"/>
    <n v="0.62520226537216828"/>
    <n v="1.8078291814946619"/>
    <s v="CL039"/>
    <x v="1"/>
    <x v="1"/>
    <n v="3091"/>
    <n v="4"/>
    <x v="0"/>
  </r>
  <r>
    <s v="C040"/>
    <x v="39"/>
    <d v="2024-12-21T07:52:18"/>
    <x v="0"/>
    <n v="404.00581018518278"/>
    <n v="2196"/>
    <x v="3"/>
    <n v="12915"/>
    <n v="1174"/>
    <n v="145"/>
    <n v="14307"/>
    <n v="9.0902051877661635E-2"/>
    <x v="39"/>
    <n v="12.420783645655877"/>
    <n v="100.56551724137931"/>
    <n v="6.6402550091074684"/>
    <n v="0.98114113290357974"/>
    <s v="CL040"/>
    <x v="1"/>
    <x v="2"/>
    <n v="14582"/>
    <n v="3"/>
    <x v="1"/>
  </r>
  <r>
    <s v="C041"/>
    <x v="40"/>
    <d v="2024-11-01T07:39:39"/>
    <x v="1"/>
    <n v="0"/>
    <n v="7885"/>
    <x v="1"/>
    <n v="1511"/>
    <n v="196"/>
    <n v="459"/>
    <n v="4173"/>
    <n v="0.12971542025148908"/>
    <x v="40"/>
    <n v="17.877551020408163"/>
    <n v="7.6339869281045756"/>
    <n v="0.44438807863031071"/>
    <n v="1.1909246575342465"/>
    <s v="CL041"/>
    <x v="2"/>
    <x v="1"/>
    <n v="3504"/>
    <n v="5"/>
    <x v="0"/>
  </r>
  <r>
    <s v="C042"/>
    <x v="41"/>
    <d v="2024-08-15T09:39:18"/>
    <x v="1"/>
    <n v="0"/>
    <n v="9316"/>
    <x v="0"/>
    <n v="9370"/>
    <n v="1824"/>
    <n v="377"/>
    <n v="4251"/>
    <n v="0.19466382070437566"/>
    <x v="41"/>
    <n v="8.6951754385964914"/>
    <n v="42.068965517241381"/>
    <n v="1.7024474023185916"/>
    <n v="0.2680327868852459"/>
    <s v="CL042"/>
    <x v="4"/>
    <x v="2"/>
    <n v="15860"/>
    <n v="2"/>
    <x v="1"/>
  </r>
  <r>
    <s v="C043"/>
    <x v="42"/>
    <d v="2024-10-04T06:28:20"/>
    <x v="1"/>
    <n v="0"/>
    <n v="7090"/>
    <x v="3"/>
    <n v="19404"/>
    <n v="207"/>
    <n v="61"/>
    <n v="11931"/>
    <n v="1.0667903525046383E-2"/>
    <x v="42"/>
    <n v="92.787439613526573"/>
    <n v="314.86885245901641"/>
    <n v="2.7090267983074754"/>
    <n v="0.62117977820586245"/>
    <s v="CL043"/>
    <x v="2"/>
    <x v="1"/>
    <n v="19207"/>
    <n v="2"/>
    <x v="1"/>
  </r>
  <r>
    <s v="C044"/>
    <x v="43"/>
    <d v="2024-04-29T10:27:14"/>
    <x v="0"/>
    <n v="321.54111111110979"/>
    <n v="9579"/>
    <x v="2"/>
    <n v="1899"/>
    <n v="603"/>
    <n v="486"/>
    <n v="5661"/>
    <n v="0.31753554502369669"/>
    <x v="43"/>
    <n v="9.0497512437810954"/>
    <n v="11.228395061728396"/>
    <n v="0.56968368305668649"/>
    <n v="1.0373831775700935"/>
    <s v="CL044"/>
    <x v="0"/>
    <x v="2"/>
    <n v="5457"/>
    <n v="5"/>
    <x v="0"/>
  </r>
  <r>
    <s v="C045"/>
    <x v="44"/>
    <d v="2024-06-07T21:28:43"/>
    <x v="1"/>
    <n v="0"/>
    <n v="1701"/>
    <x v="2"/>
    <n v="12620"/>
    <n v="588"/>
    <n v="116"/>
    <n v="13139"/>
    <n v="4.6592709984152138E-2"/>
    <x v="44"/>
    <n v="22.945578231292519"/>
    <n v="116.31034482758621"/>
    <n v="7.93180482069371"/>
    <n v="0.97383634746516456"/>
    <s v="CL045"/>
    <x v="0"/>
    <x v="0"/>
    <n v="13492"/>
    <n v="5"/>
    <x v="0"/>
  </r>
  <r>
    <s v="C046"/>
    <x v="45"/>
    <d v="2024-10-05T09:36:11"/>
    <x v="1"/>
    <n v="0"/>
    <n v="9860"/>
    <x v="2"/>
    <n v="2801"/>
    <n v="1327"/>
    <n v="202"/>
    <n v="13898"/>
    <n v="0.4737593716529811"/>
    <x v="45"/>
    <n v="8.3496608892238129"/>
    <n v="54.851485148514854"/>
    <n v="1.1237322515212982"/>
    <n v="1.254332129963899"/>
    <s v="CL046"/>
    <x v="2"/>
    <x v="2"/>
    <n v="11080"/>
    <n v="4"/>
    <x v="0"/>
  </r>
  <r>
    <s v="C047"/>
    <x v="46"/>
    <d v="2024-07-16T00:10:41"/>
    <x v="1"/>
    <n v="0"/>
    <n v="2182"/>
    <x v="2"/>
    <n v="16206"/>
    <n v="473"/>
    <n v="219"/>
    <n v="3226"/>
    <n v="2.9186720967542885E-2"/>
    <x v="46"/>
    <n v="41.329809725158562"/>
    <n v="89.264840182648399"/>
    <n v="8.9592117323556373"/>
    <n v="0.16502122870735075"/>
    <s v="CL047"/>
    <x v="3"/>
    <x v="1"/>
    <n v="19549"/>
    <n v="5"/>
    <x v="0"/>
  </r>
  <r>
    <s v="C048"/>
    <x v="47"/>
    <d v="2024-05-25T12:19:10"/>
    <x v="1"/>
    <n v="0"/>
    <n v="1836"/>
    <x v="0"/>
    <n v="9781"/>
    <n v="559"/>
    <n v="335"/>
    <n v="9167"/>
    <n v="5.7151620488702586E-2"/>
    <x v="47"/>
    <n v="19.677996422182467"/>
    <n v="32.835820895522389"/>
    <n v="5.9912854030501093"/>
    <n v="0.83336363636363642"/>
    <s v="CL048"/>
    <x v="1"/>
    <x v="2"/>
    <n v="11000"/>
    <n v="4"/>
    <x v="0"/>
  </r>
  <r>
    <s v="C049"/>
    <x v="48"/>
    <d v="2024-02-09T05:19:49"/>
    <x v="0"/>
    <n v="306.2724189814835"/>
    <n v="7769"/>
    <x v="0"/>
    <n v="14964"/>
    <n v="602"/>
    <n v="495"/>
    <n v="8712"/>
    <n v="4.0229885057471264E-2"/>
    <x v="48"/>
    <n v="5.9235880398671092"/>
    <n v="7.2040404040404038"/>
    <n v="0.45900373278414208"/>
    <n v="2.4430734716769491"/>
    <s v="CL049"/>
    <x v="2"/>
    <x v="1"/>
    <n v="3566"/>
    <n v="2"/>
    <x v="1"/>
  </r>
  <r>
    <s v="C050"/>
    <x v="49"/>
    <d v="2023-08-16T05:02:59"/>
    <x v="1"/>
    <n v="0"/>
    <n v="9873"/>
    <x v="1"/>
    <n v="12982"/>
    <n v="637"/>
    <n v="284"/>
    <n v="4137"/>
    <n v="4.9067940224926825E-2"/>
    <x v="49"/>
    <n v="2.0753532182103611"/>
    <n v="4.654929577464789"/>
    <n v="0.13390053681758332"/>
    <n v="3.1293494704992435"/>
    <s v="CL050"/>
    <x v="0"/>
    <x v="2"/>
    <n v="1322"/>
    <n v="1"/>
    <x v="2"/>
  </r>
  <r>
    <s v="C051"/>
    <x v="50"/>
    <d v="2023-08-15T20:21:08"/>
    <x v="1"/>
    <n v="0"/>
    <n v="7642"/>
    <x v="3"/>
    <n v="19272"/>
    <n v="1411"/>
    <n v="361"/>
    <n v="8299"/>
    <n v="7.3215026982150266E-2"/>
    <x v="50"/>
    <n v="13.119064493267187"/>
    <n v="51.277008310249307"/>
    <n v="2.4222716566343889"/>
    <n v="0.4483280211765977"/>
    <s v="CL051"/>
    <x v="4"/>
    <x v="1"/>
    <n v="18511"/>
    <n v="4"/>
    <x v="0"/>
  </r>
  <r>
    <s v="C052"/>
    <x v="51"/>
    <d v="2023-07-31T17:10:42"/>
    <x v="0"/>
    <n v="81.302326388889924"/>
    <n v="7632"/>
    <x v="1"/>
    <n v="12676"/>
    <n v="1315"/>
    <n v="265"/>
    <n v="10333"/>
    <n v="0.10373934995266645"/>
    <x v="51"/>
    <n v="11.638022813688213"/>
    <n v="57.750943396226418"/>
    <n v="2.0052410901467503"/>
    <n v="0.67518295870360689"/>
    <s v="CL052"/>
    <x v="1"/>
    <x v="0"/>
    <n v="15304"/>
    <n v="2"/>
    <x v="1"/>
  </r>
  <r>
    <s v="C053"/>
    <x v="52"/>
    <d v="2023-08-09T19:20:38"/>
    <x v="1"/>
    <n v="0"/>
    <n v="4035"/>
    <x v="0"/>
    <n v="11715"/>
    <n v="101"/>
    <n v="239"/>
    <n v="8828"/>
    <n v="8.6214255228339743E-3"/>
    <x v="52"/>
    <n v="108.52475247524752"/>
    <n v="45.861924686192467"/>
    <n v="2.7164807930607187"/>
    <n v="0.80540096706504882"/>
    <s v="CL053"/>
    <x v="2"/>
    <x v="0"/>
    <n v="10961"/>
    <n v="4"/>
    <x v="0"/>
  </r>
  <r>
    <s v="C054"/>
    <x v="53"/>
    <d v="2024-04-11T19:57:05"/>
    <x v="1"/>
    <n v="0"/>
    <n v="9075"/>
    <x v="0"/>
    <n v="10653"/>
    <n v="1598"/>
    <n v="97"/>
    <n v="11468"/>
    <n v="0.15000469351356424"/>
    <x v="53"/>
    <n v="0.33979974968710891"/>
    <n v="5.5979381443298966"/>
    <n v="5.9834710743801652E-2"/>
    <n v="21.119705340699817"/>
    <s v="CL054"/>
    <x v="4"/>
    <x v="0"/>
    <n v="543"/>
    <n v="5"/>
    <x v="0"/>
  </r>
  <r>
    <s v="C055"/>
    <x v="54"/>
    <d v="2024-07-03T13:55:45"/>
    <x v="0"/>
    <n v="236.62744212962571"/>
    <n v="6588"/>
    <x v="2"/>
    <n v="14597"/>
    <n v="1162"/>
    <n v="287"/>
    <n v="1008"/>
    <n v="7.9605398369527985E-2"/>
    <x v="54"/>
    <n v="6.4328743545611013"/>
    <n v="26.045296167247386"/>
    <n v="1.1346387370977535"/>
    <n v="0.13484949832775919"/>
    <s v="CL055"/>
    <x v="1"/>
    <x v="1"/>
    <n v="7475"/>
    <n v="5"/>
    <x v="0"/>
  </r>
  <r>
    <s v="C056"/>
    <x v="55"/>
    <d v="2024-08-12T20:30:00"/>
    <x v="0"/>
    <n v="154.29146990740264"/>
    <n v="6042"/>
    <x v="0"/>
    <n v="17042"/>
    <n v="1834"/>
    <n v="426"/>
    <n v="1632"/>
    <n v="0.10761647693932637"/>
    <x v="55"/>
    <n v="6.808069792802617"/>
    <n v="29.309859154929576"/>
    <n v="2.0665342601787486"/>
    <n v="0.13070639115809707"/>
    <s v="CL056"/>
    <x v="2"/>
    <x v="0"/>
    <n v="12486"/>
    <n v="5"/>
    <x v="0"/>
  </r>
  <r>
    <s v="C057"/>
    <x v="56"/>
    <d v="2023-04-09T11:14:36"/>
    <x v="1"/>
    <n v="0"/>
    <n v="1953"/>
    <x v="3"/>
    <n v="5166"/>
    <n v="1007"/>
    <n v="423"/>
    <n v="9876"/>
    <n v="0.19492837785520711"/>
    <x v="56"/>
    <n v="15.067527308838134"/>
    <n v="35.869976359338061"/>
    <n v="7.7690732206861242"/>
    <n v="0.65089303367824425"/>
    <s v="CL057"/>
    <x v="1"/>
    <x v="1"/>
    <n v="15173"/>
    <n v="4"/>
    <x v="0"/>
  </r>
  <r>
    <s v="C058"/>
    <x v="57"/>
    <d v="2024-09-24T09:55:24"/>
    <x v="0"/>
    <n v="564.52231481481431"/>
    <n v="8366"/>
    <x v="0"/>
    <n v="15485"/>
    <n v="1280"/>
    <n v="74"/>
    <n v="3220"/>
    <n v="8.2660639328382302E-2"/>
    <x v="57"/>
    <n v="4.34765625"/>
    <n v="75.202702702702709"/>
    <n v="0.66519244561319624"/>
    <n v="0.57861635220125784"/>
    <s v="CL058"/>
    <x v="0"/>
    <x v="1"/>
    <n v="5565"/>
    <n v="3"/>
    <x v="1"/>
  </r>
  <r>
    <s v="C059"/>
    <x v="58"/>
    <d v="2024-06-28T01:27:37"/>
    <x v="0"/>
    <n v="36.095127314816636"/>
    <n v="2672"/>
    <x v="2"/>
    <n v="11712"/>
    <n v="724"/>
    <n v="458"/>
    <n v="11219"/>
    <n v="6.1816939890710382E-2"/>
    <x v="58"/>
    <n v="18.933701657458563"/>
    <n v="29.930131004366814"/>
    <n v="5.1302395209580842"/>
    <n v="0.8184271957980741"/>
    <s v="CL059"/>
    <x v="3"/>
    <x v="1"/>
    <n v="13708"/>
    <n v="4"/>
    <x v="0"/>
  </r>
  <r>
    <s v="C060"/>
    <x v="59"/>
    <d v="2024-06-27T12:38:00"/>
    <x v="1"/>
    <n v="0"/>
    <n v="5638"/>
    <x v="1"/>
    <n v="1565"/>
    <n v="756"/>
    <n v="291"/>
    <n v="8026"/>
    <n v="0.48306709265175718"/>
    <x v="59"/>
    <n v="6.5886243386243386"/>
    <n v="17.116838487972508"/>
    <n v="0.88346931536005679"/>
    <n v="1.6113230275045172"/>
    <s v="CL060"/>
    <x v="1"/>
    <x v="2"/>
    <n v="4981"/>
    <n v="2"/>
    <x v="1"/>
  </r>
  <r>
    <s v="C061"/>
    <x v="60"/>
    <d v="2023-10-29T12:58:45"/>
    <x v="1"/>
    <n v="0"/>
    <n v="4977"/>
    <x v="2"/>
    <n v="4429"/>
    <n v="1818"/>
    <n v="18"/>
    <n v="3835"/>
    <n v="0.41047640550914427"/>
    <x v="60"/>
    <n v="6.6386138613861387"/>
    <n v="670.5"/>
    <n v="2.4249547920433998"/>
    <n v="0.31775623498218575"/>
    <s v="CL061"/>
    <x v="2"/>
    <x v="0"/>
    <n v="12069"/>
    <n v="4"/>
    <x v="0"/>
  </r>
  <r>
    <s v="C062"/>
    <x v="61"/>
    <d v="2024-03-17T03:44:19"/>
    <x v="0"/>
    <n v="380.50240740740264"/>
    <n v="8332"/>
    <x v="0"/>
    <n v="2345"/>
    <n v="1168"/>
    <n v="495"/>
    <n v="13522"/>
    <n v="0.49808102345415778"/>
    <x v="61"/>
    <n v="7.8621575342465757"/>
    <n v="18.551515151515151"/>
    <n v="1.1021363418146903"/>
    <n v="1.4725035391484265"/>
    <s v="CL062"/>
    <x v="4"/>
    <x v="0"/>
    <n v="9183"/>
    <n v="5"/>
    <x v="0"/>
  </r>
  <r>
    <s v="C063"/>
    <x v="62"/>
    <d v="2024-11-23T21:11:35"/>
    <x v="1"/>
    <n v="0"/>
    <n v="4294"/>
    <x v="0"/>
    <n v="17009"/>
    <n v="837"/>
    <n v="119"/>
    <n v="5063"/>
    <n v="4.9209242165912166E-2"/>
    <x v="62"/>
    <n v="22.285543608124254"/>
    <n v="156.74789915966386"/>
    <n v="4.3439683278993941"/>
    <n v="0.27143086902911062"/>
    <s v="CL063"/>
    <x v="0"/>
    <x v="1"/>
    <n v="18653"/>
    <n v="2"/>
    <x v="1"/>
  </r>
  <r>
    <s v="C064"/>
    <x v="63"/>
    <d v="2024-09-09T00:44:55"/>
    <x v="0"/>
    <n v="57.532337962962629"/>
    <n v="3484"/>
    <x v="3"/>
    <n v="9889"/>
    <n v="1893"/>
    <n v="329"/>
    <n v="12904"/>
    <n v="0.19142481545151177"/>
    <x v="63"/>
    <n v="1.7913365029054411"/>
    <n v="10.306990881458967"/>
    <n v="0.97330654420206664"/>
    <n v="3.8053671483338247"/>
    <s v="CL064"/>
    <x v="1"/>
    <x v="2"/>
    <n v="3391"/>
    <n v="5"/>
    <x v="0"/>
  </r>
  <r>
    <s v="C065"/>
    <x v="64"/>
    <d v="2024-05-08T14:00:32"/>
    <x v="0"/>
    <n v="138.095763888894"/>
    <n v="7354"/>
    <x v="0"/>
    <n v="14296"/>
    <n v="698"/>
    <n v="222"/>
    <n v="13779"/>
    <n v="4.8824846110800221E-2"/>
    <x v="64"/>
    <n v="6.0802292263610314"/>
    <n v="19.117117117117118"/>
    <n v="0.57710089747076421"/>
    <n v="3.2467012252591894"/>
    <s v="CL065"/>
    <x v="0"/>
    <x v="2"/>
    <n v="4244"/>
    <n v="1"/>
    <x v="2"/>
  </r>
  <r>
    <s v="C066"/>
    <x v="65"/>
    <d v="2023-12-29T09:41:05"/>
    <x v="0"/>
    <n v="249.67914351851505"/>
    <n v="9963"/>
    <x v="0"/>
    <n v="14218"/>
    <n v="888"/>
    <n v="82"/>
    <n v="7338"/>
    <n v="6.2456041637361091E-2"/>
    <x v="65"/>
    <n v="16.206081081081081"/>
    <n v="175.5"/>
    <n v="1.4444444444444444"/>
    <n v="0.50990202209714408"/>
    <s v="CL066"/>
    <x v="2"/>
    <x v="2"/>
    <n v="14391"/>
    <n v="2"/>
    <x v="1"/>
  </r>
  <r>
    <s v="C067"/>
    <x v="66"/>
    <d v="2023-08-30T18:21:30"/>
    <x v="1"/>
    <n v="0"/>
    <n v="6144"/>
    <x v="0"/>
    <n v="16755"/>
    <n v="143"/>
    <n v="135"/>
    <n v="4664"/>
    <n v="8.5347657415696804E-3"/>
    <x v="66"/>
    <n v="88.055944055944053"/>
    <n v="93.274074074074079"/>
    <n v="2.0494791666666665"/>
    <n v="0.37039390088945362"/>
    <s v="CL067"/>
    <x v="3"/>
    <x v="2"/>
    <n v="12592"/>
    <n v="3"/>
    <x v="1"/>
  </r>
  <r>
    <s v="C068"/>
    <x v="67"/>
    <d v="2024-07-30T19:08:11"/>
    <x v="1"/>
    <n v="0"/>
    <n v="9854"/>
    <x v="0"/>
    <n v="18392"/>
    <n v="1610"/>
    <n v="314"/>
    <n v="12249"/>
    <n v="8.7538060026098305E-2"/>
    <x v="67"/>
    <n v="11.362732919254658"/>
    <n v="58.261146496815286"/>
    <n v="1.8565049725999594"/>
    <n v="0.66956379140701872"/>
    <s v="CL068"/>
    <x v="3"/>
    <x v="0"/>
    <n v="18294"/>
    <n v="4"/>
    <x v="0"/>
  </r>
  <r>
    <s v="C069"/>
    <x v="68"/>
    <d v="2024-06-22T02:08:15"/>
    <x v="1"/>
    <n v="0"/>
    <n v="4881"/>
    <x v="0"/>
    <n v="9572"/>
    <n v="1399"/>
    <n v="115"/>
    <n v="4262"/>
    <n v="0.14615545340576683"/>
    <x v="68"/>
    <n v="8.521801286633309"/>
    <n v="103.66956521739131"/>
    <n v="2.4425322679778736"/>
    <n v="0.3574903539674551"/>
    <s v="CL069"/>
    <x v="2"/>
    <x v="2"/>
    <n v="11922"/>
    <n v="5"/>
    <x v="0"/>
  </r>
  <r>
    <s v="C070"/>
    <x v="69"/>
    <d v="2024-11-29T00:13:41"/>
    <x v="1"/>
    <n v="0"/>
    <n v="3918"/>
    <x v="1"/>
    <n v="5586"/>
    <n v="1151"/>
    <n v="102"/>
    <n v="1404"/>
    <n v="0.20605084138918725"/>
    <x v="69"/>
    <n v="11.280625543006082"/>
    <n v="127.29411764705883"/>
    <n v="3.313935681470138"/>
    <n v="0.10813308687615526"/>
    <s v="CL070"/>
    <x v="1"/>
    <x v="0"/>
    <n v="12984"/>
    <n v="2"/>
    <x v="1"/>
  </r>
  <r>
    <s v="C071"/>
    <x v="70"/>
    <d v="2024-12-09T15:53:03"/>
    <x v="1"/>
    <n v="0"/>
    <n v="3791"/>
    <x v="2"/>
    <n v="14243"/>
    <n v="1190"/>
    <n v="199"/>
    <n v="8666"/>
    <n v="8.3549813943691639E-2"/>
    <x v="70"/>
    <n v="16.604201680672269"/>
    <n v="99.291457286432163"/>
    <n v="5.2120812450540752"/>
    <n v="0.43858494863100361"/>
    <s v="CL071"/>
    <x v="2"/>
    <x v="2"/>
    <n v="19759"/>
    <n v="4"/>
    <x v="0"/>
  </r>
  <r>
    <s v="C072"/>
    <x v="71"/>
    <d v="2024-03-17T17:52:20"/>
    <x v="1"/>
    <n v="0"/>
    <n v="3584"/>
    <x v="2"/>
    <n v="5731"/>
    <n v="476"/>
    <n v="387"/>
    <n v="5937"/>
    <n v="8.3057058105042755E-2"/>
    <x v="71"/>
    <n v="4.3046218487394956"/>
    <n v="5.2945736434108523"/>
    <n v="0.5717075892857143"/>
    <n v="2.8975109809663251"/>
    <s v="CL072"/>
    <x v="3"/>
    <x v="0"/>
    <n v="2049"/>
    <n v="5"/>
    <x v="0"/>
  </r>
  <r>
    <s v="C073"/>
    <x v="72"/>
    <d v="2024-02-11T00:30:12"/>
    <x v="1"/>
    <n v="0"/>
    <n v="1613"/>
    <x v="1"/>
    <n v="11944"/>
    <n v="667"/>
    <n v="217"/>
    <n v="10203"/>
    <n v="5.5843938379102481E-2"/>
    <x v="72"/>
    <n v="28.923538230884557"/>
    <n v="88.903225806451616"/>
    <n v="11.960322380657161"/>
    <n v="0.52887207132490155"/>
    <s v="CL073"/>
    <x v="1"/>
    <x v="0"/>
    <n v="19292"/>
    <n v="3"/>
    <x v="1"/>
  </r>
  <r>
    <s v="C074"/>
    <x v="73"/>
    <d v="2024-06-28T02:12:28"/>
    <x v="0"/>
    <n v="171.72212962963386"/>
    <n v="6972"/>
    <x v="3"/>
    <n v="16890"/>
    <n v="174"/>
    <n v="252"/>
    <n v="8176"/>
    <n v="1.0301953818827708E-2"/>
    <x v="73"/>
    <n v="74.281609195402297"/>
    <n v="51.289682539682538"/>
    <n v="1.8538439472174413"/>
    <n v="0.63257253384912959"/>
    <s v="CL074"/>
    <x v="4"/>
    <x v="2"/>
    <n v="12925"/>
    <n v="4"/>
    <x v="0"/>
  </r>
  <r>
    <s v="C075"/>
    <x v="74"/>
    <d v="2024-10-30T18:24:58"/>
    <x v="0"/>
    <n v="241.12516203703854"/>
    <n v="6557"/>
    <x v="3"/>
    <n v="11062"/>
    <n v="233"/>
    <n v="212"/>
    <n v="8987"/>
    <n v="2.1063098897125293E-2"/>
    <x v="74"/>
    <n v="38.480686695278969"/>
    <n v="42.29245283018868"/>
    <n v="1.3673936251334451"/>
    <n v="1.0023421815748383"/>
    <s v="CL075"/>
    <x v="1"/>
    <x v="0"/>
    <n v="8966"/>
    <n v="5"/>
    <x v="0"/>
  </r>
  <r>
    <s v="C076"/>
    <x v="75"/>
    <d v="2024-09-10T03:51:49"/>
    <x v="1"/>
    <n v="0"/>
    <n v="4429"/>
    <x v="2"/>
    <n v="18797"/>
    <n v="1440"/>
    <n v="95"/>
    <n v="10494"/>
    <n v="7.6607969356812258E-2"/>
    <x v="75"/>
    <n v="9.1416666666666675"/>
    <n v="138.56842105263158"/>
    <n v="2.9722284940167079"/>
    <n v="0.79717411121239745"/>
    <s v="CL076"/>
    <x v="3"/>
    <x v="2"/>
    <n v="13164"/>
    <n v="5"/>
    <x v="0"/>
  </r>
  <r>
    <s v="C077"/>
    <x v="76"/>
    <d v="2024-05-21T16:22:01"/>
    <x v="1"/>
    <n v="0"/>
    <n v="2400"/>
    <x v="1"/>
    <n v="2699"/>
    <n v="1542"/>
    <n v="306"/>
    <n v="14392"/>
    <n v="0.57132271211559837"/>
    <x v="76"/>
    <n v="9.1057068741893641"/>
    <n v="45.885620915032682"/>
    <n v="5.8504166666666668"/>
    <n v="1.0249982195000356"/>
    <s v="CL077"/>
    <x v="2"/>
    <x v="0"/>
    <n v="14041"/>
    <n v="2"/>
    <x v="1"/>
  </r>
  <r>
    <s v="C078"/>
    <x v="77"/>
    <d v="2024-08-13T11:32:15"/>
    <x v="1"/>
    <n v="0"/>
    <n v="3565"/>
    <x v="3"/>
    <n v="7034"/>
    <n v="434"/>
    <n v="255"/>
    <n v="6390"/>
    <n v="6.1700312766562411E-2"/>
    <x v="77"/>
    <n v="26.875576036866359"/>
    <n v="45.741176470588236"/>
    <n v="3.2718092566619914"/>
    <n v="0.5478395061728395"/>
    <s v="CL078"/>
    <x v="3"/>
    <x v="1"/>
    <n v="11664"/>
    <n v="4"/>
    <x v="0"/>
  </r>
  <r>
    <s v="C079"/>
    <x v="78"/>
    <d v="2024-09-13T14:01:39"/>
    <x v="0"/>
    <n v="34.003981481480878"/>
    <n v="3316"/>
    <x v="2"/>
    <n v="14750"/>
    <n v="1722"/>
    <n v="231"/>
    <n v="1438"/>
    <n v="0.1167457627118644"/>
    <x v="78"/>
    <n v="9.0969802555168418"/>
    <n v="67.813852813852819"/>
    <n v="4.7240651387213513"/>
    <n v="9.1796999680817115E-2"/>
    <s v="CL079"/>
    <x v="3"/>
    <x v="2"/>
    <n v="15665"/>
    <n v="4"/>
    <x v="0"/>
  </r>
  <r>
    <s v="C080"/>
    <x v="79"/>
    <d v="2024-06-09T06:02:14"/>
    <x v="1"/>
    <n v="0"/>
    <n v="9801"/>
    <x v="2"/>
    <n v="12755"/>
    <n v="645"/>
    <n v="54"/>
    <n v="4937"/>
    <n v="5.0568404547236379E-2"/>
    <x v="79"/>
    <n v="5.6930232558139533"/>
    <n v="68"/>
    <n v="0.37465564738292012"/>
    <n v="1.3444989106753813"/>
    <s v="CL080"/>
    <x v="0"/>
    <x v="1"/>
    <n v="3672"/>
    <n v="2"/>
    <x v="1"/>
  </r>
  <r>
    <s v="C081"/>
    <x v="80"/>
    <d v="2024-08-09T01:18:48"/>
    <x v="1"/>
    <n v="0"/>
    <n v="7863"/>
    <x v="2"/>
    <n v="17622"/>
    <n v="550"/>
    <n v="446"/>
    <n v="7468"/>
    <n v="3.1210986267166042E-2"/>
    <x v="80"/>
    <n v="31.098181818181818"/>
    <n v="38.349775784753362"/>
    <n v="2.1752511763957778"/>
    <n v="0.43662301216089805"/>
    <s v="CL081"/>
    <x v="0"/>
    <x v="2"/>
    <n v="17104"/>
    <n v="1"/>
    <x v="2"/>
  </r>
  <r>
    <s v="C082"/>
    <x v="81"/>
    <d v="2023-12-13T17:25:36"/>
    <x v="1"/>
    <n v="0"/>
    <n v="6697"/>
    <x v="2"/>
    <n v="15673"/>
    <n v="828"/>
    <n v="21"/>
    <n v="9841"/>
    <n v="5.2829707139666941E-2"/>
    <x v="81"/>
    <n v="7.7463768115942031"/>
    <n v="305.42857142857144"/>
    <n v="0.95774227265939971"/>
    <n v="1.5342999688182102"/>
    <s v="CL082"/>
    <x v="1"/>
    <x v="0"/>
    <n v="6414"/>
    <n v="5"/>
    <x v="0"/>
  </r>
  <r>
    <s v="C083"/>
    <x v="82"/>
    <d v="2024-04-21T14:01:39"/>
    <x v="0"/>
    <n v="252.93498842592817"/>
    <n v="7160"/>
    <x v="1"/>
    <n v="4174"/>
    <n v="738"/>
    <n v="118"/>
    <n v="6809"/>
    <n v="0.17680881648298993"/>
    <x v="82"/>
    <n v="22.372628726287264"/>
    <n v="139.92372881355934"/>
    <n v="2.3060055865921787"/>
    <n v="0.41239173884077279"/>
    <s v="CL083"/>
    <x v="4"/>
    <x v="1"/>
    <n v="16511"/>
    <n v="3"/>
    <x v="1"/>
  </r>
  <r>
    <s v="C084"/>
    <x v="83"/>
    <d v="2024-03-19T14:38:12"/>
    <x v="0"/>
    <n v="326.17559027777315"/>
    <n v="1746"/>
    <x v="1"/>
    <n v="13723"/>
    <n v="1826"/>
    <n v="57"/>
    <n v="9352"/>
    <n v="0.13306128397580705"/>
    <x v="83"/>
    <n v="1.0580503833515882"/>
    <n v="33.89473684210526"/>
    <n v="1.1065292096219932"/>
    <n v="4.8405797101449277"/>
    <s v="CL084"/>
    <x v="1"/>
    <x v="1"/>
    <n v="1932"/>
    <n v="3"/>
    <x v="1"/>
  </r>
  <r>
    <s v="C085"/>
    <x v="84"/>
    <d v="2024-09-16T20:27:45"/>
    <x v="0"/>
    <n v="520.07443287037313"/>
    <n v="2762"/>
    <x v="0"/>
    <n v="3702"/>
    <n v="1475"/>
    <n v="196"/>
    <n v="4723"/>
    <n v="0.39843327930848188"/>
    <x v="84"/>
    <n v="5.1349152542372885"/>
    <n v="38.642857142857146"/>
    <n v="2.7422157856625633"/>
    <n v="0.62358067071560597"/>
    <s v="CL085"/>
    <x v="2"/>
    <x v="1"/>
    <n v="7574"/>
    <n v="2"/>
    <x v="1"/>
  </r>
  <r>
    <s v="C086"/>
    <x v="85"/>
    <d v="2023-04-16T20:53:40"/>
    <x v="0"/>
    <n v="36.190462962964375"/>
    <n v="5405"/>
    <x v="2"/>
    <n v="12061"/>
    <n v="1206"/>
    <n v="223"/>
    <n v="14650"/>
    <n v="9.9991708813531213E-2"/>
    <x v="85"/>
    <n v="9.1210613598673298"/>
    <n v="49.327354260089685"/>
    <n v="2.0351526364477337"/>
    <n v="1.3318181818181818"/>
    <s v="CL086"/>
    <x v="3"/>
    <x v="2"/>
    <n v="11000"/>
    <n v="2"/>
    <x v="1"/>
  </r>
  <r>
    <s v="C087"/>
    <x v="86"/>
    <d v="2024-11-04T20:40:29"/>
    <x v="1"/>
    <n v="0"/>
    <n v="7044"/>
    <x v="1"/>
    <n v="2141"/>
    <n v="1280"/>
    <n v="203"/>
    <n v="10362"/>
    <n v="0.59785147127510507"/>
    <x v="86"/>
    <n v="1.3687499999999999"/>
    <n v="8.6305418719211815"/>
    <n v="0.24872231686541738"/>
    <n v="5.9143835616438354"/>
    <s v="CL087"/>
    <x v="1"/>
    <x v="0"/>
    <n v="1752"/>
    <n v="1"/>
    <x v="2"/>
  </r>
  <r>
    <s v="C088"/>
    <x v="87"/>
    <d v="2024-10-27T03:38:25"/>
    <x v="1"/>
    <n v="0"/>
    <n v="2950"/>
    <x v="2"/>
    <n v="17874"/>
    <n v="1078"/>
    <n v="235"/>
    <n v="12351"/>
    <n v="6.0311066353362426E-2"/>
    <x v="87"/>
    <n v="7.304267161410019"/>
    <n v="33.506382978723401"/>
    <n v="2.6691525423728812"/>
    <n v="1.5685801371602743"/>
    <s v="CL088"/>
    <x v="0"/>
    <x v="2"/>
    <n v="7874"/>
    <n v="4"/>
    <x v="0"/>
  </r>
  <r>
    <s v="C089"/>
    <x v="88"/>
    <d v="2023-10-16T12:11:41"/>
    <x v="0"/>
    <n v="265.17967592592322"/>
    <n v="3944"/>
    <x v="3"/>
    <n v="13936"/>
    <n v="152"/>
    <n v="279"/>
    <n v="1492"/>
    <n v="1.0907003444316877E-2"/>
    <x v="88"/>
    <n v="28.842105263157894"/>
    <n v="15.713261648745521"/>
    <n v="1.1115618661257607"/>
    <n v="0.34032846715328469"/>
    <s v="CL089"/>
    <x v="2"/>
    <x v="1"/>
    <n v="4384"/>
    <n v="5"/>
    <x v="0"/>
  </r>
  <r>
    <s v="C090"/>
    <x v="89"/>
    <d v="2023-10-04T05:35:48"/>
    <x v="0"/>
    <n v="222.45591435184906"/>
    <n v="3082"/>
    <x v="2"/>
    <n v="16376"/>
    <n v="1790"/>
    <n v="86"/>
    <n v="5897"/>
    <n v="0.10930630190522717"/>
    <x v="89"/>
    <n v="5.976536312849162"/>
    <n v="124.3953488372093"/>
    <n v="3.4711226476314083"/>
    <n v="0.55122452794914933"/>
    <s v="CL090"/>
    <x v="3"/>
    <x v="2"/>
    <n v="10698"/>
    <n v="4"/>
    <x v="0"/>
  </r>
  <r>
    <s v="C091"/>
    <x v="90"/>
    <d v="2024-09-22T02:00:54"/>
    <x v="1"/>
    <n v="0"/>
    <n v="5530"/>
    <x v="2"/>
    <n v="18904"/>
    <n v="355"/>
    <n v="369"/>
    <n v="14423"/>
    <n v="1.8779094371561573E-2"/>
    <x v="90"/>
    <n v="34.101408450704227"/>
    <n v="32.807588075880759"/>
    <n v="2.1891500904159131"/>
    <n v="1.1913926978357838"/>
    <s v="CL091"/>
    <x v="0"/>
    <x v="2"/>
    <n v="12106"/>
    <n v="3"/>
    <x v="1"/>
  </r>
  <r>
    <s v="C092"/>
    <x v="91"/>
    <d v="2024-03-10T23:27:38"/>
    <x v="1"/>
    <n v="0"/>
    <n v="4168"/>
    <x v="3"/>
    <n v="2896"/>
    <n v="440"/>
    <n v="194"/>
    <n v="12094"/>
    <n v="0.15193370165745856"/>
    <x v="91"/>
    <n v="32.877272727272725"/>
    <n v="74.567010309278345"/>
    <n v="3.4707293666026873"/>
    <n v="0.83602931010645654"/>
    <s v="CL092"/>
    <x v="2"/>
    <x v="1"/>
    <n v="14466"/>
    <n v="1"/>
    <x v="2"/>
  </r>
  <r>
    <s v="C093"/>
    <x v="92"/>
    <d v="2024-09-24T17:43:10"/>
    <x v="0"/>
    <n v="514.70164351852145"/>
    <n v="3110"/>
    <x v="0"/>
    <n v="19956"/>
    <n v="694"/>
    <n v="55"/>
    <n v="13873"/>
    <n v="3.4776508318300259E-2"/>
    <x v="92"/>
    <n v="21.354466858789625"/>
    <n v="269.45454545454544"/>
    <n v="4.765273311897106"/>
    <n v="0.93609986504723341"/>
    <s v="CL093"/>
    <x v="2"/>
    <x v="2"/>
    <n v="14820"/>
    <n v="4"/>
    <x v="0"/>
  </r>
  <r>
    <s v="C094"/>
    <x v="93"/>
    <d v="2024-05-17T12:29:26"/>
    <x v="1"/>
    <n v="0"/>
    <n v="2041"/>
    <x v="0"/>
    <n v="12551"/>
    <n v="1197"/>
    <n v="334"/>
    <n v="2031"/>
    <n v="9.5370886781929731E-2"/>
    <x v="93"/>
    <n v="13.487050960735171"/>
    <n v="48.335329341317369"/>
    <n v="7.9098481136697698"/>
    <n v="0.12580525272547077"/>
    <s v="CL094"/>
    <x v="3"/>
    <x v="0"/>
    <n v="16144"/>
    <n v="2"/>
    <x v="1"/>
  </r>
  <r>
    <s v="C095"/>
    <x v="94"/>
    <d v="2024-09-04T10:06:37"/>
    <x v="0"/>
    <n v="56.09284722222219"/>
    <n v="9620"/>
    <x v="2"/>
    <n v="7844"/>
    <n v="1705"/>
    <n v="164"/>
    <n v="12548"/>
    <n v="0.21736359000509944"/>
    <x v="94"/>
    <n v="8.8076246334310859"/>
    <n v="91.567073170731703"/>
    <n v="1.561018711018711"/>
    <n v="0.83558633548644867"/>
    <s v="CL095"/>
    <x v="0"/>
    <x v="2"/>
    <n v="15017"/>
    <n v="3"/>
    <x v="1"/>
  </r>
  <r>
    <s v="C096"/>
    <x v="95"/>
    <d v="2024-07-09T17:18:40"/>
    <x v="0"/>
    <n v="479.92915509259183"/>
    <n v="9793"/>
    <x v="2"/>
    <n v="14815"/>
    <n v="923"/>
    <n v="199"/>
    <n v="10155"/>
    <n v="6.2301721228484645E-2"/>
    <x v="95"/>
    <n v="19.722643553629471"/>
    <n v="91.477386934673362"/>
    <n v="1.8588787909731441"/>
    <n v="0.5578444297956493"/>
    <s v="CL096"/>
    <x v="3"/>
    <x v="0"/>
    <n v="18204"/>
    <n v="5"/>
    <x v="0"/>
  </r>
  <r>
    <s v="C097"/>
    <x v="96"/>
    <d v="2024-09-30T19:31:08"/>
    <x v="0"/>
    <n v="418.14783564815298"/>
    <n v="3959"/>
    <x v="0"/>
    <n v="19920"/>
    <n v="1208"/>
    <n v="162"/>
    <n v="10600"/>
    <n v="6.0642570281124498E-2"/>
    <x v="96"/>
    <n v="2.3543046357615895"/>
    <n v="17.555555555555557"/>
    <n v="0.71836322303612021"/>
    <n v="3.7271448663853728"/>
    <s v="CL097"/>
    <x v="0"/>
    <x v="0"/>
    <n v="2844"/>
    <n v="5"/>
    <x v="0"/>
  </r>
  <r>
    <s v="C098"/>
    <x v="97"/>
    <d v="2024-04-08T17:59:39"/>
    <x v="0"/>
    <n v="115.15182870370336"/>
    <n v="8779"/>
    <x v="1"/>
    <n v="9421"/>
    <n v="132"/>
    <n v="241"/>
    <n v="11863"/>
    <n v="1.401125145950536E-2"/>
    <x v="97"/>
    <n v="85.25"/>
    <n v="46.692946058091287"/>
    <n v="1.2818088620571819"/>
    <n v="1.0542077668177374"/>
    <s v="CL098"/>
    <x v="0"/>
    <x v="2"/>
    <n v="11253"/>
    <n v="2"/>
    <x v="1"/>
  </r>
  <r>
    <s v="C099"/>
    <x v="98"/>
    <d v="2023-07-22T04:13:20"/>
    <x v="1"/>
    <n v="0"/>
    <n v="6556"/>
    <x v="0"/>
    <n v="1519"/>
    <n v="1821"/>
    <n v="348"/>
    <n v="2838"/>
    <n v="1.1988150098749177"/>
    <x v="98"/>
    <n v="4.5299286106534868"/>
    <n v="23.704022988505749"/>
    <n v="1.2582367297132397"/>
    <n v="0.34404170202448781"/>
    <s v="CL099"/>
    <x v="4"/>
    <x v="2"/>
    <n v="8249"/>
    <n v="5"/>
    <x v="0"/>
  </r>
  <r>
    <s v="C100"/>
    <x v="99"/>
    <d v="2024-08-11T18:28:21"/>
    <x v="1"/>
    <n v="0"/>
    <n v="9385"/>
    <x v="3"/>
    <n v="8723"/>
    <n v="1107"/>
    <n v="342"/>
    <n v="2313"/>
    <n v="0.12690588100424166"/>
    <x v="99"/>
    <n v="9.3911472448057811"/>
    <n v="30.397660818713451"/>
    <n v="1.1077250932338838"/>
    <n v="0.22248941900731051"/>
    <s v="CL100"/>
    <x v="0"/>
    <x v="2"/>
    <n v="10396"/>
    <n v="4"/>
    <x v="0"/>
  </r>
  <r>
    <s v="C101"/>
    <x v="100"/>
    <d v="2023-10-04T02:38:10"/>
    <x v="1"/>
    <n v="0"/>
    <n v="5686"/>
    <x v="0"/>
    <n v="14864"/>
    <n v="581"/>
    <n v="391"/>
    <n v="6576"/>
    <n v="3.9087728740581272E-2"/>
    <x v="100"/>
    <n v="19.542168674698797"/>
    <n v="29.038363171355499"/>
    <n v="1.9968343299331692"/>
    <n v="0.57917914391403913"/>
    <s v="CL101"/>
    <x v="1"/>
    <x v="2"/>
    <n v="11354"/>
    <n v="5"/>
    <x v="0"/>
  </r>
  <r>
    <s v="C102"/>
    <x v="101"/>
    <d v="2024-09-14T01:56:15"/>
    <x v="0"/>
    <n v="161.48703703703359"/>
    <n v="9511"/>
    <x v="1"/>
    <n v="13556"/>
    <n v="1528"/>
    <n v="420"/>
    <n v="13463"/>
    <n v="0.11271761581587489"/>
    <x v="101"/>
    <n v="1.7859947643979057"/>
    <n v="6.4976190476190476"/>
    <n v="0.28693092209021132"/>
    <n v="4.9333089043605716"/>
    <s v="CL102"/>
    <x v="2"/>
    <x v="0"/>
    <n v="2729"/>
    <n v="1"/>
    <x v="2"/>
  </r>
  <r>
    <s v="C103"/>
    <x v="102"/>
    <d v="2023-12-29T05:48:27"/>
    <x v="1"/>
    <n v="0"/>
    <n v="1673"/>
    <x v="3"/>
    <n v="3765"/>
    <n v="1775"/>
    <n v="324"/>
    <n v="509"/>
    <n v="0.4714475431606906"/>
    <x v="102"/>
    <n v="0.75380281690140849"/>
    <n v="4.1296296296296298"/>
    <n v="0.79976090854751947"/>
    <n v="0.38041853512705531"/>
    <s v="CL103"/>
    <x v="1"/>
    <x v="0"/>
    <n v="1338"/>
    <n v="4"/>
    <x v="0"/>
  </r>
  <r>
    <s v="C104"/>
    <x v="103"/>
    <d v="2024-01-31T20:44:58"/>
    <x v="0"/>
    <n v="361.99468749999505"/>
    <n v="1030"/>
    <x v="0"/>
    <n v="8079"/>
    <n v="1030"/>
    <n v="450"/>
    <n v="7476"/>
    <n v="0.1274910261170937"/>
    <x v="103"/>
    <n v="18.99514563106796"/>
    <n v="43.477777777777774"/>
    <n v="18.99514563106796"/>
    <n v="0.3821109123434705"/>
    <s v="CL104"/>
    <x v="4"/>
    <x v="2"/>
    <n v="19565"/>
    <n v="1"/>
    <x v="2"/>
  </r>
  <r>
    <s v="C105"/>
    <x v="104"/>
    <d v="2023-10-28T21:46:04"/>
    <x v="1"/>
    <n v="0"/>
    <n v="7138"/>
    <x v="3"/>
    <n v="15887"/>
    <n v="360"/>
    <n v="56"/>
    <n v="7781"/>
    <n v="2.2660036507836597E-2"/>
    <x v="104"/>
    <n v="27.722222222222221"/>
    <n v="178.21428571428572"/>
    <n v="1.3981507425049033"/>
    <n v="0.77965931863727456"/>
    <s v="CL105"/>
    <x v="4"/>
    <x v="0"/>
    <n v="9980"/>
    <n v="1"/>
    <x v="2"/>
  </r>
  <r>
    <s v="C106"/>
    <x v="105"/>
    <d v="2024-04-20T16:11:33"/>
    <x v="0"/>
    <n v="248.86618055556028"/>
    <n v="7079"/>
    <x v="1"/>
    <n v="12778"/>
    <n v="467"/>
    <n v="145"/>
    <n v="4349"/>
    <n v="3.6547190483643764E-2"/>
    <x v="105"/>
    <n v="20.907922912205567"/>
    <n v="67.337931034482764"/>
    <n v="1.3792908602910015"/>
    <n v="0.44541171650962719"/>
    <s v="CL106"/>
    <x v="0"/>
    <x v="0"/>
    <n v="9764"/>
    <n v="1"/>
    <x v="2"/>
  </r>
  <r>
    <s v="C107"/>
    <x v="106"/>
    <d v="2023-10-16T01:14:18"/>
    <x v="0"/>
    <n v="43.115937499998836"/>
    <n v="6157"/>
    <x v="1"/>
    <n v="1673"/>
    <n v="1777"/>
    <n v="486"/>
    <n v="7042"/>
    <n v="1.0621637776449493"/>
    <x v="106"/>
    <n v="4.5047833427124369"/>
    <n v="16.47119341563786"/>
    <n v="1.3001461750852688"/>
    <n v="0.87970018738288569"/>
    <s v="CL107"/>
    <x v="1"/>
    <x v="2"/>
    <n v="8005"/>
    <n v="1"/>
    <x v="2"/>
  </r>
  <r>
    <s v="C108"/>
    <x v="107"/>
    <d v="2024-03-24T20:50:31"/>
    <x v="0"/>
    <n v="37.963923611110658"/>
    <n v="5699"/>
    <x v="1"/>
    <n v="17622"/>
    <n v="1319"/>
    <n v="457"/>
    <n v="968"/>
    <n v="7.4849619793440014E-2"/>
    <x v="107"/>
    <n v="13.794541319181198"/>
    <n v="39.814004376367613"/>
    <n v="3.192665379891209"/>
    <n v="5.3201428964001096E-2"/>
    <s v="CL108"/>
    <x v="3"/>
    <x v="2"/>
    <n v="18195"/>
    <n v="3"/>
    <x v="1"/>
  </r>
  <r>
    <s v="C109"/>
    <x v="108"/>
    <d v="2024-05-24T01:15:24"/>
    <x v="1"/>
    <n v="0"/>
    <n v="3947"/>
    <x v="1"/>
    <n v="19587"/>
    <n v="559"/>
    <n v="165"/>
    <n v="10061"/>
    <n v="2.8539337315566446E-2"/>
    <x v="108"/>
    <n v="13.010733452593918"/>
    <n v="44.078787878787878"/>
    <n v="1.8426653154294401"/>
    <n v="1.3833356249140658"/>
    <s v="CL109"/>
    <x v="2"/>
    <x v="0"/>
    <n v="7273"/>
    <n v="3"/>
    <x v="1"/>
  </r>
  <r>
    <s v="C110"/>
    <x v="109"/>
    <d v="2023-06-24T16:34:36"/>
    <x v="0"/>
    <n v="11.942465277774318"/>
    <n v="6938"/>
    <x v="1"/>
    <n v="18649"/>
    <n v="433"/>
    <n v="107"/>
    <n v="5910"/>
    <n v="2.3218403131535201E-2"/>
    <x v="109"/>
    <n v="3.840646651270208"/>
    <n v="15.542056074766355"/>
    <n v="0.23969443643701355"/>
    <n v="3.5538184004810582"/>
    <s v="CL110"/>
    <x v="4"/>
    <x v="1"/>
    <n v="1663"/>
    <n v="3"/>
    <x v="1"/>
  </r>
  <r>
    <s v="C111"/>
    <x v="110"/>
    <d v="2024-03-16T06:16:59"/>
    <x v="0"/>
    <n v="436.60975694444642"/>
    <n v="4643"/>
    <x v="3"/>
    <n v="2903"/>
    <n v="849"/>
    <n v="267"/>
    <n v="895"/>
    <n v="0.29245607991732692"/>
    <x v="110"/>
    <n v="9.0129564193168434"/>
    <n v="28.659176029962548"/>
    <n v="1.6480723670040922"/>
    <n v="0.11696288552012546"/>
    <s v="CL111"/>
    <x v="0"/>
    <x v="2"/>
    <n v="7652"/>
    <n v="5"/>
    <x v="0"/>
  </r>
  <r>
    <s v="C112"/>
    <x v="111"/>
    <d v="2024-05-02T23:41:46"/>
    <x v="0"/>
    <n v="392.22409722222073"/>
    <n v="1129"/>
    <x v="3"/>
    <n v="19332"/>
    <n v="1492"/>
    <n v="474"/>
    <n v="14557"/>
    <n v="7.7177736395613497E-2"/>
    <x v="111"/>
    <n v="1.0650134048257374"/>
    <n v="3.352320675105485"/>
    <n v="1.4074402125775023"/>
    <n v="9.1611076148521082"/>
    <s v="CL112"/>
    <x v="3"/>
    <x v="2"/>
    <n v="1589"/>
    <n v="1"/>
    <x v="2"/>
  </r>
  <r>
    <s v="C113"/>
    <x v="112"/>
    <d v="2024-10-10T23:17:16"/>
    <x v="1"/>
    <n v="0"/>
    <n v="8949"/>
    <x v="1"/>
    <n v="13335"/>
    <n v="1387"/>
    <n v="248"/>
    <n v="10563"/>
    <n v="0.10401199850018748"/>
    <x v="112"/>
    <n v="10.996395097332371"/>
    <n v="61.5"/>
    <n v="1.7043245055313443"/>
    <n v="0.69256490952006289"/>
    <s v="CL113"/>
    <x v="0"/>
    <x v="2"/>
    <n v="15252"/>
    <n v="2"/>
    <x v="1"/>
  </r>
  <r>
    <s v="C114"/>
    <x v="113"/>
    <d v="2024-08-08T00:57:43"/>
    <x v="0"/>
    <n v="23.35346064814803"/>
    <n v="4333"/>
    <x v="2"/>
    <n v="16679"/>
    <n v="1663"/>
    <n v="249"/>
    <n v="7461"/>
    <n v="9.970621739912465E-2"/>
    <x v="113"/>
    <n v="5.2453397474443779"/>
    <n v="35.032128514056225"/>
    <n v="2.013154858066005"/>
    <n v="0.85532500286598645"/>
    <s v="CL114"/>
    <x v="2"/>
    <x v="0"/>
    <n v="8723"/>
    <n v="3"/>
    <x v="1"/>
  </r>
  <r>
    <s v="C115"/>
    <x v="114"/>
    <d v="2024-09-07T12:06:21"/>
    <x v="1"/>
    <n v="0"/>
    <n v="1255"/>
    <x v="3"/>
    <n v="19027"/>
    <n v="188"/>
    <n v="174"/>
    <n v="1387"/>
    <n v="9.8806958532611545E-3"/>
    <x v="114"/>
    <n v="32.468085106382979"/>
    <n v="35.080459770114942"/>
    <n v="4.8637450199203185"/>
    <n v="0.22722804718217562"/>
    <s v="CL115"/>
    <x v="3"/>
    <x v="2"/>
    <n v="6104"/>
    <n v="4"/>
    <x v="0"/>
  </r>
  <r>
    <s v="C116"/>
    <x v="115"/>
    <d v="2024-09-10T03:00:41"/>
    <x v="0"/>
    <n v="339.42538194444933"/>
    <n v="8055"/>
    <x v="3"/>
    <n v="6646"/>
    <n v="1597"/>
    <n v="225"/>
    <n v="11491"/>
    <n v="0.2402949142341258"/>
    <x v="115"/>
    <n v="9.8365685660613646"/>
    <n v="69.817777777777778"/>
    <n v="1.9502172563625078"/>
    <n v="0.73149150168693111"/>
    <s v="CL116"/>
    <x v="1"/>
    <x v="0"/>
    <n v="15709"/>
    <n v="1"/>
    <x v="2"/>
  </r>
  <r>
    <s v="C117"/>
    <x v="116"/>
    <d v="2024-07-11T22:04:53"/>
    <x v="1"/>
    <n v="0"/>
    <n v="2712"/>
    <x v="3"/>
    <n v="5126"/>
    <n v="692"/>
    <n v="368"/>
    <n v="917"/>
    <n v="0.13499804916113928"/>
    <x v="116"/>
    <n v="10.544797687861271"/>
    <n v="19.828804347826086"/>
    <n v="2.6906342182890857"/>
    <n v="0.12566808277374264"/>
    <s v="CL117"/>
    <x v="3"/>
    <x v="1"/>
    <n v="7297"/>
    <n v="5"/>
    <x v="0"/>
  </r>
  <r>
    <s v="C118"/>
    <x v="117"/>
    <d v="2024-09-12T05:15:11"/>
    <x v="0"/>
    <n v="485.11098379629402"/>
    <n v="3068"/>
    <x v="2"/>
    <n v="15685"/>
    <n v="1267"/>
    <n v="153"/>
    <n v="13206"/>
    <n v="8.0777813197322287E-2"/>
    <x v="117"/>
    <n v="11.021310181531176"/>
    <n v="91.267973856209153"/>
    <n v="4.5514993481095178"/>
    <n v="0.94571755943855629"/>
    <s v="CL118"/>
    <x v="3"/>
    <x v="0"/>
    <n v="13964"/>
    <n v="1"/>
    <x v="2"/>
  </r>
  <r>
    <s v="C119"/>
    <x v="118"/>
    <d v="2024-12-02T21:12:46"/>
    <x v="0"/>
    <n v="183.7033217592616"/>
    <n v="8132"/>
    <x v="1"/>
    <n v="12192"/>
    <n v="1332"/>
    <n v="417"/>
    <n v="2172"/>
    <n v="0.10925196850393701"/>
    <x v="118"/>
    <n v="1.5908408408408408"/>
    <n v="5.0815347721822546"/>
    <n v="0.26057550418101327"/>
    <n v="1.025011798017933"/>
    <s v="CL119"/>
    <x v="4"/>
    <x v="0"/>
    <n v="2119"/>
    <n v="2"/>
    <x v="1"/>
  </r>
  <r>
    <s v="C120"/>
    <x v="119"/>
    <d v="2024-11-10T13:26:17"/>
    <x v="0"/>
    <n v="99.330752314817801"/>
    <n v="2748"/>
    <x v="3"/>
    <n v="3968"/>
    <n v="1206"/>
    <n v="357"/>
    <n v="6374"/>
    <n v="0.30393145161290325"/>
    <x v="119"/>
    <n v="7.1011608623548925"/>
    <n v="23.988795518207283"/>
    <n v="3.1164483260553131"/>
    <n v="0.74427837459131252"/>
    <s v="CL120"/>
    <x v="4"/>
    <x v="1"/>
    <n v="8564"/>
    <n v="1"/>
    <x v="2"/>
  </r>
  <r>
    <s v="C121"/>
    <x v="120"/>
    <d v="2024-04-11T19:49:44"/>
    <x v="1"/>
    <n v="0"/>
    <n v="3122"/>
    <x v="1"/>
    <n v="3248"/>
    <n v="754"/>
    <n v="97"/>
    <n v="9770"/>
    <n v="0.23214285714285715"/>
    <x v="120"/>
    <n v="16.575596816976127"/>
    <n v="128.84536082474227"/>
    <n v="4.003203074951954"/>
    <n v="0.7817250760121619"/>
    <s v="CL121"/>
    <x v="0"/>
    <x v="0"/>
    <n v="12498"/>
    <n v="5"/>
    <x v="0"/>
  </r>
  <r>
    <s v="C122"/>
    <x v="121"/>
    <d v="2024-07-07T01:07:58"/>
    <x v="1"/>
    <n v="0"/>
    <n v="5426"/>
    <x v="0"/>
    <n v="13502"/>
    <n v="894"/>
    <n v="431"/>
    <n v="1297"/>
    <n v="6.6212412975855423E-2"/>
    <x v="121"/>
    <n v="11.280760626398211"/>
    <n v="23.399071925754061"/>
    <n v="1.8586435680058975"/>
    <n v="0.12860684184432325"/>
    <s v="CL122"/>
    <x v="2"/>
    <x v="1"/>
    <n v="10085"/>
    <n v="5"/>
    <x v="0"/>
  </r>
  <r>
    <s v="C123"/>
    <x v="122"/>
    <d v="2024-06-30T12:58:10"/>
    <x v="0"/>
    <n v="405.30837962962687"/>
    <n v="1535"/>
    <x v="2"/>
    <n v="15698"/>
    <n v="1645"/>
    <n v="119"/>
    <n v="5869"/>
    <n v="0.10479041916167664"/>
    <x v="122"/>
    <n v="10.293009118541033"/>
    <n v="142.28571428571428"/>
    <n v="11.030618892508143"/>
    <n v="0.34662178124261755"/>
    <s v="CL123"/>
    <x v="0"/>
    <x v="1"/>
    <n v="16932"/>
    <n v="5"/>
    <x v="0"/>
  </r>
  <r>
    <s v="C124"/>
    <x v="123"/>
    <d v="2024-06-28T21:30:14"/>
    <x v="1"/>
    <n v="0"/>
    <n v="4609"/>
    <x v="0"/>
    <n v="17030"/>
    <n v="131"/>
    <n v="71"/>
    <n v="11246"/>
    <n v="7.6923076923076927E-3"/>
    <x v="123"/>
    <n v="80.297709923664115"/>
    <n v="148.1549295774648"/>
    <n v="2.2822738121067476"/>
    <n v="1.069113033558323"/>
    <s v="CL124"/>
    <x v="2"/>
    <x v="0"/>
    <n v="10519"/>
    <n v="4"/>
    <x v="0"/>
  </r>
  <r>
    <s v="C125"/>
    <x v="124"/>
    <d v="2024-07-11T00:14:33"/>
    <x v="0"/>
    <n v="44.506770833329938"/>
    <n v="3494"/>
    <x v="3"/>
    <n v="12349"/>
    <n v="871"/>
    <n v="23"/>
    <n v="14951"/>
    <n v="7.0532026884767993E-2"/>
    <x v="124"/>
    <n v="6.5510907003444316"/>
    <n v="248.08695652173913"/>
    <n v="1.633085289066972"/>
    <n v="2.6202243252716437"/>
    <s v="CL125"/>
    <x v="2"/>
    <x v="0"/>
    <n v="5706"/>
    <n v="2"/>
    <x v="1"/>
  </r>
  <r>
    <s v="C126"/>
    <x v="125"/>
    <d v="2024-08-31T03:55:05"/>
    <x v="0"/>
    <n v="147.05876157407329"/>
    <n v="2139"/>
    <x v="3"/>
    <n v="7670"/>
    <n v="633"/>
    <n v="321"/>
    <n v="9153"/>
    <n v="8.2529335071707954E-2"/>
    <x v="125"/>
    <n v="23.003159557661927"/>
    <n v="45.361370716510905"/>
    <n v="6.8073866292660119"/>
    <n v="0.62859693702355612"/>
    <s v="CL126"/>
    <x v="2"/>
    <x v="2"/>
    <n v="14561"/>
    <n v="1"/>
    <x v="2"/>
  </r>
  <r>
    <s v="C127"/>
    <x v="126"/>
    <d v="2024-04-02T11:04:04"/>
    <x v="0"/>
    <n v="61.133472222223645"/>
    <n v="2827"/>
    <x v="1"/>
    <n v="18484"/>
    <n v="1946"/>
    <n v="245"/>
    <n v="14289"/>
    <n v="0.105280242371781"/>
    <x v="126"/>
    <n v="1.5817060637204523"/>
    <n v="12.56326530612245"/>
    <n v="1.0887866996816413"/>
    <n v="4.6423001949317735"/>
    <s v="CL127"/>
    <x v="3"/>
    <x v="0"/>
    <n v="3078"/>
    <n v="4"/>
    <x v="0"/>
  </r>
  <r>
    <s v="C128"/>
    <x v="127"/>
    <d v="2023-03-10T06:49:10"/>
    <x v="1"/>
    <n v="0"/>
    <n v="5269"/>
    <x v="2"/>
    <n v="7459"/>
    <n v="1115"/>
    <n v="415"/>
    <n v="5438"/>
    <n v="0.14948384501943959"/>
    <x v="127"/>
    <n v="9.2600896860986541"/>
    <n v="24.879518072289155"/>
    <n v="1.9595748718921997"/>
    <n v="0.52668280871670703"/>
    <s v="CL128"/>
    <x v="3"/>
    <x v="0"/>
    <n v="10325"/>
    <n v="1"/>
    <x v="2"/>
  </r>
  <r>
    <s v="C129"/>
    <x v="128"/>
    <d v="2023-11-03T08:27:24"/>
    <x v="0"/>
    <n v="9.9463078703702195"/>
    <n v="1412"/>
    <x v="3"/>
    <n v="13283"/>
    <n v="1535"/>
    <n v="70"/>
    <n v="759"/>
    <n v="0.11556124369494843"/>
    <x v="128"/>
    <n v="5.2540716612377851"/>
    <n v="115.21428571428571"/>
    <n v="5.7117563739376767"/>
    <n v="9.4110353378797279E-2"/>
    <s v="CL129"/>
    <x v="0"/>
    <x v="0"/>
    <n v="8065"/>
    <n v="3"/>
    <x v="1"/>
  </r>
  <r>
    <s v="C130"/>
    <x v="129"/>
    <d v="2023-08-03T09:16:50"/>
    <x v="1"/>
    <n v="0"/>
    <n v="9370"/>
    <x v="3"/>
    <n v="17177"/>
    <n v="1307"/>
    <n v="277"/>
    <n v="3228"/>
    <n v="7.6090120509984288E-2"/>
    <x v="129"/>
    <n v="10.674062739097169"/>
    <n v="50.364620938628157"/>
    <n v="1.4889007470651014"/>
    <n v="0.23138126299190023"/>
    <s v="CL130"/>
    <x v="0"/>
    <x v="2"/>
    <n v="13951"/>
    <n v="5"/>
    <x v="0"/>
  </r>
  <r>
    <s v="C131"/>
    <x v="130"/>
    <d v="2024-11-27T04:27:18"/>
    <x v="1"/>
    <n v="0"/>
    <n v="7101"/>
    <x v="3"/>
    <n v="14096"/>
    <n v="1002"/>
    <n v="346"/>
    <n v="1517"/>
    <n v="7.1083995459704882E-2"/>
    <x v="130"/>
    <n v="16.238522954091817"/>
    <n v="47.02601156069364"/>
    <n v="2.2913674130404167"/>
    <n v="9.3233359965582935E-2"/>
    <s v="CL131"/>
    <x v="1"/>
    <x v="2"/>
    <n v="16271"/>
    <n v="3"/>
    <x v="1"/>
  </r>
  <r>
    <s v="C132"/>
    <x v="131"/>
    <d v="2024-10-26T07:10:00"/>
    <x v="0"/>
    <n v="650.93210648147942"/>
    <n v="3317"/>
    <x v="2"/>
    <n v="2929"/>
    <n v="1269"/>
    <n v="121"/>
    <n v="12466"/>
    <n v="0.43325367019460564"/>
    <x v="131"/>
    <n v="13.792750197005516"/>
    <n v="144.65289256198346"/>
    <n v="5.276756104914079"/>
    <n v="0.71222076215505914"/>
    <s v="CL132"/>
    <x v="4"/>
    <x v="2"/>
    <n v="17503"/>
    <n v="2"/>
    <x v="1"/>
  </r>
  <r>
    <s v="C133"/>
    <x v="132"/>
    <d v="2024-10-09T07:10:09"/>
    <x v="0"/>
    <n v="574.72686342592351"/>
    <n v="1649"/>
    <x v="0"/>
    <n v="7565"/>
    <n v="1790"/>
    <n v="230"/>
    <n v="8687"/>
    <n v="0.23661599471249173"/>
    <x v="132"/>
    <n v="3.3396648044692738"/>
    <n v="25.991304347826087"/>
    <n v="3.6252274105518496"/>
    <n v="1.4531615925058547"/>
    <s v="CL133"/>
    <x v="0"/>
    <x v="0"/>
    <n v="5978"/>
    <n v="5"/>
    <x v="0"/>
  </r>
  <r>
    <s v="C134"/>
    <x v="133"/>
    <d v="2023-04-20T15:45:49"/>
    <x v="0"/>
    <n v="35.491041666668025"/>
    <n v="1350"/>
    <x v="3"/>
    <n v="18976"/>
    <n v="104"/>
    <n v="11"/>
    <n v="2792"/>
    <n v="5.4806070826306915E-3"/>
    <x v="133"/>
    <n v="6.6057692307692308"/>
    <n v="62.454545454545453"/>
    <n v="0.50888888888888884"/>
    <n v="4.0640465793304221"/>
    <s v="CL134"/>
    <x v="1"/>
    <x v="1"/>
    <n v="687"/>
    <n v="2"/>
    <x v="1"/>
  </r>
  <r>
    <s v="C135"/>
    <x v="134"/>
    <d v="2023-07-14T23:13:54"/>
    <x v="0"/>
    <n v="68.066817129634728"/>
    <n v="3662"/>
    <x v="0"/>
    <n v="15683"/>
    <n v="347"/>
    <n v="466"/>
    <n v="5318"/>
    <n v="2.2125868775106805E-2"/>
    <x v="134"/>
    <n v="41.841498559077813"/>
    <n v="31.156652360515022"/>
    <n v="3.9647733478973239"/>
    <n v="0.36627866932984365"/>
    <s v="CL135"/>
    <x v="4"/>
    <x v="1"/>
    <n v="14519"/>
    <n v="4"/>
    <x v="0"/>
  </r>
  <r>
    <s v="C136"/>
    <x v="135"/>
    <d v="2024-02-03T16:30:56"/>
    <x v="1"/>
    <n v="0"/>
    <n v="2319"/>
    <x v="0"/>
    <n v="8052"/>
    <n v="1684"/>
    <n v="25"/>
    <n v="9293"/>
    <n v="0.20914058618976653"/>
    <x v="135"/>
    <n v="11.065320665083135"/>
    <n v="745.36"/>
    <n v="8.0353600689952565"/>
    <n v="0.49871203176988299"/>
    <s v="CL136"/>
    <x v="0"/>
    <x v="2"/>
    <n v="18634"/>
    <n v="2"/>
    <x v="1"/>
  </r>
  <r>
    <s v="C137"/>
    <x v="136"/>
    <d v="2024-12-30T03:54:11"/>
    <x v="0"/>
    <n v="683.25137731481664"/>
    <n v="9921"/>
    <x v="2"/>
    <n v="14409"/>
    <n v="457"/>
    <n v="318"/>
    <n v="11574"/>
    <n v="3.1716288430841837E-2"/>
    <x v="136"/>
    <n v="29.584245076586434"/>
    <n v="42.515723270440255"/>
    <n v="1.3627658502167119"/>
    <n v="0.8560650887573964"/>
    <s v="CL137"/>
    <x v="1"/>
    <x v="2"/>
    <n v="13520"/>
    <n v="1"/>
    <x v="2"/>
  </r>
  <r>
    <s v="C138"/>
    <x v="137"/>
    <d v="2024-06-29T16:26:51"/>
    <x v="1"/>
    <n v="0"/>
    <n v="9748"/>
    <x v="1"/>
    <n v="3368"/>
    <n v="1154"/>
    <n v="281"/>
    <n v="8652"/>
    <n v="0.34263657957244653"/>
    <x v="137"/>
    <n v="6.5961871750433279"/>
    <n v="27.088967971530248"/>
    <n v="0.78087812884694296"/>
    <n v="1.1366263794009459"/>
    <s v="CL138"/>
    <x v="3"/>
    <x v="1"/>
    <n v="7612"/>
    <n v="4"/>
    <x v="0"/>
  </r>
  <r>
    <s v="C139"/>
    <x v="138"/>
    <d v="2024-10-30T09:34:27"/>
    <x v="0"/>
    <n v="303.98184027777461"/>
    <n v="6629"/>
    <x v="3"/>
    <n v="6036"/>
    <n v="1691"/>
    <n v="495"/>
    <n v="8610"/>
    <n v="0.28015241882041086"/>
    <x v="138"/>
    <n v="4.6723832052040217"/>
    <n v="15.961616161616162"/>
    <n v="1.1918841454216322"/>
    <n v="1.0897354765219593"/>
    <s v="CL139"/>
    <x v="1"/>
    <x v="1"/>
    <n v="7901"/>
    <n v="3"/>
    <x v="1"/>
  </r>
  <r>
    <s v="C140"/>
    <x v="139"/>
    <d v="2024-02-23T08:25:23"/>
    <x v="1"/>
    <n v="0"/>
    <n v="2529"/>
    <x v="1"/>
    <n v="12957"/>
    <n v="190"/>
    <n v="444"/>
    <n v="5434"/>
    <n v="1.4663888245735895E-2"/>
    <x v="139"/>
    <n v="5.1105263157894738"/>
    <n v="2.1869369369369371"/>
    <n v="0.38394622380387505"/>
    <n v="5.5962924819773425"/>
    <s v="CL140"/>
    <x v="1"/>
    <x v="0"/>
    <n v="971"/>
    <n v="5"/>
    <x v="0"/>
  </r>
  <r>
    <s v="C141"/>
    <x v="140"/>
    <d v="2024-07-29T15:29:10"/>
    <x v="1"/>
    <n v="0"/>
    <n v="3679"/>
    <x v="1"/>
    <n v="6448"/>
    <n v="1786"/>
    <n v="186"/>
    <n v="12966"/>
    <n v="0.27698511166253104"/>
    <x v="140"/>
    <n v="3.0498320268756998"/>
    <n v="29.28494623655914"/>
    <n v="1.4805653710247351"/>
    <n v="2.3803928768129246"/>
    <s v="CL141"/>
    <x v="0"/>
    <x v="1"/>
    <n v="5447"/>
    <n v="1"/>
    <x v="2"/>
  </r>
  <r>
    <s v="C142"/>
    <x v="141"/>
    <d v="2024-02-11T09:06:41"/>
    <x v="0"/>
    <n v="7.4783680555556202"/>
    <n v="5357"/>
    <x v="1"/>
    <n v="15017"/>
    <n v="151"/>
    <n v="145"/>
    <n v="13313"/>
    <n v="1.0055270693214357E-2"/>
    <x v="141"/>
    <n v="100.35761589403974"/>
    <n v="104.51034482758621"/>
    <n v="2.828822101922718"/>
    <n v="0.87851392371651049"/>
    <s v="CL142"/>
    <x v="4"/>
    <x v="1"/>
    <n v="15154"/>
    <n v="3"/>
    <x v="1"/>
  </r>
  <r>
    <s v="C143"/>
    <x v="142"/>
    <d v="2024-01-09T19:15:13"/>
    <x v="0"/>
    <n v="329.86673611111473"/>
    <n v="8206"/>
    <x v="1"/>
    <n v="1277"/>
    <n v="440"/>
    <n v="106"/>
    <n v="13996"/>
    <n v="0.34455755677368832"/>
    <x v="142"/>
    <n v="25.040909090909089"/>
    <n v="103.94339622641509"/>
    <n v="1.3426760906653668"/>
    <n v="1.2702849882011253"/>
    <s v="CL143"/>
    <x v="1"/>
    <x v="0"/>
    <n v="11018"/>
    <n v="3"/>
    <x v="1"/>
  </r>
  <r>
    <s v="C144"/>
    <x v="143"/>
    <d v="2024-12-18T08:30:02"/>
    <x v="0"/>
    <n v="576.30281250000553"/>
    <n v="9316"/>
    <x v="2"/>
    <n v="1848"/>
    <n v="1557"/>
    <n v="477"/>
    <n v="5392"/>
    <n v="0.84253246753246758"/>
    <x v="143"/>
    <n v="3.5016056518946694"/>
    <n v="11.429769392033544"/>
    <n v="0.58522971232288534"/>
    <n v="0.98899486426999261"/>
    <s v="CL144"/>
    <x v="3"/>
    <x v="2"/>
    <n v="5452"/>
    <n v="2"/>
    <x v="1"/>
  </r>
  <r>
    <s v="C145"/>
    <x v="144"/>
    <d v="2024-08-11T02:21:36"/>
    <x v="1"/>
    <n v="0"/>
    <n v="2566"/>
    <x v="1"/>
    <n v="4325"/>
    <n v="109"/>
    <n v="354"/>
    <n v="13495"/>
    <n v="2.5202312138728325E-2"/>
    <x v="144"/>
    <n v="33.990825688073393"/>
    <n v="10.466101694915254"/>
    <n v="1.4438815276695245"/>
    <n v="3.642375168690958"/>
    <s v="CL145"/>
    <x v="4"/>
    <x v="1"/>
    <n v="3705"/>
    <n v="4"/>
    <x v="0"/>
  </r>
  <r>
    <s v="C146"/>
    <x v="145"/>
    <d v="2024-08-31T09:33:25"/>
    <x v="0"/>
    <n v="462.52592592592555"/>
    <n v="3588"/>
    <x v="1"/>
    <n v="3274"/>
    <n v="781"/>
    <n v="23"/>
    <n v="3300"/>
    <n v="0.23854612095296274"/>
    <x v="145"/>
    <n v="4.3994878361075545"/>
    <n v="149.39130434782609"/>
    <n v="0.9576365663322185"/>
    <n v="0.96041909196740394"/>
    <s v="CL146"/>
    <x v="1"/>
    <x v="1"/>
    <n v="3436"/>
    <n v="3"/>
    <x v="1"/>
  </r>
  <r>
    <s v="C147"/>
    <x v="146"/>
    <d v="2024-09-11T04:47:46"/>
    <x v="0"/>
    <n v="143.4356712962981"/>
    <n v="7304"/>
    <x v="3"/>
    <n v="14863"/>
    <n v="178"/>
    <n v="236"/>
    <n v="9720"/>
    <n v="1.1976047904191617E-2"/>
    <x v="146"/>
    <n v="45.247191011235955"/>
    <n v="34.127118644067799"/>
    <n v="1.1026834611171961"/>
    <n v="1.2068537372734045"/>
    <s v="CL147"/>
    <x v="3"/>
    <x v="2"/>
    <n v="8054"/>
    <n v="2"/>
    <x v="1"/>
  </r>
  <r>
    <s v="C148"/>
    <x v="147"/>
    <d v="2024-09-14T14:53:32"/>
    <x v="0"/>
    <n v="620.41834490740439"/>
    <n v="8299"/>
    <x v="1"/>
    <n v="18516"/>
    <n v="1507"/>
    <n v="353"/>
    <n v="11616"/>
    <n v="8.138906891337222E-2"/>
    <x v="147"/>
    <n v="2.7438619774386197"/>
    <n v="11.713881019830028"/>
    <n v="0.49825280154235452"/>
    <n v="2.8091898428053206"/>
    <s v="CL148"/>
    <x v="4"/>
    <x v="1"/>
    <n v="4135"/>
    <n v="5"/>
    <x v="0"/>
  </r>
  <r>
    <s v="C149"/>
    <x v="148"/>
    <d v="2023-08-07T15:52:12"/>
    <x v="1"/>
    <n v="0"/>
    <n v="1485"/>
    <x v="1"/>
    <n v="18146"/>
    <n v="1959"/>
    <n v="157"/>
    <n v="5590"/>
    <n v="0.10795767662294721"/>
    <x v="148"/>
    <n v="1.1250638080653395"/>
    <n v="14.038216560509554"/>
    <n v="1.4841750841750843"/>
    <n v="2.5362976406533577"/>
    <s v="CL149"/>
    <x v="3"/>
    <x v="2"/>
    <n v="2204"/>
    <n v="2"/>
    <x v="1"/>
  </r>
  <r>
    <s v="C150"/>
    <x v="149"/>
    <d v="2024-12-03T19:39:44"/>
    <x v="1"/>
    <n v="0"/>
    <n v="5767"/>
    <x v="1"/>
    <n v="16952"/>
    <n v="920"/>
    <n v="484"/>
    <n v="12812"/>
    <n v="5.427088249174139E-2"/>
    <x v="149"/>
    <n v="8.6695652173913036"/>
    <n v="16.479338842975206"/>
    <n v="1.3830414426911739"/>
    <n v="1.6063189568706118"/>
    <s v="CL150"/>
    <x v="4"/>
    <x v="1"/>
    <n v="7976"/>
    <n v="4"/>
    <x v="0"/>
  </r>
  <r>
    <s v="C151"/>
    <x v="150"/>
    <d v="2024-07-14T09:42:32"/>
    <x v="1"/>
    <n v="0"/>
    <n v="4967"/>
    <x v="0"/>
    <n v="6462"/>
    <n v="724"/>
    <n v="52"/>
    <n v="7988"/>
    <n v="0.1120396162178892"/>
    <x v="150"/>
    <n v="5.1436464088397793"/>
    <n v="71.615384615384613"/>
    <n v="0.74974833903764848"/>
    <n v="2.1450053705692804"/>
    <s v="CL151"/>
    <x v="1"/>
    <x v="2"/>
    <n v="3724"/>
    <n v="3"/>
    <x v="1"/>
  </r>
  <r>
    <s v="C152"/>
    <x v="151"/>
    <d v="2024-02-14T15:56:42"/>
    <x v="0"/>
    <n v="281.09778935185022"/>
    <n v="1796"/>
    <x v="1"/>
    <n v="9512"/>
    <n v="1851"/>
    <n v="21"/>
    <n v="6988"/>
    <n v="0.19459629941126996"/>
    <x v="151"/>
    <n v="7.1318206374932469"/>
    <n v="628.61904761904759"/>
    <n v="7.3502227171492205"/>
    <n v="0.52935383683054316"/>
    <s v="CL152"/>
    <x v="1"/>
    <x v="1"/>
    <n v="13201"/>
    <n v="2"/>
    <x v="1"/>
  </r>
  <r>
    <s v="C153"/>
    <x v="152"/>
    <d v="2024-03-23T17:40:55"/>
    <x v="1"/>
    <n v="0"/>
    <n v="7241"/>
    <x v="2"/>
    <n v="13424"/>
    <n v="1313"/>
    <n v="86"/>
    <n v="8293"/>
    <n v="9.780989272943981E-2"/>
    <x v="152"/>
    <n v="5.1287128712871288"/>
    <n v="78.302325581395351"/>
    <n v="0.9299820466786356"/>
    <n v="1.2315117315117314"/>
    <s v="CL153"/>
    <x v="2"/>
    <x v="0"/>
    <n v="6734"/>
    <n v="2"/>
    <x v="1"/>
  </r>
  <r>
    <s v="C154"/>
    <x v="153"/>
    <d v="2023-06-05T19:35:50"/>
    <x v="0"/>
    <n v="115.01201388888876"/>
    <n v="9853"/>
    <x v="2"/>
    <n v="3377"/>
    <n v="341"/>
    <n v="391"/>
    <n v="6118"/>
    <n v="0.10097719869706841"/>
    <x v="153"/>
    <n v="50.363636363636367"/>
    <n v="43.923273657289002"/>
    <n v="1.7430224297168375"/>
    <n v="0.35623617095609644"/>
    <s v="CL154"/>
    <x v="2"/>
    <x v="2"/>
    <n v="17174"/>
    <n v="3"/>
    <x v="1"/>
  </r>
  <r>
    <s v="C155"/>
    <x v="154"/>
    <d v="2024-10-09T17:50:28"/>
    <x v="0"/>
    <n v="616.22902777777927"/>
    <n v="9630"/>
    <x v="1"/>
    <n v="10943"/>
    <n v="1060"/>
    <n v="279"/>
    <n v="13967"/>
    <n v="9.6865576167412953E-2"/>
    <x v="154"/>
    <n v="7.2424528301886788"/>
    <n v="27.516129032258064"/>
    <n v="0.797196261682243"/>
    <n v="1.8193304676305848"/>
    <s v="CL155"/>
    <x v="0"/>
    <x v="2"/>
    <n v="7677"/>
    <n v="2"/>
    <x v="1"/>
  </r>
  <r>
    <s v="C156"/>
    <x v="155"/>
    <d v="2023-11-26T19:12:56"/>
    <x v="0"/>
    <n v="157.59814814815036"/>
    <n v="2928"/>
    <x v="1"/>
    <n v="4860"/>
    <n v="1533"/>
    <n v="109"/>
    <n v="9269"/>
    <n v="0.3154320987654321"/>
    <x v="155"/>
    <n v="8.7971298108284408"/>
    <n v="123.72477064220183"/>
    <n v="4.6058743169398904"/>
    <n v="0.68730535370013346"/>
    <s v="CL156"/>
    <x v="1"/>
    <x v="0"/>
    <n v="13486"/>
    <n v="2"/>
    <x v="1"/>
  </r>
  <r>
    <s v="C157"/>
    <x v="156"/>
    <d v="2024-06-13T04:35:21"/>
    <x v="1"/>
    <n v="0"/>
    <n v="7021"/>
    <x v="1"/>
    <n v="10419"/>
    <n v="1628"/>
    <n v="312"/>
    <n v="7525"/>
    <n v="0.15625299932815048"/>
    <x v="156"/>
    <n v="8.0945945945945947"/>
    <n v="42.237179487179489"/>
    <n v="1.8769406067511751"/>
    <n v="0.57102747002580057"/>
    <s v="CL157"/>
    <x v="0"/>
    <x v="2"/>
    <n v="13178"/>
    <n v="2"/>
    <x v="1"/>
  </r>
  <r>
    <s v="C158"/>
    <x v="157"/>
    <d v="2023-05-11T14:50:36"/>
    <x v="0"/>
    <n v="125.17795138889051"/>
    <n v="1905"/>
    <x v="0"/>
    <n v="6310"/>
    <n v="1394"/>
    <n v="317"/>
    <n v="10128"/>
    <n v="0.22091917591125199"/>
    <x v="157"/>
    <n v="13.961262553802008"/>
    <n v="61.394321766561511"/>
    <n v="10.216272965879265"/>
    <n v="0.52039872572191959"/>
    <s v="CL158"/>
    <x v="3"/>
    <x v="2"/>
    <n v="19462"/>
    <n v="2"/>
    <x v="1"/>
  </r>
  <r>
    <s v="C159"/>
    <x v="158"/>
    <d v="2024-02-14T04:33:20"/>
    <x v="0"/>
    <n v="91.01645833333896"/>
    <n v="4907"/>
    <x v="2"/>
    <n v="14252"/>
    <n v="1378"/>
    <n v="109"/>
    <n v="6784"/>
    <n v="9.6688184114510245E-2"/>
    <x v="158"/>
    <n v="8.6545718432510892"/>
    <n v="109.41284403669725"/>
    <n v="2.4304055431016915"/>
    <n v="0.56884118732181788"/>
    <s v="CL159"/>
    <x v="1"/>
    <x v="0"/>
    <n v="11926"/>
    <n v="5"/>
    <x v="0"/>
  </r>
  <r>
    <s v="C160"/>
    <x v="159"/>
    <d v="2023-11-01T06:13:44"/>
    <x v="1"/>
    <n v="0"/>
    <n v="4526"/>
    <x v="0"/>
    <n v="1631"/>
    <n v="853"/>
    <n v="28"/>
    <n v="3598"/>
    <n v="0.52299202942979772"/>
    <x v="159"/>
    <n v="12.488862837045721"/>
    <n v="380.46428571428572"/>
    <n v="2.3537339814405658"/>
    <n v="0.3377452360837323"/>
    <s v="CL160"/>
    <x v="0"/>
    <x v="1"/>
    <n v="10653"/>
    <n v="1"/>
    <x v="2"/>
  </r>
  <r>
    <s v="C161"/>
    <x v="160"/>
    <d v="2023-07-24T23:06:45"/>
    <x v="0"/>
    <n v="155.17688657407416"/>
    <n v="3930"/>
    <x v="2"/>
    <n v="2487"/>
    <n v="1790"/>
    <n v="214"/>
    <n v="11632"/>
    <n v="0.7197426618415762"/>
    <x v="160"/>
    <n v="2.0754189944134076"/>
    <n v="17.359813084112151"/>
    <n v="0.94529262086513999"/>
    <n v="3.1310901749663524"/>
    <s v="CL161"/>
    <x v="4"/>
    <x v="0"/>
    <n v="3715"/>
    <n v="1"/>
    <x v="2"/>
  </r>
  <r>
    <s v="C162"/>
    <x v="161"/>
    <d v="2024-03-03T12:51:10"/>
    <x v="1"/>
    <n v="0"/>
    <n v="1557"/>
    <x v="0"/>
    <n v="19370"/>
    <n v="605"/>
    <n v="466"/>
    <n v="9190"/>
    <n v="3.1233866804336603E-2"/>
    <x v="161"/>
    <n v="11.8"/>
    <n v="15.319742489270386"/>
    <n v="4.5850995504174694"/>
    <n v="1.2872951393752627"/>
    <s v="CL162"/>
    <x v="4"/>
    <x v="1"/>
    <n v="7139"/>
    <n v="2"/>
    <x v="1"/>
  </r>
  <r>
    <s v="C163"/>
    <x v="162"/>
    <d v="2023-10-28T22:50:37"/>
    <x v="0"/>
    <n v="222.36311342592671"/>
    <n v="1489"/>
    <x v="3"/>
    <n v="17425"/>
    <n v="499"/>
    <n v="488"/>
    <n v="13112"/>
    <n v="2.8637015781922525E-2"/>
    <x v="162"/>
    <n v="7.4108216432865728"/>
    <n v="7.5778688524590168"/>
    <n v="2.4835460040295501"/>
    <n v="3.5457003785830179"/>
    <s v="CL163"/>
    <x v="3"/>
    <x v="2"/>
    <n v="3698"/>
    <n v="5"/>
    <x v="0"/>
  </r>
  <r>
    <s v="C164"/>
    <x v="163"/>
    <d v="2024-03-04T18:38:43"/>
    <x v="0"/>
    <n v="303.26138888888818"/>
    <n v="4579"/>
    <x v="3"/>
    <n v="7731"/>
    <n v="1422"/>
    <n v="235"/>
    <n v="11466"/>
    <n v="0.18393480791618161"/>
    <x v="163"/>
    <n v="8.4303797468354436"/>
    <n v="51.01276595744681"/>
    <n v="2.6180388731164008"/>
    <n v="0.95645645645645649"/>
    <s v="CL164"/>
    <x v="4"/>
    <x v="1"/>
    <n v="11988"/>
    <n v="4"/>
    <x v="0"/>
  </r>
  <r>
    <s v="C165"/>
    <x v="164"/>
    <d v="2024-12-14T18:41:40"/>
    <x v="0"/>
    <n v="471.41157407407445"/>
    <n v="2160"/>
    <x v="0"/>
    <n v="6391"/>
    <n v="741"/>
    <n v="327"/>
    <n v="870"/>
    <n v="0.11594429666718824"/>
    <x v="164"/>
    <n v="18.278002699055332"/>
    <n v="41.418960244648318"/>
    <n v="6.2703703703703706"/>
    <n v="6.4235085646780862E-2"/>
    <s v="CL165"/>
    <x v="3"/>
    <x v="0"/>
    <n v="13544"/>
    <n v="1"/>
    <x v="2"/>
  </r>
  <r>
    <s v="C166"/>
    <x v="165"/>
    <d v="2024-10-26T00:09:35"/>
    <x v="1"/>
    <n v="0"/>
    <n v="9585"/>
    <x v="2"/>
    <n v="9394"/>
    <n v="1368"/>
    <n v="281"/>
    <n v="7409"/>
    <n v="0.14562486693634236"/>
    <x v="165"/>
    <n v="12.470760233918128"/>
    <n v="60.711743772241995"/>
    <n v="1.7798643714136673"/>
    <n v="0.43429073856975381"/>
    <s v="CL166"/>
    <x v="2"/>
    <x v="2"/>
    <n v="17060"/>
    <n v="4"/>
    <x v="0"/>
  </r>
  <r>
    <s v="C167"/>
    <x v="166"/>
    <d v="2024-06-24T23:11:38"/>
    <x v="0"/>
    <n v="70.479814814811107"/>
    <n v="4884"/>
    <x v="0"/>
    <n v="10481"/>
    <n v="1276"/>
    <n v="283"/>
    <n v="7412"/>
    <n v="0.12174410838660434"/>
    <x v="166"/>
    <n v="8.0540752351097176"/>
    <n v="36.314487632508836"/>
    <n v="2.104217854217854"/>
    <n v="0.72122214654081929"/>
    <s v="CL167"/>
    <x v="4"/>
    <x v="0"/>
    <n v="10277"/>
    <n v="5"/>
    <x v="0"/>
  </r>
  <r>
    <s v="C168"/>
    <x v="167"/>
    <d v="2023-07-12T07:18:57"/>
    <x v="1"/>
    <n v="0"/>
    <n v="4018"/>
    <x v="0"/>
    <n v="16257"/>
    <n v="1924"/>
    <n v="486"/>
    <n v="7340"/>
    <n v="0.11834901888417297"/>
    <x v="167"/>
    <n v="3.9121621621621623"/>
    <n v="15.487654320987655"/>
    <n v="1.8733200597312096"/>
    <n v="0.97515610468978342"/>
    <s v="CL168"/>
    <x v="2"/>
    <x v="1"/>
    <n v="7527"/>
    <n v="1"/>
    <x v="2"/>
  </r>
  <r>
    <s v="C169"/>
    <x v="168"/>
    <d v="2024-06-18T08:09:47"/>
    <x v="1"/>
    <n v="0"/>
    <n v="6676"/>
    <x v="2"/>
    <n v="17274"/>
    <n v="1803"/>
    <n v="207"/>
    <n v="9247"/>
    <n v="0.10437651962486974"/>
    <x v="168"/>
    <n v="8.1536328341652808"/>
    <n v="71.019323671497588"/>
    <n v="2.202067106051528"/>
    <n v="0.62900482960342829"/>
    <s v="CL169"/>
    <x v="4"/>
    <x v="1"/>
    <n v="14701"/>
    <n v="5"/>
    <x v="0"/>
  </r>
  <r>
    <s v="C170"/>
    <x v="169"/>
    <d v="2024-11-15T17:01:00"/>
    <x v="1"/>
    <n v="0"/>
    <n v="4607"/>
    <x v="3"/>
    <n v="9395"/>
    <n v="1351"/>
    <n v="241"/>
    <n v="1557"/>
    <n v="0.14379989356040446"/>
    <x v="169"/>
    <n v="13.278312361213915"/>
    <n v="74.435684647302907"/>
    <n v="3.8938571738658565"/>
    <n v="8.6794135682033563E-2"/>
    <s v="CL170"/>
    <x v="3"/>
    <x v="0"/>
    <n v="17939"/>
    <n v="2"/>
    <x v="1"/>
  </r>
  <r>
    <s v="C171"/>
    <x v="170"/>
    <d v="2024-07-26T05:29:05"/>
    <x v="0"/>
    <n v="471.89149305555475"/>
    <n v="4571"/>
    <x v="1"/>
    <n v="6751"/>
    <n v="1302"/>
    <n v="214"/>
    <n v="13351"/>
    <n v="0.19286031699007555"/>
    <x v="170"/>
    <n v="7.0783410138248852"/>
    <n v="43.065420560747661"/>
    <n v="2.0161890177204111"/>
    <n v="1.4486762152777777"/>
    <s v="CL171"/>
    <x v="1"/>
    <x v="0"/>
    <n v="9216"/>
    <n v="4"/>
    <x v="0"/>
  </r>
  <r>
    <s v="C172"/>
    <x v="171"/>
    <d v="2023-12-31T12:56:53"/>
    <x v="1"/>
    <n v="0"/>
    <n v="3466"/>
    <x v="2"/>
    <n v="5424"/>
    <n v="447"/>
    <n v="25"/>
    <n v="4030"/>
    <n v="8.2411504424778764E-2"/>
    <x v="171"/>
    <n v="39.259507829977629"/>
    <n v="701.96"/>
    <n v="5.0631852279284475"/>
    <n v="0.2296427146845974"/>
    <s v="CL172"/>
    <x v="1"/>
    <x v="2"/>
    <n v="17549"/>
    <n v="2"/>
    <x v="1"/>
  </r>
  <r>
    <s v="C173"/>
    <x v="172"/>
    <d v="2024-08-31T22:09:19"/>
    <x v="0"/>
    <n v="148.6087847222152"/>
    <n v="1834"/>
    <x v="1"/>
    <n v="19015"/>
    <n v="625"/>
    <n v="423"/>
    <n v="14160"/>
    <n v="3.2868787799105972E-2"/>
    <x v="172"/>
    <n v="8.1359999999999992"/>
    <n v="12.021276595744681"/>
    <n v="2.7726281352235551"/>
    <n v="2.7846607669616521"/>
    <s v="CL173"/>
    <x v="2"/>
    <x v="2"/>
    <n v="5085"/>
    <n v="5"/>
    <x v="0"/>
  </r>
  <r>
    <s v="C174"/>
    <x v="173"/>
    <d v="2024-05-15T20:10:58"/>
    <x v="1"/>
    <n v="0"/>
    <n v="2333"/>
    <x v="3"/>
    <n v="12482"/>
    <n v="1015"/>
    <n v="235"/>
    <n v="2968"/>
    <n v="8.1317096619131543E-2"/>
    <x v="173"/>
    <n v="4.6719211822660096"/>
    <n v="20.178723404255319"/>
    <n v="2.0325760822974712"/>
    <n v="0.62589624630957397"/>
    <s v="CL174"/>
    <x v="4"/>
    <x v="2"/>
    <n v="4742"/>
    <n v="5"/>
    <x v="0"/>
  </r>
  <r>
    <s v="C175"/>
    <x v="174"/>
    <d v="2024-03-21T10:22:03"/>
    <x v="0"/>
    <n v="425.47489583332936"/>
    <n v="2793"/>
    <x v="2"/>
    <n v="15891"/>
    <n v="182"/>
    <n v="210"/>
    <n v="3939"/>
    <n v="1.1453023724120572E-2"/>
    <x v="174"/>
    <n v="30"/>
    <n v="26"/>
    <n v="1.9548872180451127"/>
    <n v="0.72142857142857142"/>
    <s v="CL175"/>
    <x v="0"/>
    <x v="2"/>
    <n v="5460"/>
    <n v="5"/>
    <x v="0"/>
  </r>
  <r>
    <s v="C176"/>
    <x v="175"/>
    <d v="2024-04-26T22:16:04"/>
    <x v="1"/>
    <n v="0"/>
    <n v="2749"/>
    <x v="0"/>
    <n v="11888"/>
    <n v="472"/>
    <n v="336"/>
    <n v="14485"/>
    <n v="3.9703903095558546E-2"/>
    <x v="175"/>
    <n v="2.7288135593220337"/>
    <n v="3.8333333333333335"/>
    <n v="0.46853401236813386"/>
    <n v="11.246118012422361"/>
    <s v="CL176"/>
    <x v="3"/>
    <x v="1"/>
    <n v="1288"/>
    <n v="2"/>
    <x v="1"/>
  </r>
  <r>
    <s v="C177"/>
    <x v="176"/>
    <d v="2023-11-28T02:25:15"/>
    <x v="1"/>
    <n v="0"/>
    <n v="5874"/>
    <x v="3"/>
    <n v="2816"/>
    <n v="427"/>
    <n v="490"/>
    <n v="6008"/>
    <n v="0.15163352272727273"/>
    <x v="176"/>
    <n v="13.997658079625293"/>
    <n v="12.19795918367347"/>
    <n v="1.0175348995573714"/>
    <n v="1.0051865484356701"/>
    <s v="CL177"/>
    <x v="4"/>
    <x v="0"/>
    <n v="5977"/>
    <n v="4"/>
    <x v="0"/>
  </r>
  <r>
    <s v="C178"/>
    <x v="177"/>
    <d v="2024-06-18T18:18:21"/>
    <x v="0"/>
    <n v="383.26447916666802"/>
    <n v="2687"/>
    <x v="0"/>
    <n v="18956"/>
    <n v="774"/>
    <n v="78"/>
    <n v="11173"/>
    <n v="4.0831399029331084E-2"/>
    <x v="177"/>
    <n v="6.2428940568475451"/>
    <n v="61.948717948717949"/>
    <n v="1.7982880535913659"/>
    <n v="2.3122930463576159"/>
    <s v="CL178"/>
    <x v="4"/>
    <x v="1"/>
    <n v="4832"/>
    <n v="3"/>
    <x v="1"/>
  </r>
  <r>
    <s v="C179"/>
    <x v="178"/>
    <d v="2024-12-18T04:41:54"/>
    <x v="0"/>
    <n v="693.28155092592351"/>
    <n v="6522"/>
    <x v="0"/>
    <n v="18550"/>
    <n v="763"/>
    <n v="324"/>
    <n v="12942"/>
    <n v="4.1132075471698115E-2"/>
    <x v="178"/>
    <n v="18.972477064220183"/>
    <n v="44.679012345679013"/>
    <n v="2.2195645507513033"/>
    <n v="0.8940315004144791"/>
    <s v="CL179"/>
    <x v="1"/>
    <x v="2"/>
    <n v="14476"/>
    <n v="3"/>
    <x v="1"/>
  </r>
  <r>
    <s v="C180"/>
    <x v="179"/>
    <d v="2024-07-04T13:25:16"/>
    <x v="0"/>
    <n v="103.01444444444496"/>
    <n v="1130"/>
    <x v="3"/>
    <n v="11572"/>
    <n v="1364"/>
    <n v="324"/>
    <n v="4225"/>
    <n v="0.11787072243346007"/>
    <x v="179"/>
    <n v="6.8702346041055717"/>
    <n v="28.922839506172838"/>
    <n v="8.2929203539823018"/>
    <n v="0.45085903318749332"/>
    <s v="CL180"/>
    <x v="2"/>
    <x v="2"/>
    <n v="9371"/>
    <n v="1"/>
    <x v="2"/>
  </r>
  <r>
    <s v="C181"/>
    <x v="180"/>
    <d v="2023-07-06T11:12:14"/>
    <x v="1"/>
    <n v="0"/>
    <n v="7525"/>
    <x v="2"/>
    <n v="19635"/>
    <n v="825"/>
    <n v="86"/>
    <n v="14369"/>
    <n v="4.2016806722689079E-2"/>
    <x v="180"/>
    <n v="13.775757575757575"/>
    <n v="132.15116279069767"/>
    <n v="1.5102990033222592"/>
    <n v="1.264320281566212"/>
    <s v="CL181"/>
    <x v="3"/>
    <x v="2"/>
    <n v="11365"/>
    <n v="3"/>
    <x v="1"/>
  </r>
  <r>
    <s v="C182"/>
    <x v="181"/>
    <d v="2024-12-22T02:08:29"/>
    <x v="0"/>
    <n v="556.21908564814657"/>
    <n v="4455"/>
    <x v="3"/>
    <n v="9473"/>
    <n v="1011"/>
    <n v="427"/>
    <n v="4859"/>
    <n v="0.1067243745381611"/>
    <x v="181"/>
    <n v="10.93570722057369"/>
    <n v="25.892271662763466"/>
    <n v="2.4817059483726149"/>
    <n v="0.43948986975397974"/>
    <s v="CL182"/>
    <x v="1"/>
    <x v="0"/>
    <n v="11056"/>
    <n v="3"/>
    <x v="1"/>
  </r>
  <r>
    <s v="C183"/>
    <x v="182"/>
    <d v="2023-05-05T07:52:13"/>
    <x v="0"/>
    <n v="26.50187499999447"/>
    <n v="4159"/>
    <x v="2"/>
    <n v="8489"/>
    <n v="1351"/>
    <n v="334"/>
    <n v="6628"/>
    <n v="0.15914713158204735"/>
    <x v="182"/>
    <n v="0.90821613619541086"/>
    <n v="3.6736526946107784"/>
    <n v="0.29502284202933399"/>
    <n v="5.4017929910350446"/>
    <s v="CL183"/>
    <x v="4"/>
    <x v="1"/>
    <n v="1227"/>
    <n v="4"/>
    <x v="0"/>
  </r>
  <r>
    <s v="C184"/>
    <x v="183"/>
    <d v="2023-09-07T20:55:57"/>
    <x v="0"/>
    <n v="204.52697916666511"/>
    <n v="5172"/>
    <x v="2"/>
    <n v="4818"/>
    <n v="968"/>
    <n v="369"/>
    <n v="6752"/>
    <n v="0.20091324200913241"/>
    <x v="183"/>
    <n v="7.5144628099173554"/>
    <n v="19.712737127371273"/>
    <n v="1.4064191802010828"/>
    <n v="0.92823755842727518"/>
    <s v="CL184"/>
    <x v="2"/>
    <x v="1"/>
    <n v="7274"/>
    <n v="3"/>
    <x v="1"/>
  </r>
  <r>
    <s v="C185"/>
    <x v="184"/>
    <d v="2024-08-07T04:56:39"/>
    <x v="1"/>
    <n v="0"/>
    <n v="5200"/>
    <x v="2"/>
    <n v="14461"/>
    <n v="1710"/>
    <n v="284"/>
    <n v="12231"/>
    <n v="0.11824908374247978"/>
    <x v="184"/>
    <n v="1.1309941520467837"/>
    <n v="6.8098591549295771"/>
    <n v="0.37192307692307691"/>
    <n v="6.324198552223371"/>
    <s v="CL185"/>
    <x v="2"/>
    <x v="2"/>
    <n v="1934"/>
    <n v="3"/>
    <x v="1"/>
  </r>
  <r>
    <s v="C186"/>
    <x v="185"/>
    <d v="2024-10-05T02:20:04"/>
    <x v="1"/>
    <n v="0"/>
    <n v="3095"/>
    <x v="0"/>
    <n v="13209"/>
    <n v="1552"/>
    <n v="160"/>
    <n v="12129"/>
    <n v="0.11749564690741161"/>
    <x v="185"/>
    <n v="5.4432989690721651"/>
    <n v="52.8"/>
    <n v="2.7295638126009694"/>
    <n v="1.4357244318181819"/>
    <s v="CL186"/>
    <x v="2"/>
    <x v="2"/>
    <n v="8448"/>
    <n v="2"/>
    <x v="1"/>
  </r>
  <r>
    <s v="C187"/>
    <x v="186"/>
    <d v="2023-12-23T02:16:19"/>
    <x v="1"/>
    <n v="0"/>
    <n v="9299"/>
    <x v="3"/>
    <n v="9531"/>
    <n v="1449"/>
    <n v="334"/>
    <n v="2087"/>
    <n v="0.15203021718602455"/>
    <x v="186"/>
    <n v="6.8461007591442371"/>
    <n v="29.700598802395209"/>
    <n v="1.066781374341327"/>
    <n v="0.21038306451612904"/>
    <s v="CL187"/>
    <x v="3"/>
    <x v="2"/>
    <n v="9920"/>
    <n v="4"/>
    <x v="0"/>
  </r>
  <r>
    <s v="C188"/>
    <x v="187"/>
    <d v="2024-06-07T00:46:20"/>
    <x v="1"/>
    <n v="0"/>
    <n v="1931"/>
    <x v="0"/>
    <n v="17374"/>
    <n v="472"/>
    <n v="213"/>
    <n v="4551"/>
    <n v="2.716703119604006E-2"/>
    <x v="187"/>
    <n v="30.489406779661017"/>
    <n v="67.563380281690144"/>
    <n v="7.45261522527188"/>
    <n v="0.31623931623931623"/>
    <s v="CL188"/>
    <x v="2"/>
    <x v="2"/>
    <n v="14391"/>
    <n v="3"/>
    <x v="1"/>
  </r>
  <r>
    <s v="C189"/>
    <x v="188"/>
    <d v="2023-10-06T15:57:27"/>
    <x v="0"/>
    <n v="266.10429398147971"/>
    <n v="3870"/>
    <x v="3"/>
    <n v="15744"/>
    <n v="1529"/>
    <n v="266"/>
    <n v="7759"/>
    <n v="9.7116361788617891E-2"/>
    <x v="188"/>
    <n v="3.2629169391759318"/>
    <n v="18.755639097744361"/>
    <n v="1.2891472868217053"/>
    <n v="1.5552214872719985"/>
    <s v="CL189"/>
    <x v="4"/>
    <x v="1"/>
    <n v="4989"/>
    <n v="5"/>
    <x v="0"/>
  </r>
  <r>
    <s v="C190"/>
    <x v="189"/>
    <d v="2023-10-08T22:47:09"/>
    <x v="1"/>
    <n v="0"/>
    <n v="4219"/>
    <x v="3"/>
    <n v="13852"/>
    <n v="1597"/>
    <n v="18"/>
    <n v="14680"/>
    <n v="0.1152902107998845"/>
    <x v="189"/>
    <n v="7.6368190356919223"/>
    <n v="677.55555555555554"/>
    <n v="2.890732401042901"/>
    <n v="1.2036733355198426"/>
    <s v="CL190"/>
    <x v="4"/>
    <x v="2"/>
    <n v="12196"/>
    <n v="3"/>
    <x v="1"/>
  </r>
  <r>
    <s v="C191"/>
    <x v="190"/>
    <d v="2024-04-15T10:22:48"/>
    <x v="0"/>
    <n v="189.01960648148088"/>
    <n v="7557"/>
    <x v="2"/>
    <n v="11266"/>
    <n v="932"/>
    <n v="357"/>
    <n v="14734"/>
    <n v="8.2726788567370854E-2"/>
    <x v="190"/>
    <n v="20.363733905579398"/>
    <n v="53.162464985994397"/>
    <n v="2.5114463411406645"/>
    <n v="0.77633173507560993"/>
    <s v="CL191"/>
    <x v="3"/>
    <x v="1"/>
    <n v="18979"/>
    <n v="4"/>
    <x v="0"/>
  </r>
  <r>
    <s v="C192"/>
    <x v="191"/>
    <d v="2024-04-26T06:48:25"/>
    <x v="0"/>
    <n v="189.57137731481635"/>
    <n v="1407"/>
    <x v="3"/>
    <n v="7819"/>
    <n v="414"/>
    <n v="380"/>
    <n v="2635"/>
    <n v="5.2947947307839874E-2"/>
    <x v="191"/>
    <n v="23.838164251207729"/>
    <n v="25.971052631578946"/>
    <n v="7.0142146410803123"/>
    <n v="0.26699766947005776"/>
    <s v="CL192"/>
    <x v="1"/>
    <x v="2"/>
    <n v="9869"/>
    <n v="4"/>
    <x v="0"/>
  </r>
  <r>
    <s v="C193"/>
    <x v="192"/>
    <d v="2024-05-25T00:41:25"/>
    <x v="0"/>
    <n v="37.65856481481751"/>
    <n v="5381"/>
    <x v="0"/>
    <n v="10532"/>
    <n v="585"/>
    <n v="148"/>
    <n v="13252"/>
    <n v="5.5545005696923659E-2"/>
    <x v="192"/>
    <n v="26.784615384615385"/>
    <n v="105.87162162162163"/>
    <n v="2.911912283962089"/>
    <n v="0.84574637819899168"/>
    <s v="CL193"/>
    <x v="3"/>
    <x v="0"/>
    <n v="15669"/>
    <n v="5"/>
    <x v="0"/>
  </r>
  <r>
    <s v="C194"/>
    <x v="193"/>
    <d v="2024-04-26T06:47:56"/>
    <x v="1"/>
    <n v="0"/>
    <n v="7931"/>
    <x v="3"/>
    <n v="16873"/>
    <n v="576"/>
    <n v="179"/>
    <n v="4804"/>
    <n v="3.4137379244947551E-2"/>
    <x v="193"/>
    <n v="32.213541666666664"/>
    <n v="103.65921787709497"/>
    <n v="2.3395536502332619"/>
    <n v="0.25890595526812182"/>
    <s v="CL194"/>
    <x v="1"/>
    <x v="2"/>
    <n v="18555"/>
    <n v="1"/>
    <x v="2"/>
  </r>
  <r>
    <s v="C195"/>
    <x v="194"/>
    <d v="2024-10-31T12:24:32"/>
    <x v="0"/>
    <n v="369.80770833333372"/>
    <n v="4119"/>
    <x v="2"/>
    <n v="4875"/>
    <n v="1755"/>
    <n v="15"/>
    <n v="3926"/>
    <n v="0.36"/>
    <x v="194"/>
    <n v="8.904843304843304"/>
    <n v="1041.8666666666666"/>
    <n v="3.7941247875697983"/>
    <n v="0.25121576657281802"/>
    <s v="CL195"/>
    <x v="1"/>
    <x v="1"/>
    <n v="15628"/>
    <n v="4"/>
    <x v="0"/>
  </r>
  <r>
    <s v="C196"/>
    <x v="195"/>
    <d v="2023-12-04T17:03:16"/>
    <x v="1"/>
    <n v="0"/>
    <n v="3174"/>
    <x v="2"/>
    <n v="9106"/>
    <n v="1689"/>
    <n v="149"/>
    <n v="6691"/>
    <n v="0.18548209971447396"/>
    <x v="195"/>
    <n v="10.301953818827709"/>
    <n v="116.77852348993288"/>
    <n v="5.4820415879017013"/>
    <n v="0.38454022988505748"/>
    <s v="CL196"/>
    <x v="0"/>
    <x v="2"/>
    <n v="17400"/>
    <n v="1"/>
    <x v="2"/>
  </r>
  <r>
    <s v="C197"/>
    <x v="196"/>
    <d v="2024-07-31T01:15:51"/>
    <x v="1"/>
    <n v="0"/>
    <n v="6635"/>
    <x v="3"/>
    <n v="18767"/>
    <n v="932"/>
    <n v="306"/>
    <n v="1106"/>
    <n v="4.9661640112964249E-2"/>
    <x v="196"/>
    <n v="6.0879828326180254"/>
    <n v="18.542483660130721"/>
    <n v="0.85516201959306704"/>
    <n v="0.19492421572083188"/>
    <s v="CL197"/>
    <x v="3"/>
    <x v="2"/>
    <n v="5674"/>
    <n v="2"/>
    <x v="1"/>
  </r>
  <r>
    <s v="C198"/>
    <x v="197"/>
    <d v="2024-08-01T21:25:46"/>
    <x v="0"/>
    <n v="541.61542824073695"/>
    <n v="6887"/>
    <x v="1"/>
    <n v="11397"/>
    <n v="174"/>
    <n v="481"/>
    <n v="13199"/>
    <n v="1.5267175572519083E-2"/>
    <x v="197"/>
    <n v="35.080459770114942"/>
    <n v="12.69022869022869"/>
    <n v="0.88630753593727307"/>
    <n v="2.1623525557011796"/>
    <s v="CL198"/>
    <x v="3"/>
    <x v="2"/>
    <n v="6104"/>
    <n v="2"/>
    <x v="1"/>
  </r>
  <r>
    <s v="C199"/>
    <x v="198"/>
    <d v="2023-09-14T01:38:19"/>
    <x v="1"/>
    <n v="0"/>
    <n v="7534"/>
    <x v="1"/>
    <n v="4045"/>
    <n v="1843"/>
    <n v="472"/>
    <n v="9417"/>
    <n v="0.45562422744128556"/>
    <x v="198"/>
    <n v="3.0168204015192619"/>
    <n v="11.779661016949152"/>
    <n v="0.73798778869126624"/>
    <n v="1.6937050359712231"/>
    <s v="CL199"/>
    <x v="3"/>
    <x v="1"/>
    <n v="5560"/>
    <n v="2"/>
    <x v="1"/>
  </r>
  <r>
    <s v="C200"/>
    <x v="199"/>
    <d v="2023-12-05T20:47:03"/>
    <x v="0"/>
    <n v="157.94484953703795"/>
    <n v="2739"/>
    <x v="1"/>
    <n v="18798"/>
    <n v="1024"/>
    <n v="292"/>
    <n v="13261"/>
    <n v="5.447388020002128E-2"/>
    <x v="199"/>
    <n v="19.40234375"/>
    <n v="68.041095890410958"/>
    <n v="7.2537422416940487"/>
    <n v="0.66745520434870143"/>
    <s v="CL200"/>
    <x v="2"/>
    <x v="2"/>
    <n v="19868"/>
    <n v="2"/>
    <x v="1"/>
  </r>
  <r>
    <s v="C201"/>
    <x v="200"/>
    <d v="2024-01-14T12:45:09"/>
    <x v="1"/>
    <n v="0"/>
    <n v="8781"/>
    <x v="2"/>
    <n v="1728"/>
    <n v="1226"/>
    <n v="278"/>
    <n v="1076"/>
    <n v="0.7094907407407407"/>
    <x v="200"/>
    <n v="2.2724306688417619"/>
    <n v="10.02158273381295"/>
    <n v="0.31727593668147136"/>
    <n v="0.38621679827709976"/>
    <s v="CL201"/>
    <x v="1"/>
    <x v="1"/>
    <n v="2786"/>
    <n v="3"/>
    <x v="1"/>
  </r>
  <r>
    <s v="C202"/>
    <x v="201"/>
    <d v="2023-05-10T21:14:49"/>
    <x v="0"/>
    <n v="26.686284722221899"/>
    <n v="6464"/>
    <x v="1"/>
    <n v="19236"/>
    <n v="1031"/>
    <n v="315"/>
    <n v="5840"/>
    <n v="5.3597421501351633E-2"/>
    <x v="201"/>
    <n v="17.274490785645003"/>
    <n v="56.539682539682538"/>
    <n v="2.7552599009900991"/>
    <n v="0.32790567097136442"/>
    <s v="CL202"/>
    <x v="0"/>
    <x v="0"/>
    <n v="17810"/>
    <n v="3"/>
    <x v="1"/>
  </r>
  <r>
    <s v="C203"/>
    <x v="202"/>
    <d v="2024-06-17T08:15:00"/>
    <x v="0"/>
    <n v="359.27070601852029"/>
    <n v="4215"/>
    <x v="2"/>
    <n v="14285"/>
    <n v="1595"/>
    <n v="491"/>
    <n v="9150"/>
    <n v="0.11165558277913895"/>
    <x v="202"/>
    <n v="11.66269592476489"/>
    <n v="37.885947046843178"/>
    <n v="4.4132858837485172"/>
    <n v="0.49188259326954092"/>
    <s v="CL203"/>
    <x v="1"/>
    <x v="1"/>
    <n v="18602"/>
    <n v="2"/>
    <x v="1"/>
  </r>
  <r>
    <s v="C204"/>
    <x v="203"/>
    <d v="2023-11-10T21:58:48"/>
    <x v="1"/>
    <n v="0"/>
    <n v="8979"/>
    <x v="1"/>
    <n v="19712"/>
    <n v="544"/>
    <n v="118"/>
    <n v="11480"/>
    <n v="2.7597402597402596E-2"/>
    <x v="203"/>
    <n v="20.211397058823529"/>
    <n v="93.177966101694921"/>
    <n v="1.2245238890745072"/>
    <n v="1.0441109595270577"/>
    <s v="CL204"/>
    <x v="2"/>
    <x v="0"/>
    <n v="10995"/>
    <n v="2"/>
    <x v="1"/>
  </r>
  <r>
    <s v="C205"/>
    <x v="204"/>
    <d v="2023-10-22T02:21:22"/>
    <x v="0"/>
    <n v="78.731307870373712"/>
    <n v="4943"/>
    <x v="1"/>
    <n v="12633"/>
    <n v="463"/>
    <n v="231"/>
    <n v="4811"/>
    <n v="3.6650043536768782E-2"/>
    <x v="204"/>
    <n v="11.29805615550756"/>
    <n v="22.645021645021647"/>
    <n v="1.0582642120169938"/>
    <n v="0.91970942458420957"/>
    <s v="CL205"/>
    <x v="1"/>
    <x v="0"/>
    <n v="5231"/>
    <n v="2"/>
    <x v="1"/>
  </r>
  <r>
    <s v="C206"/>
    <x v="205"/>
    <d v="2023-04-27T14:11:00"/>
    <x v="0"/>
    <n v="64.074328703703941"/>
    <n v="1411"/>
    <x v="1"/>
    <n v="10015"/>
    <n v="865"/>
    <n v="75"/>
    <n v="2318"/>
    <n v="8.6370444333499746E-2"/>
    <x v="205"/>
    <n v="18.23005780346821"/>
    <n v="210.25333333333333"/>
    <n v="11.175761871013465"/>
    <n v="0.14699727313082631"/>
    <s v="CL206"/>
    <x v="0"/>
    <x v="1"/>
    <n v="15769"/>
    <n v="4"/>
    <x v="0"/>
  </r>
  <r>
    <s v="C207"/>
    <x v="206"/>
    <d v="2024-10-07T02:57:46"/>
    <x v="1"/>
    <n v="0"/>
    <n v="7966"/>
    <x v="1"/>
    <n v="9928"/>
    <n v="1730"/>
    <n v="388"/>
    <n v="9148"/>
    <n v="0.17425463336019339"/>
    <x v="206"/>
    <n v="9.1635838150289022"/>
    <n v="40.858247422680414"/>
    <n v="1.9900828521215164"/>
    <n v="0.57705166214596604"/>
    <s v="CL207"/>
    <x v="0"/>
    <x v="2"/>
    <n v="15853"/>
    <n v="4"/>
    <x v="0"/>
  </r>
  <r>
    <s v="C208"/>
    <x v="207"/>
    <d v="2024-10-29T17:45:47"/>
    <x v="0"/>
    <n v="399.40893518518715"/>
    <n v="6773"/>
    <x v="3"/>
    <n v="11856"/>
    <n v="1653"/>
    <n v="248"/>
    <n v="11536"/>
    <n v="0.13942307692307693"/>
    <x v="207"/>
    <n v="10.605565638233514"/>
    <n v="70.689516129032256"/>
    <n v="2.5883655691717111"/>
    <n v="0.65803433917061205"/>
    <s v="CL208"/>
    <x v="2"/>
    <x v="0"/>
    <n v="17531"/>
    <n v="2"/>
    <x v="1"/>
  </r>
  <r>
    <s v="C209"/>
    <x v="208"/>
    <d v="2024-10-28T10:02:05"/>
    <x v="1"/>
    <n v="0"/>
    <n v="5921"/>
    <x v="3"/>
    <n v="16835"/>
    <n v="353"/>
    <n v="232"/>
    <n v="11123"/>
    <n v="2.0968220968220968E-2"/>
    <x v="208"/>
    <n v="5.3484419263456093"/>
    <n v="8.137931034482758"/>
    <n v="0.31886505657828068"/>
    <n v="5.8914194915254239"/>
    <s v="CL209"/>
    <x v="2"/>
    <x v="2"/>
    <n v="1888"/>
    <n v="1"/>
    <x v="2"/>
  </r>
  <r>
    <s v="C210"/>
    <x v="209"/>
    <d v="2024-12-17T04:40:46"/>
    <x v="1"/>
    <n v="0"/>
    <n v="3725"/>
    <x v="3"/>
    <n v="4767"/>
    <n v="693"/>
    <n v="229"/>
    <n v="14785"/>
    <n v="0.14537444933920704"/>
    <x v="209"/>
    <n v="5.6594516594516593"/>
    <n v="17.126637554585152"/>
    <n v="1.0528859060402684"/>
    <n v="3.7697603263641"/>
    <s v="CL210"/>
    <x v="2"/>
    <x v="2"/>
    <n v="3922"/>
    <n v="1"/>
    <x v="2"/>
  </r>
  <r>
    <s v="C211"/>
    <x v="210"/>
    <d v="2024-05-05T13:54:04"/>
    <x v="0"/>
    <n v="215.19599537036993"/>
    <n v="1524"/>
    <x v="2"/>
    <n v="12015"/>
    <n v="761"/>
    <n v="246"/>
    <n v="5548"/>
    <n v="6.3337494798168956E-2"/>
    <x v="210"/>
    <n v="15.021024967148488"/>
    <n v="46.467479674796749"/>
    <n v="7.5006561679790025"/>
    <n v="0.48534686379144432"/>
    <s v="CL211"/>
    <x v="3"/>
    <x v="0"/>
    <n v="11431"/>
    <n v="4"/>
    <x v="0"/>
  </r>
  <r>
    <s v="C212"/>
    <x v="211"/>
    <d v="2024-02-27T10:28:19"/>
    <x v="1"/>
    <n v="0"/>
    <n v="3021"/>
    <x v="1"/>
    <n v="15541"/>
    <n v="366"/>
    <n v="345"/>
    <n v="11387"/>
    <n v="2.355060806897883E-2"/>
    <x v="211"/>
    <n v="45.751366120218577"/>
    <n v="48.536231884057969"/>
    <n v="5.5428666004634231"/>
    <n v="0.68002388772767985"/>
    <s v="CL212"/>
    <x v="1"/>
    <x v="0"/>
    <n v="16745"/>
    <n v="3"/>
    <x v="1"/>
  </r>
  <r>
    <s v="C213"/>
    <x v="212"/>
    <d v="2023-10-19T08:22:06"/>
    <x v="0"/>
    <n v="214.72572916666832"/>
    <n v="6263"/>
    <x v="2"/>
    <n v="8099"/>
    <n v="258"/>
    <n v="381"/>
    <n v="1705"/>
    <n v="3.1855784664773429E-2"/>
    <x v="212"/>
    <n v="40.511627906976742"/>
    <n v="27.433070866141733"/>
    <n v="1.6688487945074246"/>
    <n v="0.16312667432070418"/>
    <s v="CL213"/>
    <x v="2"/>
    <x v="2"/>
    <n v="10452"/>
    <n v="3"/>
    <x v="1"/>
  </r>
  <r>
    <s v="C214"/>
    <x v="213"/>
    <d v="2024-05-06T10:29:19"/>
    <x v="1"/>
    <n v="0"/>
    <n v="5953"/>
    <x v="3"/>
    <n v="6829"/>
    <n v="1559"/>
    <n v="254"/>
    <n v="1246"/>
    <n v="0.22829111143652073"/>
    <x v="213"/>
    <n v="12.089159717767799"/>
    <n v="74.2007874015748"/>
    <n v="3.1659667394590962"/>
    <n v="6.6111317451053211E-2"/>
    <s v="CL214"/>
    <x v="1"/>
    <x v="0"/>
    <n v="18847"/>
    <n v="2"/>
    <x v="1"/>
  </r>
  <r>
    <s v="C215"/>
    <x v="214"/>
    <d v="2024-05-25T18:46:48"/>
    <x v="0"/>
    <n v="90.993240740739566"/>
    <n v="4804"/>
    <x v="1"/>
    <n v="6777"/>
    <n v="1836"/>
    <n v="225"/>
    <n v="8899"/>
    <n v="0.27091633466135456"/>
    <x v="214"/>
    <n v="8.0702614379084974"/>
    <n v="65.853333333333339"/>
    <n v="3.0843047460449626"/>
    <n v="0.60059391239792126"/>
    <s v="CL215"/>
    <x v="4"/>
    <x v="0"/>
    <n v="14817"/>
    <n v="3"/>
    <x v="1"/>
  </r>
  <r>
    <s v="C216"/>
    <x v="215"/>
    <d v="2023-11-29T09:00:49"/>
    <x v="0"/>
    <n v="58.144027777780138"/>
    <n v="1796"/>
    <x v="3"/>
    <n v="15212"/>
    <n v="1458"/>
    <n v="393"/>
    <n v="11716"/>
    <n v="9.5845385222193005E-2"/>
    <x v="215"/>
    <n v="4.711934156378601"/>
    <n v="17.480916030534353"/>
    <n v="3.8251670378619154"/>
    <n v="1.7053857350800583"/>
    <s v="CL216"/>
    <x v="0"/>
    <x v="0"/>
    <n v="6870"/>
    <n v="4"/>
    <x v="0"/>
  </r>
  <r>
    <s v="C217"/>
    <x v="216"/>
    <d v="2024-05-09T03:02:26"/>
    <x v="0"/>
    <n v="443.46524305555795"/>
    <n v="9367"/>
    <x v="0"/>
    <n v="16333"/>
    <n v="1857"/>
    <n v="68"/>
    <n v="5682"/>
    <n v="0.11369619788158943"/>
    <x v="216"/>
    <n v="3.6731287022078623"/>
    <n v="100.30882352941177"/>
    <n v="0.72819472616632863"/>
    <n v="0.83301568684943561"/>
    <s v="CL217"/>
    <x v="4"/>
    <x v="0"/>
    <n v="6821"/>
    <n v="1"/>
    <x v="2"/>
  </r>
  <r>
    <s v="C218"/>
    <x v="217"/>
    <d v="2024-01-04T02:19:05"/>
    <x v="1"/>
    <n v="0"/>
    <n v="1251"/>
    <x v="1"/>
    <n v="10856"/>
    <n v="1649"/>
    <n v="190"/>
    <n v="6059"/>
    <n v="0.15189756816507"/>
    <x v="217"/>
    <n v="8.8295936931473626"/>
    <n v="76.631578947368425"/>
    <n v="11.638689048760991"/>
    <n v="0.41614010989010991"/>
    <s v="CL218"/>
    <x v="1"/>
    <x v="2"/>
    <n v="14560"/>
    <n v="1"/>
    <x v="2"/>
  </r>
  <r>
    <s v="C219"/>
    <x v="218"/>
    <d v="2024-11-11T06:02:20"/>
    <x v="0"/>
    <n v="661.73443287036935"/>
    <n v="1818"/>
    <x v="0"/>
    <n v="9959"/>
    <n v="1134"/>
    <n v="186"/>
    <n v="5334"/>
    <n v="0.11386685410181745"/>
    <x v="218"/>
    <n v="7.6657848324514992"/>
    <n v="46.736559139784944"/>
    <n v="4.7816281628162818"/>
    <n v="0.61359714712987456"/>
    <s v="CL219"/>
    <x v="0"/>
    <x v="2"/>
    <n v="8693"/>
    <n v="1"/>
    <x v="2"/>
  </r>
  <r>
    <s v="C220"/>
    <x v="219"/>
    <d v="2024-11-27T10:39:29"/>
    <x v="1"/>
    <n v="0"/>
    <n v="3688"/>
    <x v="2"/>
    <n v="8901"/>
    <n v="791"/>
    <n v="472"/>
    <n v="7182"/>
    <n v="8.886641950342658E-2"/>
    <x v="219"/>
    <n v="18.515802781289509"/>
    <n v="31.029661016949152"/>
    <n v="3.9712581344902387"/>
    <n v="0.49037279803359279"/>
    <s v="CL220"/>
    <x v="2"/>
    <x v="0"/>
    <n v="14646"/>
    <n v="2"/>
    <x v="1"/>
  </r>
  <r>
    <s v="C221"/>
    <x v="220"/>
    <d v="2024-08-25T06:09:58"/>
    <x v="0"/>
    <n v="336.27109953703621"/>
    <n v="6313"/>
    <x v="0"/>
    <n v="18478"/>
    <n v="226"/>
    <n v="210"/>
    <n v="7028"/>
    <n v="1.2230760904859833E-2"/>
    <x v="220"/>
    <n v="80.862831858407077"/>
    <n v="87.023809523809518"/>
    <n v="2.8948202122604152"/>
    <n v="0.38456908344733243"/>
    <s v="CL221"/>
    <x v="0"/>
    <x v="0"/>
    <n v="18275"/>
    <n v="5"/>
    <x v="0"/>
  </r>
  <r>
    <s v="C222"/>
    <x v="221"/>
    <d v="2024-05-17T02:33:50"/>
    <x v="0"/>
    <n v="32.419467592597357"/>
    <n v="5252"/>
    <x v="1"/>
    <n v="1355"/>
    <n v="1644"/>
    <n v="191"/>
    <n v="885"/>
    <n v="1.2132841328413284"/>
    <x v="221"/>
    <n v="6.7256690997566908"/>
    <n v="57.890052356020945"/>
    <n v="2.1052932216298554"/>
    <n v="8.0039793795785477E-2"/>
    <s v="CL222"/>
    <x v="1"/>
    <x v="2"/>
    <n v="11057"/>
    <n v="1"/>
    <x v="2"/>
  </r>
  <r>
    <s v="C223"/>
    <x v="222"/>
    <d v="2024-05-13T22:06:46"/>
    <x v="0"/>
    <n v="349.01216435185052"/>
    <n v="2416"/>
    <x v="1"/>
    <n v="11992"/>
    <n v="1309"/>
    <n v="264"/>
    <n v="5005"/>
    <n v="0.10915610406937959"/>
    <x v="222"/>
    <n v="6.60733384262796"/>
    <n v="32.761363636363633"/>
    <n v="3.5798841059602649"/>
    <n v="0.57867961614059427"/>
    <s v="CL223"/>
    <x v="2"/>
    <x v="1"/>
    <n v="8649"/>
    <n v="3"/>
    <x v="1"/>
  </r>
  <r>
    <s v="C224"/>
    <x v="223"/>
    <d v="2024-03-25T03:03:37"/>
    <x v="0"/>
    <n v="72.743344907408755"/>
    <n v="2564"/>
    <x v="0"/>
    <n v="10191"/>
    <n v="1994"/>
    <n v="261"/>
    <n v="14858"/>
    <n v="0.19566283976057305"/>
    <x v="223"/>
    <n v="4.8380140421263791"/>
    <n v="36.961685823754792"/>
    <n v="3.762480499219969"/>
    <n v="1.5401679278532185"/>
    <s v="CL224"/>
    <x v="4"/>
    <x v="1"/>
    <n v="9647"/>
    <n v="4"/>
    <x v="0"/>
  </r>
  <r>
    <s v="C225"/>
    <x v="224"/>
    <d v="2024-08-26T13:24:17"/>
    <x v="0"/>
    <n v="4.0773842592607252"/>
    <n v="5001"/>
    <x v="0"/>
    <n v="7253"/>
    <n v="1946"/>
    <n v="259"/>
    <n v="11152"/>
    <n v="0.26830277126706192"/>
    <x v="224"/>
    <n v="8.4069886947584784"/>
    <n v="63.166023166023166"/>
    <n v="3.2713457308538292"/>
    <n v="0.68166259168704157"/>
    <s v="CL225"/>
    <x v="1"/>
    <x v="0"/>
    <n v="16360"/>
    <n v="3"/>
    <x v="1"/>
  </r>
  <r>
    <s v="C226"/>
    <x v="225"/>
    <d v="2024-06-17T00:18:25"/>
    <x v="1"/>
    <n v="0"/>
    <n v="7016"/>
    <x v="3"/>
    <n v="7889"/>
    <n v="606"/>
    <n v="392"/>
    <n v="1422"/>
    <n v="7.6815819495500065E-2"/>
    <x v="225"/>
    <n v="21.866336633663366"/>
    <n v="33.803571428571431"/>
    <n v="1.8886830102622576"/>
    <n v="0.1073126556486303"/>
    <s v="CL226"/>
    <x v="1"/>
    <x v="1"/>
    <n v="13251"/>
    <n v="4"/>
    <x v="0"/>
  </r>
  <r>
    <s v="C227"/>
    <x v="226"/>
    <d v="2023-04-20T17:41:32"/>
    <x v="1"/>
    <n v="0"/>
    <n v="8890"/>
    <x v="1"/>
    <n v="6722"/>
    <n v="1073"/>
    <n v="11"/>
    <n v="1401"/>
    <n v="0.15962511157393633"/>
    <x v="226"/>
    <n v="9.4193849021435234"/>
    <n v="918.81818181818187"/>
    <n v="1.1368953880764905"/>
    <n v="0.13861680023745918"/>
    <s v="CL227"/>
    <x v="0"/>
    <x v="1"/>
    <n v="10107"/>
    <n v="4"/>
    <x v="0"/>
  </r>
  <r>
    <s v="C228"/>
    <x v="227"/>
    <d v="2024-08-24T21:22:11"/>
    <x v="1"/>
    <n v="0"/>
    <n v="8064"/>
    <x v="0"/>
    <n v="15155"/>
    <n v="1181"/>
    <n v="398"/>
    <n v="3318"/>
    <n v="7.7928076542395253E-2"/>
    <x v="227"/>
    <n v="4.8128704487722267"/>
    <n v="14.28140703517588"/>
    <n v="0.70486111111111116"/>
    <n v="0.58374384236453203"/>
    <s v="CL228"/>
    <x v="1"/>
    <x v="1"/>
    <n v="5684"/>
    <n v="5"/>
    <x v="0"/>
  </r>
  <r>
    <s v="C229"/>
    <x v="228"/>
    <d v="2024-11-20T14:53:21"/>
    <x v="0"/>
    <n v="245.82775462963036"/>
    <n v="3016"/>
    <x v="2"/>
    <n v="10506"/>
    <n v="761"/>
    <n v="305"/>
    <n v="4384"/>
    <n v="7.2434799162383406E-2"/>
    <x v="228"/>
    <n v="15.386333771353483"/>
    <n v="38.390163934426226"/>
    <n v="3.8822944297082227"/>
    <n v="0.37441284482022374"/>
    <s v="CL229"/>
    <x v="3"/>
    <x v="0"/>
    <n v="11709"/>
    <n v="3"/>
    <x v="1"/>
  </r>
  <r>
    <s v="C230"/>
    <x v="229"/>
    <d v="2024-03-10T00:22:07"/>
    <x v="0"/>
    <n v="43.139004629636474"/>
    <n v="8967"/>
    <x v="1"/>
    <n v="19300"/>
    <n v="1083"/>
    <n v="18"/>
    <n v="5176"/>
    <n v="5.6113989637305697E-2"/>
    <x v="229"/>
    <n v="10.848568790397046"/>
    <n v="652.72222222222217"/>
    <n v="1.3102486896397902"/>
    <n v="0.44054813175589413"/>
    <s v="CL230"/>
    <x v="0"/>
    <x v="1"/>
    <n v="11749"/>
    <n v="1"/>
    <x v="2"/>
  </r>
  <r>
    <s v="C231"/>
    <x v="230"/>
    <d v="2024-12-02T15:00:14"/>
    <x v="1"/>
    <n v="0"/>
    <n v="9211"/>
    <x v="1"/>
    <n v="17807"/>
    <n v="342"/>
    <n v="62"/>
    <n v="8736"/>
    <n v="1.9205930252148031E-2"/>
    <x v="230"/>
    <n v="33.10526315789474"/>
    <n v="182.61290322580646"/>
    <n v="1.2291824991857561"/>
    <n v="0.77159512453630097"/>
    <s v="CL231"/>
    <x v="3"/>
    <x v="1"/>
    <n v="11322"/>
    <n v="3"/>
    <x v="1"/>
  </r>
  <r>
    <s v="C232"/>
    <x v="231"/>
    <d v="2024-11-04T20:45:29"/>
    <x v="1"/>
    <n v="0"/>
    <n v="3883"/>
    <x v="2"/>
    <n v="9052"/>
    <n v="819"/>
    <n v="376"/>
    <n v="953"/>
    <n v="9.0477242598320809E-2"/>
    <x v="231"/>
    <n v="19.702075702075703"/>
    <n v="42.914893617021278"/>
    <n v="4.1555498326036568"/>
    <n v="5.9060485870104117E-2"/>
    <s v="CL232"/>
    <x v="0"/>
    <x v="0"/>
    <n v="16136"/>
    <n v="4"/>
    <x v="0"/>
  </r>
  <r>
    <s v="C233"/>
    <x v="232"/>
    <d v="2024-01-18T18:14:17"/>
    <x v="1"/>
    <n v="0"/>
    <n v="6795"/>
    <x v="0"/>
    <n v="12203"/>
    <n v="512"/>
    <n v="313"/>
    <n v="10183"/>
    <n v="4.1956895845283948E-2"/>
    <x v="232"/>
    <n v="16.2578125"/>
    <n v="26.594249201277954"/>
    <n v="1.225018395879323"/>
    <n v="1.2233301297453147"/>
    <s v="CL233"/>
    <x v="3"/>
    <x v="0"/>
    <n v="8324"/>
    <n v="1"/>
    <x v="2"/>
  </r>
  <r>
    <s v="C234"/>
    <x v="233"/>
    <d v="2023-04-19T21:32:42"/>
    <x v="1"/>
    <n v="0"/>
    <n v="9245"/>
    <x v="1"/>
    <n v="10606"/>
    <n v="941"/>
    <n v="120"/>
    <n v="13270"/>
    <n v="8.8723364133509328E-2"/>
    <x v="233"/>
    <n v="20.99893730074389"/>
    <n v="164.66666666666666"/>
    <n v="2.1373715521903733"/>
    <n v="0.67155870445344135"/>
    <s v="CL234"/>
    <x v="2"/>
    <x v="0"/>
    <n v="19760"/>
    <n v="1"/>
    <x v="2"/>
  </r>
  <r>
    <s v="C235"/>
    <x v="234"/>
    <d v="2024-08-11T23:30:38"/>
    <x v="1"/>
    <n v="0"/>
    <n v="7310"/>
    <x v="2"/>
    <n v="10568"/>
    <n v="1635"/>
    <n v="408"/>
    <n v="2208"/>
    <n v="0.1547123391370174"/>
    <x v="234"/>
    <n v="7.5798165137614681"/>
    <n v="30.375"/>
    <n v="1.6953488372093024"/>
    <n v="0.17816509319777293"/>
    <s v="CL235"/>
    <x v="4"/>
    <x v="2"/>
    <n v="12393"/>
    <n v="5"/>
    <x v="0"/>
  </r>
  <r>
    <s v="C236"/>
    <x v="235"/>
    <d v="2024-08-18T15:13:17"/>
    <x v="1"/>
    <n v="0"/>
    <n v="4390"/>
    <x v="2"/>
    <n v="6898"/>
    <n v="466"/>
    <n v="193"/>
    <n v="4748"/>
    <n v="6.7555813279211369E-2"/>
    <x v="235"/>
    <n v="21.873390557939913"/>
    <n v="52.813471502590673"/>
    <n v="2.3218678815489748"/>
    <n v="0.46580986951829689"/>
    <s v="CL236"/>
    <x v="0"/>
    <x v="2"/>
    <n v="10193"/>
    <n v="3"/>
    <x v="1"/>
  </r>
  <r>
    <s v="C237"/>
    <x v="236"/>
    <d v="2024-08-24T11:24:02"/>
    <x v="0"/>
    <n v="493.1147685185133"/>
    <n v="5196"/>
    <x v="0"/>
    <n v="4266"/>
    <n v="337"/>
    <n v="138"/>
    <n v="1010"/>
    <n v="7.8996718237224567E-2"/>
    <x v="236"/>
    <n v="22.213649851632049"/>
    <n v="54.246376811594203"/>
    <n v="1.4407236335642801"/>
    <n v="0.13491851456051296"/>
    <s v="CL237"/>
    <x v="0"/>
    <x v="0"/>
    <n v="7486"/>
    <n v="4"/>
    <x v="0"/>
  </r>
  <r>
    <s v="C238"/>
    <x v="237"/>
    <d v="2024-03-04T08:49:15"/>
    <x v="0"/>
    <n v="110.69009259259474"/>
    <n v="9816"/>
    <x v="1"/>
    <n v="1246"/>
    <n v="668"/>
    <n v="384"/>
    <n v="13924"/>
    <n v="0.536115569823435"/>
    <x v="237"/>
    <n v="27.70808383233533"/>
    <n v="48.200520833333336"/>
    <n v="1.8855949470252649"/>
    <n v="0.75228267329407317"/>
    <s v="CL238"/>
    <x v="3"/>
    <x v="2"/>
    <n v="18509"/>
    <n v="1"/>
    <x v="2"/>
  </r>
  <r>
    <s v="C239"/>
    <x v="238"/>
    <d v="2024-08-25T03:23:23"/>
    <x v="1"/>
    <n v="0"/>
    <n v="8784"/>
    <x v="1"/>
    <n v="11557"/>
    <n v="803"/>
    <n v="449"/>
    <n v="5840"/>
    <n v="6.9481699402959243E-2"/>
    <x v="238"/>
    <n v="18.745952677459528"/>
    <n v="33.525612472160354"/>
    <n v="1.713683970856102"/>
    <n v="0.38796253238557099"/>
    <s v="CL239"/>
    <x v="4"/>
    <x v="1"/>
    <n v="15053"/>
    <n v="3"/>
    <x v="1"/>
  </r>
  <r>
    <s v="C240"/>
    <x v="239"/>
    <d v="2023-12-10T03:31:35"/>
    <x v="0"/>
    <n v="123.52312499999971"/>
    <n v="4667"/>
    <x v="0"/>
    <n v="3759"/>
    <n v="814"/>
    <n v="247"/>
    <n v="8711"/>
    <n v="0.21654695397712156"/>
    <x v="239"/>
    <n v="18.300982800982801"/>
    <n v="60.311740890688256"/>
    <n v="3.1919862866938078"/>
    <n v="0.58474860710210108"/>
    <s v="CL240"/>
    <x v="4"/>
    <x v="1"/>
    <n v="14897"/>
    <n v="4"/>
    <x v="0"/>
  </r>
  <r>
    <s v="C241"/>
    <x v="240"/>
    <d v="2024-06-10T17:50:22"/>
    <x v="0"/>
    <n v="0.97165509259502869"/>
    <n v="1642"/>
    <x v="1"/>
    <n v="1471"/>
    <n v="325"/>
    <n v="371"/>
    <n v="2924"/>
    <n v="0.22093813732154996"/>
    <x v="240"/>
    <n v="20.21846153846154"/>
    <n v="17.711590296495956"/>
    <n v="4.0018270401948843"/>
    <n v="0.44498554253538275"/>
    <s v="CL241"/>
    <x v="4"/>
    <x v="0"/>
    <n v="6571"/>
    <n v="3"/>
    <x v="1"/>
  </r>
  <r>
    <s v="C242"/>
    <x v="241"/>
    <d v="2024-10-18T23:27:47"/>
    <x v="1"/>
    <n v="0"/>
    <n v="5566"/>
    <x v="2"/>
    <n v="6099"/>
    <n v="1987"/>
    <n v="51"/>
    <n v="2558"/>
    <n v="0.32579111329726185"/>
    <x v="241"/>
    <n v="8.1071967790639157"/>
    <n v="315.86274509803923"/>
    <n v="2.8941789435860583"/>
    <n v="0.15879322118070643"/>
    <s v="CL242"/>
    <x v="4"/>
    <x v="0"/>
    <n v="16109"/>
    <n v="2"/>
    <x v="1"/>
  </r>
  <r>
    <s v="C243"/>
    <x v="242"/>
    <d v="2024-08-30T09:50:23"/>
    <x v="0"/>
    <n v="596.07799768518453"/>
    <n v="5058"/>
    <x v="3"/>
    <n v="19620"/>
    <n v="1275"/>
    <n v="360"/>
    <n v="6628"/>
    <n v="6.4984709480122319E-2"/>
    <x v="242"/>
    <n v="7.7654901960784315"/>
    <n v="27.502777777777776"/>
    <n v="1.957493080268881"/>
    <n v="0.66942733057266945"/>
    <s v="CL243"/>
    <x v="3"/>
    <x v="0"/>
    <n v="9901"/>
    <n v="2"/>
    <x v="1"/>
  </r>
  <r>
    <s v="C244"/>
    <x v="243"/>
    <d v="2024-10-18T12:01:13"/>
    <x v="0"/>
    <n v="306.26807870370249"/>
    <n v="5680"/>
    <x v="1"/>
    <n v="18961"/>
    <n v="415"/>
    <n v="21"/>
    <n v="11086"/>
    <n v="2.1887031274721799E-2"/>
    <x v="243"/>
    <n v="2.8963855421686748"/>
    <n v="57.238095238095241"/>
    <n v="0.21161971830985915"/>
    <n v="9.222961730449251"/>
    <s v="CL244"/>
    <x v="0"/>
    <x v="0"/>
    <n v="1202"/>
    <n v="4"/>
    <x v="0"/>
  </r>
  <r>
    <s v="C245"/>
    <x v="244"/>
    <d v="2024-03-30T19:41:06"/>
    <x v="0"/>
    <n v="8.434814814812853"/>
    <n v="8099"/>
    <x v="2"/>
    <n v="15867"/>
    <n v="1248"/>
    <n v="40"/>
    <n v="2154"/>
    <n v="7.8653809793911886E-2"/>
    <x v="244"/>
    <n v="6.9415064102564106"/>
    <n v="216.57499999999999"/>
    <n v="1.0696382269415978"/>
    <n v="0.24864365693177884"/>
    <s v="CL245"/>
    <x v="4"/>
    <x v="2"/>
    <n v="8663"/>
    <n v="4"/>
    <x v="0"/>
  </r>
  <r>
    <s v="C246"/>
    <x v="245"/>
    <d v="2024-07-15T10:13:45"/>
    <x v="0"/>
    <n v="305.62376157407562"/>
    <n v="3931"/>
    <x v="0"/>
    <n v="11530"/>
    <n v="515"/>
    <n v="193"/>
    <n v="11678"/>
    <n v="4.4666088464874243E-2"/>
    <x v="245"/>
    <n v="10.749514563106796"/>
    <n v="28.683937823834196"/>
    <n v="1.4082930552022386"/>
    <n v="2.1094653179190752"/>
    <s v="CL246"/>
    <x v="0"/>
    <x v="0"/>
    <n v="5536"/>
    <n v="5"/>
    <x v="0"/>
  </r>
  <r>
    <s v="C247"/>
    <x v="246"/>
    <d v="2023-12-04T16:32:00"/>
    <x v="1"/>
    <n v="0"/>
    <n v="5615"/>
    <x v="2"/>
    <n v="15162"/>
    <n v="139"/>
    <n v="329"/>
    <n v="1107"/>
    <n v="9.1676559820604141E-3"/>
    <x v="246"/>
    <n v="21.25179856115108"/>
    <n v="8.9787234042553195"/>
    <n v="0.52609082813891361"/>
    <n v="0.37474610697359512"/>
    <s v="CL247"/>
    <x v="4"/>
    <x v="1"/>
    <n v="2954"/>
    <n v="4"/>
    <x v="0"/>
  </r>
  <r>
    <s v="C248"/>
    <x v="247"/>
    <d v="2023-11-20T22:53:08"/>
    <x v="1"/>
    <n v="0"/>
    <n v="4270"/>
    <x v="3"/>
    <n v="3507"/>
    <n v="252"/>
    <n v="323"/>
    <n v="2895"/>
    <n v="7.1856287425149698E-2"/>
    <x v="247"/>
    <n v="15.162698412698413"/>
    <n v="11.829721362229103"/>
    <n v="0.89484777517564407"/>
    <n v="0.75765506411934047"/>
    <s v="CL248"/>
    <x v="1"/>
    <x v="2"/>
    <n v="3821"/>
    <n v="1"/>
    <x v="2"/>
  </r>
  <r>
    <s v="C249"/>
    <x v="248"/>
    <d v="2024-12-04T00:34:19"/>
    <x v="1"/>
    <n v="0"/>
    <n v="4891"/>
    <x v="1"/>
    <n v="5138"/>
    <n v="1746"/>
    <n v="289"/>
    <n v="11951"/>
    <n v="0.3398209420007785"/>
    <x v="248"/>
    <n v="11.357388316151203"/>
    <n v="68.615916955017298"/>
    <n v="4.0543856062154982"/>
    <n v="0.60267271810388301"/>
    <s v="CL249"/>
    <x v="3"/>
    <x v="1"/>
    <n v="19830"/>
    <n v="4"/>
    <x v="0"/>
  </r>
  <r>
    <s v="C250"/>
    <x v="249"/>
    <d v="2024-10-13T02:40:54"/>
    <x v="1"/>
    <n v="0"/>
    <n v="8338"/>
    <x v="2"/>
    <n v="16444"/>
    <n v="588"/>
    <n v="20"/>
    <n v="3686"/>
    <n v="3.5757723181707612E-2"/>
    <x v="249"/>
    <n v="10.510204081632653"/>
    <n v="309"/>
    <n v="0.74118493643559602"/>
    <n v="0.59644012944983815"/>
    <s v="CL250"/>
    <x v="1"/>
    <x v="2"/>
    <n v="6180"/>
    <n v="2"/>
    <x v="1"/>
  </r>
  <r>
    <s v="C251"/>
    <x v="250"/>
    <d v="2024-10-22T18:49:32"/>
    <x v="1"/>
    <n v="0"/>
    <n v="1093"/>
    <x v="2"/>
    <n v="14933"/>
    <n v="1122"/>
    <n v="361"/>
    <n v="8510"/>
    <n v="7.5135605705484498E-2"/>
    <x v="250"/>
    <n v="10.541889483065953"/>
    <n v="32.764542936288088"/>
    <n v="10.821591948764867"/>
    <n v="0.71947920189381132"/>
    <s v="CL251"/>
    <x v="4"/>
    <x v="2"/>
    <n v="11828"/>
    <n v="3"/>
    <x v="1"/>
  </r>
  <r>
    <s v="C252"/>
    <x v="251"/>
    <d v="2024-09-28T09:40:05"/>
    <x v="0"/>
    <n v="475.61500000000524"/>
    <n v="1081"/>
    <x v="1"/>
    <n v="18186"/>
    <n v="1355"/>
    <n v="366"/>
    <n v="12445"/>
    <n v="7.4507863191465962E-2"/>
    <x v="251"/>
    <n v="11.057564575645756"/>
    <n v="40.937158469945352"/>
    <n v="13.860314523589269"/>
    <n v="0.83060802242541543"/>
    <s v="CL252"/>
    <x v="0"/>
    <x v="0"/>
    <n v="14983"/>
    <n v="1"/>
    <x v="2"/>
  </r>
  <r>
    <s v="C253"/>
    <x v="252"/>
    <d v="2023-12-25T13:06:50"/>
    <x v="0"/>
    <n v="47.089097222225973"/>
    <n v="6825"/>
    <x v="1"/>
    <n v="7785"/>
    <n v="1309"/>
    <n v="270"/>
    <n v="2333"/>
    <n v="0.16814386640976237"/>
    <x v="252"/>
    <n v="5.909854851031322"/>
    <n v="28.651851851851852"/>
    <n v="1.1334798534798536"/>
    <n v="0.30157704239917271"/>
    <s v="CL253"/>
    <x v="1"/>
    <x v="0"/>
    <n v="7736"/>
    <n v="1"/>
    <x v="2"/>
  </r>
  <r>
    <s v="C254"/>
    <x v="253"/>
    <d v="2024-08-26T12:05:13"/>
    <x v="1"/>
    <n v="0"/>
    <n v="8354"/>
    <x v="3"/>
    <n v="5940"/>
    <n v="1225"/>
    <n v="442"/>
    <n v="8918"/>
    <n v="0.20622895622895623"/>
    <x v="253"/>
    <n v="2.9681632653061225"/>
    <n v="8.2262443438914019"/>
    <n v="0.43524060330380654"/>
    <n v="2.4526952695269526"/>
    <s v="CL254"/>
    <x v="3"/>
    <x v="0"/>
    <n v="3636"/>
    <n v="1"/>
    <x v="2"/>
  </r>
  <r>
    <s v="C255"/>
    <x v="254"/>
    <d v="2023-09-22T16:04:49"/>
    <x v="1"/>
    <n v="0"/>
    <n v="1257"/>
    <x v="1"/>
    <n v="6562"/>
    <n v="940"/>
    <n v="119"/>
    <n v="8529"/>
    <n v="0.14324900944833893"/>
    <x v="254"/>
    <n v="10.514893617021277"/>
    <n v="83.058823529411768"/>
    <n v="7.8631662688941928"/>
    <n v="0.86290975313638207"/>
    <s v="CL255"/>
    <x v="3"/>
    <x v="0"/>
    <n v="9884"/>
    <n v="2"/>
    <x v="1"/>
  </r>
  <r>
    <s v="C256"/>
    <x v="255"/>
    <d v="2024-04-19T10:30:20"/>
    <x v="1"/>
    <n v="0"/>
    <n v="6173"/>
    <x v="0"/>
    <n v="2170"/>
    <n v="384"/>
    <n v="342"/>
    <n v="4580"/>
    <n v="0.17695852534562212"/>
    <x v="255"/>
    <n v="10.372395833333334"/>
    <n v="11.646198830409357"/>
    <n v="0.64522922404017491"/>
    <n v="1.1498870198342959"/>
    <s v="CL256"/>
    <x v="0"/>
    <x v="0"/>
    <n v="3983"/>
    <n v="2"/>
    <x v="1"/>
  </r>
  <r>
    <s v="C257"/>
    <x v="256"/>
    <d v="2024-04-08T11:45:37"/>
    <x v="1"/>
    <n v="0"/>
    <n v="6972"/>
    <x v="0"/>
    <n v="8386"/>
    <n v="328"/>
    <n v="228"/>
    <n v="3123"/>
    <n v="3.9112807059384691E-2"/>
    <x v="256"/>
    <n v="6.9024390243902438"/>
    <n v="9.9298245614035086"/>
    <n v="0.32472748135398738"/>
    <n v="1.3794169611307421"/>
    <s v="CL257"/>
    <x v="4"/>
    <x v="0"/>
    <n v="2264"/>
    <n v="4"/>
    <x v="0"/>
  </r>
  <r>
    <s v="C258"/>
    <x v="257"/>
    <d v="2024-08-28T14:08:02"/>
    <x v="0"/>
    <n v="100.42489583333372"/>
    <n v="1496"/>
    <x v="3"/>
    <n v="17252"/>
    <n v="1058"/>
    <n v="138"/>
    <n v="10848"/>
    <n v="6.132622304660329E-2"/>
    <x v="257"/>
    <n v="1.6115311909262759"/>
    <n v="12.355072463768115"/>
    <n v="1.1397058823529411"/>
    <n v="6.3624633431085043"/>
    <s v="CL258"/>
    <x v="2"/>
    <x v="1"/>
    <n v="1705"/>
    <n v="2"/>
    <x v="1"/>
  </r>
  <r>
    <s v="C259"/>
    <x v="258"/>
    <d v="2024-06-20T05:05:06"/>
    <x v="1"/>
    <n v="0"/>
    <n v="7221"/>
    <x v="1"/>
    <n v="9324"/>
    <n v="1349"/>
    <n v="395"/>
    <n v="1878"/>
    <n v="0.14468039468039467"/>
    <x v="258"/>
    <n v="9.6189770200148264"/>
    <n v="32.850632911392402"/>
    <n v="1.7969810275585099"/>
    <n v="0.14472872996300862"/>
    <s v="CL259"/>
    <x v="0"/>
    <x v="1"/>
    <n v="12976"/>
    <n v="5"/>
    <x v="0"/>
  </r>
  <r>
    <s v="C260"/>
    <x v="259"/>
    <d v="2024-11-05T01:01:11"/>
    <x v="1"/>
    <n v="0"/>
    <n v="1722"/>
    <x v="0"/>
    <n v="2105"/>
    <n v="1879"/>
    <n v="229"/>
    <n v="4271"/>
    <n v="0.89263657957244658"/>
    <x v="259"/>
    <n v="9.0782331027142096"/>
    <n v="74.489082969432317"/>
    <n v="9.9059233449477357"/>
    <n v="0.25038105287841483"/>
    <s v="CL260"/>
    <x v="4"/>
    <x v="1"/>
    <n v="17058"/>
    <n v="5"/>
    <x v="0"/>
  </r>
  <r>
    <s v="C261"/>
    <x v="260"/>
    <d v="2023-06-25T22:04:15"/>
    <x v="0"/>
    <n v="107.25462962963502"/>
    <n v="8499"/>
    <x v="2"/>
    <n v="18576"/>
    <n v="191"/>
    <n v="42"/>
    <n v="5256"/>
    <n v="1.0282084409991387E-2"/>
    <x v="260"/>
    <n v="66.821989528795811"/>
    <n v="303.88095238095241"/>
    <n v="1.5017060830685962"/>
    <n v="0.41181540390190396"/>
    <s v="CL261"/>
    <x v="0"/>
    <x v="1"/>
    <n v="12763"/>
    <n v="2"/>
    <x v="1"/>
  </r>
  <r>
    <s v="C262"/>
    <x v="261"/>
    <d v="2024-08-12T19:37:52"/>
    <x v="0"/>
    <n v="93.16907407407416"/>
    <n v="9122"/>
    <x v="1"/>
    <n v="9062"/>
    <n v="1307"/>
    <n v="215"/>
    <n v="7368"/>
    <n v="0.14422864709777092"/>
    <x v="261"/>
    <n v="1.9418515684774291"/>
    <n v="11.804651162790698"/>
    <n v="0.27822845867134399"/>
    <n v="2.9030732860520096"/>
    <s v="CL262"/>
    <x v="0"/>
    <x v="2"/>
    <n v="2538"/>
    <n v="4"/>
    <x v="0"/>
  </r>
  <r>
    <s v="C263"/>
    <x v="262"/>
    <d v="2024-11-18T10:05:32"/>
    <x v="0"/>
    <n v="182.53892361111502"/>
    <n v="7554"/>
    <x v="2"/>
    <n v="16919"/>
    <n v="187"/>
    <n v="334"/>
    <n v="2484"/>
    <n v="1.1052662686920031E-2"/>
    <x v="262"/>
    <n v="87.759358288770059"/>
    <n v="49.134730538922156"/>
    <n v="2.1724913952872651"/>
    <n v="0.15136189141429529"/>
    <s v="CL263"/>
    <x v="4"/>
    <x v="1"/>
    <n v="16411"/>
    <n v="2"/>
    <x v="1"/>
  </r>
  <r>
    <s v="C264"/>
    <x v="263"/>
    <d v="2023-07-02T12:17:16"/>
    <x v="0"/>
    <n v="107.97292824074248"/>
    <n v="6945"/>
    <x v="1"/>
    <n v="14996"/>
    <n v="1039"/>
    <n v="307"/>
    <n v="1896"/>
    <n v="6.9285142704721261E-2"/>
    <x v="263"/>
    <n v="3.8392685274302214"/>
    <n v="12.993485342019545"/>
    <n v="0.57437005039596833"/>
    <n v="0.47530709450990222"/>
    <s v="CL264"/>
    <x v="4"/>
    <x v="1"/>
    <n v="3989"/>
    <n v="3"/>
    <x v="1"/>
  </r>
  <r>
    <s v="C265"/>
    <x v="264"/>
    <d v="2024-03-14T23:29:16"/>
    <x v="0"/>
    <n v="231.59025462963473"/>
    <n v="7891"/>
    <x v="1"/>
    <n v="16177"/>
    <n v="262"/>
    <n v="91"/>
    <n v="3380"/>
    <n v="1.6195833590900661E-2"/>
    <x v="264"/>
    <n v="56.702290076335878"/>
    <n v="163.25274725274724"/>
    <n v="1.8826511215308579"/>
    <n v="0.22751750134625739"/>
    <s v="CL265"/>
    <x v="1"/>
    <x v="1"/>
    <n v="14856"/>
    <n v="1"/>
    <x v="2"/>
  </r>
  <r>
    <s v="C266"/>
    <x v="265"/>
    <d v="2024-12-13T11:21:15"/>
    <x v="0"/>
    <n v="585.99821759259794"/>
    <n v="2719"/>
    <x v="1"/>
    <n v="18233"/>
    <n v="297"/>
    <n v="169"/>
    <n v="2119"/>
    <n v="1.6289146053858387E-2"/>
    <x v="265"/>
    <n v="47.006734006734007"/>
    <n v="82.609467455621299"/>
    <n v="5.1346083118793677"/>
    <n v="0.15177995845569803"/>
    <s v="CL266"/>
    <x v="2"/>
    <x v="2"/>
    <n v="13961"/>
    <n v="4"/>
    <x v="0"/>
  </r>
  <r>
    <s v="C267"/>
    <x v="266"/>
    <d v="2024-06-19T18:04:01"/>
    <x v="1"/>
    <n v="0"/>
    <n v="7917"/>
    <x v="0"/>
    <n v="13764"/>
    <n v="227"/>
    <n v="226"/>
    <n v="2953"/>
    <n v="1.6492298750363267E-2"/>
    <x v="266"/>
    <n v="21.828193832599119"/>
    <n v="21.924778761061948"/>
    <n v="0.62586838448907411"/>
    <n v="0.59596367305751763"/>
    <s v="CL267"/>
    <x v="1"/>
    <x v="0"/>
    <n v="4955"/>
    <n v="1"/>
    <x v="2"/>
  </r>
  <r>
    <s v="C268"/>
    <x v="267"/>
    <d v="2024-07-25T07:40:52"/>
    <x v="0"/>
    <n v="273.81064814815181"/>
    <n v="9775"/>
    <x v="3"/>
    <n v="5284"/>
    <n v="699"/>
    <n v="398"/>
    <n v="4793"/>
    <n v="0.13228614685844056"/>
    <x v="267"/>
    <n v="26.137339055793991"/>
    <n v="45.904522613065325"/>
    <n v="1.8690537084398977"/>
    <n v="0.26234263820470716"/>
    <s v="CL268"/>
    <x v="4"/>
    <x v="2"/>
    <n v="18270"/>
    <n v="5"/>
    <x v="0"/>
  </r>
  <r>
    <s v="C269"/>
    <x v="268"/>
    <d v="2024-08-30T13:02:34"/>
    <x v="1"/>
    <n v="0"/>
    <n v="3095"/>
    <x v="3"/>
    <n v="2387"/>
    <n v="1217"/>
    <n v="370"/>
    <n v="7205"/>
    <n v="0.50984499371596148"/>
    <x v="268"/>
    <n v="7.5571076417419887"/>
    <n v="24.856756756756756"/>
    <n v="2.97156704361874"/>
    <n v="0.78340763292377946"/>
    <s v="CL269"/>
    <x v="3"/>
    <x v="1"/>
    <n v="9197"/>
    <n v="3"/>
    <x v="1"/>
  </r>
  <r>
    <s v="C270"/>
    <x v="269"/>
    <d v="2024-02-21T17:43:25"/>
    <x v="1"/>
    <n v="0"/>
    <n v="6942"/>
    <x v="1"/>
    <n v="10965"/>
    <n v="1573"/>
    <n v="191"/>
    <n v="5376"/>
    <n v="0.14345645234838122"/>
    <x v="269"/>
    <n v="7.2892561983471076"/>
    <n v="60.031413612565444"/>
    <n v="1.651685393258427"/>
    <n v="0.46886446886446886"/>
    <s v="CL270"/>
    <x v="3"/>
    <x v="1"/>
    <n v="11466"/>
    <n v="1"/>
    <x v="2"/>
  </r>
  <r>
    <s v="C271"/>
    <x v="270"/>
    <d v="2024-06-24T10:54:11"/>
    <x v="0"/>
    <n v="476.88704861110455"/>
    <n v="4155"/>
    <x v="3"/>
    <n v="14787"/>
    <n v="742"/>
    <n v="55"/>
    <n v="3205"/>
    <n v="5.0179211469534052E-2"/>
    <x v="270"/>
    <n v="21.805929919137466"/>
    <n v="294.18181818181819"/>
    <n v="3.8941034897713598"/>
    <n v="0.19808405438813351"/>
    <s v="CL271"/>
    <x v="0"/>
    <x v="2"/>
    <n v="16180"/>
    <n v="1"/>
    <x v="2"/>
  </r>
  <r>
    <s v="C272"/>
    <x v="271"/>
    <d v="2024-03-11T10:44:13"/>
    <x v="1"/>
    <n v="0"/>
    <n v="4255"/>
    <x v="1"/>
    <n v="10428"/>
    <n v="543"/>
    <n v="72"/>
    <n v="12231"/>
    <n v="5.2071346375143844E-2"/>
    <x v="271"/>
    <n v="23.447513812154696"/>
    <n v="176.83333333333334"/>
    <n v="2.9922444183313748"/>
    <n v="0.96065032987747412"/>
    <s v="CL272"/>
    <x v="1"/>
    <x v="0"/>
    <n v="12732"/>
    <n v="5"/>
    <x v="0"/>
  </r>
  <r>
    <s v="C273"/>
    <x v="272"/>
    <d v="2024-01-10T04:37:19"/>
    <x v="1"/>
    <n v="0"/>
    <n v="1414"/>
    <x v="2"/>
    <n v="11744"/>
    <n v="937"/>
    <n v="496"/>
    <n v="9891"/>
    <n v="7.9785422343324253E-2"/>
    <x v="272"/>
    <n v="3.3372465314834576"/>
    <n v="6.304435483870968"/>
    <n v="2.2114568599717113"/>
    <n v="3.1630956188039656"/>
    <s v="CL273"/>
    <x v="4"/>
    <x v="1"/>
    <n v="3127"/>
    <n v="4"/>
    <x v="0"/>
  </r>
  <r>
    <s v="C274"/>
    <x v="273"/>
    <d v="2024-08-30T06:29:10"/>
    <x v="1"/>
    <n v="0"/>
    <n v="8547"/>
    <x v="0"/>
    <n v="3911"/>
    <n v="151"/>
    <n v="359"/>
    <n v="1112"/>
    <n v="3.8609051393505497E-2"/>
    <x v="273"/>
    <n v="78.258278145695371"/>
    <n v="32.916434540389972"/>
    <n v="1.3825903825903827"/>
    <n v="9.4101717864094103E-2"/>
    <s v="CL274"/>
    <x v="2"/>
    <x v="0"/>
    <n v="11817"/>
    <n v="3"/>
    <x v="1"/>
  </r>
  <r>
    <s v="C275"/>
    <x v="274"/>
    <d v="2024-12-11T05:31:09"/>
    <x v="1"/>
    <n v="0"/>
    <n v="1097"/>
    <x v="2"/>
    <n v="7377"/>
    <n v="1932"/>
    <n v="464"/>
    <n v="4485"/>
    <n v="0.26189507930052869"/>
    <x v="274"/>
    <n v="8.4052795031055894"/>
    <n v="34.997844827586206"/>
    <n v="14.803099361896081"/>
    <n v="0.27618695732495846"/>
    <s v="CL275"/>
    <x v="0"/>
    <x v="1"/>
    <n v="16239"/>
    <n v="3"/>
    <x v="1"/>
  </r>
  <r>
    <s v="C276"/>
    <x v="275"/>
    <d v="2024-11-25T16:34:15"/>
    <x v="0"/>
    <n v="71.118865740740148"/>
    <n v="7702"/>
    <x v="2"/>
    <n v="4141"/>
    <n v="1328"/>
    <n v="367"/>
    <n v="8997"/>
    <n v="0.32069548418256461"/>
    <x v="275"/>
    <n v="1.0956325301204819"/>
    <n v="3.9645776566757491"/>
    <n v="0.18891197091664502"/>
    <n v="6.1835051546391755"/>
    <s v="CL276"/>
    <x v="0"/>
    <x v="1"/>
    <n v="1455"/>
    <n v="1"/>
    <x v="2"/>
  </r>
  <r>
    <s v="C277"/>
    <x v="276"/>
    <d v="2024-05-19T17:51:44"/>
    <x v="1"/>
    <n v="0"/>
    <n v="1632"/>
    <x v="3"/>
    <n v="11408"/>
    <n v="457"/>
    <n v="11"/>
    <n v="2280"/>
    <n v="4.005960729312763E-2"/>
    <x v="276"/>
    <n v="36.433260393873084"/>
    <n v="1513.6363636363637"/>
    <n v="10.202205882352942"/>
    <n v="0.13693693693693693"/>
    <s v="CL277"/>
    <x v="3"/>
    <x v="2"/>
    <n v="16650"/>
    <n v="4"/>
    <x v="0"/>
  </r>
  <r>
    <s v="C278"/>
    <x v="277"/>
    <d v="2024-03-24T18:01:57"/>
    <x v="1"/>
    <n v="0"/>
    <n v="7200"/>
    <x v="1"/>
    <n v="5783"/>
    <n v="1265"/>
    <n v="384"/>
    <n v="7081"/>
    <n v="0.21874459623033027"/>
    <x v="277"/>
    <n v="4.0766798418972332"/>
    <n v="13.4296875"/>
    <n v="0.71625000000000005"/>
    <n v="1.3730851270118285"/>
    <s v="CL278"/>
    <x v="1"/>
    <x v="0"/>
    <n v="5157"/>
    <n v="3"/>
    <x v="1"/>
  </r>
  <r>
    <s v="C279"/>
    <x v="278"/>
    <d v="2024-07-19T05:57:20"/>
    <x v="1"/>
    <n v="0"/>
    <n v="3550"/>
    <x v="3"/>
    <n v="13305"/>
    <n v="357"/>
    <n v="500"/>
    <n v="5492"/>
    <n v="2.6832018038331455E-2"/>
    <x v="278"/>
    <n v="47.53221288515406"/>
    <n v="33.938000000000002"/>
    <n v="4.78"/>
    <n v="0.32364900701278804"/>
    <s v="CL279"/>
    <x v="3"/>
    <x v="1"/>
    <n v="16969"/>
    <n v="5"/>
    <x v="0"/>
  </r>
  <r>
    <s v="C280"/>
    <x v="279"/>
    <d v="2024-08-02T11:00:37"/>
    <x v="0"/>
    <n v="44.429664351853717"/>
    <n v="2276"/>
    <x v="1"/>
    <n v="13060"/>
    <n v="1875"/>
    <n v="38"/>
    <n v="5733"/>
    <n v="0.14356814701378254"/>
    <x v="279"/>
    <n v="10.490133333333333"/>
    <n v="517.60526315789468"/>
    <n v="8.6419156414762739"/>
    <n v="0.29147389292795772"/>
    <s v="CL280"/>
    <x v="3"/>
    <x v="0"/>
    <n v="19669"/>
    <n v="5"/>
    <x v="0"/>
  </r>
  <r>
    <s v="C281"/>
    <x v="280"/>
    <d v="2023-09-15T15:40:17"/>
    <x v="1"/>
    <n v="0"/>
    <n v="4650"/>
    <x v="0"/>
    <n v="7526"/>
    <n v="1390"/>
    <n v="383"/>
    <n v="7772"/>
    <n v="0.18469306404464522"/>
    <x v="280"/>
    <n v="11.564748201438849"/>
    <n v="41.971279373368148"/>
    <n v="3.456989247311828"/>
    <n v="0.48348367029548989"/>
    <s v="CL281"/>
    <x v="1"/>
    <x v="2"/>
    <n v="16075"/>
    <n v="1"/>
    <x v="2"/>
  </r>
  <r>
    <s v="C282"/>
    <x v="281"/>
    <d v="2024-05-15T19:29:09"/>
    <x v="0"/>
    <n v="498.82248842592526"/>
    <n v="3111"/>
    <x v="1"/>
    <n v="15446"/>
    <n v="1388"/>
    <n v="157"/>
    <n v="7498"/>
    <n v="8.986145280331477E-2"/>
    <x v="281"/>
    <n v="2.6354466858789625"/>
    <n v="23.29936305732484"/>
    <n v="1.1758277081324333"/>
    <n v="2.0497539639147075"/>
    <s v="CL282"/>
    <x v="4"/>
    <x v="2"/>
    <n v="3658"/>
    <n v="1"/>
    <x v="2"/>
  </r>
  <r>
    <s v="C283"/>
    <x v="282"/>
    <d v="2023-12-08T05:44:36"/>
    <x v="1"/>
    <n v="0"/>
    <n v="3853"/>
    <x v="3"/>
    <n v="17708"/>
    <n v="779"/>
    <n v="129"/>
    <n v="5500"/>
    <n v="4.3991416309012876E-2"/>
    <x v="282"/>
    <n v="3.7509627727856225"/>
    <n v="22.651162790697676"/>
    <n v="0.75837010121982873"/>
    <n v="1.8822724161533197"/>
    <s v="CL283"/>
    <x v="4"/>
    <x v="2"/>
    <n v="2922"/>
    <n v="5"/>
    <x v="0"/>
  </r>
  <r>
    <s v="C284"/>
    <x v="283"/>
    <d v="2023-06-25T19:38:10"/>
    <x v="1"/>
    <n v="0"/>
    <n v="1709"/>
    <x v="3"/>
    <n v="15308"/>
    <n v="1428"/>
    <n v="343"/>
    <n v="6270"/>
    <n v="9.3284557094329756E-2"/>
    <x v="283"/>
    <n v="8.75"/>
    <n v="36.428571428571431"/>
    <n v="7.3112931538911647"/>
    <n v="0.50180072028811529"/>
    <s v="CL284"/>
    <x v="4"/>
    <x v="1"/>
    <n v="12495"/>
    <n v="4"/>
    <x v="0"/>
  </r>
  <r>
    <s v="C285"/>
    <x v="284"/>
    <d v="2023-11-03T04:01:53"/>
    <x v="0"/>
    <n v="50.465173611111823"/>
    <n v="4767"/>
    <x v="2"/>
    <n v="18197"/>
    <n v="123"/>
    <n v="137"/>
    <n v="14707"/>
    <n v="6.7593559377919438E-3"/>
    <x v="284"/>
    <n v="10.16260162601626"/>
    <n v="9.1240875912408761"/>
    <n v="0.26221942521501995"/>
    <n v="11.765599999999999"/>
    <s v="CL285"/>
    <x v="1"/>
    <x v="2"/>
    <n v="1250"/>
    <n v="1"/>
    <x v="2"/>
  </r>
  <r>
    <s v="C286"/>
    <x v="285"/>
    <d v="2024-11-06T07:32:46"/>
    <x v="0"/>
    <n v="100.47436342592118"/>
    <n v="3903"/>
    <x v="3"/>
    <n v="17497"/>
    <n v="1626"/>
    <n v="461"/>
    <n v="13919"/>
    <n v="9.2930216608561461E-2"/>
    <x v="285"/>
    <n v="2.4114391143911438"/>
    <n v="8.5054229934924077"/>
    <n v="1.0046118370484243"/>
    <n v="3.5498597296608008"/>
    <s v="CL286"/>
    <x v="0"/>
    <x v="1"/>
    <n v="3921"/>
    <n v="2"/>
    <x v="1"/>
  </r>
  <r>
    <s v="C287"/>
    <x v="286"/>
    <d v="2023-07-08T22:05:09"/>
    <x v="0"/>
    <n v="103.23046296295797"/>
    <n v="2890"/>
    <x v="3"/>
    <n v="11456"/>
    <n v="1106"/>
    <n v="479"/>
    <n v="14218"/>
    <n v="9.6543296089385472E-2"/>
    <x v="286"/>
    <n v="17.922242314647377"/>
    <n v="41.382045929018787"/>
    <n v="6.8588235294117643"/>
    <n v="0.71728382605186158"/>
    <s v="CL287"/>
    <x v="3"/>
    <x v="2"/>
    <n v="19822"/>
    <n v="4"/>
    <x v="0"/>
  </r>
  <r>
    <s v="C288"/>
    <x v="287"/>
    <d v="2024-05-22T20:03:00"/>
    <x v="0"/>
    <n v="399.64513888888905"/>
    <n v="1876"/>
    <x v="2"/>
    <n v="2003"/>
    <n v="507"/>
    <n v="269"/>
    <n v="7149"/>
    <n v="0.25312031952071889"/>
    <x v="287"/>
    <n v="31.301775147928993"/>
    <n v="58.996282527881043"/>
    <n v="8.4594882729211083"/>
    <n v="0.45047258979206051"/>
    <s v="CL288"/>
    <x v="4"/>
    <x v="1"/>
    <n v="15870"/>
    <n v="3"/>
    <x v="1"/>
  </r>
  <r>
    <s v="C289"/>
    <x v="288"/>
    <d v="2024-05-02T00:27:47"/>
    <x v="0"/>
    <n v="274.12228009258979"/>
    <n v="5406"/>
    <x v="0"/>
    <n v="19175"/>
    <n v="595"/>
    <n v="234"/>
    <n v="5525"/>
    <n v="3.1029986962190351E-2"/>
    <x v="288"/>
    <n v="9.6655462184873944"/>
    <n v="24.576923076923077"/>
    <n v="1.0638179800221976"/>
    <n v="0.96070248652408274"/>
    <s v="CL289"/>
    <x v="4"/>
    <x v="0"/>
    <n v="5751"/>
    <n v="2"/>
    <x v="1"/>
  </r>
  <r>
    <s v="C290"/>
    <x v="289"/>
    <d v="2023-09-02T13:14:28"/>
    <x v="0"/>
    <n v="146.3017361111124"/>
    <n v="6242"/>
    <x v="3"/>
    <n v="11376"/>
    <n v="730"/>
    <n v="62"/>
    <n v="3648"/>
    <n v="6.4170182841068915E-2"/>
    <x v="289"/>
    <n v="19.104109589041094"/>
    <n v="224.93548387096774"/>
    <n v="2.2342198013457226"/>
    <n v="0.26158038147138962"/>
    <s v="CL290"/>
    <x v="0"/>
    <x v="2"/>
    <n v="13946"/>
    <n v="1"/>
    <x v="2"/>
  </r>
  <r>
    <s v="C291"/>
    <x v="290"/>
    <d v="2023-09-30T20:42:22"/>
    <x v="1"/>
    <n v="0"/>
    <n v="4251"/>
    <x v="1"/>
    <n v="6344"/>
    <n v="1690"/>
    <n v="489"/>
    <n v="12136"/>
    <n v="0.26639344262295084"/>
    <x v="290"/>
    <n v="0.6585798816568047"/>
    <n v="2.276073619631902"/>
    <n v="0.26182074805928018"/>
    <n v="10.90386343216532"/>
    <s v="CL291"/>
    <x v="4"/>
    <x v="2"/>
    <n v="1113"/>
    <n v="4"/>
    <x v="0"/>
  </r>
  <r>
    <s v="C292"/>
    <x v="291"/>
    <d v="2023-07-07T15:15:20"/>
    <x v="0"/>
    <n v="118.56035879629781"/>
    <n v="5599"/>
    <x v="2"/>
    <n v="12966"/>
    <n v="723"/>
    <n v="133"/>
    <n v="6243"/>
    <n v="5.5761221656640443E-2"/>
    <x v="291"/>
    <n v="19.744121715076073"/>
    <n v="107.33082706766918"/>
    <n v="2.5495624218610464"/>
    <n v="0.43733800350262697"/>
    <s v="CL292"/>
    <x v="3"/>
    <x v="0"/>
    <n v="14275"/>
    <n v="5"/>
    <x v="0"/>
  </r>
  <r>
    <s v="C293"/>
    <x v="292"/>
    <d v="2024-09-06T13:10:20"/>
    <x v="1"/>
    <n v="0"/>
    <n v="5494"/>
    <x v="2"/>
    <n v="15303"/>
    <n v="803"/>
    <n v="395"/>
    <n v="4100"/>
    <n v="5.2473371234398485E-2"/>
    <x v="292"/>
    <n v="2.8941469489414695"/>
    <n v="5.8835443037974686"/>
    <n v="0.42300691663633055"/>
    <n v="1.7641996557659207"/>
    <s v="CL293"/>
    <x v="3"/>
    <x v="1"/>
    <n v="2324"/>
    <n v="1"/>
    <x v="2"/>
  </r>
  <r>
    <s v="C294"/>
    <x v="293"/>
    <d v="2023-10-28T15:38:32"/>
    <x v="1"/>
    <n v="0"/>
    <n v="8818"/>
    <x v="2"/>
    <n v="12480"/>
    <n v="1591"/>
    <n v="91"/>
    <n v="12375"/>
    <n v="0.12748397435897435"/>
    <x v="293"/>
    <n v="1.9472030169704588"/>
    <n v="34.043956043956044"/>
    <n v="0.35132683148106147"/>
    <n v="3.9945125887669466"/>
    <s v="CL294"/>
    <x v="3"/>
    <x v="0"/>
    <n v="3098"/>
    <n v="5"/>
    <x v="0"/>
  </r>
  <r>
    <s v="C295"/>
    <x v="294"/>
    <d v="2024-06-29T03:51:05"/>
    <x v="0"/>
    <n v="327.74752314814396"/>
    <n v="1816"/>
    <x v="1"/>
    <n v="8847"/>
    <n v="713"/>
    <n v="280"/>
    <n v="4912"/>
    <n v="8.059229117214875E-2"/>
    <x v="294"/>
    <n v="13.945301542776999"/>
    <n v="35.510714285714286"/>
    <n v="5.4752202643171808"/>
    <n v="0.49401589057628481"/>
    <s v="CL295"/>
    <x v="2"/>
    <x v="2"/>
    <n v="9943"/>
    <n v="2"/>
    <x v="1"/>
  </r>
  <r>
    <s v="C296"/>
    <x v="295"/>
    <d v="2024-11-01T05:00:01"/>
    <x v="0"/>
    <n v="453.21047453703795"/>
    <n v="7328"/>
    <x v="3"/>
    <n v="7477"/>
    <n v="904"/>
    <n v="377"/>
    <n v="11897"/>
    <n v="0.12090410592483616"/>
    <x v="295"/>
    <n v="3.5995575221238938"/>
    <n v="8.6312997347480103"/>
    <n v="0.44405021834061137"/>
    <n v="3.6561155500921942"/>
    <s v="CL296"/>
    <x v="2"/>
    <x v="2"/>
    <n v="3254"/>
    <n v="4"/>
    <x v="0"/>
  </r>
  <r>
    <s v="C297"/>
    <x v="296"/>
    <d v="2024-11-28T10:00:17"/>
    <x v="1"/>
    <n v="0"/>
    <n v="1181"/>
    <x v="2"/>
    <n v="10766"/>
    <n v="1693"/>
    <n v="32"/>
    <n v="7440"/>
    <n v="0.15725431915288873"/>
    <x v="296"/>
    <n v="8.2096869462492617"/>
    <n v="434.34375"/>
    <n v="11.768839966130399"/>
    <n v="0.53529030865529892"/>
    <s v="CL297"/>
    <x v="4"/>
    <x v="1"/>
    <n v="13899"/>
    <n v="4"/>
    <x v="0"/>
  </r>
  <r>
    <s v="C298"/>
    <x v="297"/>
    <d v="2024-09-07T21:57:15"/>
    <x v="0"/>
    <n v="253.62394675926043"/>
    <n v="4963"/>
    <x v="0"/>
    <n v="19549"/>
    <n v="1798"/>
    <n v="349"/>
    <n v="11895"/>
    <n v="9.19740140160622E-2"/>
    <x v="297"/>
    <n v="8.9527252502780872"/>
    <n v="46.123209169054441"/>
    <n v="3.2434011686479951"/>
    <n v="0.73895756973349069"/>
    <s v="CL298"/>
    <x v="0"/>
    <x v="1"/>
    <n v="16097"/>
    <n v="2"/>
    <x v="1"/>
  </r>
  <r>
    <s v="C299"/>
    <x v="298"/>
    <d v="2023-12-13T08:42:55"/>
    <x v="0"/>
    <n v="298.82177083333227"/>
    <n v="2857"/>
    <x v="3"/>
    <n v="2308"/>
    <n v="1607"/>
    <n v="327"/>
    <n v="2367"/>
    <n v="0.69627383015597921"/>
    <x v="298"/>
    <n v="3.6888612321095207"/>
    <n v="18.128440366972477"/>
    <n v="2.0749037451872594"/>
    <n v="0.39929149797570851"/>
    <s v="CL299"/>
    <x v="2"/>
    <x v="1"/>
    <n v="5928"/>
    <n v="4"/>
    <x v="0"/>
  </r>
  <r>
    <s v="C300"/>
    <x v="299"/>
    <d v="2024-10-08T03:42:21"/>
    <x v="0"/>
    <n v="275.78548611111182"/>
    <n v="8565"/>
    <x v="0"/>
    <n v="2453"/>
    <n v="405"/>
    <n v="147"/>
    <n v="9509"/>
    <n v="0.16510395434162251"/>
    <x v="299"/>
    <n v="34.056790123456793"/>
    <n v="93.829931972789112"/>
    <n v="1.6103911266783422"/>
    <n v="0.68940767055752916"/>
    <s v="CL300"/>
    <x v="4"/>
    <x v="0"/>
    <n v="13793"/>
    <n v="4"/>
    <x v="0"/>
  </r>
  <r>
    <s v="C301"/>
    <x v="300"/>
    <d v="2024-01-03T05:54:31"/>
    <x v="1"/>
    <n v="0"/>
    <n v="2289"/>
    <x v="2"/>
    <n v="19797"/>
    <n v="927"/>
    <n v="135"/>
    <n v="8254"/>
    <n v="4.6825276557054096E-2"/>
    <x v="300"/>
    <n v="10.650485436893204"/>
    <n v="73.13333333333334"/>
    <n v="4.3132372214941022"/>
    <n v="0.83601742124987344"/>
    <s v="CL301"/>
    <x v="0"/>
    <x v="0"/>
    <n v="9873"/>
    <n v="2"/>
    <x v="1"/>
  </r>
  <r>
    <s v="C302"/>
    <x v="301"/>
    <d v="2023-10-06T18:26:49"/>
    <x v="1"/>
    <n v="0"/>
    <n v="5617"/>
    <x v="1"/>
    <n v="15410"/>
    <n v="228"/>
    <n v="190"/>
    <n v="3875"/>
    <n v="1.4795587280986372E-2"/>
    <x v="301"/>
    <n v="63.377192982456137"/>
    <n v="76.05263157894737"/>
    <n v="2.5725476232864519"/>
    <n v="0.26816608996539792"/>
    <s v="CL302"/>
    <x v="2"/>
    <x v="2"/>
    <n v="14450"/>
    <n v="4"/>
    <x v="0"/>
  </r>
  <r>
    <s v="C303"/>
    <x v="302"/>
    <d v="2024-06-26T03:47:30"/>
    <x v="0"/>
    <n v="109.44041666666453"/>
    <n v="2742"/>
    <x v="3"/>
    <n v="10930"/>
    <n v="838"/>
    <n v="127"/>
    <n v="13825"/>
    <n v="7.6669716376944197E-2"/>
    <x v="302"/>
    <n v="22.813842482100238"/>
    <n v="150.53543307086613"/>
    <n v="6.972283005105762"/>
    <n v="0.72314049586776863"/>
    <s v="CL303"/>
    <x v="3"/>
    <x v="1"/>
    <n v="19118"/>
    <n v="5"/>
    <x v="0"/>
  </r>
  <r>
    <s v="C304"/>
    <x v="303"/>
    <d v="2024-07-30T05:44:58"/>
    <x v="0"/>
    <n v="306.2662384259238"/>
    <n v="8882"/>
    <x v="0"/>
    <n v="8195"/>
    <n v="1101"/>
    <n v="408"/>
    <n v="745"/>
    <n v="0.13435021354484442"/>
    <x v="303"/>
    <n v="2.4450499545867395"/>
    <n v="6.5980392156862742"/>
    <n v="0.30308489079036255"/>
    <n v="0.27674591381872216"/>
    <s v="CL304"/>
    <x v="3"/>
    <x v="0"/>
    <n v="2692"/>
    <n v="5"/>
    <x v="0"/>
  </r>
  <r>
    <s v="C305"/>
    <x v="304"/>
    <d v="2023-06-13T18:00:38"/>
    <x v="0"/>
    <n v="46.306134259262762"/>
    <n v="7730"/>
    <x v="2"/>
    <n v="2235"/>
    <n v="1454"/>
    <n v="467"/>
    <n v="4709"/>
    <n v="0.65055928411633113"/>
    <x v="304"/>
    <n v="2.7895460797799174"/>
    <n v="8.6852248394004281"/>
    <n v="0.52470892626131949"/>
    <n v="1.1609960552268244"/>
    <s v="CL305"/>
    <x v="4"/>
    <x v="2"/>
    <n v="4056"/>
    <n v="1"/>
    <x v="2"/>
  </r>
  <r>
    <s v="C306"/>
    <x v="305"/>
    <d v="2024-06-26T19:02:44"/>
    <x v="1"/>
    <n v="0"/>
    <n v="2812"/>
    <x v="1"/>
    <n v="3589"/>
    <n v="923"/>
    <n v="369"/>
    <n v="8358"/>
    <n v="0.25717470047366953"/>
    <x v="305"/>
    <n v="14.257854821235103"/>
    <n v="35.663956639566393"/>
    <n v="4.6799431009957324"/>
    <n v="0.63510638297872335"/>
    <s v="CL306"/>
    <x v="2"/>
    <x v="0"/>
    <n v="13160"/>
    <n v="2"/>
    <x v="1"/>
  </r>
  <r>
    <s v="C307"/>
    <x v="306"/>
    <d v="2024-11-20T22:26:59"/>
    <x v="1"/>
    <n v="0"/>
    <n v="7614"/>
    <x v="1"/>
    <n v="13631"/>
    <n v="1239"/>
    <n v="305"/>
    <n v="13729"/>
    <n v="9.0895752329249499E-2"/>
    <x v="306"/>
    <n v="10.118644067796611"/>
    <n v="41.104918032786884"/>
    <n v="1.6465721040189125"/>
    <n v="1.0950785674403765"/>
    <s v="CL307"/>
    <x v="1"/>
    <x v="2"/>
    <n v="12537"/>
    <n v="2"/>
    <x v="1"/>
  </r>
  <r>
    <s v="C308"/>
    <x v="307"/>
    <d v="2023-08-21T14:41:56"/>
    <x v="1"/>
    <n v="0"/>
    <n v="7620"/>
    <x v="0"/>
    <n v="11483"/>
    <n v="1166"/>
    <n v="405"/>
    <n v="6479"/>
    <n v="0.10154140903944962"/>
    <x v="307"/>
    <n v="15.839622641509434"/>
    <n v="45.602469135802473"/>
    <n v="2.4237532808398949"/>
    <n v="0.35080405002977966"/>
    <s v="CL308"/>
    <x v="0"/>
    <x v="1"/>
    <n v="18469"/>
    <n v="2"/>
    <x v="1"/>
  </r>
  <r>
    <s v="C309"/>
    <x v="308"/>
    <d v="2024-02-10T06:57:34"/>
    <x v="1"/>
    <n v="0"/>
    <n v="4463"/>
    <x v="2"/>
    <n v="17778"/>
    <n v="1014"/>
    <n v="315"/>
    <n v="11419"/>
    <n v="5.7036787040161997E-2"/>
    <x v="308"/>
    <n v="9.0147928994082847"/>
    <n v="29.019047619047619"/>
    <n v="2.0481738740757338"/>
    <n v="1.2492068701454984"/>
    <s v="CL309"/>
    <x v="1"/>
    <x v="0"/>
    <n v="9141"/>
    <n v="3"/>
    <x v="1"/>
  </r>
  <r>
    <s v="C310"/>
    <x v="309"/>
    <d v="2023-10-26T10:38:59"/>
    <x v="1"/>
    <n v="0"/>
    <n v="3570"/>
    <x v="0"/>
    <n v="12068"/>
    <n v="1597"/>
    <n v="496"/>
    <n v="5571"/>
    <n v="0.13233344381836262"/>
    <x v="309"/>
    <n v="5.3537883531621793"/>
    <n v="17.237903225806452"/>
    <n v="2.3949579831932772"/>
    <n v="0.65157894736842104"/>
    <s v="CL310"/>
    <x v="4"/>
    <x v="0"/>
    <n v="8550"/>
    <n v="3"/>
    <x v="1"/>
  </r>
  <r>
    <s v="C311"/>
    <x v="310"/>
    <d v="2023-04-28T08:49:57"/>
    <x v="0"/>
    <n v="98.949155092588626"/>
    <n v="5673"/>
    <x v="2"/>
    <n v="15956"/>
    <n v="315"/>
    <n v="494"/>
    <n v="1359"/>
    <n v="1.9741789922286288E-2"/>
    <x v="310"/>
    <n v="27.746031746031747"/>
    <n v="17.692307692307693"/>
    <n v="1.5406310594041952"/>
    <n v="0.15549199084668192"/>
    <s v="CL311"/>
    <x v="2"/>
    <x v="1"/>
    <n v="8740"/>
    <n v="4"/>
    <x v="0"/>
  </r>
  <r>
    <s v="C312"/>
    <x v="311"/>
    <d v="2023-10-16T01:29:25"/>
    <x v="1"/>
    <n v="0"/>
    <n v="7917"/>
    <x v="3"/>
    <n v="14699"/>
    <n v="1339"/>
    <n v="358"/>
    <n v="3396"/>
    <n v="9.1094632287910746E-2"/>
    <x v="311"/>
    <n v="13.888722927557879"/>
    <n v="51.946927374301673"/>
    <n v="2.3489958317544524"/>
    <n v="0.18261009840296821"/>
    <s v="CL312"/>
    <x v="3"/>
    <x v="2"/>
    <n v="18597"/>
    <n v="1"/>
    <x v="2"/>
  </r>
  <r>
    <s v="C313"/>
    <x v="312"/>
    <d v="2024-03-20T18:15:20"/>
    <x v="0"/>
    <n v="327.68793981481576"/>
    <n v="1774"/>
    <x v="2"/>
    <n v="15981"/>
    <n v="1367"/>
    <n v="347"/>
    <n v="9906"/>
    <n v="8.5539077654714968E-2"/>
    <x v="312"/>
    <n v="0.71104608632040966"/>
    <n v="2.8011527377521612"/>
    <n v="0.54791431792559186"/>
    <n v="10.191358024691358"/>
    <s v="CL313"/>
    <x v="0"/>
    <x v="0"/>
    <n v="972"/>
    <n v="3"/>
    <x v="1"/>
  </r>
  <r>
    <s v="C314"/>
    <x v="313"/>
    <d v="2023-10-24T15:22:52"/>
    <x v="1"/>
    <n v="0"/>
    <n v="7137"/>
    <x v="1"/>
    <n v="4638"/>
    <n v="1466"/>
    <n v="93"/>
    <n v="605"/>
    <n v="0.31608451918930575"/>
    <x v="313"/>
    <n v="9.7046384720327428"/>
    <n v="152.97849462365591"/>
    <n v="1.993414599971977"/>
    <n v="4.2524776832782739E-2"/>
    <s v="CL314"/>
    <x v="4"/>
    <x v="2"/>
    <n v="14227"/>
    <n v="3"/>
    <x v="1"/>
  </r>
  <r>
    <s v="C315"/>
    <x v="314"/>
    <d v="2024-09-29T16:48:36"/>
    <x v="0"/>
    <n v="365.8952777777813"/>
    <n v="7822"/>
    <x v="1"/>
    <n v="19503"/>
    <n v="417"/>
    <n v="52"/>
    <n v="7524"/>
    <n v="2.1381325949853869E-2"/>
    <x v="314"/>
    <n v="10.040767386091128"/>
    <n v="80.519230769230774"/>
    <n v="0.53528509332651497"/>
    <n v="1.7969906854549798"/>
    <s v="CL315"/>
    <x v="3"/>
    <x v="0"/>
    <n v="4187"/>
    <n v="4"/>
    <x v="0"/>
  </r>
  <r>
    <s v="C316"/>
    <x v="315"/>
    <d v="2024-03-09T23:34:28"/>
    <x v="1"/>
    <n v="0"/>
    <n v="6551"/>
    <x v="0"/>
    <n v="15879"/>
    <n v="1050"/>
    <n v="392"/>
    <n v="13678"/>
    <n v="6.6125070848290196E-2"/>
    <x v="315"/>
    <n v="18.942857142857143"/>
    <n v="50.739795918367349"/>
    <n v="3.0361776827965197"/>
    <n v="0.68768225238813474"/>
    <s v="CL316"/>
    <x v="0"/>
    <x v="2"/>
    <n v="19890"/>
    <n v="3"/>
    <x v="1"/>
  </r>
  <r>
    <s v="C317"/>
    <x v="316"/>
    <d v="2024-09-21T06:14:37"/>
    <x v="1"/>
    <n v="0"/>
    <n v="7021"/>
    <x v="0"/>
    <n v="7357"/>
    <n v="842"/>
    <n v="317"/>
    <n v="7583"/>
    <n v="0.11444882424901455"/>
    <x v="316"/>
    <n v="13.230403800475059"/>
    <n v="35.141955835962143"/>
    <n v="1.5866685657313773"/>
    <n v="0.6807001795332136"/>
    <s v="CL317"/>
    <x v="3"/>
    <x v="2"/>
    <n v="11140"/>
    <n v="4"/>
    <x v="0"/>
  </r>
  <r>
    <s v="C318"/>
    <x v="317"/>
    <d v="2023-07-11T11:22:46"/>
    <x v="0"/>
    <n v="120.06467592592526"/>
    <n v="5681"/>
    <x v="2"/>
    <n v="19590"/>
    <n v="344"/>
    <n v="238"/>
    <n v="5070"/>
    <n v="1.755997958141909E-2"/>
    <x v="317"/>
    <n v="17.819767441860463"/>
    <n v="25.756302521008404"/>
    <n v="1.0790353810948776"/>
    <n v="0.82707993474714514"/>
    <s v="CL318"/>
    <x v="3"/>
    <x v="0"/>
    <n v="6130"/>
    <n v="5"/>
    <x v="0"/>
  </r>
  <r>
    <s v="C319"/>
    <x v="318"/>
    <d v="2024-05-15T22:54:16"/>
    <x v="0"/>
    <n v="213.35553240741137"/>
    <n v="4282"/>
    <x v="0"/>
    <n v="8222"/>
    <n v="1925"/>
    <n v="298"/>
    <n v="2126"/>
    <n v="0.23412794940403794"/>
    <x v="318"/>
    <n v="6.8192207792207791"/>
    <n v="44.050335570469798"/>
    <n v="3.0656235404016816"/>
    <n v="0.16195627332977833"/>
    <s v="CL319"/>
    <x v="3"/>
    <x v="0"/>
    <n v="13127"/>
    <n v="3"/>
    <x v="1"/>
  </r>
  <r>
    <s v="C320"/>
    <x v="319"/>
    <d v="2024-04-09T18:59:57"/>
    <x v="0"/>
    <n v="99.97746527777781"/>
    <n v="5328"/>
    <x v="1"/>
    <n v="1830"/>
    <n v="966"/>
    <n v="432"/>
    <n v="5920"/>
    <n v="0.52786885245901638"/>
    <x v="319"/>
    <n v="19.508281573498966"/>
    <n v="43.622685185185183"/>
    <n v="3.5369744744744747"/>
    <n v="0.31414168214380472"/>
    <s v="CL320"/>
    <x v="2"/>
    <x v="2"/>
    <n v="18845"/>
    <n v="4"/>
    <x v="0"/>
  </r>
  <r>
    <s v="C321"/>
    <x v="320"/>
    <d v="2024-05-03T11:37:38"/>
    <x v="0"/>
    <n v="215.80460648148437"/>
    <n v="7488"/>
    <x v="3"/>
    <n v="7145"/>
    <n v="1861"/>
    <n v="79"/>
    <n v="2720"/>
    <n v="0.26046186144156752"/>
    <x v="320"/>
    <n v="9.0037614185921555"/>
    <n v="212.1012658227848"/>
    <n v="2.237713675213675"/>
    <n v="0.16232991167343042"/>
    <s v="CL321"/>
    <x v="4"/>
    <x v="0"/>
    <n v="16756"/>
    <n v="1"/>
    <x v="2"/>
  </r>
  <r>
    <s v="C322"/>
    <x v="321"/>
    <d v="2023-10-26T04:59:15"/>
    <x v="0"/>
    <n v="75.720474537032715"/>
    <n v="3474"/>
    <x v="3"/>
    <n v="16830"/>
    <n v="210"/>
    <n v="207"/>
    <n v="5791"/>
    <n v="1.2477718360071301E-2"/>
    <x v="321"/>
    <n v="17.69047619047619"/>
    <n v="17.946859903381643"/>
    <n v="1.0693724812895797"/>
    <n v="1.5588156123822341"/>
    <s v="CL322"/>
    <x v="2"/>
    <x v="1"/>
    <n v="3715"/>
    <n v="3"/>
    <x v="1"/>
  </r>
  <r>
    <s v="C323"/>
    <x v="322"/>
    <d v="2023-10-29T10:27:37"/>
    <x v="0"/>
    <n v="250.95120370370569"/>
    <n v="3119"/>
    <x v="3"/>
    <n v="2600"/>
    <n v="1249"/>
    <n v="29"/>
    <n v="8128"/>
    <n v="0.48038461538461541"/>
    <x v="322"/>
    <n v="15.5564451561249"/>
    <n v="670"/>
    <n v="6.2295607566527735"/>
    <n v="0.41832218219248585"/>
    <s v="CL323"/>
    <x v="2"/>
    <x v="0"/>
    <n v="19430"/>
    <n v="4"/>
    <x v="0"/>
  </r>
  <r>
    <s v="C324"/>
    <x v="323"/>
    <d v="2024-09-18T12:33:33"/>
    <x v="0"/>
    <n v="396.85890046296117"/>
    <n v="8206"/>
    <x v="1"/>
    <n v="8179"/>
    <n v="213"/>
    <n v="430"/>
    <n v="5164"/>
    <n v="2.6042303460080695E-2"/>
    <x v="323"/>
    <n v="17.305164319248828"/>
    <n v="8.5720930232558139"/>
    <n v="0.44918352425054836"/>
    <n v="1.400976668475312"/>
    <s v="CL324"/>
    <x v="1"/>
    <x v="1"/>
    <n v="3686"/>
    <n v="1"/>
    <x v="2"/>
  </r>
  <r>
    <s v="C325"/>
    <x v="324"/>
    <d v="2024-07-14T17:55:29"/>
    <x v="1"/>
    <n v="0"/>
    <n v="9700"/>
    <x v="1"/>
    <n v="19720"/>
    <n v="1978"/>
    <n v="359"/>
    <n v="4658"/>
    <n v="0.10030425963488844"/>
    <x v="324"/>
    <n v="1.6132457027300304"/>
    <n v="8.8885793871866294"/>
    <n v="0.32896907216494847"/>
    <n v="1.4597304920087746"/>
    <s v="CL325"/>
    <x v="2"/>
    <x v="2"/>
    <n v="3191"/>
    <n v="2"/>
    <x v="1"/>
  </r>
  <r>
    <s v="C326"/>
    <x v="325"/>
    <d v="2024-03-06T13:58:15"/>
    <x v="0"/>
    <n v="242.69532407407678"/>
    <n v="3034"/>
    <x v="0"/>
    <n v="17148"/>
    <n v="1630"/>
    <n v="214"/>
    <n v="4045"/>
    <n v="9.5054816888266849E-2"/>
    <x v="325"/>
    <n v="10.255828220858895"/>
    <n v="78.116822429906549"/>
    <n v="5.5098879367172051"/>
    <n v="0.24196925285637375"/>
    <s v="CL326"/>
    <x v="4"/>
    <x v="2"/>
    <n v="16717"/>
    <n v="4"/>
    <x v="0"/>
  </r>
  <r>
    <s v="C327"/>
    <x v="326"/>
    <d v="2024-07-29T12:57:01"/>
    <x v="1"/>
    <n v="0"/>
    <n v="2027"/>
    <x v="0"/>
    <n v="11346"/>
    <n v="446"/>
    <n v="76"/>
    <n v="5920"/>
    <n v="3.9309007579763793E-2"/>
    <x v="326"/>
    <n v="17.892376681614351"/>
    <n v="105"/>
    <n v="3.9368524913665515"/>
    <n v="0.74185463659147866"/>
    <s v="CL327"/>
    <x v="0"/>
    <x v="0"/>
    <n v="7980"/>
    <n v="2"/>
    <x v="1"/>
  </r>
  <r>
    <s v="C328"/>
    <x v="327"/>
    <d v="2024-03-02T10:18:23"/>
    <x v="1"/>
    <n v="0"/>
    <n v="9417"/>
    <x v="0"/>
    <n v="11992"/>
    <n v="828"/>
    <n v="118"/>
    <n v="8478"/>
    <n v="6.9046030687124754E-2"/>
    <x v="327"/>
    <n v="14.721014492753623"/>
    <n v="103.29661016949153"/>
    <n v="1.2943612615482638"/>
    <n v="0.69554516367216346"/>
    <s v="CL328"/>
    <x v="1"/>
    <x v="2"/>
    <n v="12189"/>
    <n v="1"/>
    <x v="2"/>
  </r>
  <r>
    <s v="C329"/>
    <x v="328"/>
    <d v="2024-09-01T10:17:47"/>
    <x v="1"/>
    <n v="0"/>
    <n v="5589"/>
    <x v="0"/>
    <n v="2585"/>
    <n v="1712"/>
    <n v="376"/>
    <n v="8607"/>
    <n v="0.66228239845261117"/>
    <x v="328"/>
    <n v="10.924065420560748"/>
    <n v="49.73936170212766"/>
    <n v="3.3462157809983899"/>
    <n v="0.46021815848572345"/>
    <s v="CL329"/>
    <x v="0"/>
    <x v="0"/>
    <n v="18702"/>
    <n v="4"/>
    <x v="0"/>
  </r>
  <r>
    <s v="C330"/>
    <x v="329"/>
    <d v="2023-04-10T15:59:39"/>
    <x v="0"/>
    <n v="29.885706018518249"/>
    <n v="6412"/>
    <x v="0"/>
    <n v="1023"/>
    <n v="605"/>
    <n v="151"/>
    <n v="4679"/>
    <n v="0.59139784946236562"/>
    <x v="329"/>
    <n v="2.4479338842975205"/>
    <n v="9.8079470198675498"/>
    <n v="0.23097317529631939"/>
    <n v="3.1593517893315326"/>
    <s v="CL330"/>
    <x v="2"/>
    <x v="2"/>
    <n v="1481"/>
    <n v="2"/>
    <x v="1"/>
  </r>
  <r>
    <s v="C331"/>
    <x v="330"/>
    <d v="2024-12-02T03:17:00"/>
    <x v="1"/>
    <n v="0"/>
    <n v="5130"/>
    <x v="2"/>
    <n v="3749"/>
    <n v="848"/>
    <n v="373"/>
    <n v="12314"/>
    <n v="0.22619365164043745"/>
    <x v="330"/>
    <n v="15.235849056603774"/>
    <n v="34.638069705093834"/>
    <n v="2.5185185185185186"/>
    <n v="0.95309597523219813"/>
    <s v="CL331"/>
    <x v="4"/>
    <x v="0"/>
    <n v="12920"/>
    <n v="1"/>
    <x v="2"/>
  </r>
  <r>
    <s v="C332"/>
    <x v="331"/>
    <d v="2024-10-04T18:41:49"/>
    <x v="0"/>
    <n v="181.18681712963007"/>
    <n v="8449"/>
    <x v="1"/>
    <n v="6386"/>
    <n v="1931"/>
    <n v="430"/>
    <n v="5221"/>
    <n v="0.30238020670216098"/>
    <x v="331"/>
    <n v="6.6395649922320041"/>
    <n v="29.816279069767443"/>
    <n v="1.5174576873002723"/>
    <n v="0.40722252554402932"/>
    <s v="CL332"/>
    <x v="2"/>
    <x v="2"/>
    <n v="12821"/>
    <n v="4"/>
    <x v="0"/>
  </r>
  <r>
    <s v="C333"/>
    <x v="332"/>
    <d v="2023-07-11T04:31:33"/>
    <x v="0"/>
    <n v="46.669131944443507"/>
    <n v="4579"/>
    <x v="3"/>
    <n v="2413"/>
    <n v="1237"/>
    <n v="203"/>
    <n v="13725"/>
    <n v="0.51263986738499789"/>
    <x v="332"/>
    <n v="0.86742118027485848"/>
    <n v="5.2857142857142856"/>
    <n v="0.23433063987770256"/>
    <n v="12.791239515377447"/>
    <s v="CL333"/>
    <x v="0"/>
    <x v="1"/>
    <n v="1073"/>
    <n v="1"/>
    <x v="2"/>
  </r>
  <r>
    <s v="C334"/>
    <x v="333"/>
    <d v="2023-06-19T06:42:08"/>
    <x v="0"/>
    <n v="56.312071759261016"/>
    <n v="5575"/>
    <x v="3"/>
    <n v="17044"/>
    <n v="234"/>
    <n v="282"/>
    <n v="5540"/>
    <n v="1.3729171555972777E-2"/>
    <x v="333"/>
    <n v="79.987179487179489"/>
    <n v="66.372340425531917"/>
    <n v="3.3573094170403586"/>
    <n v="0.29598760485120479"/>
    <s v="CL334"/>
    <x v="2"/>
    <x v="1"/>
    <n v="18717"/>
    <n v="4"/>
    <x v="0"/>
  </r>
  <r>
    <s v="C335"/>
    <x v="334"/>
    <d v="2023-12-12T10:13:35"/>
    <x v="1"/>
    <n v="0"/>
    <n v="9288"/>
    <x v="2"/>
    <n v="19331"/>
    <n v="453"/>
    <n v="278"/>
    <n v="5993"/>
    <n v="2.3433862707568153E-2"/>
    <x v="334"/>
    <n v="41.046357615894038"/>
    <n v="66.884892086330936"/>
    <n v="2.001937984496124"/>
    <n v="0.3223082714854254"/>
    <s v="CL335"/>
    <x v="1"/>
    <x v="0"/>
    <n v="18594"/>
    <n v="5"/>
    <x v="0"/>
  </r>
  <r>
    <s v="C336"/>
    <x v="335"/>
    <d v="2024-07-19T13:01:20"/>
    <x v="1"/>
    <n v="0"/>
    <n v="6745"/>
    <x v="3"/>
    <n v="15643"/>
    <n v="1656"/>
    <n v="46"/>
    <n v="9937"/>
    <n v="0.10586204692194592"/>
    <x v="335"/>
    <n v="8.0730676328502415"/>
    <n v="290.63043478260869"/>
    <n v="1.982060785767235"/>
    <n v="0.74328670805595032"/>
    <s v="CL336"/>
    <x v="4"/>
    <x v="2"/>
    <n v="13369"/>
    <n v="1"/>
    <x v="2"/>
  </r>
  <r>
    <s v="C337"/>
    <x v="336"/>
    <d v="2024-07-12T22:01:07"/>
    <x v="0"/>
    <n v="216.49820601851388"/>
    <n v="5001"/>
    <x v="0"/>
    <n v="11873"/>
    <n v="1366"/>
    <n v="500"/>
    <n v="11279"/>
    <n v="0.11505095595047587"/>
    <x v="336"/>
    <n v="9.8221083455344065"/>
    <n v="26.834"/>
    <n v="2.6828634273145373"/>
    <n v="0.84064992174107478"/>
    <s v="CL337"/>
    <x v="3"/>
    <x v="1"/>
    <n v="13417"/>
    <n v="3"/>
    <x v="1"/>
  </r>
  <r>
    <s v="C338"/>
    <x v="337"/>
    <d v="2024-05-16T07:33:47"/>
    <x v="1"/>
    <n v="0"/>
    <n v="7554"/>
    <x v="3"/>
    <n v="2782"/>
    <n v="1866"/>
    <n v="375"/>
    <n v="5636"/>
    <n v="0.67074047447879226"/>
    <x v="337"/>
    <n v="5.866023579849946"/>
    <n v="29.189333333333334"/>
    <n v="1.4490336245697644"/>
    <n v="0.514891284487484"/>
    <s v="CL338"/>
    <x v="3"/>
    <x v="2"/>
    <n v="10946"/>
    <n v="4"/>
    <x v="0"/>
  </r>
  <r>
    <s v="C339"/>
    <x v="338"/>
    <d v="2024-05-15T11:03:19"/>
    <x v="1"/>
    <n v="0"/>
    <n v="9316"/>
    <x v="2"/>
    <n v="9474"/>
    <n v="912"/>
    <n v="215"/>
    <n v="3889"/>
    <n v="9.6263457884737169E-2"/>
    <x v="338"/>
    <n v="3.3640350877192984"/>
    <n v="14.269767441860465"/>
    <n v="0.32932589094031772"/>
    <n v="1.2676010430247719"/>
    <s v="CL339"/>
    <x v="4"/>
    <x v="2"/>
    <n v="3068"/>
    <n v="4"/>
    <x v="0"/>
  </r>
  <r>
    <s v="C340"/>
    <x v="339"/>
    <d v="2024-11-23T06:48:02"/>
    <x v="0"/>
    <n v="667.68210648147942"/>
    <n v="4169"/>
    <x v="2"/>
    <n v="4758"/>
    <n v="702"/>
    <n v="100"/>
    <n v="13819"/>
    <n v="0.14754098360655737"/>
    <x v="339"/>
    <n v="12.065527065527066"/>
    <n v="84.7"/>
    <n v="2.0316622691292876"/>
    <n v="1.6315230224321133"/>
    <s v="CL340"/>
    <x v="3"/>
    <x v="1"/>
    <n v="8470"/>
    <n v="5"/>
    <x v="0"/>
  </r>
  <r>
    <s v="C341"/>
    <x v="340"/>
    <d v="2023-11-12T11:31:45"/>
    <x v="1"/>
    <n v="0"/>
    <n v="9113"/>
    <x v="0"/>
    <n v="11694"/>
    <n v="1512"/>
    <n v="143"/>
    <n v="6299"/>
    <n v="0.12929707542329399"/>
    <x v="340"/>
    <n v="3.517195767195767"/>
    <n v="37.188811188811187"/>
    <n v="0.58356194447492593"/>
    <n v="1.1844678450545318"/>
    <s v="CL341"/>
    <x v="4"/>
    <x v="2"/>
    <n v="5318"/>
    <n v="2"/>
    <x v="1"/>
  </r>
  <r>
    <s v="C342"/>
    <x v="341"/>
    <d v="2024-06-29T08:48:36"/>
    <x v="1"/>
    <n v="0"/>
    <n v="1576"/>
    <x v="1"/>
    <n v="7503"/>
    <n v="149"/>
    <n v="39"/>
    <n v="9983"/>
    <n v="1.9858723177395707E-2"/>
    <x v="341"/>
    <n v="88.583892617449663"/>
    <n v="338.43589743589746"/>
    <n v="8.375"/>
    <n v="0.75634517766497467"/>
    <s v="CL342"/>
    <x v="2"/>
    <x v="2"/>
    <n v="13199"/>
    <n v="5"/>
    <x v="0"/>
  </r>
  <r>
    <s v="C343"/>
    <x v="342"/>
    <d v="2024-07-09T23:46:43"/>
    <x v="0"/>
    <n v="220.37493055555387"/>
    <n v="9631"/>
    <x v="3"/>
    <n v="1586"/>
    <n v="172"/>
    <n v="20"/>
    <n v="13202"/>
    <n v="0.10844892812105927"/>
    <x v="342"/>
    <n v="98.633720930232556"/>
    <n v="848.25"/>
    <n v="1.761499325096044"/>
    <n v="0.77819039198349538"/>
    <s v="CL343"/>
    <x v="2"/>
    <x v="1"/>
    <n v="16965"/>
    <n v="3"/>
    <x v="1"/>
  </r>
  <r>
    <s v="C344"/>
    <x v="343"/>
    <d v="2024-04-01T01:41:12"/>
    <x v="1"/>
    <n v="0"/>
    <n v="4295"/>
    <x v="3"/>
    <n v="14284"/>
    <n v="1016"/>
    <n v="259"/>
    <n v="1216"/>
    <n v="7.1128535424250905E-2"/>
    <x v="343"/>
    <n v="11.890748031496063"/>
    <n v="46.644787644787648"/>
    <n v="2.8128055878928988"/>
    <n v="0.10065391937753497"/>
    <s v="CL344"/>
    <x v="4"/>
    <x v="2"/>
    <n v="12081"/>
    <n v="2"/>
    <x v="1"/>
  </r>
  <r>
    <s v="C345"/>
    <x v="344"/>
    <d v="2023-07-20T04:43:30"/>
    <x v="1"/>
    <n v="0"/>
    <n v="3996"/>
    <x v="1"/>
    <n v="8557"/>
    <n v="342"/>
    <n v="453"/>
    <n v="13436"/>
    <n v="3.9967278251723734E-2"/>
    <x v="344"/>
    <n v="9.0555555555555554"/>
    <n v="6.8366445916114786"/>
    <n v="0.77502502502502502"/>
    <n v="4.3383919922505649"/>
    <s v="CL345"/>
    <x v="3"/>
    <x v="0"/>
    <n v="3097"/>
    <n v="2"/>
    <x v="1"/>
  </r>
  <r>
    <s v="C346"/>
    <x v="345"/>
    <d v="2024-09-27T04:30:03"/>
    <x v="0"/>
    <n v="473.60604166666599"/>
    <n v="6961"/>
    <x v="1"/>
    <n v="14510"/>
    <n v="673"/>
    <n v="211"/>
    <n v="10461"/>
    <n v="4.6381805651274984E-2"/>
    <x v="345"/>
    <n v="10.649331352154531"/>
    <n v="33.96682464454976"/>
    <n v="1.0295934492170664"/>
    <n v="1.4596065299288405"/>
    <s v="CL346"/>
    <x v="1"/>
    <x v="0"/>
    <n v="7167"/>
    <n v="2"/>
    <x v="1"/>
  </r>
  <r>
    <s v="C347"/>
    <x v="346"/>
    <d v="2024-02-26T07:13:54"/>
    <x v="1"/>
    <n v="0"/>
    <n v="8715"/>
    <x v="3"/>
    <n v="3025"/>
    <n v="320"/>
    <n v="61"/>
    <n v="14867"/>
    <n v="0.10578512396694215"/>
    <x v="346"/>
    <n v="12.706250000000001"/>
    <n v="66.655737704918039"/>
    <n v="0.46655192197360873"/>
    <n v="3.6564190850959175"/>
    <s v="CL347"/>
    <x v="2"/>
    <x v="0"/>
    <n v="4066"/>
    <n v="4"/>
    <x v="0"/>
  </r>
  <r>
    <s v="C348"/>
    <x v="347"/>
    <d v="2024-05-04T11:06:13"/>
    <x v="0"/>
    <n v="188.89887731481576"/>
    <n v="9459"/>
    <x v="2"/>
    <n v="13421"/>
    <n v="1306"/>
    <n v="35"/>
    <n v="4645"/>
    <n v="9.7310185530139329E-2"/>
    <x v="347"/>
    <n v="6.6508422664624804"/>
    <n v="248.17142857142858"/>
    <n v="0.91827888783169465"/>
    <n v="0.53476859313838365"/>
    <s v="CL348"/>
    <x v="0"/>
    <x v="0"/>
    <n v="8686"/>
    <n v="2"/>
    <x v="1"/>
  </r>
  <r>
    <s v="C349"/>
    <x v="348"/>
    <d v="2024-10-07T14:42:40"/>
    <x v="1"/>
    <n v="0"/>
    <n v="9733"/>
    <x v="2"/>
    <n v="12471"/>
    <n v="1989"/>
    <n v="247"/>
    <n v="8915"/>
    <n v="0.15949001683906663"/>
    <x v="348"/>
    <n v="0.66163901458019103"/>
    <n v="5.3279352226720649"/>
    <n v="0.13521010993527174"/>
    <n v="6.7743161094224922"/>
    <s v="CL349"/>
    <x v="4"/>
    <x v="2"/>
    <n v="1316"/>
    <n v="4"/>
    <x v="0"/>
  </r>
  <r>
    <s v="C350"/>
    <x v="349"/>
    <d v="2023-04-14T23:39:03"/>
    <x v="0"/>
    <n v="98.493148148147156"/>
    <n v="4607"/>
    <x v="1"/>
    <n v="3277"/>
    <n v="850"/>
    <n v="371"/>
    <n v="8642"/>
    <n v="0.2593835825450107"/>
    <x v="349"/>
    <n v="14.087058823529413"/>
    <n v="32.274932614555254"/>
    <n v="2.5990883438246146"/>
    <n v="0.72173041590111908"/>
    <s v="CL350"/>
    <x v="4"/>
    <x v="0"/>
    <n v="11974"/>
    <n v="3"/>
    <x v="1"/>
  </r>
  <r>
    <s v="C351"/>
    <x v="350"/>
    <d v="2024-05-30T23:18:28"/>
    <x v="0"/>
    <n v="260.74295138889283"/>
    <n v="5476"/>
    <x v="2"/>
    <n v="3156"/>
    <n v="1066"/>
    <n v="452"/>
    <n v="6664"/>
    <n v="0.33776932826362482"/>
    <x v="350"/>
    <n v="2.1744840525328328"/>
    <n v="5.1283185840707963"/>
    <n v="0.42330168005843682"/>
    <n v="2.8748921484037964"/>
    <s v="CL351"/>
    <x v="0"/>
    <x v="2"/>
    <n v="2318"/>
    <n v="3"/>
    <x v="1"/>
  </r>
  <r>
    <s v="C352"/>
    <x v="351"/>
    <d v="2024-12-13T10:48:01"/>
    <x v="1"/>
    <n v="0"/>
    <n v="8972"/>
    <x v="1"/>
    <n v="1766"/>
    <n v="1308"/>
    <n v="47"/>
    <n v="14809"/>
    <n v="0.74065685164212913"/>
    <x v="351"/>
    <n v="3.6123853211009176"/>
    <n v="100.53191489361703"/>
    <n v="0.52663843067320548"/>
    <n v="3.1341798941798942"/>
    <s v="CL352"/>
    <x v="2"/>
    <x v="1"/>
    <n v="4725"/>
    <n v="1"/>
    <x v="2"/>
  </r>
  <r>
    <s v="C353"/>
    <x v="352"/>
    <d v="2024-04-01T23:04:57"/>
    <x v="1"/>
    <n v="0"/>
    <n v="4397"/>
    <x v="1"/>
    <n v="2938"/>
    <n v="1361"/>
    <n v="478"/>
    <n v="13769"/>
    <n v="0.46324029952348539"/>
    <x v="352"/>
    <n v="14.646583394562821"/>
    <n v="41.702928870292887"/>
    <n v="4.5335455992722311"/>
    <n v="0.6907294070432427"/>
    <s v="CL353"/>
    <x v="1"/>
    <x v="0"/>
    <n v="19934"/>
    <n v="2"/>
    <x v="1"/>
  </r>
  <r>
    <s v="C354"/>
    <x v="353"/>
    <d v="2024-02-24T19:58:34"/>
    <x v="0"/>
    <n v="368.01971064815007"/>
    <n v="2868"/>
    <x v="3"/>
    <n v="17432"/>
    <n v="362"/>
    <n v="474"/>
    <n v="13009"/>
    <n v="2.0766406608536025E-2"/>
    <x v="353"/>
    <n v="42.179558011049721"/>
    <n v="32.213080168776372"/>
    <n v="5.3239191073919105"/>
    <n v="0.85198768747134712"/>
    <s v="CL354"/>
    <x v="4"/>
    <x v="0"/>
    <n v="15269"/>
    <n v="2"/>
    <x v="1"/>
  </r>
  <r>
    <s v="C355"/>
    <x v="354"/>
    <d v="2024-04-05T04:20:19"/>
    <x v="1"/>
    <n v="0"/>
    <n v="8520"/>
    <x v="2"/>
    <n v="3357"/>
    <n v="1033"/>
    <n v="162"/>
    <n v="8855"/>
    <n v="0.3077152219243372"/>
    <x v="354"/>
    <n v="3.7967086156824781"/>
    <n v="24.209876543209877"/>
    <n v="0.4603286384976526"/>
    <n v="2.2577766445690974"/>
    <s v="CL355"/>
    <x v="2"/>
    <x v="1"/>
    <n v="3922"/>
    <n v="1"/>
    <x v="2"/>
  </r>
  <r>
    <s v="C356"/>
    <x v="355"/>
    <d v="2024-07-08T04:57:31"/>
    <x v="1"/>
    <n v="0"/>
    <n v="7380"/>
    <x v="1"/>
    <n v="2002"/>
    <n v="166"/>
    <n v="414"/>
    <n v="5894"/>
    <n v="8.2917082917082913E-2"/>
    <x v="355"/>
    <n v="73.560240963855421"/>
    <n v="29.495169082125603"/>
    <n v="1.6546070460704607"/>
    <n v="0.48267955122430595"/>
    <s v="CL356"/>
    <x v="0"/>
    <x v="1"/>
    <n v="12211"/>
    <n v="3"/>
    <x v="1"/>
  </r>
  <r>
    <s v="C357"/>
    <x v="356"/>
    <d v="2024-05-20T13:00:23"/>
    <x v="1"/>
    <n v="0"/>
    <n v="1510"/>
    <x v="2"/>
    <n v="4585"/>
    <n v="513"/>
    <n v="317"/>
    <n v="5384"/>
    <n v="0.111886586695747"/>
    <x v="356"/>
    <n v="19.775828460038987"/>
    <n v="32.003154574132495"/>
    <n v="6.7185430463576159"/>
    <n v="0.53070478068013804"/>
    <s v="CL357"/>
    <x v="4"/>
    <x v="0"/>
    <n v="10145"/>
    <n v="2"/>
    <x v="1"/>
  </r>
  <r>
    <s v="C358"/>
    <x v="357"/>
    <d v="2023-12-05T00:03:46"/>
    <x v="1"/>
    <n v="0"/>
    <n v="8560"/>
    <x v="2"/>
    <n v="14714"/>
    <n v="1646"/>
    <n v="238"/>
    <n v="598"/>
    <n v="0.11186624983009379"/>
    <x v="357"/>
    <n v="1.1773997569866343"/>
    <n v="8.1428571428571423"/>
    <n v="0.2264018691588785"/>
    <n v="0.30856553147574817"/>
    <s v="CL358"/>
    <x v="4"/>
    <x v="0"/>
    <n v="1938"/>
    <n v="4"/>
    <x v="0"/>
  </r>
  <r>
    <s v="C359"/>
    <x v="358"/>
    <d v="2024-09-23T07:13:47"/>
    <x v="0"/>
    <n v="254.35393518518686"/>
    <n v="6195"/>
    <x v="3"/>
    <n v="18227"/>
    <n v="1864"/>
    <n v="327"/>
    <n v="10378"/>
    <n v="0.10226586931475284"/>
    <x v="358"/>
    <n v="0.89967811158798283"/>
    <n v="5.1284403669724767"/>
    <n v="0.27070217917675543"/>
    <n v="6.1884317233154444"/>
    <s v="CL359"/>
    <x v="2"/>
    <x v="0"/>
    <n v="1677"/>
    <n v="2"/>
    <x v="1"/>
  </r>
  <r>
    <s v="C360"/>
    <x v="359"/>
    <d v="2024-05-22T10:12:16"/>
    <x v="1"/>
    <n v="0"/>
    <n v="2566"/>
    <x v="2"/>
    <n v="9669"/>
    <n v="743"/>
    <n v="45"/>
    <n v="10709"/>
    <n v="7.6843520529527351E-2"/>
    <x v="359"/>
    <n v="6.6137281292059216"/>
    <n v="109.2"/>
    <n v="1.9150428682774747"/>
    <n v="2.1792836792836794"/>
    <s v="CL360"/>
    <x v="2"/>
    <x v="0"/>
    <n v="4914"/>
    <n v="4"/>
    <x v="0"/>
  </r>
  <r>
    <s v="C361"/>
    <x v="360"/>
    <d v="2023-08-29T20:28:01"/>
    <x v="1"/>
    <n v="0"/>
    <n v="4815"/>
    <x v="2"/>
    <n v="1903"/>
    <n v="166"/>
    <n v="53"/>
    <n v="13918"/>
    <n v="8.7230688386757751E-2"/>
    <x v="360"/>
    <n v="59.120481927710841"/>
    <n v="185.16981132075472"/>
    <n v="2.0382139148494289"/>
    <n v="1.4181781128999389"/>
    <s v="CL361"/>
    <x v="1"/>
    <x v="2"/>
    <n v="9814"/>
    <n v="3"/>
    <x v="1"/>
  </r>
  <r>
    <s v="C362"/>
    <x v="361"/>
    <d v="2024-12-10T06:30:18"/>
    <x v="0"/>
    <n v="304.79650462963036"/>
    <n v="9021"/>
    <x v="0"/>
    <n v="6008"/>
    <n v="1889"/>
    <n v="221"/>
    <n v="3353"/>
    <n v="0.31441411451398138"/>
    <x v="361"/>
    <n v="9.6013763896241393"/>
    <n v="82.067873303167417"/>
    <n v="2.0105309832612792"/>
    <n v="0.18487070629100733"/>
    <s v="CL362"/>
    <x v="1"/>
    <x v="1"/>
    <n v="18137"/>
    <n v="3"/>
    <x v="1"/>
  </r>
  <r>
    <s v="C363"/>
    <x v="362"/>
    <d v="2024-06-19T11:42:32"/>
    <x v="0"/>
    <n v="501.70949074074451"/>
    <n v="3286"/>
    <x v="2"/>
    <n v="10575"/>
    <n v="564"/>
    <n v="421"/>
    <n v="10294"/>
    <n v="5.3333333333333337E-2"/>
    <x v="362"/>
    <n v="5.9007092198581557"/>
    <n v="7.9049881235154391"/>
    <n v="1.0127814972611078"/>
    <n v="3.0931490384615383"/>
    <s v="CL363"/>
    <x v="2"/>
    <x v="2"/>
    <n v="3328"/>
    <n v="5"/>
    <x v="0"/>
  </r>
  <r>
    <s v="C364"/>
    <x v="363"/>
    <d v="2024-05-04T20:01:21"/>
    <x v="1"/>
    <n v="0"/>
    <n v="7235"/>
    <x v="3"/>
    <n v="4868"/>
    <n v="238"/>
    <n v="361"/>
    <n v="11746"/>
    <n v="4.8890714872637631E-2"/>
    <x v="363"/>
    <n v="15.844537815126051"/>
    <n v="10.445983379501385"/>
    <n v="0.52121630960608156"/>
    <n v="3.1148236542031293"/>
    <s v="CL364"/>
    <x v="2"/>
    <x v="2"/>
    <n v="3771"/>
    <n v="5"/>
    <x v="0"/>
  </r>
  <r>
    <s v="C365"/>
    <x v="364"/>
    <d v="2023-08-02T03:14:15"/>
    <x v="0"/>
    <n v="49.005787037036498"/>
    <n v="1565"/>
    <x v="0"/>
    <n v="9947"/>
    <n v="410"/>
    <n v="295"/>
    <n v="13019"/>
    <n v="4.1218457826480343E-2"/>
    <x v="364"/>
    <n v="20.08048780487805"/>
    <n v="27.908474576271185"/>
    <n v="5.2607028753993612"/>
    <n v="1.5813190817442002"/>
    <s v="CL365"/>
    <x v="1"/>
    <x v="2"/>
    <n v="8233"/>
    <n v="1"/>
    <x v="2"/>
  </r>
  <r>
    <s v="C366"/>
    <x v="365"/>
    <d v="2023-02-04T06:08:28"/>
    <x v="0"/>
    <n v="29.34884259258979"/>
    <n v="9976"/>
    <x v="3"/>
    <n v="6521"/>
    <n v="797"/>
    <n v="151"/>
    <n v="1268"/>
    <n v="0.12222051832541021"/>
    <x v="365"/>
    <n v="17.601003764115433"/>
    <n v="92.900662251655632"/>
    <n v="1.4061748195669608"/>
    <n v="9.0390647276874819E-2"/>
    <s v="CL366"/>
    <x v="2"/>
    <x v="2"/>
    <n v="14028"/>
    <n v="2"/>
    <x v="1"/>
  </r>
  <r>
    <s v="C367"/>
    <x v="366"/>
    <d v="2023-06-07T16:36:08"/>
    <x v="0"/>
    <n v="38.48166666666657"/>
    <n v="3929"/>
    <x v="3"/>
    <n v="10503"/>
    <n v="1336"/>
    <n v="402"/>
    <n v="1408"/>
    <n v="0.12720175188041513"/>
    <x v="366"/>
    <n v="12.56062874251497"/>
    <n v="41.743781094527364"/>
    <n v="4.2710613387630438"/>
    <n v="8.3904415708241462E-2"/>
    <s v="CL367"/>
    <x v="4"/>
    <x v="0"/>
    <n v="16781"/>
    <n v="5"/>
    <x v="0"/>
  </r>
  <r>
    <s v="C368"/>
    <x v="367"/>
    <d v="2024-07-11T08:29:35"/>
    <x v="0"/>
    <n v="176.12861111111124"/>
    <n v="5190"/>
    <x v="0"/>
    <n v="7637"/>
    <n v="593"/>
    <n v="125"/>
    <n v="8739"/>
    <n v="7.7648291213827422E-2"/>
    <x v="367"/>
    <n v="20.300168634064082"/>
    <n v="96.304000000000002"/>
    <n v="2.3194605009633911"/>
    <n v="0.72595115467685667"/>
    <s v="CL368"/>
    <x v="2"/>
    <x v="1"/>
    <n v="12038"/>
    <n v="2"/>
    <x v="1"/>
  </r>
  <r>
    <s v="C369"/>
    <x v="368"/>
    <d v="2024-08-27T03:50:31"/>
    <x v="1"/>
    <n v="0"/>
    <n v="6241"/>
    <x v="2"/>
    <n v="16375"/>
    <n v="730"/>
    <n v="495"/>
    <n v="10107"/>
    <n v="4.4580152671755725E-2"/>
    <x v="368"/>
    <n v="8.1753424657534239"/>
    <n v="12.056565656565656"/>
    <n v="0.95625701009453612"/>
    <n v="1.6935321715817695"/>
    <s v="CL369"/>
    <x v="0"/>
    <x v="0"/>
    <n v="5968"/>
    <n v="3"/>
    <x v="1"/>
  </r>
  <r>
    <s v="C370"/>
    <x v="369"/>
    <d v="2024-12-13T03:15:57"/>
    <x v="1"/>
    <n v="0"/>
    <n v="9095"/>
    <x v="3"/>
    <n v="7439"/>
    <n v="1497"/>
    <n v="382"/>
    <n v="8071"/>
    <n v="0.20123672536631268"/>
    <x v="369"/>
    <n v="6.110220440881764"/>
    <n v="23.945026178010473"/>
    <n v="1.0057174271577789"/>
    <n v="0.8823658029955177"/>
    <s v="CL370"/>
    <x v="1"/>
    <x v="2"/>
    <n v="9147"/>
    <n v="4"/>
    <x v="0"/>
  </r>
  <r>
    <s v="C371"/>
    <x v="370"/>
    <d v="2024-06-03T08:08:31"/>
    <x v="1"/>
    <n v="0"/>
    <n v="5490"/>
    <x v="0"/>
    <n v="9452"/>
    <n v="255"/>
    <n v="88"/>
    <n v="10451"/>
    <n v="2.6978417266187049E-2"/>
    <x v="370"/>
    <n v="50.705882352941174"/>
    <n v="146.93181818181819"/>
    <n v="2.3551912568306013"/>
    <n v="0.80827532869296215"/>
    <s v="CL371"/>
    <x v="3"/>
    <x v="0"/>
    <n v="12930"/>
    <n v="3"/>
    <x v="1"/>
  </r>
  <r>
    <s v="C372"/>
    <x v="371"/>
    <d v="2024-11-28T20:58:04"/>
    <x v="1"/>
    <n v="0"/>
    <n v="5399"/>
    <x v="0"/>
    <n v="16607"/>
    <n v="250"/>
    <n v="206"/>
    <n v="9934"/>
    <n v="1.5053892936713434E-2"/>
    <x v="371"/>
    <n v="41.204000000000001"/>
    <n v="50.004854368932037"/>
    <n v="1.9079459159103538"/>
    <n v="0.96437239102999706"/>
    <s v="CL372"/>
    <x v="4"/>
    <x v="1"/>
    <n v="10301"/>
    <n v="1"/>
    <x v="2"/>
  </r>
  <r>
    <s v="C373"/>
    <x v="372"/>
    <d v="2024-08-04T16:09:30"/>
    <x v="0"/>
    <n v="59.843310185184237"/>
    <n v="4498"/>
    <x v="2"/>
    <n v="7582"/>
    <n v="1318"/>
    <n v="394"/>
    <n v="10845"/>
    <n v="0.17383276180427329"/>
    <x v="372"/>
    <n v="13.574355083459787"/>
    <n v="45.408629441624363"/>
    <n v="3.9775455758114719"/>
    <n v="0.60617070035213239"/>
    <s v="CL373"/>
    <x v="3"/>
    <x v="1"/>
    <n v="17891"/>
    <n v="1"/>
    <x v="2"/>
  </r>
  <r>
    <s v="C374"/>
    <x v="373"/>
    <d v="2023-10-07T02:12:07"/>
    <x v="1"/>
    <n v="0"/>
    <n v="4162"/>
    <x v="3"/>
    <n v="14537"/>
    <n v="821"/>
    <n v="131"/>
    <n v="5747"/>
    <n v="5.6476577010387288E-2"/>
    <x v="373"/>
    <n v="11.191230207064555"/>
    <n v="70.137404580152676"/>
    <n v="2.2075925036040367"/>
    <n v="0.6254897692642577"/>
    <s v="CL374"/>
    <x v="1"/>
    <x v="2"/>
    <n v="9188"/>
    <n v="4"/>
    <x v="0"/>
  </r>
  <r>
    <s v="C375"/>
    <x v="374"/>
    <d v="2023-05-12T00:39:43"/>
    <x v="1"/>
    <n v="0"/>
    <n v="5095"/>
    <x v="2"/>
    <n v="14914"/>
    <n v="1062"/>
    <n v="481"/>
    <n v="1336"/>
    <n v="7.120826069464932E-2"/>
    <x v="374"/>
    <n v="12.891713747645952"/>
    <n v="28.463617463617464"/>
    <n v="2.687144259077527"/>
    <n v="9.7582353370827546E-2"/>
    <s v="CL375"/>
    <x v="1"/>
    <x v="0"/>
    <n v="13691"/>
    <n v="3"/>
    <x v="1"/>
  </r>
  <r>
    <s v="C376"/>
    <x v="375"/>
    <d v="2024-11-07T08:47:03"/>
    <x v="1"/>
    <n v="0"/>
    <n v="3261"/>
    <x v="3"/>
    <n v="6505"/>
    <n v="1979"/>
    <n v="305"/>
    <n v="14852"/>
    <n v="0.30422751729438891"/>
    <x v="375"/>
    <n v="7.7099545224861039"/>
    <n v="50.026229508196721"/>
    <n v="4.6789328426862928"/>
    <n v="0.97339100799580547"/>
    <s v="CL376"/>
    <x v="0"/>
    <x v="0"/>
    <n v="15258"/>
    <n v="3"/>
    <x v="1"/>
  </r>
  <r>
    <s v="C377"/>
    <x v="376"/>
    <d v="2024-12-30T03:50:58"/>
    <x v="1"/>
    <n v="0"/>
    <n v="4344"/>
    <x v="2"/>
    <n v="7383"/>
    <n v="1189"/>
    <n v="216"/>
    <n v="4369"/>
    <n v="0.16104564540159827"/>
    <x v="376"/>
    <n v="5.2153069806560133"/>
    <n v="28.708333333333332"/>
    <n v="1.4274861878453038"/>
    <n v="0.70456378003547815"/>
    <s v="CL377"/>
    <x v="0"/>
    <x v="0"/>
    <n v="6201"/>
    <n v="5"/>
    <x v="0"/>
  </r>
  <r>
    <s v="C378"/>
    <x v="377"/>
    <d v="2023-11-24T07:42:00"/>
    <x v="1"/>
    <n v="0"/>
    <n v="1017"/>
    <x v="0"/>
    <n v="17171"/>
    <n v="1836"/>
    <n v="366"/>
    <n v="9876"/>
    <n v="0.10692446566886028"/>
    <x v="377"/>
    <n v="8.5675381263616561"/>
    <n v="42.978142076502735"/>
    <n v="15.467059980334316"/>
    <n v="0.62784488239033698"/>
    <s v="CL378"/>
    <x v="1"/>
    <x v="1"/>
    <n v="15730"/>
    <n v="1"/>
    <x v="2"/>
  </r>
  <r>
    <s v="C379"/>
    <x v="378"/>
    <d v="2023-09-12T22:37:10"/>
    <x v="0"/>
    <n v="59.876574074070959"/>
    <n v="1634"/>
    <x v="3"/>
    <n v="1209"/>
    <n v="450"/>
    <n v="79"/>
    <n v="13389"/>
    <n v="0.37220843672456577"/>
    <x v="378"/>
    <n v="33.737777777777779"/>
    <n v="192.17721518987341"/>
    <n v="9.2913096695226436"/>
    <n v="0.88189961796864713"/>
    <s v="CL379"/>
    <x v="1"/>
    <x v="1"/>
    <n v="15182"/>
    <n v="2"/>
    <x v="1"/>
  </r>
  <r>
    <s v="C380"/>
    <x v="379"/>
    <d v="2024-04-12T18:02:01"/>
    <x v="1"/>
    <n v="0"/>
    <n v="7558"/>
    <x v="3"/>
    <n v="7491"/>
    <n v="1031"/>
    <n v="182"/>
    <n v="11937"/>
    <n v="0.13763182485649447"/>
    <x v="379"/>
    <n v="4.0882638215324931"/>
    <n v="23.159340659340661"/>
    <n v="0.55768721884096317"/>
    <n v="2.8320284697508895"/>
    <s v="CL380"/>
    <x v="1"/>
    <x v="0"/>
    <n v="4215"/>
    <n v="1"/>
    <x v="2"/>
  </r>
  <r>
    <s v="C381"/>
    <x v="380"/>
    <d v="2023-10-29T09:27:57"/>
    <x v="1"/>
    <n v="0"/>
    <n v="8916"/>
    <x v="0"/>
    <n v="13679"/>
    <n v="1546"/>
    <n v="396"/>
    <n v="1575"/>
    <n v="0.1130199575992397"/>
    <x v="380"/>
    <n v="4.3130659767141006"/>
    <n v="16.838383838383837"/>
    <n v="0.74786899955136832"/>
    <n v="0.23620275944811037"/>
    <s v="CL381"/>
    <x v="1"/>
    <x v="2"/>
    <n v="6668"/>
    <n v="2"/>
    <x v="1"/>
  </r>
  <r>
    <s v="C382"/>
    <x v="381"/>
    <d v="2024-02-29T05:19:38"/>
    <x v="1"/>
    <n v="0"/>
    <n v="3118"/>
    <x v="3"/>
    <n v="19648"/>
    <n v="689"/>
    <n v="96"/>
    <n v="891"/>
    <n v="3.5067182410423454E-2"/>
    <x v="381"/>
    <n v="2.2278664731494922"/>
    <n v="15.989583333333334"/>
    <n v="0.49230275817831942"/>
    <n v="0.58045602605863189"/>
    <s v="CL382"/>
    <x v="4"/>
    <x v="0"/>
    <n v="1535"/>
    <n v="4"/>
    <x v="0"/>
  </r>
  <r>
    <s v="C383"/>
    <x v="382"/>
    <d v="2023-06-24T18:45:45"/>
    <x v="0"/>
    <n v="50.010057870371384"/>
    <n v="4056"/>
    <x v="0"/>
    <n v="16216"/>
    <n v="414"/>
    <n v="349"/>
    <n v="2271"/>
    <n v="2.5530340404538727E-2"/>
    <x v="382"/>
    <n v="35.937198067632849"/>
    <n v="42.630372492836678"/>
    <n v="3.668145956607495"/>
    <n v="0.15264148407043956"/>
    <s v="CL383"/>
    <x v="2"/>
    <x v="1"/>
    <n v="14878"/>
    <n v="1"/>
    <x v="2"/>
  </r>
  <r>
    <s v="C384"/>
    <x v="383"/>
    <d v="2024-12-03T01:17:06"/>
    <x v="1"/>
    <n v="0"/>
    <n v="8601"/>
    <x v="1"/>
    <n v="16515"/>
    <n v="1495"/>
    <n v="493"/>
    <n v="13041"/>
    <n v="9.0523766273085074E-2"/>
    <x v="383"/>
    <n v="2.3605351170568563"/>
    <n v="7.1582150101419879"/>
    <n v="0.41030112777583999"/>
    <n v="3.6953811277982433"/>
    <s v="CL384"/>
    <x v="3"/>
    <x v="1"/>
    <n v="3529"/>
    <n v="5"/>
    <x v="0"/>
  </r>
  <r>
    <s v="C385"/>
    <x v="384"/>
    <d v="2024-02-04T21:38:37"/>
    <x v="1"/>
    <n v="0"/>
    <n v="3550"/>
    <x v="2"/>
    <n v="10253"/>
    <n v="443"/>
    <n v="120"/>
    <n v="1930"/>
    <n v="4.320686628303911E-2"/>
    <x v="384"/>
    <n v="29.042889390519186"/>
    <n v="107.21666666666667"/>
    <n v="3.6242253521126759"/>
    <n v="0.15000777242344163"/>
    <s v="CL385"/>
    <x v="0"/>
    <x v="1"/>
    <n v="12866"/>
    <n v="3"/>
    <x v="1"/>
  </r>
  <r>
    <s v="C386"/>
    <x v="385"/>
    <d v="2024-03-21T09:35:37"/>
    <x v="0"/>
    <n v="416.45418981480907"/>
    <n v="4913"/>
    <x v="1"/>
    <n v="5205"/>
    <n v="1922"/>
    <n v="261"/>
    <n v="863"/>
    <n v="0.3692603266090298"/>
    <x v="385"/>
    <n v="4.8621227887617069"/>
    <n v="35.804597701149426"/>
    <n v="1.9020964787299002"/>
    <n v="9.2348849652220441E-2"/>
    <s v="CL386"/>
    <x v="3"/>
    <x v="2"/>
    <n v="9345"/>
    <n v="1"/>
    <x v="2"/>
  </r>
  <r>
    <s v="C387"/>
    <x v="386"/>
    <d v="2023-07-29T03:36:56"/>
    <x v="1"/>
    <n v="0"/>
    <n v="3861"/>
    <x v="0"/>
    <n v="4229"/>
    <n v="226"/>
    <n v="255"/>
    <n v="12977"/>
    <n v="5.3440529676046344E-2"/>
    <x v="386"/>
    <n v="55.818584070796462"/>
    <n v="49.470588235294116"/>
    <n v="3.2672882672882673"/>
    <n v="1.0286959968291716"/>
    <s v="CL387"/>
    <x v="1"/>
    <x v="0"/>
    <n v="12615"/>
    <n v="3"/>
    <x v="1"/>
  </r>
  <r>
    <s v="C388"/>
    <x v="387"/>
    <d v="2023-12-24T18:19:13"/>
    <x v="0"/>
    <n v="164.34251157407562"/>
    <n v="8002"/>
    <x v="0"/>
    <n v="8337"/>
    <n v="1143"/>
    <n v="383"/>
    <n v="12814"/>
    <n v="0.1370996761424973"/>
    <x v="387"/>
    <n v="3.3595800524934383"/>
    <n v="10.026109660574413"/>
    <n v="0.4798800299925019"/>
    <n v="3.3369791666666666"/>
    <s v="CL388"/>
    <x v="0"/>
    <x v="1"/>
    <n v="3840"/>
    <n v="5"/>
    <x v="0"/>
  </r>
  <r>
    <s v="C389"/>
    <x v="388"/>
    <d v="2023-05-08T01:47:13"/>
    <x v="0"/>
    <n v="52.420011574075033"/>
    <n v="9069"/>
    <x v="3"/>
    <n v="14103"/>
    <n v="1274"/>
    <n v="345"/>
    <n v="5596"/>
    <n v="9.0335389633411325E-2"/>
    <x v="388"/>
    <n v="5.2558869701726847"/>
    <n v="19.408695652173915"/>
    <n v="0.73833939794905723"/>
    <n v="0.83572281959378736"/>
    <s v="CL389"/>
    <x v="3"/>
    <x v="0"/>
    <n v="6696"/>
    <n v="5"/>
    <x v="0"/>
  </r>
  <r>
    <s v="C390"/>
    <x v="389"/>
    <d v="2024-10-28T02:13:51"/>
    <x v="1"/>
    <n v="0"/>
    <n v="2166"/>
    <x v="2"/>
    <n v="7121"/>
    <n v="1300"/>
    <n v="137"/>
    <n v="13691"/>
    <n v="0.1825586294059823"/>
    <x v="389"/>
    <n v="1.0592307692307692"/>
    <n v="10.051094890510949"/>
    <n v="0.6357340720221607"/>
    <n v="9.9426289034132171"/>
    <s v="CL390"/>
    <x v="1"/>
    <x v="1"/>
    <n v="1377"/>
    <n v="5"/>
    <x v="0"/>
  </r>
  <r>
    <s v="C391"/>
    <x v="390"/>
    <d v="2023-07-21T18:08:41"/>
    <x v="1"/>
    <n v="0"/>
    <n v="1691"/>
    <x v="3"/>
    <n v="18582"/>
    <n v="1560"/>
    <n v="168"/>
    <n v="534"/>
    <n v="8.3952211817888284E-2"/>
    <x v="390"/>
    <n v="4.1141025641025637"/>
    <n v="38.202380952380949"/>
    <n v="3.7953873447664104"/>
    <n v="8.3203490183857906E-2"/>
    <s v="CL391"/>
    <x v="3"/>
    <x v="0"/>
    <n v="6418"/>
    <n v="1"/>
    <x v="2"/>
  </r>
  <r>
    <s v="C392"/>
    <x v="391"/>
    <d v="2023-08-26T02:14:50"/>
    <x v="1"/>
    <n v="0"/>
    <n v="4990"/>
    <x v="1"/>
    <n v="17792"/>
    <n v="1967"/>
    <n v="261"/>
    <n v="7750"/>
    <n v="0.11055530575539568"/>
    <x v="391"/>
    <n v="8.7173360447381807"/>
    <n v="65.69731800766283"/>
    <n v="3.4362725450901803"/>
    <n v="0.45197410625765438"/>
    <s v="CL392"/>
    <x v="3"/>
    <x v="0"/>
    <n v="17147"/>
    <n v="2"/>
    <x v="1"/>
  </r>
  <r>
    <s v="C393"/>
    <x v="392"/>
    <d v="2024-07-27T12:24:27"/>
    <x v="1"/>
    <n v="0"/>
    <n v="1196"/>
    <x v="1"/>
    <n v="2329"/>
    <n v="268"/>
    <n v="69"/>
    <n v="4792"/>
    <n v="0.11507084585659082"/>
    <x v="392"/>
    <n v="16.134328358208954"/>
    <n v="62.666666666666664"/>
    <n v="3.6153846153846154"/>
    <n v="1.1082331174838114"/>
    <s v="CL393"/>
    <x v="1"/>
    <x v="0"/>
    <n v="4324"/>
    <n v="5"/>
    <x v="0"/>
  </r>
  <r>
    <s v="C394"/>
    <x v="393"/>
    <d v="2023-11-17T13:25:32"/>
    <x v="1"/>
    <n v="0"/>
    <n v="3077"/>
    <x v="2"/>
    <n v="14375"/>
    <n v="1427"/>
    <n v="469"/>
    <n v="5465"/>
    <n v="9.9269565217391303E-2"/>
    <x v="393"/>
    <n v="6.8605466012613876"/>
    <n v="20.874200426439231"/>
    <n v="3.181670458238544"/>
    <n v="0.55822267620020427"/>
    <s v="CL394"/>
    <x v="3"/>
    <x v="1"/>
    <n v="9790"/>
    <n v="5"/>
    <x v="0"/>
  </r>
  <r>
    <s v="C395"/>
    <x v="394"/>
    <d v="2024-10-08T02:27:07"/>
    <x v="0"/>
    <n v="18.104259259263927"/>
    <n v="2867"/>
    <x v="1"/>
    <n v="3783"/>
    <n v="1856"/>
    <n v="413"/>
    <n v="12037"/>
    <n v="0.49061591329632565"/>
    <x v="394"/>
    <n v="9.5678879310344822"/>
    <n v="42.997578692493946"/>
    <n v="6.1939309382629926"/>
    <n v="0.67783534181777227"/>
    <s v="CL395"/>
    <x v="0"/>
    <x v="2"/>
    <n v="17758"/>
    <n v="5"/>
    <x v="0"/>
  </r>
  <r>
    <s v="C396"/>
    <x v="395"/>
    <d v="2024-04-15T11:36:51"/>
    <x v="1"/>
    <n v="0"/>
    <n v="7300"/>
    <x v="1"/>
    <n v="6056"/>
    <n v="1513"/>
    <n v="399"/>
    <n v="4155"/>
    <n v="0.24983487450462352"/>
    <x v="395"/>
    <n v="3.6378056840713815"/>
    <n v="13.794486215538846"/>
    <n v="0.75397260273972599"/>
    <n v="0.75490552325581395"/>
    <s v="CL396"/>
    <x v="4"/>
    <x v="0"/>
    <n v="5504"/>
    <n v="4"/>
    <x v="0"/>
  </r>
  <r>
    <s v="C397"/>
    <x v="396"/>
    <d v="2023-12-19T02:12:58"/>
    <x v="1"/>
    <n v="0"/>
    <n v="8882"/>
    <x v="0"/>
    <n v="4404"/>
    <n v="796"/>
    <n v="337"/>
    <n v="1056"/>
    <n v="0.18074477747502271"/>
    <x v="396"/>
    <n v="18.002512562814072"/>
    <n v="42.52225519287834"/>
    <n v="1.6133753659085792"/>
    <n v="7.369155617585485E-2"/>
    <s v="CL397"/>
    <x v="4"/>
    <x v="2"/>
    <n v="14330"/>
    <n v="1"/>
    <x v="2"/>
  </r>
  <r>
    <s v="C398"/>
    <x v="397"/>
    <d v="2023-08-23T17:22:02"/>
    <x v="1"/>
    <n v="0"/>
    <n v="1927"/>
    <x v="1"/>
    <n v="7775"/>
    <n v="469"/>
    <n v="58"/>
    <n v="10080"/>
    <n v="6.0321543408360129E-2"/>
    <x v="397"/>
    <n v="28.882729211087419"/>
    <n v="233.55172413793105"/>
    <n v="7.0295796574987026"/>
    <n v="0.74413110881441014"/>
    <s v="CL398"/>
    <x v="1"/>
    <x v="0"/>
    <n v="13546"/>
    <n v="4"/>
    <x v="0"/>
  </r>
  <r>
    <s v="C399"/>
    <x v="398"/>
    <d v="2024-07-28T16:58:38"/>
    <x v="1"/>
    <n v="0"/>
    <n v="3404"/>
    <x v="0"/>
    <n v="11748"/>
    <n v="1017"/>
    <n v="267"/>
    <n v="10034"/>
    <n v="8.6567926455566907E-2"/>
    <x v="398"/>
    <n v="19.661750245821043"/>
    <n v="74.891385767790268"/>
    <n v="5.8742655699177435"/>
    <n v="0.50180036007201445"/>
    <s v="CL399"/>
    <x v="3"/>
    <x v="0"/>
    <n v="19996"/>
    <n v="3"/>
    <x v="1"/>
  </r>
  <r>
    <s v="C400"/>
    <x v="399"/>
    <d v="2024-07-02T06:37:05"/>
    <x v="1"/>
    <n v="0"/>
    <n v="2759"/>
    <x v="0"/>
    <n v="5464"/>
    <n v="1929"/>
    <n v="258"/>
    <n v="4870"/>
    <n v="0.35303806734992682"/>
    <x v="399"/>
    <n v="2.2306894764126493"/>
    <n v="16.678294573643409"/>
    <n v="1.5596230518303733"/>
    <n v="1.1317685335812224"/>
    <s v="CL400"/>
    <x v="3"/>
    <x v="2"/>
    <n v="4303"/>
    <n v="5"/>
    <x v="0"/>
  </r>
  <r>
    <s v="C401"/>
    <x v="400"/>
    <d v="2023-11-05T08:16:33"/>
    <x v="0"/>
    <n v="59.327083333329938"/>
    <n v="6840"/>
    <x v="1"/>
    <n v="17853"/>
    <n v="433"/>
    <n v="87"/>
    <n v="6891"/>
    <n v="2.425362684142721E-2"/>
    <x v="400"/>
    <n v="1.7598152424942264"/>
    <n v="8.7586206896551726"/>
    <n v="0.11140350877192982"/>
    <n v="9.043307086614174"/>
    <s v="CL401"/>
    <x v="2"/>
    <x v="1"/>
    <n v="762"/>
    <n v="2"/>
    <x v="1"/>
  </r>
  <r>
    <s v="C402"/>
    <x v="401"/>
    <d v="2024-12-12T03:38:28"/>
    <x v="0"/>
    <n v="235.3157407407416"/>
    <n v="1191"/>
    <x v="2"/>
    <n v="17041"/>
    <n v="134"/>
    <n v="407"/>
    <n v="10599"/>
    <n v="7.8633882988087562E-3"/>
    <x v="401"/>
    <n v="60.559701492537314"/>
    <n v="19.938574938574938"/>
    <n v="6.8136020151133501"/>
    <n v="1.3060998151571164"/>
    <s v="CL402"/>
    <x v="3"/>
    <x v="0"/>
    <n v="8115"/>
    <n v="3"/>
    <x v="1"/>
  </r>
  <r>
    <s v="C403"/>
    <x v="402"/>
    <d v="2023-11-15T11:03:53"/>
    <x v="1"/>
    <n v="0"/>
    <n v="5948"/>
    <x v="3"/>
    <n v="13974"/>
    <n v="1091"/>
    <n v="292"/>
    <n v="11148"/>
    <n v="7.807356519250036E-2"/>
    <x v="402"/>
    <n v="7.3363886342804765"/>
    <n v="27.410958904109588"/>
    <n v="1.3456624075319434"/>
    <n v="1.3928035982008995"/>
    <s v="CL403"/>
    <x v="0"/>
    <x v="1"/>
    <n v="8004"/>
    <n v="4"/>
    <x v="0"/>
  </r>
  <r>
    <s v="C404"/>
    <x v="403"/>
    <d v="2024-09-18T08:25:49"/>
    <x v="0"/>
    <n v="165.35150462963065"/>
    <n v="4607"/>
    <x v="2"/>
    <n v="15724"/>
    <n v="1338"/>
    <n v="32"/>
    <n v="1319"/>
    <n v="8.5092851691681501E-2"/>
    <x v="403"/>
    <n v="7.6420029895366222"/>
    <n v="319.53125"/>
    <n v="2.2194486650748861"/>
    <n v="0.12899755501222493"/>
    <s v="CL404"/>
    <x v="4"/>
    <x v="1"/>
    <n v="10225"/>
    <n v="1"/>
    <x v="2"/>
  </r>
  <r>
    <s v="C405"/>
    <x v="404"/>
    <d v="2023-09-11T14:37:11"/>
    <x v="1"/>
    <n v="0"/>
    <n v="4102"/>
    <x v="3"/>
    <n v="7332"/>
    <n v="576"/>
    <n v="117"/>
    <n v="12765"/>
    <n v="7.855973813420622E-2"/>
    <x v="404"/>
    <n v="23.901041666666668"/>
    <n v="117.66666666666667"/>
    <n v="3.3561677230619211"/>
    <n v="0.92721725866201787"/>
    <s v="CL405"/>
    <x v="0"/>
    <x v="0"/>
    <n v="13767"/>
    <n v="2"/>
    <x v="1"/>
  </r>
  <r>
    <s v="C406"/>
    <x v="405"/>
    <d v="2023-12-11T05:53:28"/>
    <x v="1"/>
    <n v="0"/>
    <n v="6450"/>
    <x v="0"/>
    <n v="15723"/>
    <n v="247"/>
    <n v="481"/>
    <n v="14396"/>
    <n v="1.5709470202887491E-2"/>
    <x v="405"/>
    <n v="50.890688259109311"/>
    <n v="26.133056133056133"/>
    <n v="1.9488372093023256"/>
    <n v="1.1452665075576771"/>
    <s v="CL406"/>
    <x v="0"/>
    <x v="0"/>
    <n v="12570"/>
    <n v="4"/>
    <x v="0"/>
  </r>
  <r>
    <s v="C407"/>
    <x v="406"/>
    <d v="2024-03-17T00:58:44"/>
    <x v="1"/>
    <n v="0"/>
    <n v="7845"/>
    <x v="2"/>
    <n v="19020"/>
    <n v="1327"/>
    <n v="236"/>
    <n v="5248"/>
    <n v="6.9768664563617244E-2"/>
    <x v="406"/>
    <n v="12.968349660889224"/>
    <n v="72.919491525423723"/>
    <n v="2.1936265137029953"/>
    <n v="0.3049567086989366"/>
    <s v="CL407"/>
    <x v="0"/>
    <x v="1"/>
    <n v="17209"/>
    <n v="1"/>
    <x v="2"/>
  </r>
  <r>
    <s v="C408"/>
    <x v="407"/>
    <d v="2024-10-24T23:57:27"/>
    <x v="1"/>
    <n v="0"/>
    <n v="1916"/>
    <x v="0"/>
    <n v="8882"/>
    <n v="949"/>
    <n v="230"/>
    <n v="6242"/>
    <n v="0.10684530511146138"/>
    <x v="407"/>
    <n v="5.2297154899894629"/>
    <n v="21.578260869565216"/>
    <n v="2.5902922755741127"/>
    <n v="1.2577070320370745"/>
    <s v="CL408"/>
    <x v="3"/>
    <x v="1"/>
    <n v="4963"/>
    <n v="1"/>
    <x v="2"/>
  </r>
  <r>
    <s v="C409"/>
    <x v="408"/>
    <d v="2024-10-20T16:34:34"/>
    <x v="0"/>
    <n v="281.46471064814978"/>
    <n v="3824"/>
    <x v="0"/>
    <n v="19696"/>
    <n v="1245"/>
    <n v="468"/>
    <n v="4470"/>
    <n v="6.3210804224207967E-2"/>
    <x v="408"/>
    <n v="13.327710843373493"/>
    <n v="35.455128205128204"/>
    <n v="4.3391736401673642"/>
    <n v="0.26939070692460676"/>
    <s v="CL409"/>
    <x v="3"/>
    <x v="0"/>
    <n v="16593"/>
    <n v="4"/>
    <x v="0"/>
  </r>
  <r>
    <s v="C410"/>
    <x v="409"/>
    <d v="2024-06-10T19:44:14"/>
    <x v="0"/>
    <n v="406.78212962962425"/>
    <n v="6089"/>
    <x v="1"/>
    <n v="2757"/>
    <n v="490"/>
    <n v="122"/>
    <n v="2677"/>
    <n v="0.17772941603191875"/>
    <x v="409"/>
    <n v="24.685714285714287"/>
    <n v="99.147540983606561"/>
    <n v="1.9865330924618163"/>
    <n v="0.2213128306878307"/>
    <s v="CL410"/>
    <x v="1"/>
    <x v="0"/>
    <n v="12096"/>
    <n v="4"/>
    <x v="0"/>
  </r>
  <r>
    <s v="C411"/>
    <x v="410"/>
    <d v="2024-06-20T00:46:03"/>
    <x v="1"/>
    <n v="0"/>
    <n v="8208"/>
    <x v="1"/>
    <n v="11319"/>
    <n v="197"/>
    <n v="147"/>
    <n v="11781"/>
    <n v="1.7404364343139852E-2"/>
    <x v="410"/>
    <n v="33.44670050761421"/>
    <n v="44.823129251700678"/>
    <n v="0.80275341130604283"/>
    <n v="1.7879799666110183"/>
    <s v="CL411"/>
    <x v="1"/>
    <x v="1"/>
    <n v="6589"/>
    <n v="4"/>
    <x v="0"/>
  </r>
  <r>
    <s v="C412"/>
    <x v="411"/>
    <d v="2024-10-16T06:15:39"/>
    <x v="1"/>
    <n v="0"/>
    <n v="2488"/>
    <x v="1"/>
    <n v="9278"/>
    <n v="1339"/>
    <n v="219"/>
    <n v="2817"/>
    <n v="0.14431989652942445"/>
    <x v="411"/>
    <n v="2.2150858849887975"/>
    <n v="13.543378995433789"/>
    <n v="1.1921221864951768"/>
    <n v="0.94976399190829397"/>
    <s v="CL412"/>
    <x v="4"/>
    <x v="2"/>
    <n v="2966"/>
    <n v="5"/>
    <x v="0"/>
  </r>
  <r>
    <s v="C413"/>
    <x v="412"/>
    <d v="2023-08-05T03:10:06"/>
    <x v="0"/>
    <n v="119.17152777777665"/>
    <n v="6774"/>
    <x v="1"/>
    <n v="13678"/>
    <n v="1422"/>
    <n v="488"/>
    <n v="10430"/>
    <n v="0.10396256762684603"/>
    <x v="412"/>
    <n v="2.5513361462728552"/>
    <n v="7.4344262295081966"/>
    <n v="0.53557720696781808"/>
    <n v="2.874862183020948"/>
    <s v="CL413"/>
    <x v="2"/>
    <x v="0"/>
    <n v="3628"/>
    <n v="1"/>
    <x v="2"/>
  </r>
  <r>
    <s v="C414"/>
    <x v="413"/>
    <d v="2024-01-16T01:38:10"/>
    <x v="0"/>
    <n v="40.555671296300716"/>
    <n v="1795"/>
    <x v="0"/>
    <n v="13476"/>
    <n v="1699"/>
    <n v="434"/>
    <n v="8932"/>
    <n v="0.12607598693974473"/>
    <x v="413"/>
    <n v="2.6044732195409064"/>
    <n v="10.195852534562212"/>
    <n v="2.4651810584958218"/>
    <n v="2.0185310734463275"/>
    <s v="CL414"/>
    <x v="3"/>
    <x v="0"/>
    <n v="4425"/>
    <n v="2"/>
    <x v="1"/>
  </r>
  <r>
    <s v="C415"/>
    <x v="414"/>
    <d v="2024-04-15T06:26:24"/>
    <x v="1"/>
    <n v="0"/>
    <n v="3347"/>
    <x v="0"/>
    <n v="19222"/>
    <n v="1141"/>
    <n v="171"/>
    <n v="8249"/>
    <n v="5.9359067734887111E-2"/>
    <x v="414"/>
    <n v="13.85626643295355"/>
    <n v="92.456140350877192"/>
    <n v="4.7236331042724826"/>
    <n v="0.52175838077166348"/>
    <s v="CL415"/>
    <x v="4"/>
    <x v="0"/>
    <n v="15810"/>
    <n v="1"/>
    <x v="2"/>
  </r>
  <r>
    <s v="C416"/>
    <x v="415"/>
    <d v="2024-05-17T07:22:33"/>
    <x v="0"/>
    <n v="278.43569444444438"/>
    <n v="6590"/>
    <x v="0"/>
    <n v="10235"/>
    <n v="1404"/>
    <n v="228"/>
    <n v="7288"/>
    <n v="0.13717635564240352"/>
    <x v="415"/>
    <n v="5.6068376068376065"/>
    <n v="34.526315789473685"/>
    <n v="1.1945371775417299"/>
    <n v="0.92581300813008127"/>
    <s v="CL416"/>
    <x v="0"/>
    <x v="0"/>
    <n v="7872"/>
    <n v="3"/>
    <x v="1"/>
  </r>
  <r>
    <s v="C417"/>
    <x v="416"/>
    <d v="2024-07-30T13:46:19"/>
    <x v="1"/>
    <n v="0"/>
    <n v="2648"/>
    <x v="3"/>
    <n v="3559"/>
    <n v="699"/>
    <n v="246"/>
    <n v="14090"/>
    <n v="0.19640348412475414"/>
    <x v="416"/>
    <n v="24.254649499284692"/>
    <n v="68.918699186991873"/>
    <n v="6.4025679758308156"/>
    <n v="0.83107231331839093"/>
    <s v="CL417"/>
    <x v="1"/>
    <x v="2"/>
    <n v="16954"/>
    <n v="4"/>
    <x v="0"/>
  </r>
  <r>
    <s v="C418"/>
    <x v="417"/>
    <d v="2024-10-29T07:49:40"/>
    <x v="1"/>
    <n v="0"/>
    <n v="7904"/>
    <x v="2"/>
    <n v="17575"/>
    <n v="1423"/>
    <n v="145"/>
    <n v="3301"/>
    <n v="8.0967283072546234E-2"/>
    <x v="417"/>
    <n v="1.7990161630358397"/>
    <n v="17.655172413793103"/>
    <n v="0.32388663967611336"/>
    <n v="1.2894531250000001"/>
    <s v="CL418"/>
    <x v="4"/>
    <x v="2"/>
    <n v="2560"/>
    <n v="1"/>
    <x v="2"/>
  </r>
  <r>
    <s v="C419"/>
    <x v="418"/>
    <d v="2024-12-22T16:04:37"/>
    <x v="1"/>
    <n v="0"/>
    <n v="9634"/>
    <x v="0"/>
    <n v="19247"/>
    <n v="982"/>
    <n v="95"/>
    <n v="9774"/>
    <n v="5.1020938328051123E-2"/>
    <x v="418"/>
    <n v="17.553971486761711"/>
    <n v="181.45263157894738"/>
    <n v="1.7892879385509652"/>
    <n v="0.56700313261399238"/>
    <s v="CL419"/>
    <x v="0"/>
    <x v="2"/>
    <n v="17238"/>
    <n v="1"/>
    <x v="2"/>
  </r>
  <r>
    <s v="C420"/>
    <x v="419"/>
    <d v="2024-03-06T23:54:56"/>
    <x v="1"/>
    <n v="0"/>
    <n v="1942"/>
    <x v="1"/>
    <n v="13041"/>
    <n v="1259"/>
    <n v="141"/>
    <n v="4847"/>
    <n v="9.6541676251821182E-2"/>
    <x v="419"/>
    <n v="14.430500397140587"/>
    <n v="128.85106382978722"/>
    <n v="9.3553038105046351"/>
    <n v="0.26678775869660942"/>
    <s v="CL420"/>
    <x v="4"/>
    <x v="2"/>
    <n v="18168"/>
    <n v="2"/>
    <x v="1"/>
  </r>
  <r>
    <s v="C421"/>
    <x v="420"/>
    <d v="2024-04-24T12:43:05"/>
    <x v="1"/>
    <n v="0"/>
    <n v="2572"/>
    <x v="1"/>
    <n v="5148"/>
    <n v="1664"/>
    <n v="346"/>
    <n v="587"/>
    <n v="0.32323232323232326"/>
    <x v="420"/>
    <n v="1.2578125"/>
    <n v="6.0491329479768785"/>
    <n v="0.81376360808709181"/>
    <n v="0.28045867176301958"/>
    <s v="CL421"/>
    <x v="1"/>
    <x v="1"/>
    <n v="2093"/>
    <n v="5"/>
    <x v="0"/>
  </r>
  <r>
    <s v="C422"/>
    <x v="421"/>
    <d v="2024-12-16T17:08:42"/>
    <x v="0"/>
    <n v="531.17150462963036"/>
    <n v="4464"/>
    <x v="3"/>
    <n v="2953"/>
    <n v="267"/>
    <n v="215"/>
    <n v="3020"/>
    <n v="9.0416525567219783E-2"/>
    <x v="421"/>
    <n v="67.970037453183522"/>
    <n v="84.409302325581393"/>
    <n v="4.0654121863799286"/>
    <n v="0.16640952171038131"/>
    <s v="CL422"/>
    <x v="3"/>
    <x v="2"/>
    <n v="18148"/>
    <n v="1"/>
    <x v="2"/>
  </r>
  <r>
    <s v="C423"/>
    <x v="422"/>
    <d v="2024-12-28T19:42:42"/>
    <x v="0"/>
    <n v="547.8219328703708"/>
    <n v="9336"/>
    <x v="1"/>
    <n v="8451"/>
    <n v="1570"/>
    <n v="425"/>
    <n v="12153"/>
    <n v="0.18577683114424329"/>
    <x v="422"/>
    <n v="7.8261146496815286"/>
    <n v="28.910588235294117"/>
    <n v="1.3160882604970008"/>
    <n v="0.98909416456417354"/>
    <s v="CL423"/>
    <x v="3"/>
    <x v="1"/>
    <n v="12287"/>
    <n v="1"/>
    <x v="2"/>
  </r>
  <r>
    <s v="C424"/>
    <x v="423"/>
    <d v="2023-10-07T20:52:07"/>
    <x v="1"/>
    <n v="0"/>
    <n v="1380"/>
    <x v="3"/>
    <n v="4780"/>
    <n v="912"/>
    <n v="326"/>
    <n v="4654"/>
    <n v="0.19079497907949791"/>
    <x v="423"/>
    <n v="14.987938596491228"/>
    <n v="41.929447852760738"/>
    <n v="9.905072463768116"/>
    <n v="0.34047845489794426"/>
    <s v="CL424"/>
    <x v="3"/>
    <x v="0"/>
    <n v="13669"/>
    <n v="4"/>
    <x v="0"/>
  </r>
  <r>
    <s v="C425"/>
    <x v="424"/>
    <d v="2024-11-12T18:28:09"/>
    <x v="1"/>
    <n v="0"/>
    <n v="1880"/>
    <x v="0"/>
    <n v="10981"/>
    <n v="697"/>
    <n v="211"/>
    <n v="14584"/>
    <n v="6.3473272015299148E-2"/>
    <x v="424"/>
    <n v="17.680057388809182"/>
    <n v="58.402843601895732"/>
    <n v="6.5547872340425535"/>
    <n v="1.183478049176337"/>
    <s v="CL425"/>
    <x v="3"/>
    <x v="0"/>
    <n v="12323"/>
    <n v="2"/>
    <x v="1"/>
  </r>
  <r>
    <s v="C426"/>
    <x v="425"/>
    <d v="2023-10-28T04:23:31"/>
    <x v="0"/>
    <n v="46.893773148149194"/>
    <n v="7268"/>
    <x v="1"/>
    <n v="7972"/>
    <n v="237"/>
    <n v="317"/>
    <n v="6477"/>
    <n v="2.9729051680883092E-2"/>
    <x v="425"/>
    <n v="83.877637130801688"/>
    <n v="62.709779179810724"/>
    <n v="2.7351403412217943"/>
    <n v="0.32582121837114542"/>
    <s v="CL426"/>
    <x v="2"/>
    <x v="2"/>
    <n v="19879"/>
    <n v="5"/>
    <x v="0"/>
  </r>
  <r>
    <s v="C427"/>
    <x v="426"/>
    <d v="2024-12-25T13:08:55"/>
    <x v="1"/>
    <n v="0"/>
    <n v="5779"/>
    <x v="3"/>
    <n v="10108"/>
    <n v="1520"/>
    <n v="320"/>
    <n v="10359"/>
    <n v="0.15037593984962405"/>
    <x v="426"/>
    <n v="7.8348684210526311"/>
    <n v="37.215625000000003"/>
    <n v="2.0607371517563591"/>
    <n v="0.86984633470484507"/>
    <s v="CL427"/>
    <x v="4"/>
    <x v="2"/>
    <n v="11909"/>
    <n v="5"/>
    <x v="0"/>
  </r>
  <r>
    <s v="C428"/>
    <x v="427"/>
    <d v="2024-07-15T08:52:22"/>
    <x v="0"/>
    <n v="70.596724537033879"/>
    <n v="8027"/>
    <x v="2"/>
    <n v="11224"/>
    <n v="343"/>
    <n v="285"/>
    <n v="12267"/>
    <n v="3.0559515324305061E-2"/>
    <x v="427"/>
    <n v="37.895043731778422"/>
    <n v="45.607017543859648"/>
    <n v="1.6192849134172169"/>
    <n v="0.94376057855054629"/>
    <s v="CL428"/>
    <x v="1"/>
    <x v="2"/>
    <n v="12998"/>
    <n v="5"/>
    <x v="0"/>
  </r>
  <r>
    <s v="C429"/>
    <x v="428"/>
    <d v="2024-01-21T12:52:42"/>
    <x v="0"/>
    <n v="334.75247685184877"/>
    <n v="1550"/>
    <x v="1"/>
    <n v="19280"/>
    <n v="1234"/>
    <n v="301"/>
    <n v="9835"/>
    <n v="6.4004149377593356E-2"/>
    <x v="428"/>
    <n v="6.8727714748784443"/>
    <n v="28.176079734219268"/>
    <n v="5.4716129032258065"/>
    <n v="1.1596509845537082"/>
    <s v="CL429"/>
    <x v="0"/>
    <x v="0"/>
    <n v="8481"/>
    <n v="5"/>
    <x v="0"/>
  </r>
  <r>
    <s v="C430"/>
    <x v="429"/>
    <d v="2024-11-14T12:45:31"/>
    <x v="0"/>
    <n v="552.10975694443914"/>
    <n v="8114"/>
    <x v="3"/>
    <n v="6964"/>
    <n v="526"/>
    <n v="208"/>
    <n v="13836"/>
    <n v="7.5531303848363013E-2"/>
    <x v="429"/>
    <n v="1.0722433460076046"/>
    <n v="2.7115384615384617"/>
    <n v="6.9509489770766583E-2"/>
    <n v="24.531914893617021"/>
    <s v="CL430"/>
    <x v="0"/>
    <x v="1"/>
    <n v="564"/>
    <n v="2"/>
    <x v="1"/>
  </r>
  <r>
    <s v="C431"/>
    <x v="430"/>
    <d v="2024-10-15T18:07:23"/>
    <x v="0"/>
    <n v="633.53788194444496"/>
    <n v="3919"/>
    <x v="1"/>
    <n v="16035"/>
    <n v="925"/>
    <n v="97"/>
    <n v="14747"/>
    <n v="5.7686311194262548E-2"/>
    <x v="430"/>
    <n v="2.4367567567567567"/>
    <n v="23.237113402061855"/>
    <n v="0.57514672110232201"/>
    <n v="6.5425909494232473"/>
    <s v="CL431"/>
    <x v="2"/>
    <x v="0"/>
    <n v="2254"/>
    <n v="3"/>
    <x v="1"/>
  </r>
  <r>
    <s v="C432"/>
    <x v="431"/>
    <d v="2024-04-13T12:44:32"/>
    <x v="1"/>
    <n v="0"/>
    <n v="8655"/>
    <x v="3"/>
    <n v="4770"/>
    <n v="1268"/>
    <n v="142"/>
    <n v="774"/>
    <n v="0.2658280922431866"/>
    <x v="431"/>
    <n v="8.7168769716088335"/>
    <n v="77.838028169014081"/>
    <n v="1.2770652801848643"/>
    <n v="7.0026237220664075E-2"/>
    <s v="CL432"/>
    <x v="0"/>
    <x v="1"/>
    <n v="11053"/>
    <n v="3"/>
    <x v="1"/>
  </r>
  <r>
    <s v="C433"/>
    <x v="432"/>
    <d v="2024-02-11T12:07:29"/>
    <x v="0"/>
    <n v="52.50238425925636"/>
    <n v="7806"/>
    <x v="2"/>
    <n v="4961"/>
    <n v="1295"/>
    <n v="294"/>
    <n v="14583"/>
    <n v="0.26103608143519452"/>
    <x v="432"/>
    <n v="5.3111969111969115"/>
    <n v="23.394557823129251"/>
    <n v="0.88111708941839606"/>
    <n v="2.1202384414073858"/>
    <s v="CL433"/>
    <x v="2"/>
    <x v="2"/>
    <n v="6878"/>
    <n v="1"/>
    <x v="2"/>
  </r>
  <r>
    <s v="C434"/>
    <x v="433"/>
    <d v="2024-01-24T06:43:37"/>
    <x v="1"/>
    <n v="0"/>
    <n v="7451"/>
    <x v="1"/>
    <n v="7670"/>
    <n v="1880"/>
    <n v="118"/>
    <n v="7190"/>
    <n v="0.24511082138200782"/>
    <x v="433"/>
    <n v="8.4095744680851059"/>
    <n v="133.98305084745763"/>
    <n v="2.1218628372030599"/>
    <n v="0.45477545857052498"/>
    <s v="CL434"/>
    <x v="1"/>
    <x v="0"/>
    <n v="15810"/>
    <n v="5"/>
    <x v="0"/>
  </r>
  <r>
    <s v="C435"/>
    <x v="434"/>
    <d v="2024-10-13T00:00:36"/>
    <x v="0"/>
    <n v="433.3972106481524"/>
    <n v="6639"/>
    <x v="0"/>
    <n v="6989"/>
    <n v="311"/>
    <n v="73"/>
    <n v="11310"/>
    <n v="4.4498497639147233E-2"/>
    <x v="434"/>
    <n v="7.321543408360129"/>
    <n v="31.19178082191781"/>
    <n v="0.34297333935833713"/>
    <n v="4.9670619235836631"/>
    <s v="CL435"/>
    <x v="1"/>
    <x v="1"/>
    <n v="2277"/>
    <n v="1"/>
    <x v="2"/>
  </r>
  <r>
    <s v="C436"/>
    <x v="435"/>
    <d v="2024-06-12T12:38:52"/>
    <x v="1"/>
    <n v="0"/>
    <n v="4870"/>
    <x v="2"/>
    <n v="7372"/>
    <n v="892"/>
    <n v="360"/>
    <n v="7410"/>
    <n v="0.12099837221920781"/>
    <x v="435"/>
    <n v="12.414798206278027"/>
    <n v="30.761111111111113"/>
    <n v="2.2739219712525669"/>
    <n v="0.66913491060140873"/>
    <s v="CL436"/>
    <x v="1"/>
    <x v="0"/>
    <n v="11074"/>
    <n v="2"/>
    <x v="1"/>
  </r>
  <r>
    <s v="C437"/>
    <x v="436"/>
    <d v="2024-03-19T10:15:03"/>
    <x v="1"/>
    <n v="0"/>
    <n v="1521"/>
    <x v="3"/>
    <n v="15203"/>
    <n v="603"/>
    <n v="255"/>
    <n v="2854"/>
    <n v="3.9663224363612443E-2"/>
    <x v="436"/>
    <n v="25.384742951907132"/>
    <n v="60.02745098039216"/>
    <n v="10.063773833004602"/>
    <n v="0.18645064349643953"/>
    <s v="CL437"/>
    <x v="3"/>
    <x v="2"/>
    <n v="15307"/>
    <n v="2"/>
    <x v="1"/>
  </r>
  <r>
    <s v="C438"/>
    <x v="437"/>
    <d v="2024-07-09T15:22:10"/>
    <x v="0"/>
    <n v="232.06148148147622"/>
    <n v="1306"/>
    <x v="0"/>
    <n v="7355"/>
    <n v="1272"/>
    <n v="26"/>
    <n v="3853"/>
    <n v="0.17294357579877634"/>
    <x v="437"/>
    <n v="2.0534591194968552"/>
    <n v="100.46153846153847"/>
    <n v="2"/>
    <n v="1.4751148545176109"/>
    <s v="CL438"/>
    <x v="1"/>
    <x v="0"/>
    <n v="2612"/>
    <n v="2"/>
    <x v="1"/>
  </r>
  <r>
    <s v="C439"/>
    <x v="438"/>
    <d v="2024-09-20T11:23:20"/>
    <x v="1"/>
    <n v="0"/>
    <n v="8706"/>
    <x v="2"/>
    <n v="19396"/>
    <n v="1444"/>
    <n v="372"/>
    <n v="4445"/>
    <n v="7.4448339863889462E-2"/>
    <x v="438"/>
    <n v="7.7583102493074794"/>
    <n v="30.115591397849464"/>
    <n v="1.2868136917068689"/>
    <n v="0.39676872266357227"/>
    <s v="CL439"/>
    <x v="4"/>
    <x v="0"/>
    <n v="11203"/>
    <n v="2"/>
    <x v="1"/>
  </r>
  <r>
    <s v="C440"/>
    <x v="439"/>
    <d v="2024-04-09T07:29:10"/>
    <x v="0"/>
    <n v="65.267418981486117"/>
    <n v="7073"/>
    <x v="3"/>
    <n v="8727"/>
    <n v="1663"/>
    <n v="40"/>
    <n v="7968"/>
    <n v="0.19055803827202933"/>
    <x v="439"/>
    <n v="9.1076368009621174"/>
    <n v="378.65"/>
    <n v="2.1413827230312457"/>
    <n v="0.52607949293542855"/>
    <s v="CL440"/>
    <x v="4"/>
    <x v="1"/>
    <n v="15146"/>
    <n v="5"/>
    <x v="0"/>
  </r>
  <r>
    <s v="C441"/>
    <x v="440"/>
    <d v="2024-08-09T06:24:07"/>
    <x v="1"/>
    <n v="0"/>
    <n v="4673"/>
    <x v="3"/>
    <n v="19276"/>
    <n v="1017"/>
    <n v="196"/>
    <n v="655"/>
    <n v="5.2759908694749946E-2"/>
    <x v="440"/>
    <n v="1.2713864306784661"/>
    <n v="6.5969387755102042"/>
    <n v="0.27669591268992083"/>
    <n v="0.50657385924207265"/>
    <s v="CL441"/>
    <x v="1"/>
    <x v="2"/>
    <n v="1293"/>
    <n v="1"/>
    <x v="2"/>
  </r>
  <r>
    <s v="C442"/>
    <x v="441"/>
    <d v="2024-07-31T16:53:35"/>
    <x v="0"/>
    <n v="129.19888888888818"/>
    <n v="4653"/>
    <x v="3"/>
    <n v="16758"/>
    <n v="996"/>
    <n v="262"/>
    <n v="1275"/>
    <n v="5.9434300035803793E-2"/>
    <x v="441"/>
    <n v="1.072289156626506"/>
    <n v="4.0763358778625953"/>
    <n v="0.22952933591231464"/>
    <n v="1.1938202247191012"/>
    <s v="CL442"/>
    <x v="4"/>
    <x v="1"/>
    <n v="1068"/>
    <n v="4"/>
    <x v="0"/>
  </r>
  <r>
    <s v="C443"/>
    <x v="442"/>
    <d v="2023-11-11T09:24:26"/>
    <x v="0"/>
    <n v="102.17032407407532"/>
    <n v="6620"/>
    <x v="2"/>
    <n v="15455"/>
    <n v="982"/>
    <n v="76"/>
    <n v="2345"/>
    <n v="6.3539307667421552E-2"/>
    <x v="442"/>
    <n v="3.718940936863544"/>
    <n v="48.05263157894737"/>
    <n v="0.55166163141993962"/>
    <n v="0.64211391018619934"/>
    <s v="CL443"/>
    <x v="0"/>
    <x v="0"/>
    <n v="3652"/>
    <n v="2"/>
    <x v="1"/>
  </r>
  <r>
    <s v="C444"/>
    <x v="443"/>
    <d v="2024-05-14T07:09:59"/>
    <x v="0"/>
    <n v="465.21112268518482"/>
    <n v="1105"/>
    <x v="1"/>
    <n v="10272"/>
    <n v="1740"/>
    <n v="33"/>
    <n v="13700"/>
    <n v="0.16939252336448599"/>
    <x v="443"/>
    <n v="8.1919540229885062"/>
    <n v="431.93939393939394"/>
    <n v="12.899547511312218"/>
    <n v="0.96113371685141014"/>
    <s v="CL444"/>
    <x v="2"/>
    <x v="2"/>
    <n v="14254"/>
    <n v="5"/>
    <x v="0"/>
  </r>
  <r>
    <s v="C445"/>
    <x v="444"/>
    <d v="2024-11-12T22:30:05"/>
    <x v="0"/>
    <n v="76.501875000001746"/>
    <n v="1155"/>
    <x v="2"/>
    <n v="6308"/>
    <n v="930"/>
    <n v="234"/>
    <n v="7894"/>
    <n v="0.14743183259353201"/>
    <x v="444"/>
    <n v="12.316129032258065"/>
    <n v="48.948717948717949"/>
    <n v="9.9168831168831169"/>
    <n v="0.68919154880391131"/>
    <s v="CL445"/>
    <x v="3"/>
    <x v="2"/>
    <n v="11454"/>
    <n v="5"/>
    <x v="0"/>
  </r>
  <r>
    <s v="C446"/>
    <x v="445"/>
    <d v="2024-07-05T07:20:04"/>
    <x v="1"/>
    <n v="0"/>
    <n v="9362"/>
    <x v="0"/>
    <n v="15866"/>
    <n v="335"/>
    <n v="133"/>
    <n v="9491"/>
    <n v="2.1114332534980462E-2"/>
    <x v="445"/>
    <n v="29.220895522388059"/>
    <n v="73.601503759398497"/>
    <n v="1.0456099124118778"/>
    <n v="0.96955766676882216"/>
    <s v="CL446"/>
    <x v="1"/>
    <x v="2"/>
    <n v="9789"/>
    <n v="3"/>
    <x v="1"/>
  </r>
  <r>
    <s v="C447"/>
    <x v="446"/>
    <d v="2024-12-23T02:22:37"/>
    <x v="1"/>
    <n v="0"/>
    <n v="2847"/>
    <x v="2"/>
    <n v="7767"/>
    <n v="462"/>
    <n v="323"/>
    <n v="6640"/>
    <n v="5.9482425646967943E-2"/>
    <x v="446"/>
    <n v="26.666666666666668"/>
    <n v="38.142414860681114"/>
    <n v="4.3273621355813141"/>
    <n v="0.53896103896103897"/>
    <s v="CL447"/>
    <x v="0"/>
    <x v="2"/>
    <n v="12320"/>
    <n v="5"/>
    <x v="0"/>
  </r>
  <r>
    <s v="C448"/>
    <x v="447"/>
    <d v="2024-07-03T21:35:55"/>
    <x v="0"/>
    <n v="467.80851851851912"/>
    <n v="9669"/>
    <x v="0"/>
    <n v="16212"/>
    <n v="482"/>
    <n v="316"/>
    <n v="3472"/>
    <n v="2.9731063409819885E-2"/>
    <x v="447"/>
    <n v="8.8443983402489632"/>
    <n v="13.490506329113924"/>
    <n v="0.44089357741234875"/>
    <n v="0.81444991789819376"/>
    <s v="CL448"/>
    <x v="0"/>
    <x v="1"/>
    <n v="4263"/>
    <n v="2"/>
    <x v="1"/>
  </r>
  <r>
    <s v="C449"/>
    <x v="448"/>
    <d v="2023-11-20T09:34:25"/>
    <x v="0"/>
    <n v="228.79679398147709"/>
    <n v="8935"/>
    <x v="0"/>
    <n v="7211"/>
    <n v="1739"/>
    <n v="119"/>
    <n v="13906"/>
    <n v="0.241159339897379"/>
    <x v="448"/>
    <n v="0.71132834962622193"/>
    <n v="10.394957983193278"/>
    <n v="0.13844432008953553"/>
    <n v="11.241713823767178"/>
    <s v="CL449"/>
    <x v="1"/>
    <x v="1"/>
    <n v="1237"/>
    <n v="1"/>
    <x v="2"/>
  </r>
  <r>
    <s v="C450"/>
    <x v="449"/>
    <d v="2024-07-03T01:04:17"/>
    <x v="0"/>
    <n v="276.08274305555824"/>
    <n v="6769"/>
    <x v="0"/>
    <n v="10377"/>
    <n v="836"/>
    <n v="247"/>
    <n v="13953"/>
    <n v="8.0562783077960873E-2"/>
    <x v="449"/>
    <n v="15.088516746411484"/>
    <n v="51.068825910931174"/>
    <n v="1.8634953464322648"/>
    <n v="1.1061518947201523"/>
    <s v="CL450"/>
    <x v="4"/>
    <x v="2"/>
    <n v="12614"/>
    <n v="2"/>
    <x v="1"/>
  </r>
  <r>
    <s v="C451"/>
    <x v="450"/>
    <d v="2023-04-10T14:49:26"/>
    <x v="1"/>
    <n v="0"/>
    <n v="3197"/>
    <x v="3"/>
    <n v="17617"/>
    <n v="844"/>
    <n v="491"/>
    <n v="9626"/>
    <n v="4.7908270420616447E-2"/>
    <x v="450"/>
    <n v="12.548578199052132"/>
    <n v="21.570264765784113"/>
    <n v="3.3127932436659369"/>
    <n v="0.90888490227551699"/>
    <s v="CL451"/>
    <x v="0"/>
    <x v="0"/>
    <n v="10591"/>
    <n v="1"/>
    <x v="2"/>
  </r>
  <r>
    <s v="C452"/>
    <x v="451"/>
    <d v="2024-07-02T06:49:08"/>
    <x v="1"/>
    <n v="0"/>
    <n v="3690"/>
    <x v="0"/>
    <n v="1710"/>
    <n v="875"/>
    <n v="197"/>
    <n v="969"/>
    <n v="0.51169590643274854"/>
    <x v="451"/>
    <n v="13.922285714285714"/>
    <n v="61.837563451776653"/>
    <n v="3.3013550135501357"/>
    <n v="7.9543588901658191E-2"/>
    <s v="CL452"/>
    <x v="3"/>
    <x v="0"/>
    <n v="12182"/>
    <n v="4"/>
    <x v="0"/>
  </r>
  <r>
    <s v="C453"/>
    <x v="452"/>
    <d v="2023-12-06T11:09:16"/>
    <x v="0"/>
    <n v="107.67819444444467"/>
    <n v="9098"/>
    <x v="0"/>
    <n v="15596"/>
    <n v="1097"/>
    <n v="418"/>
    <n v="10166"/>
    <n v="7.0338548345729668E-2"/>
    <x v="452"/>
    <n v="15.263445761166819"/>
    <n v="40.057416267942585"/>
    <n v="1.8404044845020884"/>
    <n v="0.6071428571428571"/>
    <s v="CL453"/>
    <x v="2"/>
    <x v="2"/>
    <n v="16744"/>
    <n v="1"/>
    <x v="2"/>
  </r>
  <r>
    <s v="C454"/>
    <x v="453"/>
    <d v="2024-11-05T03:54:54"/>
    <x v="1"/>
    <n v="0"/>
    <n v="5380"/>
    <x v="1"/>
    <n v="19743"/>
    <n v="1807"/>
    <n v="108"/>
    <n v="7842"/>
    <n v="9.1526110520184376E-2"/>
    <x v="453"/>
    <n v="0.98505810736026567"/>
    <n v="16.481481481481481"/>
    <n v="0.33085501858736061"/>
    <n v="4.4056179775280899"/>
    <s v="CL454"/>
    <x v="4"/>
    <x v="1"/>
    <n v="1780"/>
    <n v="4"/>
    <x v="0"/>
  </r>
  <r>
    <s v="C455"/>
    <x v="454"/>
    <d v="2023-08-11T16:25:25"/>
    <x v="1"/>
    <n v="0"/>
    <n v="4545"/>
    <x v="0"/>
    <n v="5818"/>
    <n v="1390"/>
    <n v="227"/>
    <n v="11523"/>
    <n v="0.23891371605362668"/>
    <x v="454"/>
    <n v="12.496402877697841"/>
    <n v="76.519823788546262"/>
    <n v="3.8217821782178216"/>
    <n v="0.66338514680483596"/>
    <s v="CL455"/>
    <x v="4"/>
    <x v="1"/>
    <n v="17370"/>
    <n v="5"/>
    <x v="0"/>
  </r>
  <r>
    <s v="C456"/>
    <x v="455"/>
    <d v="2024-05-19T00:19:21"/>
    <x v="0"/>
    <n v="407.83505787036847"/>
    <n v="5719"/>
    <x v="3"/>
    <n v="1528"/>
    <n v="1896"/>
    <n v="281"/>
    <n v="3912"/>
    <n v="1.2408376963350785"/>
    <x v="455"/>
    <n v="7.0421940928270041"/>
    <n v="47.516014234875442"/>
    <n v="2.3346738940374192"/>
    <n v="0.29298981426003595"/>
    <s v="CL456"/>
    <x v="0"/>
    <x v="2"/>
    <n v="13352"/>
    <n v="4"/>
    <x v="0"/>
  </r>
  <r>
    <s v="C457"/>
    <x v="456"/>
    <d v="2024-05-07T01:17:10"/>
    <x v="0"/>
    <n v="70.601076388884394"/>
    <n v="5000"/>
    <x v="3"/>
    <n v="16684"/>
    <n v="1395"/>
    <n v="414"/>
    <n v="9107"/>
    <n v="8.3613042435866702E-2"/>
    <x v="456"/>
    <n v="7.268817204301075"/>
    <n v="24.492753623188406"/>
    <n v="2.028"/>
    <n v="0.8981262327416174"/>
    <s v="CL457"/>
    <x v="2"/>
    <x v="1"/>
    <n v="10140"/>
    <n v="3"/>
    <x v="1"/>
  </r>
  <r>
    <s v="C458"/>
    <x v="457"/>
    <d v="2024-09-15T02:44:15"/>
    <x v="1"/>
    <n v="0"/>
    <n v="5352"/>
    <x v="3"/>
    <n v="13353"/>
    <n v="1427"/>
    <n v="216"/>
    <n v="13510"/>
    <n v="0.10686737062832323"/>
    <x v="457"/>
    <n v="5.4519971969166079"/>
    <n v="36.018518518518519"/>
    <n v="1.4536621823617339"/>
    <n v="1.736503856041131"/>
    <s v="CL458"/>
    <x v="4"/>
    <x v="2"/>
    <n v="7780"/>
    <n v="5"/>
    <x v="0"/>
  </r>
  <r>
    <s v="C459"/>
    <x v="458"/>
    <d v="2023-04-26T03:21:58"/>
    <x v="1"/>
    <n v="0"/>
    <n v="1904"/>
    <x v="2"/>
    <n v="12681"/>
    <n v="1433"/>
    <n v="499"/>
    <n v="11315"/>
    <n v="0.11300370633230818"/>
    <x v="458"/>
    <n v="9.9441730635031398"/>
    <n v="28.557114228456914"/>
    <n v="7.4842436974789912"/>
    <n v="0.7940350877192982"/>
    <s v="CL459"/>
    <x v="2"/>
    <x v="0"/>
    <n v="14250"/>
    <n v="4"/>
    <x v="0"/>
  </r>
  <r>
    <s v="C460"/>
    <x v="459"/>
    <d v="2024-06-19T17:46:57"/>
    <x v="1"/>
    <n v="0"/>
    <n v="4754"/>
    <x v="2"/>
    <n v="13740"/>
    <n v="1339"/>
    <n v="102"/>
    <n v="8743"/>
    <n v="9.7452692867540033E-2"/>
    <x v="459"/>
    <n v="6.5810306198655715"/>
    <n v="86.392156862745097"/>
    <n v="1.8535969709718132"/>
    <n v="0.99216976849750338"/>
    <s v="CL460"/>
    <x v="1"/>
    <x v="0"/>
    <n v="8812"/>
    <n v="4"/>
    <x v="0"/>
  </r>
  <r>
    <s v="C461"/>
    <x v="460"/>
    <d v="2024-08-06T01:29:25"/>
    <x v="0"/>
    <n v="416.76984953703504"/>
    <n v="7742"/>
    <x v="2"/>
    <n v="11872"/>
    <n v="255"/>
    <n v="169"/>
    <n v="5483"/>
    <n v="2.147911051212938E-2"/>
    <x v="460"/>
    <n v="59.505882352941178"/>
    <n v="89.786982248520715"/>
    <n v="1.9599586670111082"/>
    <n v="0.3613417688150784"/>
    <s v="CL461"/>
    <x v="3"/>
    <x v="0"/>
    <n v="15174"/>
    <n v="2"/>
    <x v="1"/>
  </r>
  <r>
    <s v="C462"/>
    <x v="461"/>
    <d v="2024-10-10T22:47:54"/>
    <x v="0"/>
    <n v="616.5757754629667"/>
    <n v="8604"/>
    <x v="1"/>
    <n v="4277"/>
    <n v="1010"/>
    <n v="381"/>
    <n v="13221"/>
    <n v="0.23614683189151275"/>
    <x v="461"/>
    <n v="16.136633663366336"/>
    <n v="42.776902887139109"/>
    <n v="1.894235239423524"/>
    <n v="0.8112038286906369"/>
    <s v="CL462"/>
    <x v="2"/>
    <x v="2"/>
    <n v="16298"/>
    <n v="1"/>
    <x v="2"/>
  </r>
  <r>
    <s v="C463"/>
    <x v="462"/>
    <d v="2024-02-12T17:12:21"/>
    <x v="1"/>
    <n v="0"/>
    <n v="5104"/>
    <x v="3"/>
    <n v="12723"/>
    <n v="167"/>
    <n v="37"/>
    <n v="7221"/>
    <n v="1.312583510178417E-2"/>
    <x v="462"/>
    <n v="64.844311377245504"/>
    <n v="292.67567567567568"/>
    <n v="2.1216692789968654"/>
    <n v="0.66682057438359954"/>
    <s v="CL463"/>
    <x v="2"/>
    <x v="2"/>
    <n v="10829"/>
    <n v="5"/>
    <x v="0"/>
  </r>
  <r>
    <s v="C464"/>
    <x v="463"/>
    <d v="2024-08-27T22:24:39"/>
    <x v="1"/>
    <n v="0"/>
    <n v="4883"/>
    <x v="0"/>
    <n v="6129"/>
    <n v="848"/>
    <n v="298"/>
    <n v="4256"/>
    <n v="0.13835862294012075"/>
    <x v="463"/>
    <n v="8.8761792452830193"/>
    <n v="25.258389261744966"/>
    <n v="1.5414704075363506"/>
    <n v="0.5654311146539126"/>
    <s v="CL464"/>
    <x v="0"/>
    <x v="1"/>
    <n v="7527"/>
    <n v="5"/>
    <x v="0"/>
  </r>
  <r>
    <s v="C465"/>
    <x v="464"/>
    <d v="2024-01-16T03:16:37"/>
    <x v="1"/>
    <n v="0"/>
    <n v="6978"/>
    <x v="1"/>
    <n v="12166"/>
    <n v="1030"/>
    <n v="470"/>
    <n v="11755"/>
    <n v="8.4662173269768201E-2"/>
    <x v="464"/>
    <n v="2.4747572815533982"/>
    <n v="5.4234042553191486"/>
    <n v="0.36529091430209232"/>
    <n v="4.6116123970184386"/>
    <s v="CL465"/>
    <x v="2"/>
    <x v="2"/>
    <n v="2549"/>
    <n v="3"/>
    <x v="1"/>
  </r>
  <r>
    <s v="C466"/>
    <x v="465"/>
    <d v="2024-05-15T11:18:01"/>
    <x v="0"/>
    <n v="403.49314814814716"/>
    <n v="6151"/>
    <x v="1"/>
    <n v="16649"/>
    <n v="1376"/>
    <n v="482"/>
    <n v="10396"/>
    <n v="8.2647606462850617E-2"/>
    <x v="465"/>
    <n v="1.9861918604651163"/>
    <n v="5.6701244813278011"/>
    <n v="0.44431799707364655"/>
    <n v="3.8038785217709479"/>
    <s v="CL466"/>
    <x v="2"/>
    <x v="0"/>
    <n v="2733"/>
    <n v="2"/>
    <x v="1"/>
  </r>
  <r>
    <s v="C467"/>
    <x v="466"/>
    <d v="2024-12-08T10:49:48"/>
    <x v="1"/>
    <n v="0"/>
    <n v="8372"/>
    <x v="2"/>
    <n v="17962"/>
    <n v="750"/>
    <n v="38"/>
    <n v="4106"/>
    <n v="4.1754815722079945E-2"/>
    <x v="466"/>
    <n v="20.588000000000001"/>
    <n v="406.34210526315792"/>
    <n v="1.844362159579551"/>
    <n v="0.26591541998575224"/>
    <s v="CL467"/>
    <x v="0"/>
    <x v="1"/>
    <n v="15441"/>
    <n v="5"/>
    <x v="0"/>
  </r>
  <r>
    <s v="C468"/>
    <x v="467"/>
    <d v="2024-07-14T19:58:18"/>
    <x v="1"/>
    <n v="0"/>
    <n v="6912"/>
    <x v="2"/>
    <n v="6878"/>
    <n v="1814"/>
    <n v="240"/>
    <n v="9531"/>
    <n v="0.26373945914510033"/>
    <x v="467"/>
    <n v="3.4079382579933846"/>
    <n v="25.758333333333333"/>
    <n v="0.89438657407407407"/>
    <n v="1.5417340666450987"/>
    <s v="CL468"/>
    <x v="3"/>
    <x v="2"/>
    <n v="6182"/>
    <n v="2"/>
    <x v="1"/>
  </r>
  <r>
    <s v="C469"/>
    <x v="468"/>
    <d v="2024-06-22T13:50:38"/>
    <x v="1"/>
    <n v="0"/>
    <n v="3578"/>
    <x v="1"/>
    <n v="7549"/>
    <n v="819"/>
    <n v="67"/>
    <n v="11008"/>
    <n v="0.10849119088621009"/>
    <x v="468"/>
    <n v="2.9133089133089132"/>
    <n v="35.611940298507463"/>
    <n v="0.66685299049748459"/>
    <n v="4.6135792120704107"/>
    <s v="CL469"/>
    <x v="0"/>
    <x v="0"/>
    <n v="2386"/>
    <n v="3"/>
    <x v="1"/>
  </r>
  <r>
    <s v="C470"/>
    <x v="469"/>
    <d v="2024-09-03T18:44:10"/>
    <x v="0"/>
    <n v="173.03076388889167"/>
    <n v="5057"/>
    <x v="2"/>
    <n v="4503"/>
    <n v="1827"/>
    <n v="369"/>
    <n v="14118"/>
    <n v="0.4057295136575616"/>
    <x v="469"/>
    <n v="6.1702244116037219"/>
    <n v="30.550135501355015"/>
    <n v="2.2291872651769822"/>
    <n v="1.2523729264614565"/>
    <s v="CL470"/>
    <x v="2"/>
    <x v="2"/>
    <n v="11273"/>
    <n v="4"/>
    <x v="0"/>
  </r>
  <r>
    <s v="C471"/>
    <x v="470"/>
    <d v="2024-07-17T11:50:14"/>
    <x v="0"/>
    <n v="462.41363425926102"/>
    <n v="1289"/>
    <x v="3"/>
    <n v="12269"/>
    <n v="1648"/>
    <n v="254"/>
    <n v="13598"/>
    <n v="0.13432227565408753"/>
    <x v="470"/>
    <n v="1.004247572815534"/>
    <n v="6.515748031496063"/>
    <n v="1.2839410395655546"/>
    <n v="8.2163141993957698"/>
    <s v="CL471"/>
    <x v="0"/>
    <x v="1"/>
    <n v="1655"/>
    <n v="5"/>
    <x v="0"/>
  </r>
  <r>
    <s v="C472"/>
    <x v="471"/>
    <d v="2024-10-08T07:26:47"/>
    <x v="1"/>
    <n v="0"/>
    <n v="6846"/>
    <x v="3"/>
    <n v="9128"/>
    <n v="617"/>
    <n v="318"/>
    <n v="7949"/>
    <n v="6.7594215600350574E-2"/>
    <x v="471"/>
    <n v="4.3095623987034033"/>
    <n v="8.3616352201257858"/>
    <n v="0.38840198656149577"/>
    <n v="2.9894697254606997"/>
    <s v="CL472"/>
    <x v="3"/>
    <x v="2"/>
    <n v="2659"/>
    <n v="1"/>
    <x v="2"/>
  </r>
  <r>
    <s v="C473"/>
    <x v="472"/>
    <d v="2023-10-21T04:35:42"/>
    <x v="0"/>
    <n v="128.20585648147971"/>
    <n v="7737"/>
    <x v="0"/>
    <n v="14512"/>
    <n v="1572"/>
    <n v="40"/>
    <n v="10190"/>
    <n v="0.10832414553472988"/>
    <x v="472"/>
    <n v="5.9669211195928753"/>
    <n v="234.5"/>
    <n v="1.2123562104174745"/>
    <n v="1.0863539445628998"/>
    <s v="CL473"/>
    <x v="0"/>
    <x v="0"/>
    <n v="9380"/>
    <n v="1"/>
    <x v="2"/>
  </r>
  <r>
    <s v="C474"/>
    <x v="473"/>
    <d v="2024-01-31T22:43:57"/>
    <x v="0"/>
    <n v="106.87532407407707"/>
    <n v="1805"/>
    <x v="2"/>
    <n v="18683"/>
    <n v="220"/>
    <n v="51"/>
    <n v="12151"/>
    <n v="1.1775410801263181E-2"/>
    <x v="473"/>
    <n v="78.627272727272725"/>
    <n v="339.1764705882353"/>
    <n v="9.5833795013850409"/>
    <n v="0.70245115042201411"/>
    <s v="CL474"/>
    <x v="0"/>
    <x v="2"/>
    <n v="17298"/>
    <n v="3"/>
    <x v="1"/>
  </r>
  <r>
    <s v="C475"/>
    <x v="474"/>
    <d v="2024-07-08T12:51:46"/>
    <x v="1"/>
    <n v="0"/>
    <n v="7852"/>
    <x v="1"/>
    <n v="16513"/>
    <n v="1936"/>
    <n v="189"/>
    <n v="11106"/>
    <n v="0.11724096166656574"/>
    <x v="474"/>
    <n v="8.2128099173553721"/>
    <n v="84.126984126984127"/>
    <n v="2.0249617931737136"/>
    <n v="0.69849056603773585"/>
    <s v="CL475"/>
    <x v="1"/>
    <x v="1"/>
    <n v="15900"/>
    <n v="2"/>
    <x v="1"/>
  </r>
  <r>
    <s v="C476"/>
    <x v="475"/>
    <d v="2024-11-18T08:10:09"/>
    <x v="1"/>
    <n v="0"/>
    <n v="8187"/>
    <x v="1"/>
    <n v="18559"/>
    <n v="1621"/>
    <n v="283"/>
    <n v="6199"/>
    <n v="8.734306805323562E-2"/>
    <x v="475"/>
    <n v="11.814312152991981"/>
    <n v="67.671378091872796"/>
    <n v="2.33919628679614"/>
    <n v="0.32369066889457471"/>
    <s v="CL476"/>
    <x v="3"/>
    <x v="0"/>
    <n v="19151"/>
    <n v="1"/>
    <x v="2"/>
  </r>
  <r>
    <s v="C477"/>
    <x v="476"/>
    <d v="2024-10-14T22:08:16"/>
    <x v="0"/>
    <n v="570.16453703703883"/>
    <n v="8363"/>
    <x v="3"/>
    <n v="12024"/>
    <n v="1022"/>
    <n v="354"/>
    <n v="7903"/>
    <n v="8.4996673320026611E-2"/>
    <x v="476"/>
    <n v="13.153620352250488"/>
    <n v="37.974576271186443"/>
    <n v="1.6074375224201842"/>
    <n v="0.58788960797441048"/>
    <s v="CL477"/>
    <x v="3"/>
    <x v="1"/>
    <n v="13443"/>
    <n v="1"/>
    <x v="2"/>
  </r>
  <r>
    <s v="C478"/>
    <x v="477"/>
    <d v="2023-10-01T10:58:08"/>
    <x v="0"/>
    <n v="108.07689814814512"/>
    <n v="9725"/>
    <x v="0"/>
    <n v="3449"/>
    <n v="402"/>
    <n v="96"/>
    <n v="11124"/>
    <n v="0.11655552334009858"/>
    <x v="477"/>
    <n v="36.4228855721393"/>
    <n v="152.52083333333334"/>
    <n v="1.5056041131105398"/>
    <n v="0.75973227701133728"/>
    <s v="CL478"/>
    <x v="0"/>
    <x v="1"/>
    <n v="14642"/>
    <n v="4"/>
    <x v="0"/>
  </r>
  <r>
    <s v="C479"/>
    <x v="478"/>
    <d v="2024-09-18T03:29:39"/>
    <x v="0"/>
    <n v="542.80761574073404"/>
    <n v="3631"/>
    <x v="2"/>
    <n v="2482"/>
    <n v="504"/>
    <n v="59"/>
    <n v="11296"/>
    <n v="0.20306204673650283"/>
    <x v="478"/>
    <n v="27.253968253968253"/>
    <n v="232.81355932203391"/>
    <n v="3.7829798953456346"/>
    <n v="0.82236458940011647"/>
    <s v="CL479"/>
    <x v="1"/>
    <x v="0"/>
    <n v="13736"/>
    <n v="5"/>
    <x v="0"/>
  </r>
  <r>
    <s v="C480"/>
    <x v="479"/>
    <d v="2024-03-04T10:42:57"/>
    <x v="0"/>
    <n v="164.05439814814599"/>
    <n v="7871"/>
    <x v="0"/>
    <n v="3443"/>
    <n v="1241"/>
    <n v="352"/>
    <n v="9718"/>
    <n v="0.36044147545744992"/>
    <x v="479"/>
    <n v="12.882352941176471"/>
    <n v="45.417613636363633"/>
    <n v="2.0311269216109769"/>
    <n v="0.60786889347594919"/>
    <s v="CL480"/>
    <x v="3"/>
    <x v="0"/>
    <n v="15987"/>
    <n v="4"/>
    <x v="0"/>
  </r>
  <r>
    <s v="C481"/>
    <x v="480"/>
    <d v="2024-04-17T17:05:07"/>
    <x v="0"/>
    <n v="191.44584490740817"/>
    <n v="7531"/>
    <x v="1"/>
    <n v="7428"/>
    <n v="397"/>
    <n v="469"/>
    <n v="7956"/>
    <n v="5.3446418955304255E-2"/>
    <x v="480"/>
    <n v="26.397984886649873"/>
    <n v="22.345415778251599"/>
    <n v="1.3915814632850882"/>
    <n v="0.75916030534351142"/>
    <s v="CL481"/>
    <x v="2"/>
    <x v="0"/>
    <n v="10480"/>
    <n v="4"/>
    <x v="0"/>
  </r>
  <r>
    <s v="C482"/>
    <x v="481"/>
    <d v="2024-04-02T01:28:31"/>
    <x v="1"/>
    <n v="0"/>
    <n v="2399"/>
    <x v="3"/>
    <n v="2779"/>
    <n v="1066"/>
    <n v="271"/>
    <n v="6041"/>
    <n v="0.38359121986326017"/>
    <x v="481"/>
    <n v="1.8789868667917449"/>
    <n v="7.391143911439114"/>
    <n v="0.83493122134222597"/>
    <n v="3.015976035946081"/>
    <s v="CL482"/>
    <x v="1"/>
    <x v="1"/>
    <n v="2003"/>
    <n v="1"/>
    <x v="2"/>
  </r>
  <r>
    <s v="C483"/>
    <x v="482"/>
    <d v="2024-03-27T14:47:04"/>
    <x v="1"/>
    <n v="0"/>
    <n v="5029"/>
    <x v="2"/>
    <n v="18865"/>
    <n v="135"/>
    <n v="467"/>
    <n v="6024"/>
    <n v="7.1561091969255235E-3"/>
    <x v="482"/>
    <n v="60.555555555555557"/>
    <n v="17.505353319057814"/>
    <n v="1.6255716842314576"/>
    <n v="0.73688073394495412"/>
    <s v="CL483"/>
    <x v="0"/>
    <x v="2"/>
    <n v="8175"/>
    <n v="2"/>
    <x v="1"/>
  </r>
  <r>
    <s v="C484"/>
    <x v="483"/>
    <d v="2023-06-18T04:03:31"/>
    <x v="0"/>
    <n v="71.751527777778392"/>
    <n v="4671"/>
    <x v="3"/>
    <n v="10275"/>
    <n v="1773"/>
    <n v="443"/>
    <n v="9537"/>
    <n v="0.17255474452554745"/>
    <x v="483"/>
    <n v="6.0699379582628312"/>
    <n v="24.293453724604966"/>
    <n v="2.3040034253907087"/>
    <n v="0.88617357368518868"/>
    <s v="CL484"/>
    <x v="3"/>
    <x v="2"/>
    <n v="10762"/>
    <n v="1"/>
    <x v="2"/>
  </r>
  <r>
    <s v="C485"/>
    <x v="484"/>
    <d v="2024-10-28T20:48:51"/>
    <x v="1"/>
    <n v="0"/>
    <n v="7815"/>
    <x v="3"/>
    <n v="12281"/>
    <n v="1603"/>
    <n v="15"/>
    <n v="6488"/>
    <n v="0.13052683006269847"/>
    <x v="484"/>
    <n v="2.4741110417966312"/>
    <n v="264.39999999999998"/>
    <n v="0.50748560460652592"/>
    <n v="1.6359051941502774"/>
    <s v="CL485"/>
    <x v="3"/>
    <x v="1"/>
    <n v="3966"/>
    <n v="1"/>
    <x v="2"/>
  </r>
  <r>
    <s v="C486"/>
    <x v="485"/>
    <d v="2023-10-02T07:35:10"/>
    <x v="1"/>
    <n v="0"/>
    <n v="5754"/>
    <x v="0"/>
    <n v="8264"/>
    <n v="195"/>
    <n v="307"/>
    <n v="6075"/>
    <n v="2.3596321393998063E-2"/>
    <x v="485"/>
    <n v="57.051282051282051"/>
    <n v="36.237785016286644"/>
    <n v="1.9334376086200904"/>
    <n v="0.54606741573033712"/>
    <s v="CL486"/>
    <x v="0"/>
    <x v="0"/>
    <n v="11125"/>
    <n v="4"/>
    <x v="0"/>
  </r>
  <r>
    <s v="C487"/>
    <x v="486"/>
    <d v="2024-03-29T05:38:25"/>
    <x v="1"/>
    <n v="0"/>
    <n v="3008"/>
    <x v="3"/>
    <n v="14837"/>
    <n v="1018"/>
    <n v="395"/>
    <n v="8765"/>
    <n v="6.8612253150906521E-2"/>
    <x v="486"/>
    <n v="13.055992141453832"/>
    <n v="33.648101265822788"/>
    <n v="4.4185505319148932"/>
    <n v="0.65946881348280795"/>
    <s v="CL487"/>
    <x v="1"/>
    <x v="0"/>
    <n v="13291"/>
    <n v="2"/>
    <x v="1"/>
  </r>
  <r>
    <s v="C488"/>
    <x v="487"/>
    <d v="2024-03-05T20:46:42"/>
    <x v="0"/>
    <n v="52.282106481485243"/>
    <n v="2872"/>
    <x v="1"/>
    <n v="10995"/>
    <n v="1082"/>
    <n v="226"/>
    <n v="1581"/>
    <n v="9.8408367439745334E-2"/>
    <x v="487"/>
    <n v="10.577634011090574"/>
    <n v="50.641592920353979"/>
    <n v="3.9850278551532035"/>
    <n v="0.13813892529488861"/>
    <s v="CL488"/>
    <x v="1"/>
    <x v="0"/>
    <n v="11445"/>
    <n v="5"/>
    <x v="0"/>
  </r>
  <r>
    <s v="C489"/>
    <x v="488"/>
    <d v="2024-01-09T00:51:14"/>
    <x v="0"/>
    <n v="349.40885416666424"/>
    <n v="4741"/>
    <x v="1"/>
    <n v="18555"/>
    <n v="293"/>
    <n v="317"/>
    <n v="6126"/>
    <n v="1.5790891942872542E-2"/>
    <x v="488"/>
    <n v="22.56655290102389"/>
    <n v="20.858044164037857"/>
    <n v="1.3946424804893482"/>
    <n v="0.926497277676951"/>
    <s v="CL489"/>
    <x v="4"/>
    <x v="0"/>
    <n v="6612"/>
    <n v="2"/>
    <x v="1"/>
  </r>
  <r>
    <s v="C490"/>
    <x v="489"/>
    <d v="2023-12-17T06:33:48"/>
    <x v="1"/>
    <n v="0"/>
    <n v="6221"/>
    <x v="0"/>
    <n v="19917"/>
    <n v="952"/>
    <n v="413"/>
    <n v="3316"/>
    <n v="4.7798363207310339E-2"/>
    <x v="489"/>
    <n v="20.134453781512605"/>
    <n v="46.411622276029057"/>
    <n v="3.0811766597010126"/>
    <n v="0.1729966611018364"/>
    <s v="CL490"/>
    <x v="1"/>
    <x v="2"/>
    <n v="19168"/>
    <n v="2"/>
    <x v="1"/>
  </r>
  <r>
    <s v="C491"/>
    <x v="490"/>
    <d v="2024-12-02T16:12:29"/>
    <x v="0"/>
    <n v="508.25446759259648"/>
    <n v="3942"/>
    <x v="0"/>
    <n v="4407"/>
    <n v="1168"/>
    <n v="277"/>
    <n v="14179"/>
    <n v="0.26503290220104381"/>
    <x v="490"/>
    <n v="15.637842465753424"/>
    <n v="65.938628158844764"/>
    <n v="4.6334348046676812"/>
    <n v="0.77629345743224742"/>
    <s v="CL491"/>
    <x v="4"/>
    <x v="0"/>
    <n v="18265"/>
    <n v="2"/>
    <x v="1"/>
  </r>
  <r>
    <s v="C492"/>
    <x v="491"/>
    <d v="2024-08-12T15:00:56"/>
    <x v="1"/>
    <n v="0"/>
    <n v="1556"/>
    <x v="0"/>
    <n v="10582"/>
    <n v="650"/>
    <n v="41"/>
    <n v="14081"/>
    <n v="6.1425061425061427E-2"/>
    <x v="491"/>
    <n v="27.995384615384616"/>
    <n v="443.82926829268291"/>
    <n v="11.694730077120823"/>
    <n v="0.77380886959388906"/>
    <s v="CL492"/>
    <x v="4"/>
    <x v="2"/>
    <n v="18197"/>
    <n v="2"/>
    <x v="1"/>
  </r>
  <r>
    <s v="C493"/>
    <x v="492"/>
    <d v="2024-05-03T22:49:18"/>
    <x v="0"/>
    <n v="279.19832175925694"/>
    <n v="6457"/>
    <x v="1"/>
    <n v="11756"/>
    <n v="445"/>
    <n v="176"/>
    <n v="12819"/>
    <n v="3.7853011228308947E-2"/>
    <x v="492"/>
    <n v="17.265168539325842"/>
    <n v="43.653409090909093"/>
    <n v="1.1898714573331268"/>
    <n v="1.6684888715345567"/>
    <s v="CL493"/>
    <x v="0"/>
    <x v="1"/>
    <n v="7683"/>
    <n v="3"/>
    <x v="1"/>
  </r>
  <r>
    <s v="C494"/>
    <x v="493"/>
    <d v="2024-07-28T20:33:31"/>
    <x v="1"/>
    <n v="0"/>
    <n v="1007"/>
    <x v="1"/>
    <n v="18899"/>
    <n v="763"/>
    <n v="206"/>
    <n v="2310"/>
    <n v="4.0372506481824437E-2"/>
    <x v="493"/>
    <n v="12.330275229357799"/>
    <n v="45.66990291262136"/>
    <n v="9.3426017874875864"/>
    <n v="0.24553571428571427"/>
    <s v="CL494"/>
    <x v="0"/>
    <x v="1"/>
    <n v="9408"/>
    <n v="3"/>
    <x v="1"/>
  </r>
  <r>
    <s v="C495"/>
    <x v="494"/>
    <d v="2024-08-29T13:00:29"/>
    <x v="0"/>
    <n v="65.858842592599103"/>
    <n v="6025"/>
    <x v="3"/>
    <n v="6060"/>
    <n v="1661"/>
    <n v="357"/>
    <n v="3817"/>
    <n v="0.2740924092409241"/>
    <x v="494"/>
    <n v="5.9819385912101142"/>
    <n v="27.831932773109244"/>
    <n v="1.6491286307053943"/>
    <n v="0.38415861513687599"/>
    <s v="CL495"/>
    <x v="3"/>
    <x v="2"/>
    <n v="9936"/>
    <n v="2"/>
    <x v="1"/>
  </r>
  <r>
    <s v="C496"/>
    <x v="495"/>
    <d v="2023-10-23T03:43:13"/>
    <x v="1"/>
    <n v="0"/>
    <n v="8300"/>
    <x v="3"/>
    <n v="9577"/>
    <n v="1023"/>
    <n v="74"/>
    <n v="10778"/>
    <n v="0.10681841912916362"/>
    <x v="495"/>
    <n v="4.021505376344086"/>
    <n v="55.594594594594597"/>
    <n v="0.49566265060240966"/>
    <n v="2.6198347107438016"/>
    <s v="CL496"/>
    <x v="3"/>
    <x v="2"/>
    <n v="4114"/>
    <n v="1"/>
    <x v="2"/>
  </r>
  <r>
    <s v="C497"/>
    <x v="496"/>
    <d v="2023-12-31T12:07:00"/>
    <x v="0"/>
    <n v="238.05380787036847"/>
    <n v="3253"/>
    <x v="0"/>
    <n v="17667"/>
    <n v="1885"/>
    <n v="171"/>
    <n v="1123"/>
    <n v="0.10669610007358352"/>
    <x v="496"/>
    <n v="10.508753315649868"/>
    <n v="115.84210526315789"/>
    <n v="6.0894558868736555"/>
    <n v="5.6691402897672778E-2"/>
    <s v="CL497"/>
    <x v="3"/>
    <x v="2"/>
    <n v="19809"/>
    <n v="3"/>
    <x v="1"/>
  </r>
  <r>
    <s v="C498"/>
    <x v="497"/>
    <d v="2024-03-30T00:13:12"/>
    <x v="0"/>
    <n v="157.19159722221957"/>
    <n v="1009"/>
    <x v="3"/>
    <n v="5575"/>
    <n v="1821"/>
    <n v="471"/>
    <n v="5890"/>
    <n v="0.32663677130044844"/>
    <x v="497"/>
    <n v="3.4695222405271831"/>
    <n v="13.414012738853502"/>
    <n v="6.2616451932606543"/>
    <n v="0.93225704336815451"/>
    <s v="CL498"/>
    <x v="4"/>
    <x v="0"/>
    <n v="6318"/>
    <n v="3"/>
    <x v="1"/>
  </r>
  <r>
    <s v="C499"/>
    <x v="498"/>
    <d v="2024-08-31T13:50:53"/>
    <x v="1"/>
    <n v="0"/>
    <n v="6814"/>
    <x v="0"/>
    <n v="10040"/>
    <n v="1601"/>
    <n v="329"/>
    <n v="13398"/>
    <n v="0.15946215139442232"/>
    <x v="498"/>
    <n v="9.872579637726421"/>
    <n v="48.042553191489361"/>
    <n v="2.3196360434399765"/>
    <n v="0.84765279007971661"/>
    <s v="CL499"/>
    <x v="0"/>
    <x v="0"/>
    <n v="15806"/>
    <n v="2"/>
    <x v="1"/>
  </r>
  <r>
    <s v="C500"/>
    <x v="499"/>
    <d v="2024-12-11T21:33:45"/>
    <x v="0"/>
    <n v="529.93287037037226"/>
    <n v="6018"/>
    <x v="3"/>
    <n v="14252"/>
    <n v="159"/>
    <n v="244"/>
    <n v="6141"/>
    <n v="1.1156328936289643E-2"/>
    <x v="499"/>
    <n v="113.57232704402516"/>
    <n v="74.008196721311478"/>
    <n v="3.0006646726487207"/>
    <n v="0.34007088271126373"/>
    <s v="CL500"/>
    <x v="2"/>
    <x v="1"/>
    <n v="18058"/>
    <n v="2"/>
    <x v="1"/>
  </r>
  <r>
    <s v="C501"/>
    <x v="500"/>
    <d v="2023-08-08T12:16:29"/>
    <x v="1"/>
    <n v="0"/>
    <n v="1891"/>
    <x v="2"/>
    <n v="2885"/>
    <n v="191"/>
    <n v="374"/>
    <n v="12103"/>
    <n v="6.6204506065857885E-2"/>
    <x v="500"/>
    <n v="88.8848167539267"/>
    <n v="45.393048128342244"/>
    <n v="8.9777895293495504"/>
    <n v="0.71290569594156805"/>
    <s v="CL501"/>
    <x v="1"/>
    <x v="2"/>
    <n v="16977"/>
    <n v="2"/>
    <x v="1"/>
  </r>
  <r>
    <s v="C502"/>
    <x v="501"/>
    <d v="2024-05-11T04:44:51"/>
    <x v="0"/>
    <n v="4.4651736111118225"/>
    <n v="8866"/>
    <x v="1"/>
    <n v="18338"/>
    <n v="1112"/>
    <n v="135"/>
    <n v="14936"/>
    <n v="6.0639110044715894E-2"/>
    <x v="501"/>
    <n v="17.855215827338128"/>
    <n v="147.07407407407408"/>
    <n v="2.2394540942928041"/>
    <n v="0.75225384034248299"/>
    <s v="CL502"/>
    <x v="3"/>
    <x v="2"/>
    <n v="19855"/>
    <n v="1"/>
    <x v="2"/>
  </r>
  <r>
    <s v="C503"/>
    <x v="502"/>
    <d v="2024-08-18T22:34:47"/>
    <x v="0"/>
    <n v="352.90123842592584"/>
    <n v="7334"/>
    <x v="2"/>
    <n v="13655"/>
    <n v="923"/>
    <n v="141"/>
    <n v="2130"/>
    <n v="6.7594287806664224E-2"/>
    <x v="502"/>
    <n v="8.1148429035752976"/>
    <n v="53.120567375886523"/>
    <n v="1.0212707935642213"/>
    <n v="0.28437917222963954"/>
    <s v="CL503"/>
    <x v="3"/>
    <x v="2"/>
    <n v="7490"/>
    <n v="1"/>
    <x v="2"/>
  </r>
  <r>
    <s v="C504"/>
    <x v="503"/>
    <d v="2024-09-02T06:45:54"/>
    <x v="0"/>
    <n v="595.84077546296612"/>
    <n v="6194"/>
    <x v="1"/>
    <n v="16206"/>
    <n v="656"/>
    <n v="333"/>
    <n v="2214"/>
    <n v="4.0478834999382943E-2"/>
    <x v="503"/>
    <n v="23.434451219512194"/>
    <n v="46.165165165165163"/>
    <n v="2.4819179851469162"/>
    <n v="0.14401873414427893"/>
    <s v="CL504"/>
    <x v="2"/>
    <x v="1"/>
    <n v="15373"/>
    <n v="4"/>
    <x v="0"/>
  </r>
  <r>
    <s v="C505"/>
    <x v="504"/>
    <d v="2023-06-14T12:34:49"/>
    <x v="1"/>
    <n v="0"/>
    <n v="5752"/>
    <x v="2"/>
    <n v="7246"/>
    <n v="1473"/>
    <n v="457"/>
    <n v="12270"/>
    <n v="0.20328457079768147"/>
    <x v="504"/>
    <n v="3.9375424304141209"/>
    <n v="12.691466083150985"/>
    <n v="1.0083449235048678"/>
    <n v="2.1155172413793104"/>
    <s v="CL505"/>
    <x v="4"/>
    <x v="2"/>
    <n v="5800"/>
    <n v="5"/>
    <x v="0"/>
  </r>
  <r>
    <s v="C506"/>
    <x v="505"/>
    <d v="2024-12-01T04:24:45"/>
    <x v="1"/>
    <n v="0"/>
    <n v="7455"/>
    <x v="0"/>
    <n v="11448"/>
    <n v="1985"/>
    <n v="468"/>
    <n v="12153"/>
    <n v="0.1733927323549965"/>
    <x v="505"/>
    <n v="1.8201511335012595"/>
    <n v="7.7200854700854702"/>
    <n v="0.48464118041582832"/>
    <n v="3.3636866869637418"/>
    <s v="CL506"/>
    <x v="0"/>
    <x v="1"/>
    <n v="3613"/>
    <n v="4"/>
    <x v="0"/>
  </r>
  <r>
    <s v="C507"/>
    <x v="506"/>
    <d v="2024-12-02T21:40:58"/>
    <x v="1"/>
    <n v="0"/>
    <n v="6534"/>
    <x v="3"/>
    <n v="5437"/>
    <n v="1983"/>
    <n v="254"/>
    <n v="5708"/>
    <n v="0.36472319293728162"/>
    <x v="506"/>
    <n v="8.0741301059001511"/>
    <n v="63.035433070866141"/>
    <n v="2.450413223140496"/>
    <n v="0.3565049028792705"/>
    <s v="CL507"/>
    <x v="1"/>
    <x v="1"/>
    <n v="16011"/>
    <n v="3"/>
    <x v="1"/>
  </r>
  <r>
    <s v="C508"/>
    <x v="507"/>
    <d v="2023-08-28T14:10:34"/>
    <x v="1"/>
    <n v="0"/>
    <n v="6970"/>
    <x v="1"/>
    <n v="2589"/>
    <n v="647"/>
    <n v="394"/>
    <n v="13861"/>
    <n v="0.24990343762070297"/>
    <x v="507"/>
    <n v="6.3493044822256568"/>
    <n v="10.426395939086294"/>
    <n v="0.58938307030129122"/>
    <n v="3.3741480038948395"/>
    <s v="CL508"/>
    <x v="3"/>
    <x v="1"/>
    <n v="4108"/>
    <n v="3"/>
    <x v="1"/>
  </r>
  <r>
    <s v="C509"/>
    <x v="508"/>
    <d v="2024-11-23T13:58:13"/>
    <x v="0"/>
    <n v="322.31603009258833"/>
    <n v="6373"/>
    <x v="1"/>
    <n v="17272"/>
    <n v="242"/>
    <n v="132"/>
    <n v="3430"/>
    <n v="1.4011116257526633E-2"/>
    <x v="508"/>
    <n v="46.607438016528924"/>
    <n v="85.446969696969703"/>
    <n v="1.769810136513416"/>
    <n v="0.30410497384519902"/>
    <s v="CL509"/>
    <x v="3"/>
    <x v="0"/>
    <n v="11279"/>
    <n v="1"/>
    <x v="2"/>
  </r>
  <r>
    <s v="C510"/>
    <x v="509"/>
    <d v="2023-07-23T14:49:50"/>
    <x v="1"/>
    <n v="0"/>
    <n v="2513"/>
    <x v="1"/>
    <n v="7506"/>
    <n v="1882"/>
    <n v="116"/>
    <n v="8025"/>
    <n v="0.25073274713562482"/>
    <x v="509"/>
    <n v="0.75823591923485656"/>
    <n v="12.301724137931034"/>
    <n v="0.5678471945881417"/>
    <n v="5.6236860546601264"/>
    <s v="CL510"/>
    <x v="1"/>
    <x v="1"/>
    <n v="1427"/>
    <n v="2"/>
    <x v="1"/>
  </r>
  <r>
    <s v="C511"/>
    <x v="510"/>
    <d v="2024-08-25T16:17:13"/>
    <x v="0"/>
    <n v="541.6666087962949"/>
    <n v="4832"/>
    <x v="3"/>
    <n v="5363"/>
    <n v="648"/>
    <n v="80"/>
    <n v="3512"/>
    <n v="0.12082789483498042"/>
    <x v="510"/>
    <n v="13.049382716049383"/>
    <n v="105.7"/>
    <n v="1.75"/>
    <n v="0.41532639545884581"/>
    <s v="CL511"/>
    <x v="1"/>
    <x v="0"/>
    <n v="8456"/>
    <n v="1"/>
    <x v="2"/>
  </r>
  <r>
    <s v="C512"/>
    <x v="511"/>
    <d v="2024-11-10T02:23:49"/>
    <x v="0"/>
    <n v="165.34729166666511"/>
    <n v="1911"/>
    <x v="1"/>
    <n v="17644"/>
    <n v="1070"/>
    <n v="57"/>
    <n v="10082"/>
    <n v="6.0643844933121742E-2"/>
    <x v="511"/>
    <n v="1.4233644859813084"/>
    <n v="26.719298245614034"/>
    <n v="0.79696493982208272"/>
    <n v="6.6198292843072881"/>
    <s v="CL512"/>
    <x v="0"/>
    <x v="2"/>
    <n v="1523"/>
    <n v="4"/>
    <x v="0"/>
  </r>
  <r>
    <s v="C513"/>
    <x v="512"/>
    <d v="2024-10-15T20:47:39"/>
    <x v="1"/>
    <n v="0"/>
    <n v="8268"/>
    <x v="2"/>
    <n v="3055"/>
    <n v="1896"/>
    <n v="370"/>
    <n v="3497"/>
    <n v="0.62062193126022913"/>
    <x v="512"/>
    <n v="7.208333333333333"/>
    <n v="36.93783783783784"/>
    <n v="1.6529995162070634"/>
    <n v="0.25587180800468279"/>
    <s v="CL513"/>
    <x v="0"/>
    <x v="0"/>
    <n v="13667"/>
    <n v="3"/>
    <x v="1"/>
  </r>
  <r>
    <s v="C514"/>
    <x v="513"/>
    <d v="2023-07-11T23:47:07"/>
    <x v="0"/>
    <n v="162.32879629629315"/>
    <n v="9236"/>
    <x v="0"/>
    <n v="10051"/>
    <n v="470"/>
    <n v="229"/>
    <n v="12573"/>
    <n v="4.6761516267038103E-2"/>
    <x v="513"/>
    <n v="7.0404255319148934"/>
    <n v="14.449781659388647"/>
    <n v="0.35827197921178"/>
    <n v="3.799637352674524"/>
    <s v="CL514"/>
    <x v="3"/>
    <x v="0"/>
    <n v="3309"/>
    <n v="1"/>
    <x v="2"/>
  </r>
  <r>
    <s v="C515"/>
    <x v="514"/>
    <d v="2024-10-18T10:03:20"/>
    <x v="1"/>
    <n v="0"/>
    <n v="9065"/>
    <x v="0"/>
    <n v="19115"/>
    <n v="980"/>
    <n v="133"/>
    <n v="1826"/>
    <n v="5.1268637195919432E-2"/>
    <x v="514"/>
    <n v="7.8948979591836732"/>
    <n v="58.172932330827066"/>
    <n v="0.85350248207391066"/>
    <n v="0.23600878893628022"/>
    <s v="CL515"/>
    <x v="0"/>
    <x v="2"/>
    <n v="7737"/>
    <n v="1"/>
    <x v="2"/>
  </r>
  <r>
    <s v="C516"/>
    <x v="515"/>
    <d v="2024-10-05T07:54:50"/>
    <x v="1"/>
    <n v="0"/>
    <n v="1556"/>
    <x v="0"/>
    <n v="7051"/>
    <n v="223"/>
    <n v="390"/>
    <n v="11104"/>
    <n v="3.1626719614239115E-2"/>
    <x v="515"/>
    <n v="2.6188340807174888"/>
    <n v="1.4974358974358974"/>
    <n v="0.37532133676092544"/>
    <n v="19.013698630136986"/>
    <s v="CL516"/>
    <x v="0"/>
    <x v="2"/>
    <n v="584"/>
    <n v="3"/>
    <x v="1"/>
  </r>
  <r>
    <s v="C517"/>
    <x v="516"/>
    <d v="2024-03-31T17:23:32"/>
    <x v="0"/>
    <n v="127.20356481481576"/>
    <n v="7546"/>
    <x v="0"/>
    <n v="9956"/>
    <n v="1173"/>
    <n v="368"/>
    <n v="11728"/>
    <n v="0.11781840096424266"/>
    <x v="516"/>
    <n v="1.4407502131287298"/>
    <n v="4.5923913043478262"/>
    <n v="0.22395971375563212"/>
    <n v="6.9396449704142009"/>
    <s v="CL517"/>
    <x v="0"/>
    <x v="0"/>
    <n v="1690"/>
    <n v="3"/>
    <x v="1"/>
  </r>
  <r>
    <s v="C518"/>
    <x v="517"/>
    <d v="2024-12-10T20:56:50"/>
    <x v="0"/>
    <n v="574.97603009259183"/>
    <n v="6616"/>
    <x v="2"/>
    <n v="13223"/>
    <n v="1132"/>
    <n v="11"/>
    <n v="11315"/>
    <n v="8.5608409589351883E-2"/>
    <x v="517"/>
    <n v="17.492049469964666"/>
    <n v="1800.090909090909"/>
    <n v="2.9928960096735189"/>
    <n v="0.57143578607141055"/>
    <s v="CL518"/>
    <x v="1"/>
    <x v="0"/>
    <n v="19801"/>
    <n v="2"/>
    <x v="1"/>
  </r>
  <r>
    <s v="C519"/>
    <x v="518"/>
    <d v="2024-08-05T06:48:03"/>
    <x v="0"/>
    <n v="383.62862268518802"/>
    <n v="5493"/>
    <x v="1"/>
    <n v="11235"/>
    <n v="1520"/>
    <n v="158"/>
    <n v="9999"/>
    <n v="0.13529149977748109"/>
    <x v="518"/>
    <n v="4.7710526315789474"/>
    <n v="45.898734177215189"/>
    <n v="1.3202257418532677"/>
    <n v="1.378792057363486"/>
    <s v="CL519"/>
    <x v="3"/>
    <x v="0"/>
    <n v="7252"/>
    <n v="5"/>
    <x v="0"/>
  </r>
  <r>
    <s v="C520"/>
    <x v="519"/>
    <d v="2024-02-19T04:56:54"/>
    <x v="1"/>
    <n v="0"/>
    <n v="3216"/>
    <x v="2"/>
    <n v="8239"/>
    <n v="1538"/>
    <n v="233"/>
    <n v="867"/>
    <n v="0.18667313994416798"/>
    <x v="519"/>
    <n v="4.1677503250975292"/>
    <n v="27.510729613733904"/>
    <n v="1.9931592039800996"/>
    <n v="0.13525741029641186"/>
    <s v="CL520"/>
    <x v="2"/>
    <x v="1"/>
    <n v="6410"/>
    <n v="3"/>
    <x v="1"/>
  </r>
  <r>
    <s v="C521"/>
    <x v="520"/>
    <d v="2024-03-01T02:10:03"/>
    <x v="0"/>
    <n v="214.68377314814279"/>
    <n v="9794"/>
    <x v="1"/>
    <n v="13890"/>
    <n v="1113"/>
    <n v="465"/>
    <n v="11345"/>
    <n v="8.0129589632829373E-2"/>
    <x v="520"/>
    <n v="14.177897574123989"/>
    <n v="33.935483870967744"/>
    <n v="1.6111905248111089"/>
    <n v="0.71894803548795949"/>
    <s v="CL521"/>
    <x v="3"/>
    <x v="2"/>
    <n v="15780"/>
    <n v="3"/>
    <x v="1"/>
  </r>
  <r>
    <s v="C522"/>
    <x v="521"/>
    <d v="2024-12-09T00:36:06"/>
    <x v="1"/>
    <n v="0"/>
    <n v="5499"/>
    <x v="3"/>
    <n v="16506"/>
    <n v="173"/>
    <n v="330"/>
    <n v="8733"/>
    <n v="1.048103719859445E-2"/>
    <x v="521"/>
    <n v="115.3699421965318"/>
    <n v="60.481818181818184"/>
    <n v="3.6295690125477358"/>
    <n v="0.43754697129114684"/>
    <s v="CL522"/>
    <x v="0"/>
    <x v="0"/>
    <n v="19959"/>
    <n v="4"/>
    <x v="0"/>
  </r>
  <r>
    <s v="C523"/>
    <x v="522"/>
    <d v="2024-03-17T14:59:56"/>
    <x v="1"/>
    <n v="0"/>
    <n v="2164"/>
    <x v="0"/>
    <n v="12419"/>
    <n v="1359"/>
    <n v="88"/>
    <n v="10414"/>
    <n v="0.10942910057170464"/>
    <x v="522"/>
    <n v="14.548197203826343"/>
    <n v="224.67045454545453"/>
    <n v="9.1363216266173755"/>
    <n v="0.52673107076020431"/>
    <s v="CL523"/>
    <x v="1"/>
    <x v="1"/>
    <n v="19771"/>
    <n v="2"/>
    <x v="1"/>
  </r>
  <r>
    <s v="C524"/>
    <x v="523"/>
    <d v="2024-03-22T18:27:12"/>
    <x v="0"/>
    <n v="405.20922453703679"/>
    <n v="3896"/>
    <x v="2"/>
    <n v="1233"/>
    <n v="1270"/>
    <n v="120"/>
    <n v="9344"/>
    <n v="1.0300081103000811"/>
    <x v="523"/>
    <n v="3.3188976377952755"/>
    <n v="35.125"/>
    <n v="1.0818788501026695"/>
    <n v="2.216844602609727"/>
    <s v="CL524"/>
    <x v="2"/>
    <x v="2"/>
    <n v="4215"/>
    <n v="2"/>
    <x v="1"/>
  </r>
  <r>
    <s v="C525"/>
    <x v="524"/>
    <d v="2023-12-31T05:34:18"/>
    <x v="0"/>
    <n v="324.25851851851621"/>
    <n v="9933"/>
    <x v="0"/>
    <n v="14301"/>
    <n v="1650"/>
    <n v="342"/>
    <n v="7523"/>
    <n v="0.11537654709460878"/>
    <x v="524"/>
    <n v="4.4139393939393941"/>
    <n v="21.295321637426902"/>
    <n v="0.73321252391019831"/>
    <n v="1.0329534532472882"/>
    <s v="CL525"/>
    <x v="3"/>
    <x v="1"/>
    <n v="7283"/>
    <n v="4"/>
    <x v="0"/>
  </r>
  <r>
    <s v="C526"/>
    <x v="525"/>
    <d v="2023-10-24T16:57:28"/>
    <x v="0"/>
    <n v="226.59484953703213"/>
    <n v="1670"/>
    <x v="2"/>
    <n v="1767"/>
    <n v="644"/>
    <n v="370"/>
    <n v="1353"/>
    <n v="0.36445953593661573"/>
    <x v="525"/>
    <n v="25.579192546583851"/>
    <n v="44.52162162162162"/>
    <n v="9.8640718562874259"/>
    <n v="8.2134401748315419E-2"/>
    <s v="CL526"/>
    <x v="3"/>
    <x v="1"/>
    <n v="16473"/>
    <n v="5"/>
    <x v="0"/>
  </r>
  <r>
    <s v="C527"/>
    <x v="526"/>
    <d v="2024-01-25T12:30:45"/>
    <x v="0"/>
    <n v="53.416643518517958"/>
    <n v="9979"/>
    <x v="1"/>
    <n v="16244"/>
    <n v="1096"/>
    <n v="303"/>
    <n v="12810"/>
    <n v="6.7471066239842406E-2"/>
    <x v="526"/>
    <n v="11.803832116788321"/>
    <n v="42.696369636963695"/>
    <n v="1.2964224872231687"/>
    <n v="0.9901831954858159"/>
    <s v="CL527"/>
    <x v="1"/>
    <x v="1"/>
    <n v="12937"/>
    <n v="2"/>
    <x v="1"/>
  </r>
  <r>
    <s v="C528"/>
    <x v="527"/>
    <d v="2024-09-15T10:20:53"/>
    <x v="0"/>
    <n v="478.64032407406921"/>
    <n v="2811"/>
    <x v="0"/>
    <n v="1148"/>
    <n v="1807"/>
    <n v="242"/>
    <n v="2033"/>
    <n v="1.5740418118466899"/>
    <x v="527"/>
    <n v="4.244050913115661"/>
    <n v="31.690082644628099"/>
    <n v="2.728210601209534"/>
    <n v="0.26509323249445821"/>
    <s v="CL528"/>
    <x v="2"/>
    <x v="0"/>
    <n v="7669"/>
    <n v="1"/>
    <x v="2"/>
  </r>
  <r>
    <s v="C529"/>
    <x v="528"/>
    <d v="2024-12-28T02:56:32"/>
    <x v="1"/>
    <n v="0"/>
    <n v="2283"/>
    <x v="0"/>
    <n v="13584"/>
    <n v="993"/>
    <n v="473"/>
    <n v="4072"/>
    <n v="7.3100706713780925E-2"/>
    <x v="528"/>
    <n v="13.577039274924472"/>
    <n v="28.503171247357294"/>
    <n v="5.9053876478317999"/>
    <n v="0.30203233941551699"/>
    <s v="CL529"/>
    <x v="2"/>
    <x v="1"/>
    <n v="13482"/>
    <n v="4"/>
    <x v="0"/>
  </r>
  <r>
    <s v="C530"/>
    <x v="529"/>
    <d v="2024-09-13T12:07:45"/>
    <x v="1"/>
    <n v="0"/>
    <n v="9062"/>
    <x v="1"/>
    <n v="13546"/>
    <n v="1206"/>
    <n v="218"/>
    <n v="3249"/>
    <n v="8.9029971947438363E-2"/>
    <x v="529"/>
    <n v="4.9601990049751246"/>
    <n v="27.440366972477065"/>
    <n v="0.6601191789891856"/>
    <n v="0.54312938816449352"/>
    <s v="CL530"/>
    <x v="4"/>
    <x v="2"/>
    <n v="5982"/>
    <n v="3"/>
    <x v="1"/>
  </r>
  <r>
    <s v="C531"/>
    <x v="530"/>
    <d v="2023-10-07T02:17:27"/>
    <x v="1"/>
    <n v="0"/>
    <n v="3642"/>
    <x v="2"/>
    <n v="11976"/>
    <n v="998"/>
    <n v="185"/>
    <n v="7102"/>
    <n v="8.3333333333333329E-2"/>
    <x v="530"/>
    <n v="2.0210420841683367"/>
    <n v="10.902702702702703"/>
    <n v="0.55381658429434377"/>
    <n v="3.521070897372335"/>
    <s v="CL531"/>
    <x v="3"/>
    <x v="0"/>
    <n v="2017"/>
    <n v="2"/>
    <x v="1"/>
  </r>
  <r>
    <s v="C532"/>
    <x v="531"/>
    <d v="2024-10-01T01:15:49"/>
    <x v="0"/>
    <n v="365.64108796296205"/>
    <n v="3768"/>
    <x v="0"/>
    <n v="19218"/>
    <n v="945"/>
    <n v="125"/>
    <n v="6328"/>
    <n v="4.9172650640024976E-2"/>
    <x v="531"/>
    <n v="16.785185185185185"/>
    <n v="126.896"/>
    <n v="4.2096602972399149"/>
    <n v="0.39894086496028242"/>
    <s v="CL532"/>
    <x v="2"/>
    <x v="0"/>
    <n v="15862"/>
    <n v="5"/>
    <x v="0"/>
  </r>
  <r>
    <s v="C533"/>
    <x v="532"/>
    <d v="2024-10-18T04:35:01"/>
    <x v="1"/>
    <n v="0"/>
    <n v="3181"/>
    <x v="1"/>
    <n v="2696"/>
    <n v="1525"/>
    <n v="381"/>
    <n v="9831"/>
    <n v="0.56565281899109787"/>
    <x v="532"/>
    <n v="10.229508196721312"/>
    <n v="40.944881889763778"/>
    <n v="4.9041182018233256"/>
    <n v="0.63019230769230772"/>
    <s v="CL533"/>
    <x v="1"/>
    <x v="0"/>
    <n v="15600"/>
    <n v="2"/>
    <x v="1"/>
  </r>
  <r>
    <s v="C534"/>
    <x v="533"/>
    <d v="2024-12-13T07:21:05"/>
    <x v="0"/>
    <n v="430.11149305555591"/>
    <n v="5738"/>
    <x v="1"/>
    <n v="16044"/>
    <n v="279"/>
    <n v="397"/>
    <n v="4760"/>
    <n v="1.7389678384442782E-2"/>
    <x v="533"/>
    <n v="8.4551971326164868"/>
    <n v="5.9420654911838788"/>
    <n v="0.41111885674451026"/>
    <n v="2.0178041543026706"/>
    <s v="CL534"/>
    <x v="3"/>
    <x v="1"/>
    <n v="2359"/>
    <n v="5"/>
    <x v="0"/>
  </r>
  <r>
    <s v="C535"/>
    <x v="534"/>
    <d v="2024-05-18T02:06:34"/>
    <x v="1"/>
    <n v="0"/>
    <n v="7622"/>
    <x v="1"/>
    <n v="6194"/>
    <n v="1895"/>
    <n v="77"/>
    <n v="7355"/>
    <n v="0.30594123345172747"/>
    <x v="534"/>
    <n v="1.4284960422163588"/>
    <n v="35.155844155844157"/>
    <n v="0.35515612700078719"/>
    <n v="2.7170299224233467"/>
    <s v="CL535"/>
    <x v="4"/>
    <x v="2"/>
    <n v="2707"/>
    <n v="3"/>
    <x v="1"/>
  </r>
  <r>
    <s v="C536"/>
    <x v="535"/>
    <d v="2023-08-24T03:00:40"/>
    <x v="1"/>
    <n v="0"/>
    <n v="5576"/>
    <x v="2"/>
    <n v="15309"/>
    <n v="1379"/>
    <n v="254"/>
    <n v="11173"/>
    <n v="9.0077732053040691E-2"/>
    <x v="535"/>
    <n v="1.0848440899202321"/>
    <n v="5.8897637795275593"/>
    <n v="0.26829268292682928"/>
    <n v="7.4685828877005349"/>
    <s v="CL536"/>
    <x v="3"/>
    <x v="2"/>
    <n v="1496"/>
    <n v="5"/>
    <x v="0"/>
  </r>
  <r>
    <s v="C537"/>
    <x v="536"/>
    <d v="2024-12-13T23:12:54"/>
    <x v="0"/>
    <n v="651.41516203703941"/>
    <n v="5204"/>
    <x v="2"/>
    <n v="3141"/>
    <n v="1917"/>
    <n v="179"/>
    <n v="9250"/>
    <n v="0.61031518624641834"/>
    <x v="536"/>
    <n v="7.4517475221700575"/>
    <n v="79.80446927374301"/>
    <n v="2.7450038431975403"/>
    <n v="0.6475323766188309"/>
    <s v="CL537"/>
    <x v="0"/>
    <x v="0"/>
    <n v="14285"/>
    <n v="2"/>
    <x v="1"/>
  </r>
  <r>
    <s v="C538"/>
    <x v="537"/>
    <d v="2023-11-21T03:40:41"/>
    <x v="0"/>
    <n v="54.080324074071541"/>
    <n v="5636"/>
    <x v="2"/>
    <n v="5778"/>
    <n v="790"/>
    <n v="16"/>
    <n v="6214"/>
    <n v="0.13672551055728627"/>
    <x v="537"/>
    <n v="15.10759493670886"/>
    <n v="745.9375"/>
    <n v="2.11763662171753"/>
    <n v="0.52065354000837871"/>
    <s v="CL538"/>
    <x v="2"/>
    <x v="2"/>
    <n v="11935"/>
    <n v="1"/>
    <x v="2"/>
  </r>
  <r>
    <s v="C539"/>
    <x v="538"/>
    <d v="2024-04-25T15:14:13"/>
    <x v="0"/>
    <n v="378.85668981481285"/>
    <n v="9920"/>
    <x v="1"/>
    <n v="19592"/>
    <n v="524"/>
    <n v="387"/>
    <n v="13045"/>
    <n v="2.6745610453246221E-2"/>
    <x v="538"/>
    <n v="30.080152671755727"/>
    <n v="40.728682170542633"/>
    <n v="1.5889112903225806"/>
    <n v="0.82762339804593321"/>
    <s v="CL539"/>
    <x v="4"/>
    <x v="0"/>
    <n v="15762"/>
    <n v="3"/>
    <x v="1"/>
  </r>
  <r>
    <s v="C540"/>
    <x v="539"/>
    <d v="2024-12-06T05:05:40"/>
    <x v="1"/>
    <n v="0"/>
    <n v="9317"/>
    <x v="1"/>
    <n v="17601"/>
    <n v="1092"/>
    <n v="496"/>
    <n v="14046"/>
    <n v="6.2041929435827509E-2"/>
    <x v="539"/>
    <n v="17.983516483516482"/>
    <n v="39.592741935483872"/>
    <n v="2.107760008586455"/>
    <n v="0.71524595172624506"/>
    <s v="CL540"/>
    <x v="1"/>
    <x v="2"/>
    <n v="19638"/>
    <n v="5"/>
    <x v="0"/>
  </r>
  <r>
    <s v="C541"/>
    <x v="540"/>
    <d v="2024-10-15T18:36:37"/>
    <x v="1"/>
    <n v="0"/>
    <n v="3062"/>
    <x v="3"/>
    <n v="6712"/>
    <n v="1320"/>
    <n v="330"/>
    <n v="13475"/>
    <n v="0.19666269368295591"/>
    <x v="540"/>
    <n v="9.4931818181818191"/>
    <n v="37.972727272727276"/>
    <n v="4.0924232527759639"/>
    <n v="1.0753331737291516"/>
    <s v="CL541"/>
    <x v="1"/>
    <x v="0"/>
    <n v="12531"/>
    <n v="4"/>
    <x v="0"/>
  </r>
  <r>
    <s v="C542"/>
    <x v="541"/>
    <d v="2024-09-19T03:01:32"/>
    <x v="0"/>
    <n v="33.474791666667443"/>
    <n v="3059"/>
    <x v="2"/>
    <n v="3335"/>
    <n v="357"/>
    <n v="249"/>
    <n v="4202"/>
    <n v="0.10704647676161919"/>
    <x v="541"/>
    <n v="25.016806722689076"/>
    <n v="35.867469879518069"/>
    <n v="2.9195815626021577"/>
    <n v="0.47049602508117794"/>
    <s v="CL542"/>
    <x v="1"/>
    <x v="0"/>
    <n v="8931"/>
    <n v="3"/>
    <x v="1"/>
  </r>
  <r>
    <s v="C543"/>
    <x v="542"/>
    <d v="2024-01-12T20:10:46"/>
    <x v="1"/>
    <n v="0"/>
    <n v="8266"/>
    <x v="3"/>
    <n v="13618"/>
    <n v="434"/>
    <n v="57"/>
    <n v="8020"/>
    <n v="3.1869584373623146E-2"/>
    <x v="542"/>
    <n v="4.3364055299539173"/>
    <n v="33.017543859649123"/>
    <n v="0.22767965158480521"/>
    <n v="4.2614240170031881"/>
    <s v="CL543"/>
    <x v="4"/>
    <x v="1"/>
    <n v="1882"/>
    <n v="2"/>
    <x v="1"/>
  </r>
  <r>
    <s v="C544"/>
    <x v="543"/>
    <d v="2024-09-16T06:22:36"/>
    <x v="0"/>
    <n v="66.459942129629781"/>
    <n v="1895"/>
    <x v="2"/>
    <n v="6617"/>
    <n v="1361"/>
    <n v="173"/>
    <n v="2052"/>
    <n v="0.20568233338370864"/>
    <x v="543"/>
    <n v="1.3497428361498898"/>
    <n v="10.61849710982659"/>
    <n v="0.96939313984168862"/>
    <n v="1.1170386499727818"/>
    <s v="CL544"/>
    <x v="0"/>
    <x v="0"/>
    <n v="1837"/>
    <n v="4"/>
    <x v="0"/>
  </r>
  <r>
    <s v="C545"/>
    <x v="544"/>
    <d v="2023-06-14T21:26:18"/>
    <x v="1"/>
    <n v="0"/>
    <n v="9107"/>
    <x v="0"/>
    <n v="2621"/>
    <n v="1580"/>
    <n v="263"/>
    <n v="6738"/>
    <n v="0.60282334986646313"/>
    <x v="544"/>
    <n v="10.20506329113924"/>
    <n v="61.307984790874528"/>
    <n v="1.7705062040188866"/>
    <n v="0.41788638055073185"/>
    <s v="CL545"/>
    <x v="1"/>
    <x v="1"/>
    <n v="16124"/>
    <n v="1"/>
    <x v="2"/>
  </r>
  <r>
    <s v="C546"/>
    <x v="545"/>
    <d v="2024-04-23T14:00:24"/>
    <x v="0"/>
    <n v="157.55725694444845"/>
    <n v="6165"/>
    <x v="0"/>
    <n v="19647"/>
    <n v="1867"/>
    <n v="26"/>
    <n v="12993"/>
    <n v="9.5027230620450959E-2"/>
    <x v="545"/>
    <n v="4.5115158007498657"/>
    <n v="323.96153846153845"/>
    <n v="1.3662611516626115"/>
    <n v="1.5425620325299774"/>
    <s v="CL546"/>
    <x v="3"/>
    <x v="0"/>
    <n v="8423"/>
    <n v="3"/>
    <x v="1"/>
  </r>
  <r>
    <s v="C547"/>
    <x v="546"/>
    <d v="2024-07-30T10:37:02"/>
    <x v="1"/>
    <n v="0"/>
    <n v="2096"/>
    <x v="3"/>
    <n v="9340"/>
    <n v="638"/>
    <n v="300"/>
    <n v="9466"/>
    <n v="6.8308351177730195E-2"/>
    <x v="546"/>
    <n v="5"/>
    <n v="10.633333333333333"/>
    <n v="1.5219465648854962"/>
    <n v="2.9673981191222571"/>
    <s v="CL547"/>
    <x v="0"/>
    <x v="0"/>
    <n v="3190"/>
    <n v="3"/>
    <x v="1"/>
  </r>
  <r>
    <s v="C548"/>
    <x v="547"/>
    <d v="2024-12-05T05:10:45"/>
    <x v="1"/>
    <n v="0"/>
    <n v="2509"/>
    <x v="3"/>
    <n v="2156"/>
    <n v="541"/>
    <n v="255"/>
    <n v="14349"/>
    <n v="0.25092764378478666"/>
    <x v="547"/>
    <n v="17.536044362292053"/>
    <n v="37.20392156862745"/>
    <n v="3.7811877241929057"/>
    <n v="1.5124907768525351"/>
    <s v="CL548"/>
    <x v="0"/>
    <x v="1"/>
    <n v="9487"/>
    <n v="5"/>
    <x v="0"/>
  </r>
  <r>
    <s v="C549"/>
    <x v="548"/>
    <d v="2024-06-18T14:40:47"/>
    <x v="0"/>
    <n v="433.01755787037109"/>
    <n v="5331"/>
    <x v="3"/>
    <n v="12152"/>
    <n v="1520"/>
    <n v="469"/>
    <n v="10246"/>
    <n v="0.12508229098090851"/>
    <x v="548"/>
    <n v="6.6138157894736844"/>
    <n v="21.434968017057571"/>
    <n v="1.8857625211029825"/>
    <n v="1.0191982492788223"/>
    <s v="CL549"/>
    <x v="4"/>
    <x v="1"/>
    <n v="10053"/>
    <n v="5"/>
    <x v="0"/>
  </r>
  <r>
    <s v="C550"/>
    <x v="549"/>
    <d v="2024-03-13T03:50:39"/>
    <x v="0"/>
    <n v="100.74690972222015"/>
    <n v="2960"/>
    <x v="2"/>
    <n v="13113"/>
    <n v="1125"/>
    <n v="111"/>
    <n v="1306"/>
    <n v="8.5792724776938917E-2"/>
    <x v="549"/>
    <n v="0.74311111111111106"/>
    <n v="7.5315315315315319"/>
    <n v="0.28243243243243243"/>
    <n v="1.562200956937799"/>
    <s v="CL550"/>
    <x v="3"/>
    <x v="0"/>
    <n v="836"/>
    <n v="3"/>
    <x v="1"/>
  </r>
  <r>
    <s v="C551"/>
    <x v="550"/>
    <d v="2024-12-20T08:40:26"/>
    <x v="0"/>
    <n v="477.54379629629693"/>
    <n v="6829"/>
    <x v="2"/>
    <n v="4928"/>
    <n v="143"/>
    <n v="208"/>
    <n v="7724"/>
    <n v="2.9017857142857144E-2"/>
    <x v="550"/>
    <n v="116.25874125874125"/>
    <n v="79.927884615384613"/>
    <n v="2.4344706399179969"/>
    <n v="0.46460150375939852"/>
    <s v="CL551"/>
    <x v="3"/>
    <x v="0"/>
    <n v="16625"/>
    <n v="1"/>
    <x v="2"/>
  </r>
  <r>
    <s v="C552"/>
    <x v="551"/>
    <d v="2024-05-09T11:46:34"/>
    <x v="0"/>
    <n v="342.38817129629751"/>
    <n v="2433"/>
    <x v="0"/>
    <n v="8028"/>
    <n v="1993"/>
    <n v="187"/>
    <n v="8897"/>
    <n v="0.24825610363726955"/>
    <x v="551"/>
    <n v="6.7270446562970401"/>
    <n v="71.695187165775394"/>
    <n v="5.5104808877928484"/>
    <n v="0.66360856269113155"/>
    <s v="CL552"/>
    <x v="0"/>
    <x v="0"/>
    <n v="13407"/>
    <n v="5"/>
    <x v="0"/>
  </r>
  <r>
    <s v="C553"/>
    <x v="552"/>
    <d v="2024-02-12T09:36:31"/>
    <x v="0"/>
    <n v="244.52439814814716"/>
    <n v="1716"/>
    <x v="1"/>
    <n v="14025"/>
    <n v="698"/>
    <n v="493"/>
    <n v="5012"/>
    <n v="4.9768270944741531E-2"/>
    <x v="552"/>
    <n v="21.095988538681947"/>
    <n v="29.86815415821501"/>
    <n v="8.5810023310023311"/>
    <n v="0.34037351443123937"/>
    <s v="CL553"/>
    <x v="3"/>
    <x v="1"/>
    <n v="14725"/>
    <n v="1"/>
    <x v="2"/>
  </r>
  <r>
    <s v="C554"/>
    <x v="553"/>
    <d v="2023-06-27T23:09:26"/>
    <x v="1"/>
    <n v="0"/>
    <n v="9411"/>
    <x v="3"/>
    <n v="9125"/>
    <n v="504"/>
    <n v="58"/>
    <n v="1006"/>
    <n v="5.5232876712328766E-2"/>
    <x v="553"/>
    <n v="25.863095238095237"/>
    <n v="224.74137931034483"/>
    <n v="1.3850812878546381"/>
    <n v="7.7176831607211352E-2"/>
    <s v="CL554"/>
    <x v="3"/>
    <x v="1"/>
    <n v="13035"/>
    <n v="3"/>
    <x v="1"/>
  </r>
  <r>
    <s v="C555"/>
    <x v="554"/>
    <d v="2024-02-19T05:59:52"/>
    <x v="1"/>
    <n v="0"/>
    <n v="3323"/>
    <x v="1"/>
    <n v="10585"/>
    <n v="1923"/>
    <n v="176"/>
    <n v="5306"/>
    <n v="0.18167217760982524"/>
    <x v="554"/>
    <n v="6.3099323972958921"/>
    <n v="68.943181818181813"/>
    <n v="3.6515197111044237"/>
    <n v="0.43728366573265204"/>
    <s v="CL555"/>
    <x v="1"/>
    <x v="0"/>
    <n v="12134"/>
    <n v="1"/>
    <x v="2"/>
  </r>
  <r>
    <s v="C556"/>
    <x v="555"/>
    <d v="2024-12-02T19:00:47"/>
    <x v="0"/>
    <n v="668.45179398148321"/>
    <n v="4870"/>
    <x v="1"/>
    <n v="10362"/>
    <n v="1226"/>
    <n v="50"/>
    <n v="7622"/>
    <n v="0.11831692723412468"/>
    <x v="555"/>
    <n v="3.1786296900489397"/>
    <n v="77.94"/>
    <n v="0.80020533880903488"/>
    <n v="1.955863484731845"/>
    <s v="CL556"/>
    <x v="2"/>
    <x v="0"/>
    <n v="3897"/>
    <n v="2"/>
    <x v="1"/>
  </r>
  <r>
    <s v="C557"/>
    <x v="556"/>
    <d v="2023-09-28T13:57:36"/>
    <x v="1"/>
    <n v="0"/>
    <n v="3022"/>
    <x v="0"/>
    <n v="1335"/>
    <n v="637"/>
    <n v="98"/>
    <n v="2334"/>
    <n v="0.47715355805243448"/>
    <x v="556"/>
    <n v="31.125588697017267"/>
    <n v="202.31632653061226"/>
    <n v="6.5608868299139642"/>
    <n v="0.11771826297473142"/>
    <s v="CL557"/>
    <x v="2"/>
    <x v="0"/>
    <n v="19827"/>
    <n v="2"/>
    <x v="1"/>
  </r>
  <r>
    <s v="C558"/>
    <x v="557"/>
    <d v="2024-01-17T20:51:09"/>
    <x v="1"/>
    <n v="0"/>
    <n v="1049"/>
    <x v="2"/>
    <n v="16422"/>
    <n v="1935"/>
    <n v="179"/>
    <n v="13367"/>
    <n v="0.11782974059188893"/>
    <x v="557"/>
    <n v="7.7829457364341081"/>
    <n v="84.134078212290504"/>
    <n v="14.356530028598666"/>
    <n v="0.88758300132802126"/>
    <s v="CL558"/>
    <x v="3"/>
    <x v="0"/>
    <n v="15060"/>
    <n v="2"/>
    <x v="1"/>
  </r>
  <r>
    <s v="C559"/>
    <x v="558"/>
    <d v="2023-09-08T02:42:20"/>
    <x v="0"/>
    <n v="91.704189814816345"/>
    <n v="5089"/>
    <x v="0"/>
    <n v="11083"/>
    <n v="1696"/>
    <n v="372"/>
    <n v="8010"/>
    <n v="0.15302715871154018"/>
    <x v="558"/>
    <n v="8.7676886792452837"/>
    <n v="39.973118279569896"/>
    <n v="2.9219886028689328"/>
    <n v="0.53866845998655011"/>
    <s v="CL559"/>
    <x v="2"/>
    <x v="1"/>
    <n v="14870"/>
    <n v="3"/>
    <x v="1"/>
  </r>
  <r>
    <s v="C560"/>
    <x v="559"/>
    <d v="2023-09-13T00:02:18"/>
    <x v="1"/>
    <n v="0"/>
    <n v="6595"/>
    <x v="1"/>
    <n v="12870"/>
    <n v="1601"/>
    <n v="407"/>
    <n v="7441"/>
    <n v="0.1243978243978244"/>
    <x v="559"/>
    <n v="8.6495940037476569"/>
    <n v="34.024570024570025"/>
    <n v="2.0997725549658832"/>
    <n v="0.53733391103408434"/>
    <s v="CL560"/>
    <x v="1"/>
    <x v="2"/>
    <n v="13848"/>
    <n v="3"/>
    <x v="1"/>
  </r>
  <r>
    <s v="C561"/>
    <x v="560"/>
    <d v="2024-05-29T11:16:15"/>
    <x v="0"/>
    <n v="377.36898148147884"/>
    <n v="9006"/>
    <x v="0"/>
    <n v="10653"/>
    <n v="1464"/>
    <n v="424"/>
    <n v="1455"/>
    <n v="0.13742607716136299"/>
    <x v="560"/>
    <n v="10.05464480874317"/>
    <n v="34.716981132075475"/>
    <n v="1.6344659116144793"/>
    <n v="9.8845108695652176E-2"/>
    <s v="CL561"/>
    <x v="1"/>
    <x v="2"/>
    <n v="14720"/>
    <n v="1"/>
    <x v="2"/>
  </r>
  <r>
    <s v="C562"/>
    <x v="561"/>
    <d v="2024-04-19T10:40:43"/>
    <x v="0"/>
    <n v="389.04141203704057"/>
    <n v="1730"/>
    <x v="2"/>
    <n v="7181"/>
    <n v="1407"/>
    <n v="168"/>
    <n v="14568"/>
    <n v="0.19593371396741402"/>
    <x v="561"/>
    <n v="4.6417910447761193"/>
    <n v="38.875"/>
    <n v="3.7751445086705204"/>
    <n v="2.2305925585668351"/>
    <s v="CL562"/>
    <x v="0"/>
    <x v="0"/>
    <n v="6531"/>
    <n v="2"/>
    <x v="1"/>
  </r>
  <r>
    <s v="C563"/>
    <x v="562"/>
    <d v="2024-08-14T04:18:20"/>
    <x v="1"/>
    <n v="0"/>
    <n v="1055"/>
    <x v="3"/>
    <n v="6320"/>
    <n v="111"/>
    <n v="393"/>
    <n v="14538"/>
    <n v="1.7563291139240506E-2"/>
    <x v="562"/>
    <n v="32.765765765765764"/>
    <n v="9.2544529262086517"/>
    <n v="3.4473933649289101"/>
    <n v="3.9972504811657958"/>
    <s v="CL563"/>
    <x v="3"/>
    <x v="0"/>
    <n v="3637"/>
    <n v="5"/>
    <x v="0"/>
  </r>
  <r>
    <s v="C564"/>
    <x v="563"/>
    <d v="2024-11-06T09:34:48"/>
    <x v="0"/>
    <n v="274.01847222222568"/>
    <n v="7912"/>
    <x v="2"/>
    <n v="15781"/>
    <n v="183"/>
    <n v="316"/>
    <n v="11625"/>
    <n v="1.1596223306507825E-2"/>
    <x v="563"/>
    <n v="71.333333333333329"/>
    <n v="41.310126582278478"/>
    <n v="1.6498988877654197"/>
    <n v="0.89053163781216482"/>
    <s v="CL564"/>
    <x v="2"/>
    <x v="2"/>
    <n v="13054"/>
    <n v="1"/>
    <x v="2"/>
  </r>
  <r>
    <s v="C565"/>
    <x v="564"/>
    <d v="2024-12-12T22:50:13"/>
    <x v="0"/>
    <n v="566.89584490740526"/>
    <n v="6719"/>
    <x v="2"/>
    <n v="4626"/>
    <n v="215"/>
    <n v="162"/>
    <n v="8259"/>
    <n v="4.6476437527021186E-2"/>
    <x v="564"/>
    <n v="24.15813953488372"/>
    <n v="32.061728395061728"/>
    <n v="0.77303170114600384"/>
    <n v="1.5901039661147478"/>
    <s v="CL565"/>
    <x v="3"/>
    <x v="0"/>
    <n v="5194"/>
    <n v="2"/>
    <x v="1"/>
  </r>
  <r>
    <s v="C566"/>
    <x v="565"/>
    <d v="2023-10-15T12:44:06"/>
    <x v="0"/>
    <n v="55.11767361110833"/>
    <n v="5182"/>
    <x v="2"/>
    <n v="12914"/>
    <n v="1418"/>
    <n v="381"/>
    <n v="4933"/>
    <n v="0.10980331423261576"/>
    <x v="565"/>
    <n v="5.2150916784203103"/>
    <n v="19.409448818897637"/>
    <n v="1.4270551910459282"/>
    <n v="0.66707234617985123"/>
    <s v="CL566"/>
    <x v="3"/>
    <x v="1"/>
    <n v="7395"/>
    <n v="5"/>
    <x v="0"/>
  </r>
  <r>
    <s v="C567"/>
    <x v="566"/>
    <d v="2024-03-23T17:18:01"/>
    <x v="1"/>
    <n v="0"/>
    <n v="3516"/>
    <x v="1"/>
    <n v="16843"/>
    <n v="608"/>
    <n v="339"/>
    <n v="2494"/>
    <n v="3.6098082289378379E-2"/>
    <x v="566"/>
    <n v="28.518092105263158"/>
    <n v="51.147492625368734"/>
    <n v="4.9314562002275313"/>
    <n v="0.1438375915566065"/>
    <s v="CL567"/>
    <x v="0"/>
    <x v="0"/>
    <n v="17339"/>
    <n v="5"/>
    <x v="0"/>
  </r>
  <r>
    <s v="C568"/>
    <x v="567"/>
    <d v="2024-04-07T22:10:21"/>
    <x v="1"/>
    <n v="0"/>
    <n v="6372"/>
    <x v="2"/>
    <n v="12384"/>
    <n v="965"/>
    <n v="42"/>
    <n v="2002"/>
    <n v="7.7923126614987084E-2"/>
    <x v="567"/>
    <n v="0.58341968911917097"/>
    <n v="13.404761904761905"/>
    <n v="8.8355304456999378E-2"/>
    <n v="3.5559502664298401"/>
    <s v="CL568"/>
    <x v="2"/>
    <x v="2"/>
    <n v="563"/>
    <n v="1"/>
    <x v="2"/>
  </r>
  <r>
    <s v="C569"/>
    <x v="568"/>
    <d v="2024-02-08T10:15:11"/>
    <x v="0"/>
    <n v="31.307766203710344"/>
    <n v="8759"/>
    <x v="0"/>
    <n v="5348"/>
    <n v="1137"/>
    <n v="103"/>
    <n v="4824"/>
    <n v="0.21260284218399403"/>
    <x v="568"/>
    <n v="12.685136323658751"/>
    <n v="140.02912621359224"/>
    <n v="1.6466491608631122"/>
    <n v="0.33446578381751368"/>
    <s v="CL569"/>
    <x v="4"/>
    <x v="0"/>
    <n v="14423"/>
    <n v="3"/>
    <x v="1"/>
  </r>
  <r>
    <s v="C570"/>
    <x v="569"/>
    <d v="2024-05-03T19:38:17"/>
    <x v="1"/>
    <n v="0"/>
    <n v="5911"/>
    <x v="2"/>
    <n v="10240"/>
    <n v="1067"/>
    <n v="310"/>
    <n v="6101"/>
    <n v="0.10419921875"/>
    <x v="569"/>
    <n v="6.321462043111528"/>
    <n v="21.758064516129032"/>
    <n v="1.1410928776856708"/>
    <n v="0.90452186805040768"/>
    <s v="CL570"/>
    <x v="4"/>
    <x v="0"/>
    <n v="6745"/>
    <n v="4"/>
    <x v="0"/>
  </r>
  <r>
    <s v="C571"/>
    <x v="570"/>
    <d v="2024-12-08T06:58:21"/>
    <x v="0"/>
    <n v="133.3962037037054"/>
    <n v="5884"/>
    <x v="3"/>
    <n v="4671"/>
    <n v="1110"/>
    <n v="393"/>
    <n v="13907"/>
    <n v="0.23763648041104687"/>
    <x v="570"/>
    <n v="14.27027027027027"/>
    <n v="40.305343511450381"/>
    <n v="2.6920462270564243"/>
    <n v="0.87796717171717176"/>
    <s v="CL571"/>
    <x v="3"/>
    <x v="2"/>
    <n v="15840"/>
    <n v="4"/>
    <x v="0"/>
  </r>
  <r>
    <s v="C572"/>
    <x v="571"/>
    <d v="2024-06-28T18:46:25"/>
    <x v="1"/>
    <n v="0"/>
    <n v="6028"/>
    <x v="2"/>
    <n v="19515"/>
    <n v="293"/>
    <n v="492"/>
    <n v="4463"/>
    <n v="1.5014091724314629E-2"/>
    <x v="571"/>
    <n v="48.74744027303754"/>
    <n v="29.030487804878049"/>
    <n v="2.3694426011944261"/>
    <n v="0.31246936918014423"/>
    <s v="CL572"/>
    <x v="4"/>
    <x v="2"/>
    <n v="14283"/>
    <n v="1"/>
    <x v="2"/>
  </r>
  <r>
    <s v="C573"/>
    <x v="572"/>
    <d v="2024-04-06T20:54:08"/>
    <x v="0"/>
    <n v="411.14195601851679"/>
    <n v="7823"/>
    <x v="0"/>
    <n v="16355"/>
    <n v="1088"/>
    <n v="259"/>
    <n v="10949"/>
    <n v="6.6523998777132373E-2"/>
    <x v="572"/>
    <n v="14.760110294117647"/>
    <n v="62.003861003861005"/>
    <n v="2.0527930461459798"/>
    <n v="0.68179836851609688"/>
    <s v="CL573"/>
    <x v="3"/>
    <x v="0"/>
    <n v="16059"/>
    <n v="1"/>
    <x v="2"/>
  </r>
  <r>
    <s v="C574"/>
    <x v="573"/>
    <d v="2024-01-11T09:15:54"/>
    <x v="1"/>
    <n v="0"/>
    <n v="9620"/>
    <x v="2"/>
    <n v="15376"/>
    <n v="986"/>
    <n v="344"/>
    <n v="2613"/>
    <n v="6.4125910509885531E-2"/>
    <x v="573"/>
    <n v="6.0182555780933065"/>
    <n v="17.25"/>
    <n v="0.61683991683991679"/>
    <n v="0.44034378159757331"/>
    <s v="CL574"/>
    <x v="3"/>
    <x v="2"/>
    <n v="5934"/>
    <n v="4"/>
    <x v="0"/>
  </r>
  <r>
    <s v="C575"/>
    <x v="574"/>
    <d v="2024-10-06T21:31:26"/>
    <x v="0"/>
    <n v="309.77635416667181"/>
    <n v="2862"/>
    <x v="1"/>
    <n v="8407"/>
    <n v="1426"/>
    <n v="333"/>
    <n v="6039"/>
    <n v="0.1696205542999881"/>
    <x v="574"/>
    <n v="6.0385694249649369"/>
    <n v="25.858858858858859"/>
    <n v="3.008735150244584"/>
    <n v="0.7013122749970967"/>
    <s v="CL575"/>
    <x v="4"/>
    <x v="1"/>
    <n v="8611"/>
    <n v="2"/>
    <x v="1"/>
  </r>
  <r>
    <s v="C576"/>
    <x v="575"/>
    <d v="2024-09-27T15:53:15"/>
    <x v="0"/>
    <n v="92.215474537035334"/>
    <n v="6573"/>
    <x v="1"/>
    <n v="16776"/>
    <n v="558"/>
    <n v="111"/>
    <n v="10002"/>
    <n v="3.3261802575107295E-2"/>
    <x v="575"/>
    <n v="5.1738351254480284"/>
    <n v="26.009009009009009"/>
    <n v="0.43922105583447435"/>
    <n v="3.4644960166262555"/>
    <s v="CL576"/>
    <x v="3"/>
    <x v="2"/>
    <n v="2887"/>
    <n v="3"/>
    <x v="1"/>
  </r>
  <r>
    <s v="C577"/>
    <x v="576"/>
    <d v="2024-06-21T15:55:38"/>
    <x v="1"/>
    <n v="0"/>
    <n v="7310"/>
    <x v="1"/>
    <n v="15687"/>
    <n v="408"/>
    <n v="397"/>
    <n v="6762"/>
    <n v="2.6008797093134441E-2"/>
    <x v="576"/>
    <n v="35.786764705882355"/>
    <n v="36.778337531486144"/>
    <n v="1.9974008207934337"/>
    <n v="0.46311896445448941"/>
    <s v="CL577"/>
    <x v="2"/>
    <x v="0"/>
    <n v="14601"/>
    <n v="1"/>
    <x v="2"/>
  </r>
  <r>
    <s v="C578"/>
    <x v="577"/>
    <d v="2023-11-20T02:44:44"/>
    <x v="0"/>
    <n v="118.07451388888876"/>
    <n v="5283"/>
    <x v="1"/>
    <n v="15245"/>
    <n v="579"/>
    <n v="430"/>
    <n v="5301"/>
    <n v="3.7979665464086584E-2"/>
    <x v="577"/>
    <n v="1.1157167530224525"/>
    <n v="1.5023255813953489"/>
    <n v="0.12227900813931478"/>
    <n v="8.2058823529411757"/>
    <s v="CL578"/>
    <x v="4"/>
    <x v="2"/>
    <n v="646"/>
    <n v="1"/>
    <x v="2"/>
  </r>
  <r>
    <s v="C579"/>
    <x v="578"/>
    <d v="2024-11-01T12:39:48"/>
    <x v="0"/>
    <n v="257.52190972222161"/>
    <n v="9442"/>
    <x v="2"/>
    <n v="8395"/>
    <n v="975"/>
    <n v="339"/>
    <n v="13899"/>
    <n v="0.11614055985705778"/>
    <x v="578"/>
    <n v="18.553846153846155"/>
    <n v="53.362831858407077"/>
    <n v="1.9159076466850244"/>
    <n v="0.76832504145936986"/>
    <s v="CL579"/>
    <x v="3"/>
    <x v="1"/>
    <n v="18090"/>
    <n v="5"/>
    <x v="0"/>
  </r>
  <r>
    <s v="C580"/>
    <x v="579"/>
    <d v="2023-04-30T08:41:03"/>
    <x v="0"/>
    <n v="13.303124999998545"/>
    <n v="9040"/>
    <x v="2"/>
    <n v="3584"/>
    <n v="784"/>
    <n v="61"/>
    <n v="9019"/>
    <n v="0.21875"/>
    <x v="579"/>
    <n v="3.8303571428571428"/>
    <n v="49.229508196721312"/>
    <n v="0.33219026548672564"/>
    <n v="3.0033300033300034"/>
    <s v="CL580"/>
    <x v="3"/>
    <x v="2"/>
    <n v="3003"/>
    <n v="5"/>
    <x v="0"/>
  </r>
  <r>
    <s v="C581"/>
    <x v="580"/>
    <d v="2024-07-31T09:11:34"/>
    <x v="0"/>
    <n v="114.80019675925723"/>
    <n v="4073"/>
    <x v="1"/>
    <n v="15962"/>
    <n v="1887"/>
    <n v="493"/>
    <n v="4609"/>
    <n v="0.11821826838742013"/>
    <x v="580"/>
    <n v="5.4721780604133547"/>
    <n v="20.945233265720081"/>
    <n v="2.5352320157132335"/>
    <n v="0.44634902188650011"/>
    <s v="CL581"/>
    <x v="2"/>
    <x v="2"/>
    <n v="10326"/>
    <n v="1"/>
    <x v="2"/>
  </r>
  <r>
    <s v="C582"/>
    <x v="581"/>
    <d v="2024-09-03T20:09:37"/>
    <x v="1"/>
    <n v="0"/>
    <n v="9583"/>
    <x v="3"/>
    <n v="3353"/>
    <n v="935"/>
    <n v="300"/>
    <n v="2459"/>
    <n v="0.2788547569340889"/>
    <x v="581"/>
    <n v="9.8406417112299458"/>
    <n v="30.67"/>
    <n v="0.96013774392152773"/>
    <n v="0.26725355939571788"/>
    <s v="CL582"/>
    <x v="0"/>
    <x v="2"/>
    <n v="9201"/>
    <n v="3"/>
    <x v="1"/>
  </r>
  <r>
    <s v="C583"/>
    <x v="582"/>
    <d v="2023-07-21T15:50:16"/>
    <x v="0"/>
    <n v="123.73127314814337"/>
    <n v="8426"/>
    <x v="2"/>
    <n v="1845"/>
    <n v="1544"/>
    <n v="328"/>
    <n v="950"/>
    <n v="0.83685636856368562"/>
    <x v="582"/>
    <n v="2.2072538860103625"/>
    <n v="10.390243902439025"/>
    <n v="0.40446237835271776"/>
    <n v="0.27875586854460094"/>
    <s v="CL583"/>
    <x v="1"/>
    <x v="1"/>
    <n v="3408"/>
    <n v="4"/>
    <x v="0"/>
  </r>
  <r>
    <s v="C584"/>
    <x v="583"/>
    <d v="2024-11-25T01:18:00"/>
    <x v="1"/>
    <n v="0"/>
    <n v="9699"/>
    <x v="1"/>
    <n v="9319"/>
    <n v="786"/>
    <n v="349"/>
    <n v="11036"/>
    <n v="8.4343813713917803E-2"/>
    <x v="583"/>
    <n v="8.8727735368956751"/>
    <n v="19.982808022922637"/>
    <n v="0.71904320032993096"/>
    <n v="1.5824490966446803"/>
    <s v="CL584"/>
    <x v="4"/>
    <x v="2"/>
    <n v="6974"/>
    <n v="2"/>
    <x v="1"/>
  </r>
  <r>
    <s v="C585"/>
    <x v="584"/>
    <d v="2023-05-20T01:24:00"/>
    <x v="1"/>
    <n v="0"/>
    <n v="5417"/>
    <x v="3"/>
    <n v="17919"/>
    <n v="420"/>
    <n v="133"/>
    <n v="2462"/>
    <n v="2.343880796919471E-2"/>
    <x v="584"/>
    <n v="32.450000000000003"/>
    <n v="102.47368421052632"/>
    <n v="2.5159682481078089"/>
    <n v="0.18064421454251964"/>
    <s v="CL585"/>
    <x v="3"/>
    <x v="0"/>
    <n v="13629"/>
    <n v="3"/>
    <x v="1"/>
  </r>
  <r>
    <s v="C586"/>
    <x v="585"/>
    <d v="2024-01-01T15:16:40"/>
    <x v="1"/>
    <n v="0"/>
    <n v="1222"/>
    <x v="1"/>
    <n v="17020"/>
    <n v="1621"/>
    <n v="20"/>
    <n v="10175"/>
    <n v="9.5240893066980026E-2"/>
    <x v="585"/>
    <n v="1.0715607649599013"/>
    <n v="86.85"/>
    <n v="1.4214402618657938"/>
    <n v="5.8578008059873348"/>
    <s v="CL586"/>
    <x v="3"/>
    <x v="0"/>
    <n v="1737"/>
    <n v="3"/>
    <x v="1"/>
  </r>
  <r>
    <s v="C587"/>
    <x v="586"/>
    <d v="2024-10-26T13:12:18"/>
    <x v="1"/>
    <n v="0"/>
    <n v="6035"/>
    <x v="3"/>
    <n v="15339"/>
    <n v="1950"/>
    <n v="226"/>
    <n v="10595"/>
    <n v="0.12712693135145706"/>
    <x v="586"/>
    <n v="8.3446153846153841"/>
    <n v="72"/>
    <n v="2.696271748135874"/>
    <n v="0.65111848574237952"/>
    <s v="CL587"/>
    <x v="4"/>
    <x v="1"/>
    <n v="16272"/>
    <n v="2"/>
    <x v="1"/>
  </r>
  <r>
    <s v="C588"/>
    <x v="587"/>
    <d v="2024-08-28T16:57:48"/>
    <x v="1"/>
    <n v="0"/>
    <n v="2321"/>
    <x v="1"/>
    <n v="2571"/>
    <n v="262"/>
    <n v="90"/>
    <n v="10419"/>
    <n v="0.10190587320108907"/>
    <x v="587"/>
    <n v="12.33969465648855"/>
    <n v="35.922222222222224"/>
    <n v="1.3929340801378716"/>
    <n v="3.2227033714815962"/>
    <s v="CL588"/>
    <x v="2"/>
    <x v="2"/>
    <n v="3233"/>
    <n v="3"/>
    <x v="1"/>
  </r>
  <r>
    <s v="C589"/>
    <x v="588"/>
    <d v="2024-04-10T13:50:16"/>
    <x v="1"/>
    <n v="0"/>
    <n v="6611"/>
    <x v="0"/>
    <n v="17371"/>
    <n v="1170"/>
    <n v="198"/>
    <n v="12821"/>
    <n v="6.7353635369293646E-2"/>
    <x v="588"/>
    <n v="10.64017094017094"/>
    <n v="62.873737373737377"/>
    <n v="1.8830736651036153"/>
    <n v="1.0298819182263637"/>
    <s v="CL589"/>
    <x v="0"/>
    <x v="2"/>
    <n v="12449"/>
    <n v="4"/>
    <x v="0"/>
  </r>
  <r>
    <s v="C590"/>
    <x v="589"/>
    <d v="2024-05-29T16:20:12"/>
    <x v="1"/>
    <n v="0"/>
    <n v="5341"/>
    <x v="0"/>
    <n v="9278"/>
    <n v="357"/>
    <n v="239"/>
    <n v="1571"/>
    <n v="3.847812028454408E-2"/>
    <x v="589"/>
    <n v="34.20448179271709"/>
    <n v="51.09205020920502"/>
    <n v="2.2862759782812208"/>
    <n v="0.12865449185160921"/>
    <s v="CL590"/>
    <x v="1"/>
    <x v="2"/>
    <n v="12211"/>
    <n v="1"/>
    <x v="2"/>
  </r>
  <r>
    <s v="C591"/>
    <x v="590"/>
    <d v="2024-02-11T05:14:16"/>
    <x v="0"/>
    <n v="211.57968749999418"/>
    <n v="7341"/>
    <x v="3"/>
    <n v="8905"/>
    <n v="1252"/>
    <n v="244"/>
    <n v="5372"/>
    <n v="0.14059517125210555"/>
    <x v="590"/>
    <n v="5.4225239616613417"/>
    <n v="27.82377049180328"/>
    <n v="0.92480588475684511"/>
    <n v="0.79128001178376783"/>
    <s v="CL591"/>
    <x v="3"/>
    <x v="0"/>
    <n v="6789"/>
    <n v="2"/>
    <x v="1"/>
  </r>
  <r>
    <s v="C592"/>
    <x v="591"/>
    <d v="2024-02-03T02:51:32"/>
    <x v="0"/>
    <n v="67.282546296293731"/>
    <n v="8952"/>
    <x v="0"/>
    <n v="3856"/>
    <n v="510"/>
    <n v="464"/>
    <n v="2715"/>
    <n v="0.13226141078838174"/>
    <x v="591"/>
    <n v="1.0607843137254902"/>
    <n v="1.165948275862069"/>
    <n v="6.0433422698838252E-2"/>
    <n v="5.0184842883548981"/>
    <s v="CL592"/>
    <x v="4"/>
    <x v="1"/>
    <n v="541"/>
    <n v="1"/>
    <x v="2"/>
  </r>
  <r>
    <s v="C593"/>
    <x v="592"/>
    <d v="2024-01-31T14:27:07"/>
    <x v="1"/>
    <n v="0"/>
    <n v="7200"/>
    <x v="0"/>
    <n v="1778"/>
    <n v="1026"/>
    <n v="18"/>
    <n v="12874"/>
    <n v="0.57705286839145109"/>
    <x v="592"/>
    <n v="6.7105263157894735"/>
    <n v="382.5"/>
    <n v="0.95625000000000004"/>
    <n v="1.8698620188816266"/>
    <s v="CL593"/>
    <x v="3"/>
    <x v="0"/>
    <n v="6885"/>
    <n v="1"/>
    <x v="2"/>
  </r>
  <r>
    <s v="C594"/>
    <x v="593"/>
    <d v="2023-08-12T09:01:26"/>
    <x v="1"/>
    <n v="0"/>
    <n v="9147"/>
    <x v="1"/>
    <n v="14663"/>
    <n v="1885"/>
    <n v="470"/>
    <n v="3151"/>
    <n v="0.12855486598922458"/>
    <x v="593"/>
    <n v="3.8604774535809017"/>
    <n v="15.482978723404255"/>
    <n v="0.79556138624685691"/>
    <n v="0.43300810773670467"/>
    <s v="CL594"/>
    <x v="3"/>
    <x v="1"/>
    <n v="7277"/>
    <n v="4"/>
    <x v="0"/>
  </r>
  <r>
    <s v="C595"/>
    <x v="594"/>
    <d v="2023-11-13T08:56:02"/>
    <x v="1"/>
    <n v="0"/>
    <n v="3820"/>
    <x v="1"/>
    <n v="14775"/>
    <n v="1290"/>
    <n v="354"/>
    <n v="13233"/>
    <n v="8.7309644670050757E-2"/>
    <x v="594"/>
    <n v="5.8139534883720927"/>
    <n v="21.1864406779661"/>
    <n v="1.963350785340314"/>
    <n v="1.7644"/>
    <s v="CL595"/>
    <x v="4"/>
    <x v="1"/>
    <n v="7500"/>
    <n v="2"/>
    <x v="1"/>
  </r>
  <r>
    <s v="C596"/>
    <x v="595"/>
    <d v="2024-07-13T22:37:32"/>
    <x v="0"/>
    <n v="336.12435185185313"/>
    <n v="8557"/>
    <x v="3"/>
    <n v="13787"/>
    <n v="1584"/>
    <n v="488"/>
    <n v="3668"/>
    <n v="0.11489083919634438"/>
    <x v="595"/>
    <n v="1.5928030303030303"/>
    <n v="5.1700819672131146"/>
    <n v="0.29484632464648824"/>
    <n v="1.4538248117320649"/>
    <s v="CL596"/>
    <x v="3"/>
    <x v="0"/>
    <n v="2523"/>
    <n v="2"/>
    <x v="1"/>
  </r>
  <r>
    <s v="C597"/>
    <x v="596"/>
    <d v="2024-06-18T21:10:05"/>
    <x v="1"/>
    <n v="0"/>
    <n v="5549"/>
    <x v="0"/>
    <n v="11706"/>
    <n v="1540"/>
    <n v="428"/>
    <n v="7920"/>
    <n v="0.1315564667691782"/>
    <x v="596"/>
    <n v="1.0597402597402596"/>
    <n v="3.8130841121495327"/>
    <n v="0.29410704631465129"/>
    <n v="4.8529411764705879"/>
    <s v="CL597"/>
    <x v="0"/>
    <x v="2"/>
    <n v="1632"/>
    <n v="4"/>
    <x v="0"/>
  </r>
  <r>
    <s v="C598"/>
    <x v="597"/>
    <d v="2023-10-23T01:36:32"/>
    <x v="0"/>
    <n v="122.75002314814628"/>
    <n v="5849"/>
    <x v="1"/>
    <n v="8173"/>
    <n v="697"/>
    <n v="190"/>
    <n v="6174"/>
    <n v="8.5280802642848402E-2"/>
    <x v="597"/>
    <n v="11.715925394548064"/>
    <n v="42.978947368421053"/>
    <n v="1.3961360916395966"/>
    <n v="0.75606171932402644"/>
    <s v="CL598"/>
    <x v="3"/>
    <x v="1"/>
    <n v="8166"/>
    <n v="5"/>
    <x v="0"/>
  </r>
  <r>
    <s v="C599"/>
    <x v="598"/>
    <d v="2024-12-22T08:36:20"/>
    <x v="0"/>
    <n v="415.88866898148262"/>
    <n v="8440"/>
    <x v="1"/>
    <n v="1695"/>
    <n v="140"/>
    <n v="159"/>
    <n v="12798"/>
    <n v="8.2595870206489674E-2"/>
    <x v="598"/>
    <n v="62.5"/>
    <n v="55.031446540880502"/>
    <n v="1.0367298578199051"/>
    <n v="1.4626285714285714"/>
    <s v="CL599"/>
    <x v="4"/>
    <x v="0"/>
    <n v="8750"/>
    <n v="4"/>
    <x v="0"/>
  </r>
  <r>
    <s v="C600"/>
    <x v="599"/>
    <d v="2024-01-15T21:56:59"/>
    <x v="0"/>
    <n v="143.17265046296234"/>
    <n v="9218"/>
    <x v="1"/>
    <n v="11089"/>
    <n v="216"/>
    <n v="454"/>
    <n v="3216"/>
    <n v="1.9478762737848317E-2"/>
    <x v="599"/>
    <n v="75.337962962962962"/>
    <n v="35.843612334801762"/>
    <n v="1.7653504013885875"/>
    <n v="0.19762797271554108"/>
    <s v="CL600"/>
    <x v="0"/>
    <x v="0"/>
    <n v="16273"/>
    <n v="3"/>
    <x v="1"/>
  </r>
  <r>
    <s v="C601"/>
    <x v="600"/>
    <d v="2024-06-27T21:38:48"/>
    <x v="1"/>
    <n v="0"/>
    <n v="6582"/>
    <x v="0"/>
    <n v="15153"/>
    <n v="534"/>
    <n v="433"/>
    <n v="2216"/>
    <n v="3.5240546426450206E-2"/>
    <x v="600"/>
    <n v="27.825842696629213"/>
    <n v="34.316397228637413"/>
    <n v="2.2575205104831357"/>
    <n v="0.1491352042533145"/>
    <s v="CL601"/>
    <x v="3"/>
    <x v="1"/>
    <n v="14859"/>
    <n v="5"/>
    <x v="0"/>
  </r>
  <r>
    <s v="C602"/>
    <x v="601"/>
    <d v="2024-10-03T06:55:30"/>
    <x v="1"/>
    <n v="0"/>
    <n v="5966"/>
    <x v="2"/>
    <n v="16872"/>
    <n v="902"/>
    <n v="436"/>
    <n v="14571"/>
    <n v="5.3461356092935043E-2"/>
    <x v="601"/>
    <n v="2.4423503325942351"/>
    <n v="5.0527522935779814"/>
    <n v="0.36925913509889374"/>
    <n v="6.6141625056740807"/>
    <s v="CL602"/>
    <x v="0"/>
    <x v="2"/>
    <n v="2203"/>
    <n v="3"/>
    <x v="1"/>
  </r>
  <r>
    <s v="C603"/>
    <x v="602"/>
    <d v="2023-08-16T13:35:27"/>
    <x v="0"/>
    <n v="103.21704861110629"/>
    <n v="5132"/>
    <x v="2"/>
    <n v="15519"/>
    <n v="1736"/>
    <n v="327"/>
    <n v="10331"/>
    <n v="0.11186287776274244"/>
    <x v="602"/>
    <n v="2.0996543778801842"/>
    <n v="11.146788990825687"/>
    <n v="0.71024941543257991"/>
    <n v="2.8342935528120714"/>
    <s v="CL603"/>
    <x v="0"/>
    <x v="2"/>
    <n v="3645"/>
    <n v="5"/>
    <x v="0"/>
  </r>
  <r>
    <s v="C604"/>
    <x v="603"/>
    <d v="2023-06-14T03:45:07"/>
    <x v="1"/>
    <n v="0"/>
    <n v="3046"/>
    <x v="2"/>
    <n v="15525"/>
    <n v="963"/>
    <n v="135"/>
    <n v="4311"/>
    <n v="6.2028985507246379E-2"/>
    <x v="603"/>
    <n v="10.383177570093459"/>
    <n v="74.066666666666663"/>
    <n v="3.282665791201576"/>
    <n v="0.43114311431143115"/>
    <s v="CL604"/>
    <x v="2"/>
    <x v="1"/>
    <n v="9999"/>
    <n v="1"/>
    <x v="2"/>
  </r>
  <r>
    <s v="C605"/>
    <x v="604"/>
    <d v="2024-03-30T08:24:25"/>
    <x v="1"/>
    <n v="0"/>
    <n v="5205"/>
    <x v="0"/>
    <n v="10580"/>
    <n v="959"/>
    <n v="85"/>
    <n v="3492"/>
    <n v="9.0642722117202271E-2"/>
    <x v="604"/>
    <n v="10.759124087591241"/>
    <n v="121.38823529411765"/>
    <n v="1.9823246878001921"/>
    <n v="0.33843768172126382"/>
    <s v="CL605"/>
    <x v="3"/>
    <x v="0"/>
    <n v="10318"/>
    <n v="2"/>
    <x v="1"/>
  </r>
  <r>
    <s v="C606"/>
    <x v="605"/>
    <d v="2024-10-10T02:13:47"/>
    <x v="0"/>
    <n v="432.25216435184848"/>
    <n v="8226"/>
    <x v="3"/>
    <n v="9634"/>
    <n v="804"/>
    <n v="194"/>
    <n v="7009"/>
    <n v="8.3454432219223579E-2"/>
    <x v="605"/>
    <n v="8.2226368159203975"/>
    <n v="34.077319587628864"/>
    <n v="0.80367128616581573"/>
    <n v="1.0602026924822265"/>
    <s v="CL606"/>
    <x v="0"/>
    <x v="0"/>
    <n v="6611"/>
    <n v="3"/>
    <x v="1"/>
  </r>
  <r>
    <s v="C607"/>
    <x v="606"/>
    <d v="2024-01-29T05:47:20"/>
    <x v="1"/>
    <n v="0"/>
    <n v="7622"/>
    <x v="3"/>
    <n v="16257"/>
    <n v="1727"/>
    <n v="292"/>
    <n v="10639"/>
    <n v="0.10623116196100141"/>
    <x v="606"/>
    <n v="9.2576722640416911"/>
    <n v="54.753424657534246"/>
    <n v="2.097612175282078"/>
    <n v="0.66543657743307483"/>
    <s v="CL607"/>
    <x v="0"/>
    <x v="0"/>
    <n v="15988"/>
    <n v="2"/>
    <x v="1"/>
  </r>
  <r>
    <s v="C608"/>
    <x v="607"/>
    <d v="2024-08-28T14:23:02"/>
    <x v="0"/>
    <n v="147.83057870370249"/>
    <n v="9749"/>
    <x v="1"/>
    <n v="18878"/>
    <n v="1062"/>
    <n v="457"/>
    <n v="8204"/>
    <n v="5.6255959317724334E-2"/>
    <x v="607"/>
    <n v="18.603578154425612"/>
    <n v="43.23194748358862"/>
    <n v="2.0265668273669095"/>
    <n v="0.41524522953889759"/>
    <s v="CL608"/>
    <x v="0"/>
    <x v="0"/>
    <n v="19757"/>
    <n v="1"/>
    <x v="2"/>
  </r>
  <r>
    <s v="C609"/>
    <x v="608"/>
    <d v="2024-07-25T07:29:26"/>
    <x v="1"/>
    <n v="0"/>
    <n v="2401"/>
    <x v="0"/>
    <n v="5137"/>
    <n v="940"/>
    <n v="71"/>
    <n v="879"/>
    <n v="0.18298617870352346"/>
    <x v="608"/>
    <n v="8.3542553191489368"/>
    <n v="110.6056338028169"/>
    <n v="3.2707205331112035"/>
    <n v="0.11193174582961925"/>
    <s v="CL609"/>
    <x v="2"/>
    <x v="0"/>
    <n v="7853"/>
    <n v="5"/>
    <x v="0"/>
  </r>
  <r>
    <s v="C610"/>
    <x v="609"/>
    <d v="2024-12-29T01:10:50"/>
    <x v="1"/>
    <n v="0"/>
    <n v="5487"/>
    <x v="0"/>
    <n v="18627"/>
    <n v="244"/>
    <n v="290"/>
    <n v="1622"/>
    <n v="1.3099264508509153E-2"/>
    <x v="609"/>
    <n v="32.340163934426229"/>
    <n v="27.210344827586209"/>
    <n v="1.4381264807727356"/>
    <n v="0.20555062729692053"/>
    <s v="CL610"/>
    <x v="1"/>
    <x v="1"/>
    <n v="7891"/>
    <n v="3"/>
    <x v="1"/>
  </r>
  <r>
    <s v="C611"/>
    <x v="610"/>
    <d v="2023-12-11T06:23:28"/>
    <x v="1"/>
    <n v="0"/>
    <n v="5710"/>
    <x v="1"/>
    <n v="3098"/>
    <n v="1334"/>
    <n v="435"/>
    <n v="9959"/>
    <n v="0.43060038734667527"/>
    <x v="610"/>
    <n v="2"/>
    <n v="6.1333333333333337"/>
    <n v="0.46725043782837128"/>
    <n v="3.7327586206896552"/>
    <s v="CL611"/>
    <x v="1"/>
    <x v="0"/>
    <n v="2668"/>
    <n v="3"/>
    <x v="1"/>
  </r>
  <r>
    <s v="C612"/>
    <x v="611"/>
    <d v="2023-07-09T01:52:14"/>
    <x v="1"/>
    <n v="0"/>
    <n v="4232"/>
    <x v="2"/>
    <n v="11975"/>
    <n v="490"/>
    <n v="11"/>
    <n v="10602"/>
    <n v="4.091858037578288E-2"/>
    <x v="611"/>
    <n v="27.979591836734695"/>
    <n v="1246.3636363636363"/>
    <n v="3.2396030245746692"/>
    <n v="0.77330415754923409"/>
    <s v="CL612"/>
    <x v="2"/>
    <x v="0"/>
    <n v="13710"/>
    <n v="4"/>
    <x v="0"/>
  </r>
  <r>
    <s v="C613"/>
    <x v="612"/>
    <d v="2024-11-16T17:23:03"/>
    <x v="0"/>
    <n v="4.5107986111106584"/>
    <n v="1448"/>
    <x v="1"/>
    <n v="16614"/>
    <n v="1419"/>
    <n v="128"/>
    <n v="3042"/>
    <n v="8.5409895269050198E-2"/>
    <x v="612"/>
    <n v="4.3340380549682873"/>
    <n v="48.046875"/>
    <n v="4.2472375690607738"/>
    <n v="0.49463414634146341"/>
    <s v="CL613"/>
    <x v="0"/>
    <x v="0"/>
    <n v="6150"/>
    <n v="1"/>
    <x v="2"/>
  </r>
  <r>
    <s v="C614"/>
    <x v="613"/>
    <d v="2024-08-17T01:37:52"/>
    <x v="0"/>
    <n v="313.17094907406863"/>
    <n v="4238"/>
    <x v="2"/>
    <n v="2581"/>
    <n v="151"/>
    <n v="255"/>
    <n v="3083"/>
    <n v="5.8504455637349864E-2"/>
    <x v="613"/>
    <n v="23.099337748344372"/>
    <n v="13.678431372549019"/>
    <n v="0.82302973100519117"/>
    <n v="0.88388761467889909"/>
    <s v="CL614"/>
    <x v="2"/>
    <x v="1"/>
    <n v="3488"/>
    <n v="1"/>
    <x v="2"/>
  </r>
  <r>
    <s v="C615"/>
    <x v="614"/>
    <d v="2023-09-26T06:04:02"/>
    <x v="0"/>
    <n v="147.81590277778014"/>
    <n v="9952"/>
    <x v="1"/>
    <n v="10528"/>
    <n v="1311"/>
    <n v="265"/>
    <n v="6504"/>
    <n v="0.12452507598784195"/>
    <x v="614"/>
    <n v="2.1838291380625479"/>
    <n v="10.80377358490566"/>
    <n v="0.28768086816720256"/>
    <n v="2.2717429269996505"/>
    <s v="CL615"/>
    <x v="1"/>
    <x v="1"/>
    <n v="2863"/>
    <n v="5"/>
    <x v="0"/>
  </r>
  <r>
    <s v="C616"/>
    <x v="615"/>
    <d v="2024-11-03T01:42:52"/>
    <x v="0"/>
    <n v="212.85761574074422"/>
    <n v="1118"/>
    <x v="0"/>
    <n v="7452"/>
    <n v="734"/>
    <n v="268"/>
    <n v="8431"/>
    <n v="9.8497047772410085E-2"/>
    <x v="615"/>
    <n v="13.987738419618529"/>
    <n v="38.309701492537314"/>
    <n v="9.1833631484794278"/>
    <n v="0.82117463718710426"/>
    <s v="CL616"/>
    <x v="2"/>
    <x v="0"/>
    <n v="10267"/>
    <n v="4"/>
    <x v="0"/>
  </r>
  <r>
    <s v="C617"/>
    <x v="616"/>
    <d v="2024-10-20T13:34:07"/>
    <x v="0"/>
    <n v="512.22447916666715"/>
    <n v="1737"/>
    <x v="0"/>
    <n v="16818"/>
    <n v="1597"/>
    <n v="13"/>
    <n v="10555"/>
    <n v="9.495778332738733E-2"/>
    <x v="616"/>
    <n v="3.6687539135879774"/>
    <n v="450.69230769230768"/>
    <n v="3.3730569948186528"/>
    <n v="1.8015019627922855"/>
    <s v="CL617"/>
    <x v="0"/>
    <x v="0"/>
    <n v="5859"/>
    <n v="3"/>
    <x v="1"/>
  </r>
  <r>
    <s v="C618"/>
    <x v="617"/>
    <d v="2023-12-25T04:54:43"/>
    <x v="1"/>
    <n v="0"/>
    <n v="4514"/>
    <x v="3"/>
    <n v="1374"/>
    <n v="572"/>
    <n v="50"/>
    <n v="12101"/>
    <n v="0.41630276564774382"/>
    <x v="617"/>
    <n v="10.947552447552448"/>
    <n v="125.24"/>
    <n v="1.3872396987151085"/>
    <n v="1.9324496965825615"/>
    <s v="CL618"/>
    <x v="1"/>
    <x v="2"/>
    <n v="6262"/>
    <n v="3"/>
    <x v="1"/>
  </r>
  <r>
    <s v="C619"/>
    <x v="618"/>
    <d v="2024-05-09T08:49:00"/>
    <x v="0"/>
    <n v="270.30787037036498"/>
    <n v="3316"/>
    <x v="2"/>
    <n v="14031"/>
    <n v="826"/>
    <n v="84"/>
    <n v="10293"/>
    <n v="5.8869645784334686E-2"/>
    <x v="618"/>
    <n v="4.8656174334140436"/>
    <n v="47.845238095238095"/>
    <n v="1.2120024125452353"/>
    <n v="2.5610848469768599"/>
    <s v="CL619"/>
    <x v="2"/>
    <x v="2"/>
    <n v="4019"/>
    <n v="1"/>
    <x v="2"/>
  </r>
  <r>
    <s v="C620"/>
    <x v="619"/>
    <d v="2024-12-21T08:26:17"/>
    <x v="1"/>
    <n v="0"/>
    <n v="3863"/>
    <x v="0"/>
    <n v="12284"/>
    <n v="1697"/>
    <n v="176"/>
    <n v="1949"/>
    <n v="0.13814718332790621"/>
    <x v="619"/>
    <n v="3.375957572186211"/>
    <n v="32.551136363636367"/>
    <n v="1.4830442661144188"/>
    <n v="0.3401989876069122"/>
    <s v="CL620"/>
    <x v="4"/>
    <x v="0"/>
    <n v="5729"/>
    <n v="2"/>
    <x v="1"/>
  </r>
  <r>
    <s v="C621"/>
    <x v="620"/>
    <d v="2024-06-08T09:01:33"/>
    <x v="0"/>
    <n v="73.976898148146574"/>
    <n v="8223"/>
    <x v="1"/>
    <n v="8536"/>
    <n v="707"/>
    <n v="280"/>
    <n v="6483"/>
    <n v="8.2825679475164005E-2"/>
    <x v="620"/>
    <n v="6.4879773691654883"/>
    <n v="16.382142857142856"/>
    <n v="0.55782561109084272"/>
    <n v="1.4133420536298233"/>
    <s v="CL621"/>
    <x v="0"/>
    <x v="2"/>
    <n v="4587"/>
    <n v="1"/>
    <x v="2"/>
  </r>
  <r>
    <s v="C622"/>
    <x v="621"/>
    <d v="2024-10-22T12:39:39"/>
    <x v="1"/>
    <n v="0"/>
    <n v="3455"/>
    <x v="1"/>
    <n v="6994"/>
    <n v="861"/>
    <n v="416"/>
    <n v="7617"/>
    <n v="0.12310551901629968"/>
    <x v="621"/>
    <n v="7.2973286875725902"/>
    <n v="15.103365384615385"/>
    <n v="1.8185238784370477"/>
    <n v="1.2123189559127805"/>
    <s v="CL622"/>
    <x v="3"/>
    <x v="2"/>
    <n v="6283"/>
    <n v="5"/>
    <x v="0"/>
  </r>
  <r>
    <s v="C623"/>
    <x v="622"/>
    <d v="2024-10-11T11:31:09"/>
    <x v="0"/>
    <n v="533.67503472222597"/>
    <n v="7372"/>
    <x v="0"/>
    <n v="18710"/>
    <n v="1879"/>
    <n v="258"/>
    <n v="11581"/>
    <n v="0.10042757883484768"/>
    <x v="622"/>
    <n v="2.0324640766365087"/>
    <n v="14.802325581395349"/>
    <n v="0.51804123711340211"/>
    <n v="3.032469232783451"/>
    <s v="CL623"/>
    <x v="4"/>
    <x v="2"/>
    <n v="3819"/>
    <n v="3"/>
    <x v="1"/>
  </r>
  <r>
    <s v="C624"/>
    <x v="623"/>
    <d v="2024-09-07T15:31:52"/>
    <x v="1"/>
    <n v="0"/>
    <n v="8750"/>
    <x v="2"/>
    <n v="9198"/>
    <n v="1554"/>
    <n v="292"/>
    <n v="9370"/>
    <n v="0.16894977168949771"/>
    <x v="623"/>
    <n v="7.2290862290862288"/>
    <n v="38.472602739726028"/>
    <n v="1.2838857142857143"/>
    <n v="0.83407512907245862"/>
    <s v="CL624"/>
    <x v="2"/>
    <x v="1"/>
    <n v="11234"/>
    <n v="3"/>
    <x v="1"/>
  </r>
  <r>
    <s v="C625"/>
    <x v="624"/>
    <d v="2024-05-28T04:29:54"/>
    <x v="0"/>
    <n v="207.1207523148114"/>
    <n v="7464"/>
    <x v="0"/>
    <n v="6649"/>
    <n v="819"/>
    <n v="467"/>
    <n v="1788"/>
    <n v="0.12317641750639194"/>
    <x v="624"/>
    <n v="1.2857142857142858"/>
    <n v="2.2548179871520344"/>
    <n v="0.14107717041800644"/>
    <n v="1.6980056980056981"/>
    <s v="CL625"/>
    <x v="0"/>
    <x v="1"/>
    <n v="1053"/>
    <n v="1"/>
    <x v="2"/>
  </r>
  <r>
    <s v="C626"/>
    <x v="625"/>
    <d v="2024-11-28T13:46:57"/>
    <x v="0"/>
    <n v="204.57936342592438"/>
    <n v="7154"/>
    <x v="2"/>
    <n v="11541"/>
    <n v="199"/>
    <n v="243"/>
    <n v="14648"/>
    <n v="1.7242873234555065E-2"/>
    <x v="625"/>
    <n v="77.326633165829151"/>
    <n v="63.325102880658434"/>
    <n v="2.1509644953871958"/>
    <n v="0.95191057967247206"/>
    <s v="CL626"/>
    <x v="2"/>
    <x v="0"/>
    <n v="15388"/>
    <n v="2"/>
    <x v="1"/>
  </r>
  <r>
    <s v="C627"/>
    <x v="626"/>
    <d v="2024-10-22T20:33:06"/>
    <x v="0"/>
    <n v="236.3679166666625"/>
    <n v="7409"/>
    <x v="1"/>
    <n v="1632"/>
    <n v="1084"/>
    <n v="18"/>
    <n v="5816"/>
    <n v="0.66421568627450978"/>
    <x v="626"/>
    <n v="2.3800738007380073"/>
    <n v="143.33333333333334"/>
    <n v="0.34822513159670671"/>
    <n v="2.2542635658914727"/>
    <s v="CL627"/>
    <x v="3"/>
    <x v="2"/>
    <n v="2580"/>
    <n v="3"/>
    <x v="1"/>
  </r>
  <r>
    <s v="C628"/>
    <x v="627"/>
    <d v="2024-11-19T19:19:09"/>
    <x v="0"/>
    <n v="27.305787037039408"/>
    <n v="6631"/>
    <x v="3"/>
    <n v="11985"/>
    <n v="1716"/>
    <n v="211"/>
    <n v="7694"/>
    <n v="0.14317897371714644"/>
    <x v="627"/>
    <n v="3.5979020979020979"/>
    <n v="29.260663507109005"/>
    <n v="0.93108128487407626"/>
    <n v="1.2461937155814706"/>
    <s v="CL628"/>
    <x v="2"/>
    <x v="0"/>
    <n v="6174"/>
    <n v="5"/>
    <x v="0"/>
  </r>
  <r>
    <s v="C629"/>
    <x v="628"/>
    <d v="2023-10-11T15:55:15"/>
    <x v="1"/>
    <n v="0"/>
    <n v="2302"/>
    <x v="0"/>
    <n v="15286"/>
    <n v="1019"/>
    <n v="240"/>
    <n v="12785"/>
    <n v="6.6662305377469575E-2"/>
    <x v="628"/>
    <n v="6.5456329735034346"/>
    <n v="27.791666666666668"/>
    <n v="2.89748045178106"/>
    <n v="1.916791604197901"/>
    <s v="CL629"/>
    <x v="0"/>
    <x v="0"/>
    <n v="6670"/>
    <n v="1"/>
    <x v="2"/>
  </r>
  <r>
    <s v="C630"/>
    <x v="629"/>
    <d v="2024-09-12T06:29:04"/>
    <x v="1"/>
    <n v="0"/>
    <n v="7892"/>
    <x v="0"/>
    <n v="19913"/>
    <n v="1953"/>
    <n v="316"/>
    <n v="7952"/>
    <n v="9.8076633355094658E-2"/>
    <x v="629"/>
    <n v="2.1029185867895546"/>
    <n v="12.996835443037975"/>
    <n v="0.52040040547389765"/>
    <n v="1.9362064767470173"/>
    <s v="CL630"/>
    <x v="0"/>
    <x v="1"/>
    <n v="4107"/>
    <n v="3"/>
    <x v="1"/>
  </r>
  <r>
    <s v="C631"/>
    <x v="630"/>
    <d v="2023-05-15T05:15:22"/>
    <x v="0"/>
    <n v="92.687395833338087"/>
    <n v="6504"/>
    <x v="0"/>
    <n v="13143"/>
    <n v="123"/>
    <n v="289"/>
    <n v="14878"/>
    <n v="9.3585939283268652E-3"/>
    <x v="630"/>
    <n v="31.617886178861788"/>
    <n v="13.456747404844291"/>
    <n v="0.59793972939729401"/>
    <n v="3.825662123939316"/>
    <s v="CL631"/>
    <x v="1"/>
    <x v="0"/>
    <n v="3889"/>
    <n v="5"/>
    <x v="0"/>
  </r>
  <r>
    <s v="C632"/>
    <x v="631"/>
    <d v="2024-03-29T16:11:07"/>
    <x v="1"/>
    <n v="0"/>
    <n v="6100"/>
    <x v="3"/>
    <n v="18295"/>
    <n v="323"/>
    <n v="273"/>
    <n v="4942"/>
    <n v="1.7655097021044001E-2"/>
    <x v="631"/>
    <n v="16.58204334365325"/>
    <n v="19.61904761904762"/>
    <n v="0.87803278688524589"/>
    <n v="0.9227035100821509"/>
    <s v="CL632"/>
    <x v="2"/>
    <x v="1"/>
    <n v="5356"/>
    <n v="1"/>
    <x v="2"/>
  </r>
  <r>
    <s v="C633"/>
    <x v="632"/>
    <d v="2024-11-28T09:50:57"/>
    <x v="0"/>
    <n v="203.93876157407067"/>
    <n v="4832"/>
    <x v="3"/>
    <n v="12251"/>
    <n v="594"/>
    <n v="83"/>
    <n v="12636"/>
    <n v="4.8485837890784422E-2"/>
    <x v="632"/>
    <n v="26.441077441077439"/>
    <n v="189.22891566265059"/>
    <n v="3.2504139072847682"/>
    <n v="0.80453329937603468"/>
    <s v="CL633"/>
    <x v="2"/>
    <x v="0"/>
    <n v="15706"/>
    <n v="4"/>
    <x v="0"/>
  </r>
  <r>
    <s v="C634"/>
    <x v="633"/>
    <d v="2024-08-22T00:29:53"/>
    <x v="0"/>
    <n v="113.85325231480965"/>
    <n v="8609"/>
    <x v="1"/>
    <n v="13038"/>
    <n v="801"/>
    <n v="138"/>
    <n v="2189"/>
    <n v="6.1435803037275659E-2"/>
    <x v="633"/>
    <n v="19.774032459425719"/>
    <n v="114.77536231884058"/>
    <n v="1.8398187942850506"/>
    <n v="0.13820316939200708"/>
    <s v="CL634"/>
    <x v="0"/>
    <x v="0"/>
    <n v="15839"/>
    <n v="3"/>
    <x v="1"/>
  </r>
  <r>
    <s v="C635"/>
    <x v="634"/>
    <d v="2024-12-17T05:59:21"/>
    <x v="1"/>
    <n v="0"/>
    <n v="8067"/>
    <x v="3"/>
    <n v="4671"/>
    <n v="854"/>
    <n v="321"/>
    <n v="5924"/>
    <n v="0.18283022907300364"/>
    <x v="634"/>
    <n v="10.511709601873536"/>
    <n v="27.965732087227416"/>
    <n v="1.1128052559811579"/>
    <n v="0.65990865545282384"/>
    <s v="CL635"/>
    <x v="4"/>
    <x v="1"/>
    <n v="8977"/>
    <n v="1"/>
    <x v="2"/>
  </r>
  <r>
    <s v="C636"/>
    <x v="635"/>
    <d v="2023-09-25T07:01:27"/>
    <x v="0"/>
    <n v="205.65403935185168"/>
    <n v="2138"/>
    <x v="1"/>
    <n v="15079"/>
    <n v="274"/>
    <n v="35"/>
    <n v="14780"/>
    <n v="1.8170966244445919E-2"/>
    <x v="635"/>
    <n v="3.4781021897810218"/>
    <n v="27.228571428571428"/>
    <n v="0.44574368568755846"/>
    <n v="15.508919202518364"/>
    <s v="CL636"/>
    <x v="4"/>
    <x v="2"/>
    <n v="953"/>
    <n v="3"/>
    <x v="1"/>
  </r>
  <r>
    <s v="C637"/>
    <x v="636"/>
    <d v="2024-02-13T21:42:10"/>
    <x v="1"/>
    <n v="0"/>
    <n v="2613"/>
    <x v="0"/>
    <n v="18949"/>
    <n v="940"/>
    <n v="108"/>
    <n v="1552"/>
    <n v="4.9606839411050714E-2"/>
    <x v="636"/>
    <n v="3.5808510638297872"/>
    <n v="31.166666666666668"/>
    <n v="1.2881745120551091"/>
    <n v="0.46108140225787286"/>
    <s v="CL637"/>
    <x v="1"/>
    <x v="1"/>
    <n v="3366"/>
    <n v="3"/>
    <x v="1"/>
  </r>
  <r>
    <s v="C638"/>
    <x v="637"/>
    <d v="2024-05-20T03:34:08"/>
    <x v="1"/>
    <n v="0"/>
    <n v="6906"/>
    <x v="2"/>
    <n v="3366"/>
    <n v="1015"/>
    <n v="118"/>
    <n v="4617"/>
    <n v="0.30154486036838979"/>
    <x v="637"/>
    <n v="16.829556650246307"/>
    <n v="144.76271186440678"/>
    <n v="2.4735013032145958"/>
    <n v="0.27028451001053738"/>
    <s v="CL638"/>
    <x v="2"/>
    <x v="2"/>
    <n v="17082"/>
    <n v="1"/>
    <x v="2"/>
  </r>
  <r>
    <s v="C639"/>
    <x v="638"/>
    <d v="2024-08-18T23:40:37"/>
    <x v="1"/>
    <n v="0"/>
    <n v="3396"/>
    <x v="3"/>
    <n v="16030"/>
    <n v="483"/>
    <n v="485"/>
    <n v="13098"/>
    <n v="3.0131004366812226E-2"/>
    <x v="638"/>
    <n v="17.697722567287784"/>
    <n v="17.624742268041238"/>
    <n v="2.5170789163722027"/>
    <n v="1.5322882545624708"/>
    <s v="CL639"/>
    <x v="1"/>
    <x v="2"/>
    <n v="8548"/>
    <n v="3"/>
    <x v="1"/>
  </r>
  <r>
    <s v="C640"/>
    <x v="639"/>
    <d v="2024-03-19T06:01:07"/>
    <x v="0"/>
    <n v="202.70359953703883"/>
    <n v="8545"/>
    <x v="1"/>
    <n v="9692"/>
    <n v="528"/>
    <n v="184"/>
    <n v="923"/>
    <n v="5.4477919933966161E-2"/>
    <x v="639"/>
    <n v="6.6685606060606064"/>
    <n v="19.135869565217391"/>
    <n v="0.41205383265067291"/>
    <n v="0.26214143709173532"/>
    <s v="CL640"/>
    <x v="3"/>
    <x v="2"/>
    <n v="3521"/>
    <n v="4"/>
    <x v="0"/>
  </r>
  <r>
    <s v="C641"/>
    <x v="640"/>
    <d v="2024-08-13T12:54:33"/>
    <x v="0"/>
    <n v="567.84033564815036"/>
    <n v="6924"/>
    <x v="0"/>
    <n v="7910"/>
    <n v="1909"/>
    <n v="485"/>
    <n v="11302"/>
    <n v="0.24134007585335018"/>
    <x v="640"/>
    <n v="1.5055002619172342"/>
    <n v="5.9257731958762889"/>
    <n v="0.41507798960138648"/>
    <n v="3.9324982602644396"/>
    <s v="CL641"/>
    <x v="3"/>
    <x v="0"/>
    <n v="2874"/>
    <n v="3"/>
    <x v="1"/>
  </r>
  <r>
    <s v="C642"/>
    <x v="641"/>
    <d v="2024-07-30T08:05:52"/>
    <x v="0"/>
    <n v="441.79815972222423"/>
    <n v="2357"/>
    <x v="2"/>
    <n v="19708"/>
    <n v="897"/>
    <n v="164"/>
    <n v="12837"/>
    <n v="4.5514511873350927E-2"/>
    <x v="641"/>
    <n v="4.4013377926421402"/>
    <n v="24.073170731707318"/>
    <n v="1.6750106067034365"/>
    <n v="3.2515197568389058"/>
    <s v="CL642"/>
    <x v="1"/>
    <x v="2"/>
    <n v="3948"/>
    <n v="1"/>
    <x v="2"/>
  </r>
  <r>
    <s v="C643"/>
    <x v="642"/>
    <d v="2023-11-14T10:04:03"/>
    <x v="1"/>
    <n v="0"/>
    <n v="8227"/>
    <x v="1"/>
    <n v="10124"/>
    <n v="332"/>
    <n v="201"/>
    <n v="7359"/>
    <n v="3.2793362307388385E-2"/>
    <x v="642"/>
    <n v="46.5210843373494"/>
    <n v="76.840796019900495"/>
    <n v="1.8773550504436611"/>
    <n v="0.47646487536419552"/>
    <s v="CL643"/>
    <x v="2"/>
    <x v="1"/>
    <n v="15445"/>
    <n v="1"/>
    <x v="2"/>
  </r>
  <r>
    <s v="C644"/>
    <x v="643"/>
    <d v="2024-06-06T17:24:53"/>
    <x v="1"/>
    <n v="0"/>
    <n v="8174"/>
    <x v="0"/>
    <n v="19485"/>
    <n v="497"/>
    <n v="223"/>
    <n v="1358"/>
    <n v="2.550680010264306E-2"/>
    <x v="643"/>
    <n v="11.106639839034205"/>
    <n v="24.753363228699552"/>
    <n v="0.67531196476633226"/>
    <n v="0.24601449275362319"/>
    <s v="CL644"/>
    <x v="4"/>
    <x v="1"/>
    <n v="5520"/>
    <n v="1"/>
    <x v="2"/>
  </r>
  <r>
    <s v="C645"/>
    <x v="644"/>
    <d v="2024-10-17T13:51:37"/>
    <x v="0"/>
    <n v="45.44984953704261"/>
    <n v="2124"/>
    <x v="3"/>
    <n v="5139"/>
    <n v="892"/>
    <n v="76"/>
    <n v="13413"/>
    <n v="0.17357462541350457"/>
    <x v="644"/>
    <n v="17.036995515695068"/>
    <n v="199.96052631578948"/>
    <n v="7.1548964218455744"/>
    <n v="0.88260840955451736"/>
    <s v="CL645"/>
    <x v="1"/>
    <x v="0"/>
    <n v="15197"/>
    <n v="2"/>
    <x v="1"/>
  </r>
  <r>
    <s v="C646"/>
    <x v="645"/>
    <d v="2024-11-11T23:30:29"/>
    <x v="1"/>
    <n v="0"/>
    <n v="6981"/>
    <x v="3"/>
    <n v="5584"/>
    <n v="770"/>
    <n v="19"/>
    <n v="9526"/>
    <n v="0.13789398280802292"/>
    <x v="645"/>
    <n v="17.758441558441557"/>
    <n v="719.68421052631584"/>
    <n v="1.958745165449076"/>
    <n v="0.69665057773877437"/>
    <s v="CL646"/>
    <x v="2"/>
    <x v="2"/>
    <n v="13674"/>
    <n v="4"/>
    <x v="0"/>
  </r>
  <r>
    <s v="C647"/>
    <x v="646"/>
    <d v="2024-07-05T08:01:37"/>
    <x v="1"/>
    <n v="0"/>
    <n v="8235"/>
    <x v="2"/>
    <n v="11682"/>
    <n v="1785"/>
    <n v="125"/>
    <n v="12942"/>
    <n v="0.15279917822290703"/>
    <x v="646"/>
    <n v="7.8605042016806719"/>
    <n v="112.248"/>
    <n v="1.7038251366120218"/>
    <n v="0.92238614496472093"/>
    <s v="CL647"/>
    <x v="1"/>
    <x v="2"/>
    <n v="14031"/>
    <n v="5"/>
    <x v="0"/>
  </r>
  <r>
    <s v="C648"/>
    <x v="647"/>
    <d v="2024-11-23T11:58:47"/>
    <x v="0"/>
    <n v="411.6364583333343"/>
    <n v="5892"/>
    <x v="2"/>
    <n v="7137"/>
    <n v="315"/>
    <n v="304"/>
    <n v="3718"/>
    <n v="4.4136191677175286E-2"/>
    <x v="647"/>
    <n v="24.736507936507937"/>
    <n v="25.631578947368421"/>
    <n v="1.3224711473183979"/>
    <n v="0.4771560574948665"/>
    <s v="CL648"/>
    <x v="4"/>
    <x v="1"/>
    <n v="7792"/>
    <n v="1"/>
    <x v="2"/>
  </r>
  <r>
    <s v="C649"/>
    <x v="648"/>
    <d v="2024-08-22T00:26:30"/>
    <x v="0"/>
    <n v="397.18184027777897"/>
    <n v="1079"/>
    <x v="3"/>
    <n v="2308"/>
    <n v="325"/>
    <n v="344"/>
    <n v="9275"/>
    <n v="0.14081455805892548"/>
    <x v="648"/>
    <n v="44.307692307692307"/>
    <n v="41.860465116279073"/>
    <n v="13.345690454124188"/>
    <n v="0.64409722222222221"/>
    <s v="CL649"/>
    <x v="1"/>
    <x v="2"/>
    <n v="14400"/>
    <n v="5"/>
    <x v="0"/>
  </r>
  <r>
    <s v="C650"/>
    <x v="649"/>
    <d v="2024-01-12T13:43:04"/>
    <x v="0"/>
    <n v="31.885763888887595"/>
    <n v="6643"/>
    <x v="1"/>
    <n v="3312"/>
    <n v="669"/>
    <n v="20"/>
    <n v="7590"/>
    <n v="0.20199275362318841"/>
    <x v="649"/>
    <n v="29.696562032884902"/>
    <n v="993.35"/>
    <n v="2.9906668673791961"/>
    <n v="0.38204056978909751"/>
    <s v="CL650"/>
    <x v="2"/>
    <x v="2"/>
    <n v="19867"/>
    <n v="3"/>
    <x v="1"/>
  </r>
  <r>
    <s v="C651"/>
    <x v="650"/>
    <d v="2024-05-03T21:19:38"/>
    <x v="1"/>
    <n v="0"/>
    <n v="9987"/>
    <x v="0"/>
    <n v="1660"/>
    <n v="1096"/>
    <n v="441"/>
    <n v="14386"/>
    <n v="0.66024096385542164"/>
    <x v="650"/>
    <n v="7.038321167883212"/>
    <n v="17.49206349206349"/>
    <n v="0.77240412536297187"/>
    <n v="1.864920922997148"/>
    <s v="CL651"/>
    <x v="1"/>
    <x v="0"/>
    <n v="7714"/>
    <n v="3"/>
    <x v="1"/>
  </r>
  <r>
    <s v="C652"/>
    <x v="651"/>
    <d v="2024-03-19T16:23:10"/>
    <x v="0"/>
    <n v="123.15481481481402"/>
    <n v="1372"/>
    <x v="2"/>
    <n v="16664"/>
    <n v="1147"/>
    <n v="96"/>
    <n v="9286"/>
    <n v="6.8831012962073931E-2"/>
    <x v="651"/>
    <n v="11.238012205754142"/>
    <n v="134.27083333333334"/>
    <n v="9.3950437317784257"/>
    <n v="0.7204034134988363"/>
    <s v="CL652"/>
    <x v="4"/>
    <x v="2"/>
    <n v="12890"/>
    <n v="2"/>
    <x v="1"/>
  </r>
  <r>
    <s v="C653"/>
    <x v="652"/>
    <d v="2024-11-28T22:10:17"/>
    <x v="1"/>
    <n v="0"/>
    <n v="3055"/>
    <x v="2"/>
    <n v="15695"/>
    <n v="1642"/>
    <n v="389"/>
    <n v="8444"/>
    <n v="0.10461930551130934"/>
    <x v="652"/>
    <n v="9.3179049939098668"/>
    <n v="39.331619537275067"/>
    <n v="5.0081833060556464"/>
    <n v="0.55189542483660126"/>
    <s v="CL653"/>
    <x v="1"/>
    <x v="0"/>
    <n v="15300"/>
    <n v="5"/>
    <x v="0"/>
  </r>
  <r>
    <s v="C654"/>
    <x v="653"/>
    <d v="2023-12-21T20:49:59"/>
    <x v="1"/>
    <n v="0"/>
    <n v="4058"/>
    <x v="1"/>
    <n v="8560"/>
    <n v="873"/>
    <n v="494"/>
    <n v="2025"/>
    <n v="0.10198598130841122"/>
    <x v="653"/>
    <n v="6.1924398625429555"/>
    <n v="10.943319838056681"/>
    <n v="1.3321833415475604"/>
    <n v="0.37458379578246392"/>
    <s v="CL654"/>
    <x v="4"/>
    <x v="1"/>
    <n v="5406"/>
    <n v="2"/>
    <x v="1"/>
  </r>
  <r>
    <s v="C655"/>
    <x v="654"/>
    <d v="2023-12-08T21:50:38"/>
    <x v="1"/>
    <n v="0"/>
    <n v="8909"/>
    <x v="0"/>
    <n v="15272"/>
    <n v="1312"/>
    <n v="330"/>
    <n v="8979"/>
    <n v="8.590885280251441E-2"/>
    <x v="654"/>
    <n v="11.02515243902439"/>
    <n v="43.833333333333336"/>
    <n v="1.6236390167246604"/>
    <n v="0.62073971655720706"/>
    <s v="CL655"/>
    <x v="3"/>
    <x v="1"/>
    <n v="14465"/>
    <n v="1"/>
    <x v="2"/>
  </r>
  <r>
    <s v="C656"/>
    <x v="655"/>
    <d v="2024-04-03T03:52:03"/>
    <x v="1"/>
    <n v="0"/>
    <n v="8145"/>
    <x v="1"/>
    <n v="9993"/>
    <n v="348"/>
    <n v="26"/>
    <n v="10235"/>
    <n v="3.4824377063944763E-2"/>
    <x v="655"/>
    <n v="15.683908045977011"/>
    <n v="209.92307692307693"/>
    <n v="0.67010435850214856"/>
    <n v="1.875229021619641"/>
    <s v="CL656"/>
    <x v="4"/>
    <x v="0"/>
    <n v="5458"/>
    <n v="1"/>
    <x v="2"/>
  </r>
  <r>
    <s v="C657"/>
    <x v="656"/>
    <d v="2024-08-17T20:57:37"/>
    <x v="1"/>
    <n v="0"/>
    <n v="2951"/>
    <x v="1"/>
    <n v="19091"/>
    <n v="722"/>
    <n v="269"/>
    <n v="6835"/>
    <n v="3.7818867529202244E-2"/>
    <x v="656"/>
    <n v="6.4168975069252081"/>
    <n v="17.223048327137548"/>
    <n v="1.5699762792273806"/>
    <n v="1.475285991797971"/>
    <s v="CL657"/>
    <x v="1"/>
    <x v="2"/>
    <n v="4633"/>
    <n v="2"/>
    <x v="1"/>
  </r>
  <r>
    <s v="C658"/>
    <x v="657"/>
    <d v="2024-07-02T12:33:30"/>
    <x v="0"/>
    <n v="509.21267361111677"/>
    <n v="8982"/>
    <x v="2"/>
    <n v="10727"/>
    <n v="117"/>
    <n v="111"/>
    <n v="8341"/>
    <n v="1.0907056959075231E-2"/>
    <x v="657"/>
    <n v="28.111111111111111"/>
    <n v="29.63063063063063"/>
    <n v="0.3661767980405255"/>
    <n v="2.5360291882031012"/>
    <s v="CL658"/>
    <x v="0"/>
    <x v="2"/>
    <n v="3289"/>
    <n v="1"/>
    <x v="2"/>
  </r>
  <r>
    <s v="C659"/>
    <x v="658"/>
    <d v="2024-01-19T14:24:32"/>
    <x v="0"/>
    <n v="50.8401157407352"/>
    <n v="2652"/>
    <x v="0"/>
    <n v="16422"/>
    <n v="1214"/>
    <n v="165"/>
    <n v="5194"/>
    <n v="7.3925222262818169E-2"/>
    <x v="658"/>
    <n v="12.831136738056014"/>
    <n v="94.406060606060606"/>
    <n v="5.8736802413272997"/>
    <n v="0.33344032868973489"/>
    <s v="CL659"/>
    <x v="1"/>
    <x v="0"/>
    <n v="15577"/>
    <n v="1"/>
    <x v="2"/>
  </r>
  <r>
    <s v="C660"/>
    <x v="659"/>
    <d v="2024-07-21T08:39:49"/>
    <x v="0"/>
    <n v="150.40715277777781"/>
    <n v="2920"/>
    <x v="0"/>
    <n v="8596"/>
    <n v="632"/>
    <n v="206"/>
    <n v="7613"/>
    <n v="7.352256863657515E-2"/>
    <x v="659"/>
    <n v="3.2041139240506329"/>
    <n v="9.8300970873786415"/>
    <n v="0.69349315068493156"/>
    <n v="3.7595061728395063"/>
    <s v="CL660"/>
    <x v="3"/>
    <x v="2"/>
    <n v="2025"/>
    <n v="3"/>
    <x v="1"/>
  </r>
  <r>
    <s v="C661"/>
    <x v="660"/>
    <d v="2024-10-13T14:40:59"/>
    <x v="1"/>
    <n v="0"/>
    <n v="4158"/>
    <x v="2"/>
    <n v="16914"/>
    <n v="1935"/>
    <n v="431"/>
    <n v="1374"/>
    <n v="0.11440227030862007"/>
    <x v="660"/>
    <n v="4.4661498708010337"/>
    <n v="20.051044083526683"/>
    <n v="2.0784030784030785"/>
    <n v="0.15899097431150197"/>
    <s v="CL661"/>
    <x v="3"/>
    <x v="2"/>
    <n v="8642"/>
    <n v="3"/>
    <x v="1"/>
  </r>
  <r>
    <s v="C662"/>
    <x v="661"/>
    <d v="2023-07-25T00:46:27"/>
    <x v="0"/>
    <n v="195.86109953703999"/>
    <n v="2767"/>
    <x v="2"/>
    <n v="4069"/>
    <n v="141"/>
    <n v="361"/>
    <n v="1489"/>
    <n v="3.4652248709756694E-2"/>
    <x v="661"/>
    <n v="60.645390070921984"/>
    <n v="23.686980609418281"/>
    <n v="3.0903505601734729"/>
    <n v="0.17413168050520406"/>
    <s v="CL662"/>
    <x v="2"/>
    <x v="1"/>
    <n v="8551"/>
    <n v="5"/>
    <x v="0"/>
  </r>
  <r>
    <s v="C663"/>
    <x v="662"/>
    <d v="2024-01-01T00:39:35"/>
    <x v="0"/>
    <n v="328.48453703703854"/>
    <n v="8998"/>
    <x v="2"/>
    <n v="2560"/>
    <n v="1756"/>
    <n v="59"/>
    <n v="5639"/>
    <n v="0.68593749999999998"/>
    <x v="662"/>
    <n v="7.8268792710706148"/>
    <n v="232.94915254237287"/>
    <n v="1.5274505445654589"/>
    <n v="0.41028812572759021"/>
    <s v="CL663"/>
    <x v="1"/>
    <x v="1"/>
    <n v="13744"/>
    <n v="1"/>
    <x v="2"/>
  </r>
  <r>
    <s v="C664"/>
    <x v="663"/>
    <d v="2024-06-04T15:08:11"/>
    <x v="0"/>
    <n v="194.18356481481169"/>
    <n v="2575"/>
    <x v="3"/>
    <n v="5277"/>
    <n v="834"/>
    <n v="143"/>
    <n v="3636"/>
    <n v="0.15804434337691869"/>
    <x v="663"/>
    <n v="4.224220623501199"/>
    <n v="24.636363636363637"/>
    <n v="1.3681553398058253"/>
    <n v="1.0320749361339767"/>
    <s v="CL664"/>
    <x v="2"/>
    <x v="1"/>
    <n v="3523"/>
    <n v="1"/>
    <x v="2"/>
  </r>
  <r>
    <s v="C665"/>
    <x v="664"/>
    <d v="2024-02-14T22:51:45"/>
    <x v="1"/>
    <n v="0"/>
    <n v="4274"/>
    <x v="2"/>
    <n v="15615"/>
    <n v="919"/>
    <n v="338"/>
    <n v="7405"/>
    <n v="5.8853666346461733E-2"/>
    <x v="664"/>
    <n v="18.041349292709466"/>
    <n v="49.053254437869825"/>
    <n v="3.8792700046794573"/>
    <n v="0.44662243667068757"/>
    <s v="CL665"/>
    <x v="1"/>
    <x v="1"/>
    <n v="16580"/>
    <n v="3"/>
    <x v="1"/>
  </r>
  <r>
    <s v="C666"/>
    <x v="665"/>
    <d v="2023-09-24T15:06:55"/>
    <x v="0"/>
    <n v="216.75677083333721"/>
    <n v="2391"/>
    <x v="3"/>
    <n v="11904"/>
    <n v="252"/>
    <n v="198"/>
    <n v="10748"/>
    <n v="2.1169354838709676E-2"/>
    <x v="665"/>
    <n v="68.984126984126988"/>
    <n v="87.797979797979792"/>
    <n v="7.2705980761187785"/>
    <n v="0.61826967326277038"/>
    <s v="CL666"/>
    <x v="1"/>
    <x v="2"/>
    <n v="17384"/>
    <n v="3"/>
    <x v="1"/>
  </r>
  <r>
    <s v="C667"/>
    <x v="666"/>
    <d v="2024-04-07T05:35:47"/>
    <x v="1"/>
    <n v="0"/>
    <n v="1262"/>
    <x v="2"/>
    <n v="9374"/>
    <n v="1399"/>
    <n v="94"/>
    <n v="6520"/>
    <n v="0.14924258587582676"/>
    <x v="666"/>
    <n v="8.9099356683345246"/>
    <n v="132.60638297872342"/>
    <n v="9.8771790808240887"/>
    <n v="0.52306458082631369"/>
    <s v="CL667"/>
    <x v="0"/>
    <x v="0"/>
    <n v="12465"/>
    <n v="5"/>
    <x v="0"/>
  </r>
  <r>
    <s v="C668"/>
    <x v="667"/>
    <d v="2024-10-26T07:01:33"/>
    <x v="1"/>
    <n v="0"/>
    <n v="1697"/>
    <x v="1"/>
    <n v="12907"/>
    <n v="128"/>
    <n v="126"/>
    <n v="7134"/>
    <n v="9.9170992484698232E-3"/>
    <x v="667"/>
    <n v="14.8125"/>
    <n v="15.047619047619047"/>
    <n v="1.1172657631113729"/>
    <n v="3.7626582278481013"/>
    <s v="CL668"/>
    <x v="3"/>
    <x v="2"/>
    <n v="1896"/>
    <n v="1"/>
    <x v="2"/>
  </r>
  <r>
    <s v="C669"/>
    <x v="668"/>
    <d v="2024-08-07T22:44:02"/>
    <x v="1"/>
    <n v="0"/>
    <n v="9299"/>
    <x v="3"/>
    <n v="4550"/>
    <n v="240"/>
    <n v="397"/>
    <n v="14570"/>
    <n v="5.2747252747252747E-2"/>
    <x v="668"/>
    <n v="65.95"/>
    <n v="39.869017632241814"/>
    <n v="1.7021185073663836"/>
    <n v="0.92052059641142281"/>
    <s v="CL669"/>
    <x v="2"/>
    <x v="0"/>
    <n v="15828"/>
    <n v="4"/>
    <x v="0"/>
  </r>
  <r>
    <s v="C670"/>
    <x v="669"/>
    <d v="2024-06-28T09:18:59"/>
    <x v="0"/>
    <n v="495.53550925925811"/>
    <n v="7324"/>
    <x v="2"/>
    <n v="14931"/>
    <n v="220"/>
    <n v="324"/>
    <n v="3720"/>
    <n v="1.473444511419195E-2"/>
    <x v="669"/>
    <n v="15.504545454545454"/>
    <n v="10.527777777777779"/>
    <n v="0.46572910977607862"/>
    <n v="1.0905892700087951"/>
    <s v="CL670"/>
    <x v="1"/>
    <x v="2"/>
    <n v="3411"/>
    <n v="2"/>
    <x v="1"/>
  </r>
  <r>
    <s v="C671"/>
    <x v="670"/>
    <d v="2023-11-25T06:48:44"/>
    <x v="1"/>
    <n v="0"/>
    <n v="1790"/>
    <x v="3"/>
    <n v="3097"/>
    <n v="982"/>
    <n v="338"/>
    <n v="7020"/>
    <n v="0.31708104617371652"/>
    <x v="670"/>
    <n v="5.1904276985743385"/>
    <n v="15.079881656804734"/>
    <n v="2.8474860335195529"/>
    <n v="1.3772807533843436"/>
    <s v="CL671"/>
    <x v="0"/>
    <x v="0"/>
    <n v="5097"/>
    <n v="4"/>
    <x v="0"/>
  </r>
  <r>
    <s v="C672"/>
    <x v="671"/>
    <d v="2023-12-24T19:33:59"/>
    <x v="0"/>
    <n v="242.56232638888469"/>
    <n v="9736"/>
    <x v="2"/>
    <n v="16245"/>
    <n v="941"/>
    <n v="10"/>
    <n v="12711"/>
    <n v="5.7925515543244079E-2"/>
    <x v="671"/>
    <n v="3.6482465462274178"/>
    <n v="343.3"/>
    <n v="0.35260887428101889"/>
    <n v="3.7025924847072531"/>
    <s v="CL672"/>
    <x v="2"/>
    <x v="1"/>
    <n v="3433"/>
    <n v="5"/>
    <x v="0"/>
  </r>
  <r>
    <s v="C673"/>
    <x v="672"/>
    <d v="2023-11-12T02:25:55"/>
    <x v="1"/>
    <n v="0"/>
    <n v="3314"/>
    <x v="2"/>
    <n v="9644"/>
    <n v="236"/>
    <n v="278"/>
    <n v="6668"/>
    <n v="2.4471173786810452E-2"/>
    <x v="672"/>
    <n v="69.322033898305079"/>
    <n v="58.848920863309353"/>
    <n v="4.9366324683162341"/>
    <n v="0.40757946210268947"/>
    <s v="CL673"/>
    <x v="2"/>
    <x v="2"/>
    <n v="16360"/>
    <n v="1"/>
    <x v="2"/>
  </r>
  <r>
    <s v="C674"/>
    <x v="673"/>
    <d v="2024-04-11T09:30:07"/>
    <x v="0"/>
    <n v="115.24788194444409"/>
    <n v="7163"/>
    <x v="1"/>
    <n v="4096"/>
    <n v="663"/>
    <n v="78"/>
    <n v="12654"/>
    <n v="0.161865234375"/>
    <x v="673"/>
    <n v="10.242835595776771"/>
    <n v="87.064102564102569"/>
    <n v="0.94806645260365774"/>
    <n v="1.8633485495508761"/>
    <s v="CL674"/>
    <x v="4"/>
    <x v="2"/>
    <n v="6791"/>
    <n v="2"/>
    <x v="1"/>
  </r>
  <r>
    <s v="C675"/>
    <x v="674"/>
    <d v="2024-01-11T18:53:10"/>
    <x v="1"/>
    <n v="0"/>
    <n v="5802"/>
    <x v="3"/>
    <n v="2608"/>
    <n v="1767"/>
    <n v="437"/>
    <n v="4558"/>
    <n v="0.67753067484662577"/>
    <x v="674"/>
    <n v="1.4233163554046406"/>
    <n v="5.7551487414187639"/>
    <n v="0.43347121682178558"/>
    <n v="1.8123260437375746"/>
    <s v="CL675"/>
    <x v="0"/>
    <x v="0"/>
    <n v="2515"/>
    <n v="5"/>
    <x v="0"/>
  </r>
  <r>
    <s v="C676"/>
    <x v="675"/>
    <d v="2024-08-31T17:35:45"/>
    <x v="1"/>
    <n v="0"/>
    <n v="1628"/>
    <x v="0"/>
    <n v="3105"/>
    <n v="1257"/>
    <n v="344"/>
    <n v="7507"/>
    <n v="0.40483091787439612"/>
    <x v="675"/>
    <n v="13.98170246618934"/>
    <n v="51.090116279069768"/>
    <n v="10.795454545454545"/>
    <n v="0.42714082503556189"/>
    <s v="CL676"/>
    <x v="0"/>
    <x v="0"/>
    <n v="17575"/>
    <n v="3"/>
    <x v="1"/>
  </r>
  <r>
    <s v="C677"/>
    <x v="676"/>
    <d v="2024-02-01T12:37:01"/>
    <x v="0"/>
    <n v="56.761944444442634"/>
    <n v="8358"/>
    <x v="2"/>
    <n v="14995"/>
    <n v="439"/>
    <n v="253"/>
    <n v="7736"/>
    <n v="2.9276425475158387E-2"/>
    <x v="676"/>
    <n v="19.068337129840547"/>
    <n v="33.086956521739133"/>
    <n v="1.0015553960277579"/>
    <n v="0.92414287420857721"/>
    <s v="CL677"/>
    <x v="4"/>
    <x v="0"/>
    <n v="8371"/>
    <n v="1"/>
    <x v="2"/>
  </r>
  <r>
    <s v="C678"/>
    <x v="677"/>
    <d v="2023-12-18T13:34:45"/>
    <x v="0"/>
    <n v="222.89849537036935"/>
    <n v="8659"/>
    <x v="1"/>
    <n v="1631"/>
    <n v="1324"/>
    <n v="233"/>
    <n v="6064"/>
    <n v="0.81177191906805646"/>
    <x v="677"/>
    <n v="3.1895770392749245"/>
    <n v="18.124463519313306"/>
    <n v="0.48770065827462755"/>
    <n v="1.4359460099455363"/>
    <s v="CL678"/>
    <x v="1"/>
    <x v="1"/>
    <n v="4223"/>
    <n v="4"/>
    <x v="0"/>
  </r>
  <r>
    <s v="C679"/>
    <x v="678"/>
    <d v="2024-02-21T12:55:36"/>
    <x v="0"/>
    <n v="143.68945601852465"/>
    <n v="7480"/>
    <x v="2"/>
    <n v="10728"/>
    <n v="1375"/>
    <n v="246"/>
    <n v="11959"/>
    <n v="0.12816927665920955"/>
    <x v="678"/>
    <n v="1.1127272727272728"/>
    <n v="6.2195121951219514"/>
    <n v="0.20454545454545456"/>
    <n v="7.8163398692810455"/>
    <s v="CL679"/>
    <x v="4"/>
    <x v="0"/>
    <n v="1530"/>
    <n v="1"/>
    <x v="2"/>
  </r>
  <r>
    <s v="C680"/>
    <x v="679"/>
    <d v="2023-12-20T02:38:40"/>
    <x v="0"/>
    <n v="145.50230324074073"/>
    <n v="1491"/>
    <x v="3"/>
    <n v="11824"/>
    <n v="1215"/>
    <n v="256"/>
    <n v="9867"/>
    <n v="0.10275710419485791"/>
    <x v="679"/>
    <n v="10.020576131687243"/>
    <n v="47.55859375"/>
    <n v="8.1656606304493629"/>
    <n v="0.81043121149897335"/>
    <s v="CL680"/>
    <x v="4"/>
    <x v="1"/>
    <n v="12175"/>
    <n v="2"/>
    <x v="1"/>
  </r>
  <r>
    <s v="C681"/>
    <x v="680"/>
    <d v="2024-03-02T15:45:38"/>
    <x v="0"/>
    <n v="87.322696759263636"/>
    <n v="4670"/>
    <x v="0"/>
    <n v="8798"/>
    <n v="1686"/>
    <n v="366"/>
    <n v="11810"/>
    <n v="0.19163446237781315"/>
    <x v="680"/>
    <n v="4.1909845788849349"/>
    <n v="19.306010928961747"/>
    <n v="1.5130620985010708"/>
    <n v="1.6713840928389472"/>
    <s v="CL681"/>
    <x v="0"/>
    <x v="0"/>
    <n v="7066"/>
    <n v="4"/>
    <x v="0"/>
  </r>
  <r>
    <s v="C682"/>
    <x v="681"/>
    <d v="2023-06-23T14:45:44"/>
    <x v="1"/>
    <n v="0"/>
    <n v="6450"/>
    <x v="2"/>
    <n v="18006"/>
    <n v="1633"/>
    <n v="313"/>
    <n v="8800"/>
    <n v="9.0691991558369434E-2"/>
    <x v="681"/>
    <n v="11.718922229026331"/>
    <n v="61.140575079872207"/>
    <n v="2.9669767441860464"/>
    <n v="0.4598421905209803"/>
    <s v="CL682"/>
    <x v="4"/>
    <x v="1"/>
    <n v="19137"/>
    <n v="1"/>
    <x v="2"/>
  </r>
  <r>
    <s v="C683"/>
    <x v="682"/>
    <d v="2023-07-04T20:00:17"/>
    <x v="0"/>
    <n v="129.80384259259154"/>
    <n v="6178"/>
    <x v="3"/>
    <n v="17614"/>
    <n v="1523"/>
    <n v="238"/>
    <n v="8179"/>
    <n v="8.6465311683887811E-2"/>
    <x v="682"/>
    <n v="10.87655942219304"/>
    <n v="69.600840336134453"/>
    <n v="2.6812884428617676"/>
    <n v="0.49375188650769697"/>
    <s v="CL683"/>
    <x v="2"/>
    <x v="2"/>
    <n v="16565"/>
    <n v="3"/>
    <x v="1"/>
  </r>
  <r>
    <s v="C684"/>
    <x v="683"/>
    <d v="2024-10-29T02:07:13"/>
    <x v="1"/>
    <n v="0"/>
    <n v="3260"/>
    <x v="2"/>
    <n v="12439"/>
    <n v="945"/>
    <n v="377"/>
    <n v="5869"/>
    <n v="7.597073719752391E-2"/>
    <x v="683"/>
    <n v="13.136507936507936"/>
    <n v="32.928381962864719"/>
    <n v="3.8079754601226994"/>
    <n v="0.47277267601095535"/>
    <s v="CL684"/>
    <x v="1"/>
    <x v="2"/>
    <n v="12414"/>
    <n v="4"/>
    <x v="0"/>
  </r>
  <r>
    <s v="C685"/>
    <x v="684"/>
    <d v="2024-04-21T19:55:12"/>
    <x v="0"/>
    <n v="39.626099537039408"/>
    <n v="5464"/>
    <x v="0"/>
    <n v="14467"/>
    <n v="1066"/>
    <n v="247"/>
    <n v="2982"/>
    <n v="7.3684938135066005E-2"/>
    <x v="684"/>
    <n v="16.72138836772983"/>
    <n v="72.165991902834008"/>
    <n v="3.2622620790629577"/>
    <n v="0.16729312762973353"/>
    <s v="CL685"/>
    <x v="1"/>
    <x v="1"/>
    <n v="17825"/>
    <n v="1"/>
    <x v="2"/>
  </r>
  <r>
    <s v="C686"/>
    <x v="685"/>
    <d v="2024-07-29T22:43:15"/>
    <x v="0"/>
    <n v="526.94577546296205"/>
    <n v="1362"/>
    <x v="3"/>
    <n v="9670"/>
    <n v="1451"/>
    <n v="328"/>
    <n v="11493"/>
    <n v="0.15005170630816961"/>
    <x v="685"/>
    <n v="9.2322536181943491"/>
    <n v="40.841463414634148"/>
    <n v="9.83553597650514"/>
    <n v="0.85794266945356823"/>
    <s v="CL686"/>
    <x v="4"/>
    <x v="2"/>
    <n v="13396"/>
    <n v="3"/>
    <x v="1"/>
  </r>
  <r>
    <s v="C687"/>
    <x v="686"/>
    <d v="2024-10-04T09:33:26"/>
    <x v="1"/>
    <n v="0"/>
    <n v="7228"/>
    <x v="3"/>
    <n v="10270"/>
    <n v="1480"/>
    <n v="278"/>
    <n v="7131"/>
    <n v="0.14410905550146055"/>
    <x v="686"/>
    <n v="9.205405405405406"/>
    <n v="49.007194244604314"/>
    <n v="1.8848920863309353"/>
    <n v="0.52341456253669993"/>
    <s v="CL687"/>
    <x v="0"/>
    <x v="2"/>
    <n v="13624"/>
    <n v="4"/>
    <x v="0"/>
  </r>
  <r>
    <s v="C688"/>
    <x v="687"/>
    <d v="2024-08-30T16:27:20"/>
    <x v="0"/>
    <n v="272.55581018517842"/>
    <n v="9587"/>
    <x v="2"/>
    <n v="4632"/>
    <n v="511"/>
    <n v="114"/>
    <n v="3733"/>
    <n v="0.11031951640759931"/>
    <x v="687"/>
    <n v="25.810176125244617"/>
    <n v="115.69298245614036"/>
    <n v="1.3757171169291749"/>
    <n v="0.28303889604973842"/>
    <s v="CL688"/>
    <x v="3"/>
    <x v="1"/>
    <n v="13189"/>
    <n v="3"/>
    <x v="1"/>
  </r>
  <r>
    <s v="C689"/>
    <x v="688"/>
    <d v="2023-10-12T04:25:23"/>
    <x v="0"/>
    <n v="52.723101851850515"/>
    <n v="1854"/>
    <x v="3"/>
    <n v="1018"/>
    <n v="294"/>
    <n v="133"/>
    <n v="4729"/>
    <n v="0.28880157170923382"/>
    <x v="688"/>
    <n v="42.411564625850339"/>
    <n v="93.751879699248121"/>
    <n v="6.7254584681769147"/>
    <n v="0.37926056620418636"/>
    <s v="CL689"/>
    <x v="2"/>
    <x v="0"/>
    <n v="12469"/>
    <n v="5"/>
    <x v="0"/>
  </r>
  <r>
    <s v="C690"/>
    <x v="689"/>
    <d v="2024-01-01T05:36:20"/>
    <x v="0"/>
    <n v="0.88952546296059154"/>
    <n v="5357"/>
    <x v="2"/>
    <n v="5312"/>
    <n v="979"/>
    <n v="288"/>
    <n v="4443"/>
    <n v="0.18429969879518071"/>
    <x v="689"/>
    <n v="1.1664964249233911"/>
    <n v="3.9652777777777777"/>
    <n v="0.21317901810714954"/>
    <n v="3.8905429071803854"/>
    <s v="CL690"/>
    <x v="1"/>
    <x v="2"/>
    <n v="1142"/>
    <n v="5"/>
    <x v="0"/>
  </r>
  <r>
    <s v="C691"/>
    <x v="690"/>
    <d v="2024-01-10T00:32:11"/>
    <x v="0"/>
    <n v="209.82201388888643"/>
    <n v="8764"/>
    <x v="1"/>
    <n v="11988"/>
    <n v="1047"/>
    <n v="371"/>
    <n v="1352"/>
    <n v="8.733733733733734E-2"/>
    <x v="690"/>
    <n v="18.566380133715377"/>
    <n v="52.39622641509434"/>
    <n v="2.2180511182108624"/>
    <n v="6.9550902824219357E-2"/>
    <s v="CL691"/>
    <x v="2"/>
    <x v="1"/>
    <n v="19439"/>
    <n v="3"/>
    <x v="1"/>
  </r>
  <r>
    <s v="C692"/>
    <x v="691"/>
    <d v="2024-10-06T09:42:39"/>
    <x v="1"/>
    <n v="0"/>
    <n v="8259"/>
    <x v="0"/>
    <n v="9755"/>
    <n v="684"/>
    <n v="330"/>
    <n v="3098"/>
    <n v="7.0117888262429526E-2"/>
    <x v="691"/>
    <n v="6.2821637426900585"/>
    <n v="13.021212121212121"/>
    <n v="0.52028090567865359"/>
    <n v="0.7209681172911333"/>
    <s v="CL692"/>
    <x v="3"/>
    <x v="0"/>
    <n v="4297"/>
    <n v="3"/>
    <x v="1"/>
  </r>
  <r>
    <s v="C693"/>
    <x v="692"/>
    <d v="2024-01-04T16:37:20"/>
    <x v="1"/>
    <n v="0"/>
    <n v="7416"/>
    <x v="1"/>
    <n v="5082"/>
    <n v="1046"/>
    <n v="48"/>
    <n v="10866"/>
    <n v="0.20582447855175129"/>
    <x v="692"/>
    <n v="8.4292543021032511"/>
    <n v="183.6875"/>
    <n v="1.1889158576051779"/>
    <n v="1.2323919700578427"/>
    <s v="CL693"/>
    <x v="1"/>
    <x v="0"/>
    <n v="8817"/>
    <n v="2"/>
    <x v="1"/>
  </r>
  <r>
    <s v="C694"/>
    <x v="693"/>
    <d v="2024-10-10T03:12:04"/>
    <x v="0"/>
    <n v="392.41458333333139"/>
    <n v="4937"/>
    <x v="2"/>
    <n v="11097"/>
    <n v="603"/>
    <n v="372"/>
    <n v="12621"/>
    <n v="5.4339010543390104E-2"/>
    <x v="693"/>
    <n v="32.703150912106139"/>
    <n v="53.01075268817204"/>
    <n v="3.9943285395989467"/>
    <n v="0.64001014198782957"/>
    <s v="CL694"/>
    <x v="2"/>
    <x v="1"/>
    <n v="19720"/>
    <n v="1"/>
    <x v="2"/>
  </r>
  <r>
    <s v="C695"/>
    <x v="694"/>
    <d v="2024-11-05T13:04:42"/>
    <x v="1"/>
    <n v="0"/>
    <n v="3159"/>
    <x v="2"/>
    <n v="3107"/>
    <n v="1737"/>
    <n v="446"/>
    <n v="4609"/>
    <n v="0.55906018667524948"/>
    <x v="694"/>
    <n v="8.4127806563039726"/>
    <n v="32.764573991031391"/>
    <n v="4.6258309591642925"/>
    <n v="0.31540409224662969"/>
    <s v="CL695"/>
    <x v="4"/>
    <x v="2"/>
    <n v="14613"/>
    <n v="5"/>
    <x v="0"/>
  </r>
  <r>
    <s v="C696"/>
    <x v="695"/>
    <d v="2024-03-03T12:56:11"/>
    <x v="1"/>
    <n v="0"/>
    <n v="4571"/>
    <x v="3"/>
    <n v="15724"/>
    <n v="657"/>
    <n v="180"/>
    <n v="5933"/>
    <n v="4.1783261256677688E-2"/>
    <x v="695"/>
    <n v="3.3683409436834095"/>
    <n v="12.294444444444444"/>
    <n v="0.48413913804419162"/>
    <n v="2.6809760506100315"/>
    <s v="CL696"/>
    <x v="4"/>
    <x v="1"/>
    <n v="2213"/>
    <n v="1"/>
    <x v="2"/>
  </r>
  <r>
    <s v="C697"/>
    <x v="696"/>
    <d v="2024-06-10T13:18:03"/>
    <x v="1"/>
    <n v="0"/>
    <n v="6307"/>
    <x v="1"/>
    <n v="14327"/>
    <n v="278"/>
    <n v="279"/>
    <n v="5502"/>
    <n v="1.9403922663502479E-2"/>
    <x v="696"/>
    <n v="40.115107913669064"/>
    <n v="39.971326164874554"/>
    <n v="1.7681940700808625"/>
    <n v="0.49336441893830701"/>
    <s v="CL697"/>
    <x v="3"/>
    <x v="0"/>
    <n v="11152"/>
    <n v="5"/>
    <x v="0"/>
  </r>
  <r>
    <s v="C698"/>
    <x v="697"/>
    <d v="2023-07-23T03:13:33"/>
    <x v="0"/>
    <n v="56.496192129634437"/>
    <n v="7326"/>
    <x v="0"/>
    <n v="11294"/>
    <n v="511"/>
    <n v="290"/>
    <n v="14384"/>
    <n v="4.5245262971489286E-2"/>
    <x v="697"/>
    <n v="29.095890410958905"/>
    <n v="51.268965517241377"/>
    <n v="2.0294840294840295"/>
    <n v="0.96744686575195049"/>
    <s v="CL698"/>
    <x v="0"/>
    <x v="2"/>
    <n v="14868"/>
    <n v="1"/>
    <x v="2"/>
  </r>
  <r>
    <s v="C699"/>
    <x v="698"/>
    <d v="2024-11-13T14:31:24"/>
    <x v="1"/>
    <n v="0"/>
    <n v="9000"/>
    <x v="2"/>
    <n v="16012"/>
    <n v="1292"/>
    <n v="288"/>
    <n v="6285"/>
    <n v="8.0689482887834119E-2"/>
    <x v="698"/>
    <n v="2.4636222910216716"/>
    <n v="11.052083333333334"/>
    <n v="0.35366666666666668"/>
    <n v="1.9745523091423185"/>
    <s v="CL699"/>
    <x v="1"/>
    <x v="0"/>
    <n v="3183"/>
    <n v="5"/>
    <x v="0"/>
  </r>
  <r>
    <s v="C700"/>
    <x v="699"/>
    <d v="2024-06-01T17:57:19"/>
    <x v="1"/>
    <n v="0"/>
    <n v="8089"/>
    <x v="1"/>
    <n v="17500"/>
    <n v="698"/>
    <n v="152"/>
    <n v="12106"/>
    <n v="3.9885714285714288E-2"/>
    <x v="699"/>
    <n v="19.167621776504298"/>
    <n v="88.01973684210526"/>
    <n v="1.6539745333168501"/>
    <n v="0.90485088571642125"/>
    <s v="CL700"/>
    <x v="0"/>
    <x v="1"/>
    <n v="13379"/>
    <n v="2"/>
    <x v="1"/>
  </r>
  <r>
    <s v="C701"/>
    <x v="700"/>
    <d v="2023-10-04T04:44:51"/>
    <x v="0"/>
    <n v="173.28156250000029"/>
    <n v="5617"/>
    <x v="2"/>
    <n v="14434"/>
    <n v="967"/>
    <n v="22"/>
    <n v="11854"/>
    <n v="6.6994596092559242E-2"/>
    <x v="700"/>
    <n v="9.8769389865563593"/>
    <n v="434.13636363636363"/>
    <n v="1.7003738650525191"/>
    <n v="1.2411265836038112"/>
    <s v="CL701"/>
    <x v="3"/>
    <x v="2"/>
    <n v="9551"/>
    <n v="4"/>
    <x v="0"/>
  </r>
  <r>
    <s v="C702"/>
    <x v="701"/>
    <d v="2023-07-15T02:49:36"/>
    <x v="0"/>
    <n v="130.88952546296059"/>
    <n v="5105"/>
    <x v="0"/>
    <n v="18772"/>
    <n v="569"/>
    <n v="340"/>
    <n v="8898"/>
    <n v="3.0311101640741529E-2"/>
    <x v="701"/>
    <n v="33.45518453427065"/>
    <n v="55.988235294117644"/>
    <n v="3.7288932419196867"/>
    <n v="0.46743013238075226"/>
    <s v="CL702"/>
    <x v="2"/>
    <x v="0"/>
    <n v="19036"/>
    <n v="2"/>
    <x v="1"/>
  </r>
  <r>
    <s v="C703"/>
    <x v="702"/>
    <d v="2024-01-04T11:17:28"/>
    <x v="1"/>
    <n v="0"/>
    <n v="8598"/>
    <x v="2"/>
    <n v="17247"/>
    <n v="156"/>
    <n v="459"/>
    <n v="1539"/>
    <n v="9.0450513132718739E-3"/>
    <x v="702"/>
    <n v="97.320512820512818"/>
    <n v="33.076252723311548"/>
    <n v="1.7657594789485926"/>
    <n v="0.10137004347253327"/>
    <s v="CL703"/>
    <x v="2"/>
    <x v="1"/>
    <n v="15182"/>
    <n v="5"/>
    <x v="0"/>
  </r>
  <r>
    <s v="C704"/>
    <x v="703"/>
    <d v="2024-11-11T19:49:04"/>
    <x v="1"/>
    <n v="0"/>
    <n v="2892"/>
    <x v="1"/>
    <n v="16599"/>
    <n v="1594"/>
    <n v="273"/>
    <n v="627"/>
    <n v="9.6029881318151697E-2"/>
    <x v="703"/>
    <n v="3.8074027603513176"/>
    <n v="22.23076923076923"/>
    <n v="2.0985477178423237"/>
    <n v="0.10331191300049432"/>
    <s v="CL704"/>
    <x v="1"/>
    <x v="2"/>
    <n v="6069"/>
    <n v="3"/>
    <x v="1"/>
  </r>
  <r>
    <s v="C705"/>
    <x v="704"/>
    <d v="2023-07-11T16:17:11"/>
    <x v="1"/>
    <n v="0"/>
    <n v="9146"/>
    <x v="3"/>
    <n v="6780"/>
    <n v="835"/>
    <n v="472"/>
    <n v="10945"/>
    <n v="0.12315634218289086"/>
    <x v="704"/>
    <n v="3.8419161676646705"/>
    <n v="6.7966101694915251"/>
    <n v="0.35075442816531816"/>
    <n v="3.4117830423940148"/>
    <s v="CL705"/>
    <x v="4"/>
    <x v="0"/>
    <n v="3208"/>
    <n v="3"/>
    <x v="1"/>
  </r>
  <r>
    <s v="C706"/>
    <x v="705"/>
    <d v="2023-12-15T18:00:40"/>
    <x v="1"/>
    <n v="0"/>
    <n v="3715"/>
    <x v="2"/>
    <n v="12632"/>
    <n v="327"/>
    <n v="464"/>
    <n v="10299"/>
    <n v="2.5886637112096263E-2"/>
    <x v="705"/>
    <n v="53.908256880733944"/>
    <n v="37.991379310344826"/>
    <n v="4.7450874831763121"/>
    <n v="0.58424098025867932"/>
    <s v="CL706"/>
    <x v="4"/>
    <x v="2"/>
    <n v="17628"/>
    <n v="4"/>
    <x v="0"/>
  </r>
  <r>
    <s v="C707"/>
    <x v="706"/>
    <d v="2024-09-27T02:55:00"/>
    <x v="0"/>
    <n v="382.82802083333809"/>
    <n v="9598"/>
    <x v="3"/>
    <n v="15400"/>
    <n v="1972"/>
    <n v="12"/>
    <n v="14647"/>
    <n v="0.12805194805194806"/>
    <x v="706"/>
    <n v="5.508113590263692"/>
    <n v="905.16666666666663"/>
    <n v="1.131694102938112"/>
    <n v="1.3484625299208248"/>
    <s v="CL707"/>
    <x v="4"/>
    <x v="0"/>
    <n v="10862"/>
    <n v="4"/>
    <x v="0"/>
  </r>
  <r>
    <s v="C708"/>
    <x v="707"/>
    <d v="2024-03-27T06:28:18"/>
    <x v="1"/>
    <n v="0"/>
    <n v="4389"/>
    <x v="1"/>
    <n v="16678"/>
    <n v="577"/>
    <n v="400"/>
    <n v="4876"/>
    <n v="3.459647439740976E-2"/>
    <x v="707"/>
    <n v="32.59098786828423"/>
    <n v="47.012500000000003"/>
    <n v="4.2845750740487585"/>
    <n v="0.25929274129220953"/>
    <s v="CL708"/>
    <x v="3"/>
    <x v="1"/>
    <n v="18805"/>
    <n v="2"/>
    <x v="1"/>
  </r>
  <r>
    <s v="C709"/>
    <x v="708"/>
    <d v="2024-02-17T11:14:38"/>
    <x v="1"/>
    <n v="0"/>
    <n v="6187"/>
    <x v="1"/>
    <n v="6308"/>
    <n v="497"/>
    <n v="101"/>
    <n v="8217"/>
    <n v="7.8788839568801519E-2"/>
    <x v="708"/>
    <n v="34.072434607645874"/>
    <n v="167.66336633663366"/>
    <n v="2.7370292548892841"/>
    <n v="0.48523680170072042"/>
    <s v="CL709"/>
    <x v="4"/>
    <x v="2"/>
    <n v="16934"/>
    <n v="5"/>
    <x v="0"/>
  </r>
  <r>
    <s v="C710"/>
    <x v="709"/>
    <d v="2024-02-19T20:56:54"/>
    <x v="0"/>
    <n v="282.01631944444671"/>
    <n v="6326"/>
    <x v="0"/>
    <n v="2071"/>
    <n v="1530"/>
    <n v="294"/>
    <n v="3346"/>
    <n v="0.73877353935296963"/>
    <x v="709"/>
    <n v="8.2450980392156854"/>
    <n v="42.908163265306122"/>
    <n v="1.9941511223521973"/>
    <n v="0.26523979389615537"/>
    <s v="CL710"/>
    <x v="4"/>
    <x v="1"/>
    <n v="12615"/>
    <n v="5"/>
    <x v="0"/>
  </r>
  <r>
    <s v="C711"/>
    <x v="710"/>
    <d v="2024-01-24T15:43:20"/>
    <x v="1"/>
    <n v="0"/>
    <n v="2412"/>
    <x v="1"/>
    <n v="11786"/>
    <n v="198"/>
    <n v="287"/>
    <n v="5387"/>
    <n v="1.6799592737145767E-2"/>
    <x v="710"/>
    <n v="18.106060606060606"/>
    <n v="12.491289198606271"/>
    <n v="1.486318407960199"/>
    <n v="1.5026499302649929"/>
    <s v="CL711"/>
    <x v="1"/>
    <x v="2"/>
    <n v="3585"/>
    <n v="2"/>
    <x v="1"/>
  </r>
  <r>
    <s v="C712"/>
    <x v="711"/>
    <d v="2023-05-14T06:02:05"/>
    <x v="0"/>
    <n v="93.554178240745387"/>
    <n v="9996"/>
    <x v="2"/>
    <n v="19759"/>
    <n v="369"/>
    <n v="402"/>
    <n v="11500"/>
    <n v="1.8675034161647858E-2"/>
    <x v="711"/>
    <n v="13.05420054200542"/>
    <n v="11.982587064676617"/>
    <n v="0.48189275710284113"/>
    <n v="2.3873780361220676"/>
    <s v="CL712"/>
    <x v="1"/>
    <x v="0"/>
    <n v="4817"/>
    <n v="5"/>
    <x v="0"/>
  </r>
  <r>
    <s v="C713"/>
    <x v="712"/>
    <d v="2024-11-30T09:41:37"/>
    <x v="0"/>
    <n v="338.44019675925665"/>
    <n v="7633"/>
    <x v="1"/>
    <n v="14862"/>
    <n v="1281"/>
    <n v="209"/>
    <n v="10771"/>
    <n v="8.6192975373435607E-2"/>
    <x v="712"/>
    <n v="8.9297423887587826"/>
    <n v="54.732057416267942"/>
    <n v="1.4986243940783441"/>
    <n v="0.94160328700061191"/>
    <s v="CL713"/>
    <x v="2"/>
    <x v="2"/>
    <n v="11439"/>
    <n v="1"/>
    <x v="2"/>
  </r>
  <r>
    <s v="C714"/>
    <x v="713"/>
    <d v="2024-03-04T12:49:22"/>
    <x v="1"/>
    <n v="0"/>
    <n v="7451"/>
    <x v="3"/>
    <n v="13503"/>
    <n v="657"/>
    <n v="62"/>
    <n v="14047"/>
    <n v="4.8655854254610088E-2"/>
    <x v="713"/>
    <n v="13.394216133942161"/>
    <n v="141.93548387096774"/>
    <n v="1.1810495235538854"/>
    <n v="1.5962499999999999"/>
    <s v="CL714"/>
    <x v="3"/>
    <x v="0"/>
    <n v="8800"/>
    <n v="2"/>
    <x v="1"/>
  </r>
  <r>
    <s v="C715"/>
    <x v="714"/>
    <d v="2024-01-04T10:18:02"/>
    <x v="1"/>
    <n v="0"/>
    <n v="1972"/>
    <x v="1"/>
    <n v="5508"/>
    <n v="1409"/>
    <n v="93"/>
    <n v="6101"/>
    <n v="0.2558097312999274"/>
    <x v="714"/>
    <n v="7.9552874378992193"/>
    <n v="120.52688172043011"/>
    <n v="5.6840770791075048"/>
    <n v="0.54429476313676506"/>
    <s v="CL715"/>
    <x v="0"/>
    <x v="1"/>
    <n v="11209"/>
    <n v="2"/>
    <x v="1"/>
  </r>
  <r>
    <s v="C716"/>
    <x v="715"/>
    <d v="2023-04-12T17:35:28"/>
    <x v="0"/>
    <n v="76.83741898147855"/>
    <n v="8420"/>
    <x v="3"/>
    <n v="14711"/>
    <n v="272"/>
    <n v="182"/>
    <n v="4666"/>
    <n v="1.8489565631160356E-2"/>
    <x v="715"/>
    <n v="3.6764705882352939"/>
    <n v="5.4945054945054945"/>
    <n v="0.11876484560570071"/>
    <n v="4.6660000000000004"/>
    <s v="CL716"/>
    <x v="4"/>
    <x v="2"/>
    <n v="1000"/>
    <n v="3"/>
    <x v="1"/>
  </r>
  <r>
    <s v="C717"/>
    <x v="716"/>
    <d v="2024-08-04T19:55:01"/>
    <x v="0"/>
    <n v="388.77568287037138"/>
    <n v="4537"/>
    <x v="1"/>
    <n v="9556"/>
    <n v="1776"/>
    <n v="149"/>
    <n v="10015"/>
    <n v="0.18585182084554205"/>
    <x v="716"/>
    <n v="7.4014639639639643"/>
    <n v="88.22147651006712"/>
    <n v="2.8972889574608773"/>
    <n v="0.7618866489159376"/>
    <s v="CL717"/>
    <x v="0"/>
    <x v="2"/>
    <n v="13145"/>
    <n v="1"/>
    <x v="2"/>
  </r>
  <r>
    <s v="C718"/>
    <x v="717"/>
    <d v="2024-06-20T18:15:04"/>
    <x v="0"/>
    <n v="290.63857638889021"/>
    <n v="3532"/>
    <x v="2"/>
    <n v="7355"/>
    <n v="1006"/>
    <n v="142"/>
    <n v="3821"/>
    <n v="0.13677770224337185"/>
    <x v="717"/>
    <n v="17.133200795228628"/>
    <n v="121.38028169014085"/>
    <n v="4.87995469988675"/>
    <n v="0.22168716639591551"/>
    <s v="CL718"/>
    <x v="3"/>
    <x v="0"/>
    <n v="17236"/>
    <n v="3"/>
    <x v="1"/>
  </r>
  <r>
    <s v="C719"/>
    <x v="718"/>
    <d v="2023-03-10T08:33:45"/>
    <x v="0"/>
    <n v="21.806111111116479"/>
    <n v="5910"/>
    <x v="2"/>
    <n v="16581"/>
    <n v="398"/>
    <n v="83"/>
    <n v="2701"/>
    <n v="2.400337735962849E-2"/>
    <x v="718"/>
    <n v="46.422110552763819"/>
    <n v="222.60240963855421"/>
    <n v="3.1262267343485619"/>
    <n v="0.14618965143970555"/>
    <s v="CL719"/>
    <x v="2"/>
    <x v="2"/>
    <n v="18476"/>
    <n v="2"/>
    <x v="1"/>
  </r>
  <r>
    <s v="C720"/>
    <x v="719"/>
    <d v="2023-08-11T08:55:00"/>
    <x v="0"/>
    <n v="2.1364351851880201"/>
    <n v="5599"/>
    <x v="1"/>
    <n v="17537"/>
    <n v="1317"/>
    <n v="441"/>
    <n v="10160"/>
    <n v="7.5098363460112907E-2"/>
    <x v="719"/>
    <n v="14.133637053910402"/>
    <n v="42.208616780045354"/>
    <n v="3.3245222361135918"/>
    <n v="0.54582572257440631"/>
    <s v="CL720"/>
    <x v="3"/>
    <x v="2"/>
    <n v="18614"/>
    <n v="1"/>
    <x v="2"/>
  </r>
  <r>
    <s v="C721"/>
    <x v="720"/>
    <d v="2024-02-07T21:27:47"/>
    <x v="1"/>
    <n v="0"/>
    <n v="9042"/>
    <x v="3"/>
    <n v="1805"/>
    <n v="1146"/>
    <n v="289"/>
    <n v="10121"/>
    <n v="0.63490304709141276"/>
    <x v="720"/>
    <n v="14.533158813263526"/>
    <n v="57.629757785467127"/>
    <n v="1.8419597434195973"/>
    <n v="0.60768537976583603"/>
    <s v="CL721"/>
    <x v="1"/>
    <x v="0"/>
    <n v="16655"/>
    <n v="5"/>
    <x v="0"/>
  </r>
  <r>
    <s v="C722"/>
    <x v="721"/>
    <d v="2024-05-13T02:58:58"/>
    <x v="1"/>
    <n v="0"/>
    <n v="8493"/>
    <x v="2"/>
    <n v="15575"/>
    <n v="1609"/>
    <n v="389"/>
    <n v="12655"/>
    <n v="0.10330658105939004"/>
    <x v="721"/>
    <n v="9.7818520820385331"/>
    <n v="40.460154241645242"/>
    <n v="1.853173201460026"/>
    <n v="0.80405362475379627"/>
    <s v="CL722"/>
    <x v="1"/>
    <x v="1"/>
    <n v="15739"/>
    <n v="4"/>
    <x v="0"/>
  </r>
  <r>
    <s v="C723"/>
    <x v="722"/>
    <d v="2023-03-16T00:22:44"/>
    <x v="0"/>
    <n v="73.341759259259561"/>
    <n v="9388"/>
    <x v="3"/>
    <n v="11119"/>
    <n v="1948"/>
    <n v="263"/>
    <n v="10322"/>
    <n v="0.17519561111610757"/>
    <x v="722"/>
    <n v="1.6940451745379876"/>
    <n v="12.547528517110266"/>
    <n v="0.35151256923732427"/>
    <n v="3.1278787878787879"/>
    <s v="CL723"/>
    <x v="3"/>
    <x v="0"/>
    <n v="3300"/>
    <n v="4"/>
    <x v="0"/>
  </r>
  <r>
    <s v="C724"/>
    <x v="723"/>
    <d v="2024-10-20T23:33:17"/>
    <x v="1"/>
    <n v="0"/>
    <n v="6935"/>
    <x v="2"/>
    <n v="6774"/>
    <n v="1310"/>
    <n v="212"/>
    <n v="3982"/>
    <n v="0.19338647770888692"/>
    <x v="723"/>
    <n v="4.8900763358778629"/>
    <n v="30.216981132075471"/>
    <n v="0.92372025955299208"/>
    <n v="0.62160474555104595"/>
    <s v="CL724"/>
    <x v="4"/>
    <x v="2"/>
    <n v="6406"/>
    <n v="1"/>
    <x v="2"/>
  </r>
  <r>
    <s v="C725"/>
    <x v="724"/>
    <d v="2024-10-24T05:21:21"/>
    <x v="1"/>
    <n v="0"/>
    <n v="4948"/>
    <x v="0"/>
    <n v="7561"/>
    <n v="806"/>
    <n v="358"/>
    <n v="5940"/>
    <n v="0.10659965613014151"/>
    <x v="724"/>
    <n v="16.725806451612904"/>
    <n v="37.656424581005588"/>
    <n v="2.7245351657235246"/>
    <n v="0.44062013203768269"/>
    <s v="CL725"/>
    <x v="2"/>
    <x v="0"/>
    <n v="13481"/>
    <n v="4"/>
    <x v="0"/>
  </r>
  <r>
    <s v="C726"/>
    <x v="725"/>
    <d v="2024-09-22T17:43:14"/>
    <x v="0"/>
    <n v="335.04762731481605"/>
    <n v="7517"/>
    <x v="1"/>
    <n v="1160"/>
    <n v="1168"/>
    <n v="387"/>
    <n v="6489"/>
    <n v="1.0068965517241379"/>
    <x v="725"/>
    <n v="6.5282534246575343"/>
    <n v="19.702842377260982"/>
    <n v="1.0143674338166822"/>
    <n v="0.85101639344262292"/>
    <s v="CL726"/>
    <x v="3"/>
    <x v="1"/>
    <n v="7625"/>
    <n v="1"/>
    <x v="2"/>
  </r>
  <r>
    <s v="C727"/>
    <x v="726"/>
    <d v="2024-01-08T20:04:49"/>
    <x v="1"/>
    <n v="0"/>
    <n v="1455"/>
    <x v="2"/>
    <n v="14762"/>
    <n v="814"/>
    <n v="345"/>
    <n v="13529"/>
    <n v="5.5141579731743669E-2"/>
    <x v="726"/>
    <n v="11.862407862407862"/>
    <n v="27.98840579710145"/>
    <n v="6.6364261168384884"/>
    <n v="1.4010977630488815"/>
    <s v="CL727"/>
    <x v="4"/>
    <x v="2"/>
    <n v="9656"/>
    <n v="4"/>
    <x v="0"/>
  </r>
  <r>
    <s v="C728"/>
    <x v="727"/>
    <d v="2024-07-11T12:19:50"/>
    <x v="1"/>
    <n v="0"/>
    <n v="2717"/>
    <x v="0"/>
    <n v="19561"/>
    <n v="1088"/>
    <n v="218"/>
    <n v="6821"/>
    <n v="5.5620878278206637E-2"/>
    <x v="727"/>
    <n v="1.96875"/>
    <n v="9.8256880733944953"/>
    <n v="0.78836952521163051"/>
    <n v="3.1844070961718018"/>
    <s v="CL728"/>
    <x v="2"/>
    <x v="2"/>
    <n v="2142"/>
    <n v="2"/>
    <x v="1"/>
  </r>
  <r>
    <s v="C729"/>
    <x v="728"/>
    <d v="2024-10-25T01:14:40"/>
    <x v="1"/>
    <n v="0"/>
    <n v="6471"/>
    <x v="3"/>
    <n v="1410"/>
    <n v="677"/>
    <n v="492"/>
    <n v="11091"/>
    <n v="0.48014184397163123"/>
    <x v="728"/>
    <n v="17.028064992614475"/>
    <n v="23.430894308943088"/>
    <n v="1.7814866326688301"/>
    <n v="0.96209229701596111"/>
    <s v="CL729"/>
    <x v="4"/>
    <x v="1"/>
    <n v="11528"/>
    <n v="2"/>
    <x v="1"/>
  </r>
  <r>
    <s v="C730"/>
    <x v="729"/>
    <d v="2024-10-31T13:43:56"/>
    <x v="1"/>
    <n v="0"/>
    <n v="1027"/>
    <x v="3"/>
    <n v="12982"/>
    <n v="1567"/>
    <n v="136"/>
    <n v="9644"/>
    <n v="0.12070559235865044"/>
    <x v="729"/>
    <n v="8.8340778557753676"/>
    <n v="101.78676470588235"/>
    <n v="13.47906523855891"/>
    <n v="0.69666979700931875"/>
    <s v="CL730"/>
    <x v="4"/>
    <x v="1"/>
    <n v="13843"/>
    <n v="1"/>
    <x v="2"/>
  </r>
  <r>
    <s v="C731"/>
    <x v="730"/>
    <d v="2024-06-13T22:25:25"/>
    <x v="0"/>
    <n v="343.3112962962914"/>
    <n v="1879"/>
    <x v="2"/>
    <n v="19039"/>
    <n v="289"/>
    <n v="370"/>
    <n v="878"/>
    <n v="1.5179368664320606E-2"/>
    <x v="730"/>
    <n v="47.615916955017298"/>
    <n v="37.191891891891892"/>
    <n v="7.3235763704097927"/>
    <n v="6.3803502652423516E-2"/>
    <s v="CL731"/>
    <x v="3"/>
    <x v="2"/>
    <n v="13761"/>
    <n v="1"/>
    <x v="2"/>
  </r>
  <r>
    <s v="C732"/>
    <x v="731"/>
    <d v="2024-11-22T17:45:54"/>
    <x v="1"/>
    <n v="0"/>
    <n v="9478"/>
    <x v="2"/>
    <n v="11023"/>
    <n v="969"/>
    <n v="291"/>
    <n v="14817"/>
    <n v="8.7907103329402159E-2"/>
    <x v="731"/>
    <n v="12.532507739938081"/>
    <n v="41.731958762886599"/>
    <n v="1.2812829710909475"/>
    <n v="1.2201086956521738"/>
    <s v="CL732"/>
    <x v="0"/>
    <x v="1"/>
    <n v="12144"/>
    <n v="1"/>
    <x v="2"/>
  </r>
  <r>
    <s v="C733"/>
    <x v="732"/>
    <d v="2024-01-15T12:26:40"/>
    <x v="0"/>
    <n v="367.63513888888701"/>
    <n v="9181"/>
    <x v="1"/>
    <n v="4306"/>
    <n v="1740"/>
    <n v="137"/>
    <n v="14774"/>
    <n v="0.40408732001857872"/>
    <x v="732"/>
    <n v="2.6511494252873562"/>
    <n v="33.67153284671533"/>
    <n v="0.50245071342990955"/>
    <n v="3.2026880554953392"/>
    <s v="CL733"/>
    <x v="0"/>
    <x v="0"/>
    <n v="4613"/>
    <n v="4"/>
    <x v="0"/>
  </r>
  <r>
    <s v="C734"/>
    <x v="733"/>
    <d v="2024-12-13T03:38:46"/>
    <x v="0"/>
    <n v="238.11164351851767"/>
    <n v="4307"/>
    <x v="0"/>
    <n v="16540"/>
    <n v="242"/>
    <n v="308"/>
    <n v="5913"/>
    <n v="1.4631197097944377E-2"/>
    <x v="733"/>
    <n v="5.7066115702479339"/>
    <n v="4.4837662337662341"/>
    <n v="0.32064081727420479"/>
    <n v="4.281679942070963"/>
    <s v="CL734"/>
    <x v="4"/>
    <x v="1"/>
    <n v="1381"/>
    <n v="3"/>
    <x v="1"/>
  </r>
  <r>
    <s v="C735"/>
    <x v="734"/>
    <d v="2024-05-31T08:34:17"/>
    <x v="1"/>
    <n v="0"/>
    <n v="6325"/>
    <x v="3"/>
    <n v="3594"/>
    <n v="1557"/>
    <n v="342"/>
    <n v="7503"/>
    <n v="0.43322203672787979"/>
    <x v="734"/>
    <n v="11.12010276172126"/>
    <n v="50.625730994152043"/>
    <n v="2.7373913043478262"/>
    <n v="0.43334873512764238"/>
    <s v="CL735"/>
    <x v="4"/>
    <x v="0"/>
    <n v="17314"/>
    <n v="2"/>
    <x v="1"/>
  </r>
  <r>
    <s v="C736"/>
    <x v="735"/>
    <d v="2024-05-31T09:55:39"/>
    <x v="1"/>
    <n v="0"/>
    <n v="4288"/>
    <x v="2"/>
    <n v="2295"/>
    <n v="467"/>
    <n v="275"/>
    <n v="644"/>
    <n v="0.20348583877995643"/>
    <x v="735"/>
    <n v="19.717344753747323"/>
    <n v="33.483636363636364"/>
    <n v="2.1473880597014925"/>
    <n v="6.9939183318853168E-2"/>
    <s v="CL736"/>
    <x v="2"/>
    <x v="2"/>
    <n v="9208"/>
    <n v="5"/>
    <x v="0"/>
  </r>
  <r>
    <s v="C737"/>
    <x v="736"/>
    <d v="2024-07-10T03:52:26"/>
    <x v="0"/>
    <n v="98.34604166666395"/>
    <n v="6410"/>
    <x v="1"/>
    <n v="6037"/>
    <n v="211"/>
    <n v="430"/>
    <n v="4685"/>
    <n v="3.4951134669537851E-2"/>
    <x v="736"/>
    <n v="92.530805687203795"/>
    <n v="45.404651162790699"/>
    <n v="3.0458658346333851"/>
    <n v="0.23996107355050195"/>
    <s v="CL737"/>
    <x v="4"/>
    <x v="2"/>
    <n v="19524"/>
    <n v="1"/>
    <x v="2"/>
  </r>
  <r>
    <s v="C738"/>
    <x v="737"/>
    <d v="2024-01-17T21:18:31"/>
    <x v="1"/>
    <n v="0"/>
    <n v="2625"/>
    <x v="2"/>
    <n v="6690"/>
    <n v="878"/>
    <n v="296"/>
    <n v="7530"/>
    <n v="0.13124065769805679"/>
    <x v="737"/>
    <n v="2.5296127562642368"/>
    <n v="7.5033783783783781"/>
    <n v="0.84609523809523812"/>
    <n v="3.3903647005853221"/>
    <s v="CL738"/>
    <x v="2"/>
    <x v="0"/>
    <n v="2221"/>
    <n v="5"/>
    <x v="0"/>
  </r>
  <r>
    <s v="C739"/>
    <x v="738"/>
    <d v="2023-10-05T20:35:05"/>
    <x v="0"/>
    <n v="262.29680555555387"/>
    <n v="8421"/>
    <x v="2"/>
    <n v="17116"/>
    <n v="262"/>
    <n v="406"/>
    <n v="7866"/>
    <n v="1.5307314793175975E-2"/>
    <x v="738"/>
    <n v="2.553435114503817"/>
    <n v="1.6477832512315271"/>
    <n v="7.9444246526540793E-2"/>
    <n v="11.757847533632287"/>
    <s v="CL739"/>
    <x v="0"/>
    <x v="0"/>
    <n v="669"/>
    <n v="3"/>
    <x v="1"/>
  </r>
  <r>
    <s v="C740"/>
    <x v="739"/>
    <d v="2024-11-12T21:49:25"/>
    <x v="1"/>
    <n v="0"/>
    <n v="9552"/>
    <x v="2"/>
    <n v="2229"/>
    <n v="1795"/>
    <n v="23"/>
    <n v="5587"/>
    <n v="0.80529385374607443"/>
    <x v="739"/>
    <n v="7.176601671309192"/>
    <n v="560.08695652173913"/>
    <n v="1.3486180904522613"/>
    <n v="0.43370594628163328"/>
    <s v="CL740"/>
    <x v="4"/>
    <x v="0"/>
    <n v="12882"/>
    <n v="2"/>
    <x v="1"/>
  </r>
  <r>
    <s v="C741"/>
    <x v="740"/>
    <d v="2023-04-05T12:02:42"/>
    <x v="1"/>
    <n v="0"/>
    <n v="8101"/>
    <x v="1"/>
    <n v="19797"/>
    <n v="1442"/>
    <n v="74"/>
    <n v="2469"/>
    <n v="7.2839319088750826E-2"/>
    <x v="740"/>
    <n v="0.41262135922330095"/>
    <n v="8.0405405405405403"/>
    <n v="7.3447722503394638E-2"/>
    <n v="4.1495798319327735"/>
    <s v="CL741"/>
    <x v="3"/>
    <x v="1"/>
    <n v="595"/>
    <n v="4"/>
    <x v="0"/>
  </r>
  <r>
    <s v="C742"/>
    <x v="741"/>
    <d v="2024-10-02T13:15:59"/>
    <x v="1"/>
    <n v="0"/>
    <n v="4022"/>
    <x v="1"/>
    <n v="11278"/>
    <n v="737"/>
    <n v="196"/>
    <n v="9338"/>
    <n v="6.5348466040078032E-2"/>
    <x v="741"/>
    <n v="6.9185888738127543"/>
    <n v="26.01530612244898"/>
    <n v="1.2677772252610642"/>
    <n v="1.8313394783290842"/>
    <s v="CL742"/>
    <x v="2"/>
    <x v="2"/>
    <n v="5099"/>
    <n v="2"/>
    <x v="1"/>
  </r>
  <r>
    <s v="C743"/>
    <x v="742"/>
    <d v="2023-09-20T10:20:19"/>
    <x v="0"/>
    <n v="18.520266203704523"/>
    <n v="1039"/>
    <x v="3"/>
    <n v="5018"/>
    <n v="1687"/>
    <n v="453"/>
    <n v="2824"/>
    <n v="0.33618971701873257"/>
    <x v="742"/>
    <n v="9.7344398340248954"/>
    <n v="36.251655629139073"/>
    <n v="15.8055822906641"/>
    <n v="0.17196443794909269"/>
    <s v="CL743"/>
    <x v="4"/>
    <x v="0"/>
    <n v="16422"/>
    <n v="2"/>
    <x v="1"/>
  </r>
  <r>
    <s v="C744"/>
    <x v="743"/>
    <d v="2023-07-06T12:59:10"/>
    <x v="1"/>
    <n v="0"/>
    <n v="8392"/>
    <x v="1"/>
    <n v="14090"/>
    <n v="1917"/>
    <n v="396"/>
    <n v="13498"/>
    <n v="0.13605393896380411"/>
    <x v="743"/>
    <n v="1.412623891497131"/>
    <n v="6.8383838383838382"/>
    <n v="0.32268827454718779"/>
    <n v="4.9844903988183162"/>
    <s v="CL744"/>
    <x v="2"/>
    <x v="0"/>
    <n v="2708"/>
    <n v="1"/>
    <x v="2"/>
  </r>
  <r>
    <s v="C745"/>
    <x v="744"/>
    <d v="2023-07-22T19:11:23"/>
    <x v="0"/>
    <n v="73.932256944441178"/>
    <n v="8151"/>
    <x v="0"/>
    <n v="19429"/>
    <n v="647"/>
    <n v="265"/>
    <n v="12771"/>
    <n v="3.330073601317618E-2"/>
    <x v="744"/>
    <n v="19.07727975270479"/>
    <n v="46.577358490566034"/>
    <n v="1.5142927248190405"/>
    <n v="1.0346755245888357"/>
    <s v="CL745"/>
    <x v="1"/>
    <x v="1"/>
    <n v="12343"/>
    <n v="5"/>
    <x v="0"/>
  </r>
  <r>
    <s v="C746"/>
    <x v="745"/>
    <d v="2024-10-07T14:49:10"/>
    <x v="0"/>
    <n v="521.53201388889283"/>
    <n v="7455"/>
    <x v="1"/>
    <n v="12945"/>
    <n v="351"/>
    <n v="105"/>
    <n v="5885"/>
    <n v="2.7114716106604868E-2"/>
    <x v="745"/>
    <n v="55.56980056980057"/>
    <n v="185.76190476190476"/>
    <n v="2.6163648558014754"/>
    <n v="0.30171750833119715"/>
    <s v="CL746"/>
    <x v="0"/>
    <x v="0"/>
    <n v="19505"/>
    <n v="3"/>
    <x v="1"/>
  </r>
  <r>
    <s v="C747"/>
    <x v="746"/>
    <d v="2023-11-01T06:52:03"/>
    <x v="0"/>
    <n v="298.77659722222597"/>
    <n v="9609"/>
    <x v="3"/>
    <n v="6481"/>
    <n v="348"/>
    <n v="486"/>
    <n v="14478"/>
    <n v="5.3695417373862062E-2"/>
    <x v="746"/>
    <n v="37.178160919540232"/>
    <n v="26.621399176954732"/>
    <n v="1.3464460401706733"/>
    <n v="1.1190292162621733"/>
    <s v="CL747"/>
    <x v="2"/>
    <x v="1"/>
    <n v="12938"/>
    <n v="1"/>
    <x v="2"/>
  </r>
  <r>
    <s v="C748"/>
    <x v="747"/>
    <d v="2024-10-18T22:35:05"/>
    <x v="0"/>
    <n v="178.09844907407387"/>
    <n v="4558"/>
    <x v="3"/>
    <n v="7100"/>
    <n v="1444"/>
    <n v="199"/>
    <n v="14217"/>
    <n v="0.20338028169014086"/>
    <x v="747"/>
    <n v="1.479224376731302"/>
    <n v="10.733668341708542"/>
    <n v="0.46862659060991663"/>
    <n v="6.6558988764044944"/>
    <s v="CL748"/>
    <x v="1"/>
    <x v="0"/>
    <n v="2136"/>
    <n v="1"/>
    <x v="2"/>
  </r>
  <r>
    <s v="C749"/>
    <x v="748"/>
    <d v="2024-12-24T08:16:00"/>
    <x v="0"/>
    <n v="150.49879629629868"/>
    <n v="5386"/>
    <x v="1"/>
    <n v="10309"/>
    <n v="1229"/>
    <n v="425"/>
    <n v="10709"/>
    <n v="0.11921621883790863"/>
    <x v="748"/>
    <n v="8.9576891781936538"/>
    <n v="25.903529411764705"/>
    <n v="2.0440029706646863"/>
    <n v="0.97274956853483519"/>
    <s v="CL749"/>
    <x v="0"/>
    <x v="1"/>
    <n v="11009"/>
    <n v="1"/>
    <x v="2"/>
  </r>
  <r>
    <s v="C750"/>
    <x v="749"/>
    <d v="2023-07-04T10:26:03"/>
    <x v="1"/>
    <n v="0"/>
    <n v="3103"/>
    <x v="1"/>
    <n v="18273"/>
    <n v="546"/>
    <n v="275"/>
    <n v="1566"/>
    <n v="2.9880151042521754E-2"/>
    <x v="749"/>
    <n v="19.010989010989011"/>
    <n v="37.745454545454542"/>
    <n v="3.3451498549790526"/>
    <n v="0.1508670520231214"/>
    <s v="CL750"/>
    <x v="1"/>
    <x v="0"/>
    <n v="10380"/>
    <n v="1"/>
    <x v="2"/>
  </r>
  <r>
    <s v="C751"/>
    <x v="750"/>
    <d v="2024-11-20T05:43:37"/>
    <x v="1"/>
    <n v="0"/>
    <n v="4545"/>
    <x v="0"/>
    <n v="10032"/>
    <n v="860"/>
    <n v="18"/>
    <n v="835"/>
    <n v="8.5725677830940983E-2"/>
    <x v="750"/>
    <n v="15.059302325581395"/>
    <n v="719.5"/>
    <n v="2.8495049504950494"/>
    <n v="6.4473785808045705E-2"/>
    <s v="CL751"/>
    <x v="2"/>
    <x v="1"/>
    <n v="12951"/>
    <n v="2"/>
    <x v="1"/>
  </r>
  <r>
    <s v="C752"/>
    <x v="751"/>
    <d v="2023-08-18T19:12:25"/>
    <x v="1"/>
    <n v="0"/>
    <n v="9270"/>
    <x v="2"/>
    <n v="15787"/>
    <n v="776"/>
    <n v="46"/>
    <n v="14831"/>
    <n v="4.9154367517577756E-2"/>
    <x v="751"/>
    <n v="7.6121134020618557"/>
    <n v="128.41304347826087"/>
    <n v="0.63721682847896444"/>
    <n v="2.5107499576773318"/>
    <s v="CL752"/>
    <x v="1"/>
    <x v="1"/>
    <n v="5907"/>
    <n v="2"/>
    <x v="1"/>
  </r>
  <r>
    <s v="C753"/>
    <x v="752"/>
    <d v="2024-07-31T14:25:24"/>
    <x v="1"/>
    <n v="0"/>
    <n v="2438"/>
    <x v="2"/>
    <n v="9859"/>
    <n v="1663"/>
    <n v="259"/>
    <n v="14199"/>
    <n v="0.16867836494573485"/>
    <x v="752"/>
    <n v="9.3722188815393874"/>
    <n v="60.177606177606179"/>
    <n v="6.3929450369155045"/>
    <n v="0.91100988066213273"/>
    <s v="CL753"/>
    <x v="2"/>
    <x v="0"/>
    <n v="15586"/>
    <n v="2"/>
    <x v="1"/>
  </r>
  <r>
    <s v="C754"/>
    <x v="753"/>
    <d v="2024-03-23T16:16:44"/>
    <x v="1"/>
    <n v="0"/>
    <n v="8114"/>
    <x v="3"/>
    <n v="16208"/>
    <n v="1553"/>
    <n v="156"/>
    <n v="14315"/>
    <n v="9.5816880552813427E-2"/>
    <x v="753"/>
    <n v="9.7121699935608508"/>
    <n v="96.685897435897431"/>
    <n v="1.8588858762632487"/>
    <n v="0.94908174766293174"/>
    <s v="CL754"/>
    <x v="3"/>
    <x v="0"/>
    <n v="15083"/>
    <n v="3"/>
    <x v="1"/>
  </r>
  <r>
    <s v="C755"/>
    <x v="754"/>
    <d v="2024-09-07T05:48:33"/>
    <x v="0"/>
    <n v="446.20856481481314"/>
    <n v="1188"/>
    <x v="1"/>
    <n v="18533"/>
    <n v="1320"/>
    <n v="248"/>
    <n v="14820"/>
    <n v="7.1224302595370423E-2"/>
    <x v="754"/>
    <n v="5.6196969696969701"/>
    <n v="29.911290322580644"/>
    <n v="6.2441077441077439"/>
    <n v="1.9978430843893233"/>
    <s v="CL755"/>
    <x v="0"/>
    <x v="0"/>
    <n v="7418"/>
    <n v="3"/>
    <x v="1"/>
  </r>
  <r>
    <s v="C756"/>
    <x v="755"/>
    <d v="2024-04-22T16:53:15"/>
    <x v="0"/>
    <n v="69.975081018514175"/>
    <n v="5791"/>
    <x v="3"/>
    <n v="19127"/>
    <n v="1081"/>
    <n v="225"/>
    <n v="8466"/>
    <n v="5.6516965546086685E-2"/>
    <x v="755"/>
    <n v="8.899167437557816"/>
    <n v="42.755555555555553"/>
    <n v="1.6611984113279226"/>
    <n v="0.88004158004158006"/>
    <s v="CL756"/>
    <x v="3"/>
    <x v="1"/>
    <n v="9620"/>
    <n v="3"/>
    <x v="1"/>
  </r>
  <r>
    <s v="C757"/>
    <x v="756"/>
    <d v="2024-06-19T10:49:02"/>
    <x v="1"/>
    <n v="0"/>
    <n v="7263"/>
    <x v="1"/>
    <n v="8530"/>
    <n v="522"/>
    <n v="272"/>
    <n v="11915"/>
    <n v="6.1195779601406798E-2"/>
    <x v="756"/>
    <n v="22.766283524904214"/>
    <n v="43.691176470588232"/>
    <n v="1.6362384689522236"/>
    <n v="1.0026085493099965"/>
    <s v="CL757"/>
    <x v="1"/>
    <x v="0"/>
    <n v="11884"/>
    <n v="2"/>
    <x v="1"/>
  </r>
  <r>
    <s v="C758"/>
    <x v="757"/>
    <d v="2024-02-27T16:00:32"/>
    <x v="0"/>
    <n v="65.132986111108039"/>
    <n v="5017"/>
    <x v="3"/>
    <n v="15635"/>
    <n v="1397"/>
    <n v="366"/>
    <n v="13136"/>
    <n v="8.9350815478094023E-2"/>
    <x v="757"/>
    <n v="6.9277022190408015"/>
    <n v="26.442622950819672"/>
    <n v="1.9290412597169624"/>
    <n v="1.3573052283529654"/>
    <s v="CL758"/>
    <x v="2"/>
    <x v="0"/>
    <n v="9678"/>
    <n v="1"/>
    <x v="2"/>
  </r>
  <r>
    <s v="C759"/>
    <x v="758"/>
    <d v="2023-11-16T18:34:55"/>
    <x v="1"/>
    <n v="0"/>
    <n v="2502"/>
    <x v="2"/>
    <n v="17562"/>
    <n v="1719"/>
    <n v="140"/>
    <n v="9226"/>
    <n v="9.7881790228903309E-2"/>
    <x v="758"/>
    <n v="0.5578824898196626"/>
    <n v="6.85"/>
    <n v="0.38329336530775382"/>
    <n v="9.6204379562043787"/>
    <s v="CL759"/>
    <x v="0"/>
    <x v="2"/>
    <n v="959"/>
    <n v="2"/>
    <x v="1"/>
  </r>
  <r>
    <s v="C760"/>
    <x v="759"/>
    <d v="2024-03-18T11:34:42"/>
    <x v="0"/>
    <n v="20.570150462961465"/>
    <n v="4579"/>
    <x v="0"/>
    <n v="8534"/>
    <n v="1139"/>
    <n v="426"/>
    <n v="13303"/>
    <n v="0.13346613545816732"/>
    <x v="759"/>
    <n v="15.025460930640913"/>
    <n v="40.173708920187792"/>
    <n v="3.7374972701463203"/>
    <n v="0.77731681664134622"/>
    <s v="CL760"/>
    <x v="4"/>
    <x v="1"/>
    <n v="17114"/>
    <n v="3"/>
    <x v="1"/>
  </r>
  <r>
    <s v="C761"/>
    <x v="760"/>
    <d v="2024-07-05T23:31:37"/>
    <x v="0"/>
    <n v="53.742511574069795"/>
    <n v="2259"/>
    <x v="3"/>
    <n v="1800"/>
    <n v="1881"/>
    <n v="262"/>
    <n v="9770"/>
    <n v="1.0449999999999999"/>
    <x v="760"/>
    <n v="0.59223817118553956"/>
    <n v="4.2519083969465647"/>
    <n v="0.49313855688357683"/>
    <n v="8.7701974865350092"/>
    <s v="CL761"/>
    <x v="1"/>
    <x v="1"/>
    <n v="1114"/>
    <n v="3"/>
    <x v="1"/>
  </r>
  <r>
    <s v="C762"/>
    <x v="761"/>
    <d v="2024-02-12T20:52:04"/>
    <x v="0"/>
    <n v="99.989664351851388"/>
    <n v="5334"/>
    <x v="1"/>
    <n v="12839"/>
    <n v="1308"/>
    <n v="345"/>
    <n v="4790"/>
    <n v="0.10187709323156009"/>
    <x v="761"/>
    <n v="13.288226299694189"/>
    <n v="50.379710144927536"/>
    <n v="3.258530183727034"/>
    <n v="0.27558828605949026"/>
    <s v="CL762"/>
    <x v="4"/>
    <x v="0"/>
    <n v="17381"/>
    <n v="4"/>
    <x v="0"/>
  </r>
  <r>
    <s v="C763"/>
    <x v="762"/>
    <d v="2024-11-20T04:21:57"/>
    <x v="0"/>
    <n v="258.50317129630275"/>
    <n v="1691"/>
    <x v="0"/>
    <n v="1018"/>
    <n v="697"/>
    <n v="494"/>
    <n v="9882"/>
    <n v="0.68467583497053042"/>
    <x v="762"/>
    <n v="17.081779053084649"/>
    <n v="24.101214574898787"/>
    <n v="7.0408042578356005"/>
    <n v="0.83000167982529816"/>
    <s v="CL763"/>
    <x v="0"/>
    <x v="2"/>
    <n v="11906"/>
    <n v="4"/>
    <x v="0"/>
  </r>
  <r>
    <s v="C764"/>
    <x v="763"/>
    <d v="2024-12-04T07:18:39"/>
    <x v="0"/>
    <n v="571.36376157407358"/>
    <n v="2210"/>
    <x v="2"/>
    <n v="5042"/>
    <n v="1033"/>
    <n v="410"/>
    <n v="6174"/>
    <n v="0.20487901626338753"/>
    <x v="763"/>
    <n v="4.6815101645692163"/>
    <n v="11.795121951219512"/>
    <n v="2.1882352941176473"/>
    <n v="1.2766749379652604"/>
    <s v="CL764"/>
    <x v="3"/>
    <x v="0"/>
    <n v="4836"/>
    <n v="2"/>
    <x v="1"/>
  </r>
  <r>
    <s v="C765"/>
    <x v="764"/>
    <d v="2024-07-11T20:54:05"/>
    <x v="1"/>
    <n v="0"/>
    <n v="6586"/>
    <x v="2"/>
    <n v="12894"/>
    <n v="769"/>
    <n v="421"/>
    <n v="1317"/>
    <n v="5.9640142702031954E-2"/>
    <x v="764"/>
    <n v="13.621586475942783"/>
    <n v="24.8812351543943"/>
    <n v="1.5904949893713938"/>
    <n v="0.12572792362768495"/>
    <s v="CL765"/>
    <x v="1"/>
    <x v="0"/>
    <n v="10475"/>
    <n v="5"/>
    <x v="0"/>
  </r>
  <r>
    <s v="C766"/>
    <x v="765"/>
    <d v="2024-11-05T02:39:15"/>
    <x v="1"/>
    <n v="0"/>
    <n v="9224"/>
    <x v="3"/>
    <n v="10871"/>
    <n v="1685"/>
    <n v="413"/>
    <n v="13833"/>
    <n v="0.15499954006071198"/>
    <x v="765"/>
    <n v="2.9305637982195845"/>
    <n v="11.956416464891042"/>
    <n v="0.53534258456201211"/>
    <n v="2.8013365735115432"/>
    <s v="CL766"/>
    <x v="4"/>
    <x v="1"/>
    <n v="4938"/>
    <n v="4"/>
    <x v="0"/>
  </r>
  <r>
    <s v="C767"/>
    <x v="766"/>
    <d v="2023-07-18T19:59:50"/>
    <x v="1"/>
    <n v="0"/>
    <n v="4922"/>
    <x v="1"/>
    <n v="13324"/>
    <n v="334"/>
    <n v="166"/>
    <n v="2799"/>
    <n v="2.5067547283098169E-2"/>
    <x v="766"/>
    <n v="35.281437125748504"/>
    <n v="70.98795180722891"/>
    <n v="2.3941487200325069"/>
    <n v="0.23752545824847252"/>
    <s v="CL767"/>
    <x v="2"/>
    <x v="1"/>
    <n v="11784"/>
    <n v="4"/>
    <x v="0"/>
  </r>
  <r>
    <s v="C768"/>
    <x v="767"/>
    <d v="2024-08-14T21:16:01"/>
    <x v="1"/>
    <n v="0"/>
    <n v="9281"/>
    <x v="0"/>
    <n v="13046"/>
    <n v="938"/>
    <n v="280"/>
    <n v="5085"/>
    <n v="7.1899432776329916E-2"/>
    <x v="767"/>
    <n v="16"/>
    <n v="53.6"/>
    <n v="1.6170671263872427"/>
    <n v="0.33881929637526653"/>
    <s v="CL768"/>
    <x v="1"/>
    <x v="2"/>
    <n v="15008"/>
    <n v="2"/>
    <x v="1"/>
  </r>
  <r>
    <s v="C769"/>
    <x v="768"/>
    <d v="2024-03-20T23:34:20"/>
    <x v="1"/>
    <n v="0"/>
    <n v="2525"/>
    <x v="1"/>
    <n v="14391"/>
    <n v="1961"/>
    <n v="117"/>
    <n v="13842"/>
    <n v="0.1362657216315753"/>
    <x v="768"/>
    <n v="9.077001529831719"/>
    <n v="152.13675213675214"/>
    <n v="7.0495049504950495"/>
    <n v="0.77764044943820221"/>
    <s v="CL769"/>
    <x v="3"/>
    <x v="1"/>
    <n v="17800"/>
    <n v="1"/>
    <x v="2"/>
  </r>
  <r>
    <s v="C770"/>
    <x v="769"/>
    <d v="2024-06-15T21:49:04"/>
    <x v="0"/>
    <n v="228.55745370370278"/>
    <n v="5083"/>
    <x v="2"/>
    <n v="18060"/>
    <n v="1546"/>
    <n v="461"/>
    <n v="10956"/>
    <n v="8.5603543743078631E-2"/>
    <x v="769"/>
    <n v="10.714747736093143"/>
    <n v="35.932754880694141"/>
    <n v="3.2589022230965967"/>
    <n v="0.66139450648958653"/>
    <s v="CL770"/>
    <x v="3"/>
    <x v="0"/>
    <n v="16565"/>
    <n v="1"/>
    <x v="2"/>
  </r>
  <r>
    <s v="C771"/>
    <x v="770"/>
    <d v="2024-10-08T09:29:56"/>
    <x v="1"/>
    <n v="0"/>
    <n v="9996"/>
    <x v="1"/>
    <n v="16217"/>
    <n v="1914"/>
    <n v="23"/>
    <n v="6322"/>
    <n v="0.11802429549238454"/>
    <x v="770"/>
    <n v="5.0940438871473352"/>
    <n v="423.91304347826087"/>
    <n v="0.97539015606242496"/>
    <n v="0.6484102564102564"/>
    <s v="CL771"/>
    <x v="3"/>
    <x v="1"/>
    <n v="9750"/>
    <n v="1"/>
    <x v="2"/>
  </r>
  <r>
    <s v="C772"/>
    <x v="771"/>
    <d v="2024-09-26T05:38:19"/>
    <x v="1"/>
    <n v="0"/>
    <n v="2415"/>
    <x v="2"/>
    <n v="7124"/>
    <n v="365"/>
    <n v="423"/>
    <n v="3241"/>
    <n v="5.1235261089275688E-2"/>
    <x v="771"/>
    <n v="54.213698630136989"/>
    <n v="46.780141843971634"/>
    <n v="8.1937888198757758"/>
    <n v="0.16378613300990499"/>
    <s v="CL772"/>
    <x v="0"/>
    <x v="1"/>
    <n v="19788"/>
    <n v="1"/>
    <x v="2"/>
  </r>
  <r>
    <s v="C773"/>
    <x v="772"/>
    <d v="2024-07-06T01:16:21"/>
    <x v="1"/>
    <n v="0"/>
    <n v="4211"/>
    <x v="1"/>
    <n v="11558"/>
    <n v="1148"/>
    <n v="321"/>
    <n v="13258"/>
    <n v="9.932514275826268E-2"/>
    <x v="772"/>
    <n v="11.785714285714286"/>
    <n v="42.149532710280376"/>
    <n v="3.2130135359772027"/>
    <n v="0.97989652623798962"/>
    <s v="CL773"/>
    <x v="3"/>
    <x v="1"/>
    <n v="13530"/>
    <n v="1"/>
    <x v="2"/>
  </r>
  <r>
    <s v="C774"/>
    <x v="773"/>
    <d v="2023-04-04T10:28:24"/>
    <x v="1"/>
    <n v="0"/>
    <n v="3983"/>
    <x v="1"/>
    <n v="9622"/>
    <n v="1277"/>
    <n v="153"/>
    <n v="1426"/>
    <n v="0.13271669091664934"/>
    <x v="773"/>
    <n v="1.0704776820673454"/>
    <n v="8.9346405228758172"/>
    <n v="0.34320863670600049"/>
    <n v="1.0431602048280908"/>
    <s v="CL774"/>
    <x v="0"/>
    <x v="0"/>
    <n v="1367"/>
    <n v="2"/>
    <x v="1"/>
  </r>
  <r>
    <s v="C775"/>
    <x v="774"/>
    <d v="2024-03-04T10:21:04"/>
    <x v="1"/>
    <n v="0"/>
    <n v="1995"/>
    <x v="3"/>
    <n v="4722"/>
    <n v="1911"/>
    <n v="492"/>
    <n v="11330"/>
    <n v="0.40470139771283353"/>
    <x v="774"/>
    <n v="5.0816326530612246"/>
    <n v="19.737804878048781"/>
    <n v="4.8676691729323309"/>
    <n v="1.1667181546699619"/>
    <s v="CL775"/>
    <x v="1"/>
    <x v="0"/>
    <n v="9711"/>
    <n v="5"/>
    <x v="0"/>
  </r>
  <r>
    <s v="C776"/>
    <x v="775"/>
    <d v="2024-07-13T13:44:09"/>
    <x v="0"/>
    <n v="518.88765046295885"/>
    <n v="8311"/>
    <x v="3"/>
    <n v="19106"/>
    <n v="1609"/>
    <n v="238"/>
    <n v="4546"/>
    <n v="8.4214382916361352E-2"/>
    <x v="775"/>
    <n v="5.8763206960845249"/>
    <n v="39.726890756302524"/>
    <n v="1.1376488990494524"/>
    <n v="0.48080380750925439"/>
    <s v="CL776"/>
    <x v="1"/>
    <x v="2"/>
    <n v="9455"/>
    <n v="1"/>
    <x v="2"/>
  </r>
  <r>
    <s v="C777"/>
    <x v="776"/>
    <d v="2024-06-27T09:46:11"/>
    <x v="1"/>
    <n v="0"/>
    <n v="7943"/>
    <x v="1"/>
    <n v="9942"/>
    <n v="1627"/>
    <n v="404"/>
    <n v="2965"/>
    <n v="0.16364916515791592"/>
    <x v="776"/>
    <n v="1.5783650891210816"/>
    <n v="6.3564356435643568"/>
    <n v="0.32330353770615639"/>
    <n v="1.154595015576324"/>
    <s v="CL777"/>
    <x v="0"/>
    <x v="0"/>
    <n v="2568"/>
    <n v="3"/>
    <x v="1"/>
  </r>
  <r>
    <s v="C778"/>
    <x v="777"/>
    <d v="2023-12-29T19:47:02"/>
    <x v="0"/>
    <n v="203.22854166666366"/>
    <n v="8837"/>
    <x v="2"/>
    <n v="6698"/>
    <n v="1016"/>
    <n v="37"/>
    <n v="11493"/>
    <n v="0.15168707076739324"/>
    <x v="777"/>
    <n v="17.402559055118111"/>
    <n v="477.86486486486484"/>
    <n v="2.0007921240239899"/>
    <n v="0.65001979526044906"/>
    <s v="CL778"/>
    <x v="0"/>
    <x v="0"/>
    <n v="17681"/>
    <n v="2"/>
    <x v="1"/>
  </r>
  <r>
    <s v="C779"/>
    <x v="778"/>
    <d v="2024-07-08T01:46:12"/>
    <x v="1"/>
    <n v="0"/>
    <n v="6309"/>
    <x v="0"/>
    <n v="7611"/>
    <n v="563"/>
    <n v="254"/>
    <n v="1013"/>
    <n v="7.3971882801208783E-2"/>
    <x v="778"/>
    <n v="32.724689165186504"/>
    <n v="72.535433070866148"/>
    <n v="2.9202726264067205"/>
    <n v="5.4982631350412509E-2"/>
    <s v="CL779"/>
    <x v="0"/>
    <x v="2"/>
    <n v="18424"/>
    <n v="5"/>
    <x v="0"/>
  </r>
  <r>
    <s v="C780"/>
    <x v="779"/>
    <d v="2024-04-15T21:44:04"/>
    <x v="1"/>
    <n v="0"/>
    <n v="8067"/>
    <x v="1"/>
    <n v="16797"/>
    <n v="1986"/>
    <n v="476"/>
    <n v="2563"/>
    <n v="0.11823539917842472"/>
    <x v="779"/>
    <n v="2.5297079556898288"/>
    <n v="10.554621848739496"/>
    <n v="0.62278418247179868"/>
    <n v="0.51015127388535031"/>
    <s v="CL780"/>
    <x v="1"/>
    <x v="0"/>
    <n v="5024"/>
    <n v="2"/>
    <x v="1"/>
  </r>
  <r>
    <s v="C781"/>
    <x v="780"/>
    <d v="2024-08-23T22:01:16"/>
    <x v="1"/>
    <n v="0"/>
    <n v="9459"/>
    <x v="3"/>
    <n v="18157"/>
    <n v="1223"/>
    <n v="104"/>
    <n v="7974"/>
    <n v="6.735694222613868E-2"/>
    <x v="780"/>
    <n v="10.523303352412102"/>
    <n v="123.75"/>
    <n v="1.3606089438629876"/>
    <n v="0.61958041958041954"/>
    <s v="CL781"/>
    <x v="0"/>
    <x v="1"/>
    <n v="12870"/>
    <n v="4"/>
    <x v="0"/>
  </r>
  <r>
    <s v="C782"/>
    <x v="781"/>
    <d v="2024-07-27T09:39:29"/>
    <x v="1"/>
    <n v="0"/>
    <n v="7628"/>
    <x v="0"/>
    <n v="10393"/>
    <n v="844"/>
    <n v="175"/>
    <n v="2555"/>
    <n v="8.1208505725007221E-2"/>
    <x v="781"/>
    <n v="13.84478672985782"/>
    <n v="66.771428571428572"/>
    <n v="1.5318563188253802"/>
    <n v="0.2186563970902867"/>
    <s v="CL782"/>
    <x v="1"/>
    <x v="0"/>
    <n v="11685"/>
    <n v="4"/>
    <x v="0"/>
  </r>
  <r>
    <s v="C783"/>
    <x v="782"/>
    <d v="2024-05-24T17:45:04"/>
    <x v="0"/>
    <n v="161.89557870370481"/>
    <n v="9802"/>
    <x v="3"/>
    <n v="13033"/>
    <n v="841"/>
    <n v="366"/>
    <n v="7009"/>
    <n v="6.4528504565334155E-2"/>
    <x v="782"/>
    <n v="3.1343638525564805"/>
    <n v="7.2021857923497263"/>
    <n v="0.26892470924301165"/>
    <n v="2.6589529590288317"/>
    <s v="CL783"/>
    <x v="1"/>
    <x v="0"/>
    <n v="2636"/>
    <n v="5"/>
    <x v="0"/>
  </r>
  <r>
    <s v="C784"/>
    <x v="783"/>
    <d v="2024-10-30T06:07:28"/>
    <x v="0"/>
    <n v="188.68771990740788"/>
    <n v="4965"/>
    <x v="1"/>
    <n v="18756"/>
    <n v="206"/>
    <n v="454"/>
    <n v="13776"/>
    <n v="1.0983152058008105E-2"/>
    <x v="783"/>
    <n v="13.407766990291263"/>
    <n v="6.0837004405286343"/>
    <n v="0.55629405840886204"/>
    <n v="4.9876900796524257"/>
    <s v="CL784"/>
    <x v="0"/>
    <x v="2"/>
    <n v="2762"/>
    <n v="1"/>
    <x v="2"/>
  </r>
  <r>
    <s v="C785"/>
    <x v="784"/>
    <d v="2023-04-24T20:33:57"/>
    <x v="0"/>
    <n v="76.915474537032424"/>
    <n v="7872"/>
    <x v="2"/>
    <n v="2891"/>
    <n v="1414"/>
    <n v="452"/>
    <n v="1476"/>
    <n v="0.48910411622276029"/>
    <x v="784"/>
    <n v="5.1124469589816126"/>
    <n v="15.993362831858407"/>
    <n v="0.91831808943089432"/>
    <n v="0.20417761792779085"/>
    <s v="CL785"/>
    <x v="1"/>
    <x v="0"/>
    <n v="7229"/>
    <n v="1"/>
    <x v="2"/>
  </r>
  <r>
    <s v="C786"/>
    <x v="785"/>
    <d v="2024-09-01T16:29:30"/>
    <x v="0"/>
    <n v="378.43629629629868"/>
    <n v="5220"/>
    <x v="2"/>
    <n v="17814"/>
    <n v="801"/>
    <n v="495"/>
    <n v="10585"/>
    <n v="4.4964634557089926E-2"/>
    <x v="785"/>
    <n v="3.0037453183520597"/>
    <n v="4.8606060606060604"/>
    <n v="0.46091954022988507"/>
    <n v="4.3994181213632588"/>
    <s v="CL786"/>
    <x v="3"/>
    <x v="1"/>
    <n v="2406"/>
    <n v="4"/>
    <x v="0"/>
  </r>
  <r>
    <s v="C787"/>
    <x v="786"/>
    <d v="2024-06-16T05:29:20"/>
    <x v="1"/>
    <n v="0"/>
    <n v="5667"/>
    <x v="1"/>
    <n v="13432"/>
    <n v="1149"/>
    <n v="252"/>
    <n v="1106"/>
    <n v="8.5541989279332931E-2"/>
    <x v="786"/>
    <n v="8.1409921671018282"/>
    <n v="37.11904761904762"/>
    <n v="1.6506087877183695"/>
    <n v="0.11823818687192644"/>
    <s v="CL787"/>
    <x v="4"/>
    <x v="0"/>
    <n v="9354"/>
    <n v="2"/>
    <x v="1"/>
  </r>
  <r>
    <s v="C788"/>
    <x v="787"/>
    <d v="2024-12-01T23:22:03"/>
    <x v="1"/>
    <n v="0"/>
    <n v="6614"/>
    <x v="2"/>
    <n v="3254"/>
    <n v="1157"/>
    <n v="299"/>
    <n v="10075"/>
    <n v="0.35556238475722191"/>
    <x v="787"/>
    <n v="7.5738980121002593"/>
    <n v="29.307692307692307"/>
    <n v="1.3249168430601754"/>
    <n v="1.1497204153828597"/>
    <s v="CL788"/>
    <x v="2"/>
    <x v="1"/>
    <n v="8763"/>
    <n v="2"/>
    <x v="1"/>
  </r>
  <r>
    <s v="C789"/>
    <x v="788"/>
    <d v="2024-12-13T22:12:30"/>
    <x v="0"/>
    <n v="632.08326388888236"/>
    <n v="8057"/>
    <x v="3"/>
    <n v="12128"/>
    <n v="329"/>
    <n v="343"/>
    <n v="5807"/>
    <n v="2.7127308707124011E-2"/>
    <x v="788"/>
    <n v="57.835866261398174"/>
    <n v="55.475218658892125"/>
    <n v="2.361673079309917"/>
    <n v="0.30518183729241116"/>
    <s v="CL789"/>
    <x v="0"/>
    <x v="2"/>
    <n v="19028"/>
    <n v="4"/>
    <x v="0"/>
  </r>
  <r>
    <s v="C790"/>
    <x v="789"/>
    <d v="2024-05-01T07:52:34"/>
    <x v="1"/>
    <n v="0"/>
    <n v="1422"/>
    <x v="1"/>
    <n v="12370"/>
    <n v="1487"/>
    <n v="137"/>
    <n v="7719"/>
    <n v="0.12021018593371059"/>
    <x v="789"/>
    <n v="9.7975790181573643"/>
    <n v="106.34306569343066"/>
    <n v="10.245428973277075"/>
    <n v="0.52982359805065549"/>
    <s v="CL790"/>
    <x v="2"/>
    <x v="2"/>
    <n v="14569"/>
    <n v="5"/>
    <x v="0"/>
  </r>
  <r>
    <s v="C791"/>
    <x v="790"/>
    <d v="2023-12-05T06:16:16"/>
    <x v="1"/>
    <n v="0"/>
    <n v="8120"/>
    <x v="2"/>
    <n v="17773"/>
    <n v="746"/>
    <n v="473"/>
    <n v="11279"/>
    <n v="4.1973780453496874E-2"/>
    <x v="790"/>
    <n v="26.428954423592494"/>
    <n v="41.682875264270614"/>
    <n v="2.42807881773399"/>
    <n v="0.57207344288902418"/>
    <s v="CL791"/>
    <x v="3"/>
    <x v="2"/>
    <n v="19716"/>
    <n v="4"/>
    <x v="0"/>
  </r>
  <r>
    <s v="C792"/>
    <x v="791"/>
    <d v="2024-04-26T20:57:37"/>
    <x v="0"/>
    <n v="330.88795138888963"/>
    <n v="2437"/>
    <x v="3"/>
    <n v="11767"/>
    <n v="905"/>
    <n v="280"/>
    <n v="2463"/>
    <n v="7.6910002549502851E-2"/>
    <x v="791"/>
    <n v="16.904972375690608"/>
    <n v="54.639285714285712"/>
    <n v="6.2778005744768155"/>
    <n v="0.16099091443885222"/>
    <s v="CL792"/>
    <x v="1"/>
    <x v="1"/>
    <n v="15299"/>
    <n v="2"/>
    <x v="1"/>
  </r>
  <r>
    <s v="C793"/>
    <x v="792"/>
    <d v="2024-03-24T13:12:41"/>
    <x v="1"/>
    <n v="0"/>
    <n v="2662"/>
    <x v="3"/>
    <n v="16650"/>
    <n v="441"/>
    <n v="421"/>
    <n v="14531"/>
    <n v="2.6486486486486487E-2"/>
    <x v="792"/>
    <n v="5.4829931972789119"/>
    <n v="5.7434679334916865"/>
    <n v="0.90833959429000755"/>
    <n v="6.0095119933829615"/>
    <s v="CL793"/>
    <x v="3"/>
    <x v="1"/>
    <n v="2418"/>
    <n v="3"/>
    <x v="1"/>
  </r>
  <r>
    <s v="C794"/>
    <x v="793"/>
    <d v="2024-01-27T06:19:18"/>
    <x v="0"/>
    <n v="54.136446759257524"/>
    <n v="4575"/>
    <x v="2"/>
    <n v="17772"/>
    <n v="1247"/>
    <n v="152"/>
    <n v="4923"/>
    <n v="7.0166554130092276E-2"/>
    <x v="793"/>
    <n v="9.3247794707297516"/>
    <n v="76.5"/>
    <n v="2.5416393442622951"/>
    <n v="0.42337461300309598"/>
    <s v="CL794"/>
    <x v="2"/>
    <x v="0"/>
    <n v="11628"/>
    <n v="4"/>
    <x v="0"/>
  </r>
  <r>
    <s v="C795"/>
    <x v="794"/>
    <d v="2024-09-28T09:06:45"/>
    <x v="0"/>
    <n v="179.89266203703301"/>
    <n v="3436"/>
    <x v="3"/>
    <n v="18395"/>
    <n v="1024"/>
    <n v="335"/>
    <n v="730"/>
    <n v="5.5667300896982873E-2"/>
    <x v="794"/>
    <n v="15.509765625"/>
    <n v="47.408955223880596"/>
    <n v="4.622235157159488"/>
    <n v="4.5963984384838182E-2"/>
    <s v="CL795"/>
    <x v="0"/>
    <x v="0"/>
    <n v="15882"/>
    <n v="5"/>
    <x v="0"/>
  </r>
  <r>
    <s v="C796"/>
    <x v="795"/>
    <d v="2024-11-22T12:52:34"/>
    <x v="0"/>
    <n v="126.56273148147739"/>
    <n v="7488"/>
    <x v="1"/>
    <n v="19638"/>
    <n v="949"/>
    <n v="257"/>
    <n v="3898"/>
    <n v="4.8324676647316427E-2"/>
    <x v="795"/>
    <n v="7.6638566912539519"/>
    <n v="28.299610894941633"/>
    <n v="0.97128739316239321"/>
    <n v="0.53595490169118654"/>
    <s v="CL796"/>
    <x v="2"/>
    <x v="0"/>
    <n v="7273"/>
    <n v="5"/>
    <x v="0"/>
  </r>
  <r>
    <s v="C797"/>
    <x v="796"/>
    <d v="2024-09-04T18:20:01"/>
    <x v="1"/>
    <n v="0"/>
    <n v="5420"/>
    <x v="3"/>
    <n v="14836"/>
    <n v="1489"/>
    <n v="128"/>
    <n v="2652"/>
    <n v="0.1003639795093017"/>
    <x v="796"/>
    <n v="7.6413700470114172"/>
    <n v="88.890625"/>
    <n v="2.0992619926199261"/>
    <n v="0.23308138512919668"/>
    <s v="CL797"/>
    <x v="3"/>
    <x v="2"/>
    <n v="11378"/>
    <n v="2"/>
    <x v="1"/>
  </r>
  <r>
    <s v="C798"/>
    <x v="797"/>
    <d v="2024-09-14T12:40:39"/>
    <x v="0"/>
    <n v="518.23491898147768"/>
    <n v="5205"/>
    <x v="0"/>
    <n v="8729"/>
    <n v="1610"/>
    <n v="262"/>
    <n v="12640"/>
    <n v="0.18444266238973536"/>
    <x v="797"/>
    <n v="0.67018633540372674"/>
    <n v="4.1183206106870225"/>
    <n v="0.20730067243035544"/>
    <n v="11.714550509731232"/>
    <s v="CL798"/>
    <x v="1"/>
    <x v="2"/>
    <n v="1079"/>
    <n v="5"/>
    <x v="0"/>
  </r>
  <r>
    <s v="C799"/>
    <x v="798"/>
    <d v="2024-07-13T13:53:47"/>
    <x v="1"/>
    <n v="0"/>
    <n v="4503"/>
    <x v="2"/>
    <n v="4715"/>
    <n v="787"/>
    <n v="404"/>
    <n v="4310"/>
    <n v="0.16691410392364794"/>
    <x v="798"/>
    <n v="18.339263024142312"/>
    <n v="35.725247524752476"/>
    <n v="3.2051965356429046"/>
    <n v="0.29862121527056051"/>
    <s v="CL799"/>
    <x v="4"/>
    <x v="0"/>
    <n v="14433"/>
    <n v="2"/>
    <x v="1"/>
  </r>
  <r>
    <s v="C800"/>
    <x v="799"/>
    <d v="2024-12-11T21:35:29"/>
    <x v="0"/>
    <n v="251.62954861111211"/>
    <n v="7469"/>
    <x v="3"/>
    <n v="1109"/>
    <n v="1201"/>
    <n v="27"/>
    <n v="3123"/>
    <n v="1.0829576194770063"/>
    <x v="799"/>
    <n v="0.86677768526228138"/>
    <n v="38.555555555555557"/>
    <n v="0.13937608782969607"/>
    <n v="3"/>
    <s v="CL800"/>
    <x v="4"/>
    <x v="1"/>
    <n v="1041"/>
    <n v="4"/>
    <x v="0"/>
  </r>
  <r>
    <s v="C801"/>
    <x v="800"/>
    <d v="2023-10-31T06:25:10"/>
    <x v="0"/>
    <n v="251.8834143518543"/>
    <n v="6079"/>
    <x v="0"/>
    <n v="16477"/>
    <n v="1200"/>
    <n v="59"/>
    <n v="13578"/>
    <n v="7.2828791648965219E-2"/>
    <x v="800"/>
    <n v="0.71833333333333338"/>
    <n v="14.610169491525424"/>
    <n v="0.14179963809837146"/>
    <n v="15.751740139211137"/>
    <s v="CL801"/>
    <x v="4"/>
    <x v="0"/>
    <n v="862"/>
    <n v="4"/>
    <x v="0"/>
  </r>
  <r>
    <s v="C802"/>
    <x v="801"/>
    <d v="2023-12-30T12:28:58"/>
    <x v="0"/>
    <n v="176.83989583333459"/>
    <n v="8865"/>
    <x v="0"/>
    <n v="3596"/>
    <n v="298"/>
    <n v="233"/>
    <n v="7514"/>
    <n v="8.2869855394883202E-2"/>
    <x v="801"/>
    <n v="51.040268456375841"/>
    <n v="65.278969957081543"/>
    <n v="1.7157360406091371"/>
    <n v="0.49401709401709404"/>
    <s v="CL802"/>
    <x v="0"/>
    <x v="0"/>
    <n v="15210"/>
    <n v="5"/>
    <x v="0"/>
  </r>
  <r>
    <s v="C803"/>
    <x v="802"/>
    <d v="2024-11-11T13:31:05"/>
    <x v="0"/>
    <n v="559.09587962963269"/>
    <n v="8374"/>
    <x v="3"/>
    <n v="3083"/>
    <n v="241"/>
    <n v="144"/>
    <n v="5130"/>
    <n v="7.817061303924748E-2"/>
    <x v="802"/>
    <n v="16.053941908713693"/>
    <n v="26.868055555555557"/>
    <n v="0.46202531645569622"/>
    <n v="1.3259240113724478"/>
    <s v="CL803"/>
    <x v="4"/>
    <x v="1"/>
    <n v="3869"/>
    <n v="3"/>
    <x v="1"/>
  </r>
  <r>
    <s v="C804"/>
    <x v="803"/>
    <d v="2024-05-11T14:58:54"/>
    <x v="0"/>
    <n v="171.47865740740963"/>
    <n v="2446"/>
    <x v="0"/>
    <n v="12298"/>
    <n v="997"/>
    <n v="465"/>
    <n v="5714"/>
    <n v="8.1070092697999668E-2"/>
    <x v="803"/>
    <n v="11.320962888665997"/>
    <n v="24.273118279569893"/>
    <n v="4.6144726083401473"/>
    <n v="0.50624612385930712"/>
    <s v="CL804"/>
    <x v="1"/>
    <x v="0"/>
    <n v="11287"/>
    <n v="2"/>
    <x v="1"/>
  </r>
  <r>
    <s v="C805"/>
    <x v="804"/>
    <d v="2024-11-17T22:43:27"/>
    <x v="0"/>
    <n v="537.86807870370103"/>
    <n v="9720"/>
    <x v="2"/>
    <n v="4741"/>
    <n v="1159"/>
    <n v="305"/>
    <n v="14129"/>
    <n v="0.24446319341910988"/>
    <x v="804"/>
    <n v="11.455565142364106"/>
    <n v="43.531147540983604"/>
    <n v="1.3659465020576131"/>
    <n v="1.0641711229946524"/>
    <s v="CL805"/>
    <x v="4"/>
    <x v="0"/>
    <n v="13277"/>
    <n v="3"/>
    <x v="1"/>
  </r>
  <r>
    <s v="C806"/>
    <x v="805"/>
    <d v="2024-01-02T01:26:31"/>
    <x v="1"/>
    <n v="0"/>
    <n v="1064"/>
    <x v="3"/>
    <n v="11322"/>
    <n v="392"/>
    <n v="140"/>
    <n v="2794"/>
    <n v="3.4622858152269918E-2"/>
    <x v="805"/>
    <n v="33.969387755102041"/>
    <n v="95.114285714285714"/>
    <n v="12.515037593984962"/>
    <n v="0.20982276960048063"/>
    <s v="CL806"/>
    <x v="2"/>
    <x v="2"/>
    <n v="13316"/>
    <n v="4"/>
    <x v="0"/>
  </r>
  <r>
    <s v="C807"/>
    <x v="806"/>
    <d v="2024-12-22T06:16:02"/>
    <x v="1"/>
    <n v="0"/>
    <n v="6178"/>
    <x v="2"/>
    <n v="5643"/>
    <n v="170"/>
    <n v="96"/>
    <n v="8733"/>
    <n v="3.0125819599503809E-2"/>
    <x v="806"/>
    <n v="92.382352941176464"/>
    <n v="163.59375"/>
    <n v="2.5420848170929102"/>
    <n v="0.55606494746895896"/>
    <s v="CL807"/>
    <x v="2"/>
    <x v="0"/>
    <n v="15705"/>
    <n v="2"/>
    <x v="1"/>
  </r>
  <r>
    <s v="C808"/>
    <x v="807"/>
    <d v="2024-08-26T00:42:06"/>
    <x v="0"/>
    <n v="165.47025462963211"/>
    <n v="5155"/>
    <x v="2"/>
    <n v="12094"/>
    <n v="1732"/>
    <n v="221"/>
    <n v="5140"/>
    <n v="0.14321150983958988"/>
    <x v="807"/>
    <n v="4.7961893764434178"/>
    <n v="37.588235294117645"/>
    <n v="1.6114451988360814"/>
    <n v="0.61875526664259062"/>
    <s v="CL808"/>
    <x v="2"/>
    <x v="2"/>
    <n v="8307"/>
    <n v="4"/>
    <x v="0"/>
  </r>
  <r>
    <s v="C809"/>
    <x v="808"/>
    <d v="2024-06-25T01:11:11"/>
    <x v="1"/>
    <n v="0"/>
    <n v="9868"/>
    <x v="3"/>
    <n v="10236"/>
    <n v="615"/>
    <n v="259"/>
    <n v="10027"/>
    <n v="6.00820633059789E-2"/>
    <x v="808"/>
    <n v="21.048780487804876"/>
    <n v="49.980694980694977"/>
    <n v="1.3118159708147548"/>
    <n v="0.77458478176902279"/>
    <s v="CL809"/>
    <x v="2"/>
    <x v="2"/>
    <n v="12945"/>
    <n v="4"/>
    <x v="0"/>
  </r>
  <r>
    <s v="C810"/>
    <x v="809"/>
    <d v="2024-04-09T17:00:21"/>
    <x v="1"/>
    <n v="0"/>
    <n v="2773"/>
    <x v="1"/>
    <n v="5470"/>
    <n v="898"/>
    <n v="437"/>
    <n v="12152"/>
    <n v="0.16416819012797074"/>
    <x v="809"/>
    <n v="16.971046770601337"/>
    <n v="34.874141876430208"/>
    <n v="5.4958528669311217"/>
    <n v="0.79737532808398948"/>
    <s v="CL810"/>
    <x v="1"/>
    <x v="0"/>
    <n v="15240"/>
    <n v="1"/>
    <x v="2"/>
  </r>
  <r>
    <s v="C811"/>
    <x v="810"/>
    <d v="2023-10-19T06:07:57"/>
    <x v="0"/>
    <n v="123.00101851852378"/>
    <n v="7398"/>
    <x v="3"/>
    <n v="12880"/>
    <n v="690"/>
    <n v="145"/>
    <n v="6839"/>
    <n v="5.3571428571428568E-2"/>
    <x v="810"/>
    <n v="28.331884057971013"/>
    <n v="134.8206896551724"/>
    <n v="2.642470938091376"/>
    <n v="0.34983886643818096"/>
    <s v="CL811"/>
    <x v="4"/>
    <x v="1"/>
    <n v="19549"/>
    <n v="3"/>
    <x v="1"/>
  </r>
  <r>
    <s v="C812"/>
    <x v="811"/>
    <d v="2024-10-29T13:59:46"/>
    <x v="0"/>
    <n v="296.37984953703562"/>
    <n v="1099"/>
    <x v="1"/>
    <n v="7030"/>
    <n v="906"/>
    <n v="96"/>
    <n v="2884"/>
    <n v="0.12887624466571834"/>
    <x v="811"/>
    <n v="18.32560706401766"/>
    <n v="172.94791666666666"/>
    <n v="15.1073703366697"/>
    <n v="0.1737035475516473"/>
    <s v="CL812"/>
    <x v="0"/>
    <x v="1"/>
    <n v="16603"/>
    <n v="1"/>
    <x v="2"/>
  </r>
  <r>
    <s v="C813"/>
    <x v="812"/>
    <d v="2024-04-08T08:01:22"/>
    <x v="0"/>
    <n v="376.99907407407591"/>
    <n v="1023"/>
    <x v="3"/>
    <n v="17806"/>
    <n v="366"/>
    <n v="289"/>
    <n v="14413"/>
    <n v="2.0554869145231944E-2"/>
    <x v="812"/>
    <n v="15.366120218579235"/>
    <n v="19.460207612456749"/>
    <n v="5.4975562072336261"/>
    <n v="2.5627667140825037"/>
    <s v="CL813"/>
    <x v="3"/>
    <x v="1"/>
    <n v="5624"/>
    <n v="3"/>
    <x v="1"/>
  </r>
  <r>
    <s v="C814"/>
    <x v="813"/>
    <d v="2024-05-23T08:35:05"/>
    <x v="1"/>
    <n v="0"/>
    <n v="1318"/>
    <x v="1"/>
    <n v="19522"/>
    <n v="107"/>
    <n v="318"/>
    <n v="11875"/>
    <n v="5.480995799610696E-3"/>
    <x v="813"/>
    <n v="173.73831775700936"/>
    <n v="58.459119496855344"/>
    <n v="14.104704097116844"/>
    <n v="0.63878429263044645"/>
    <s v="CL814"/>
    <x v="0"/>
    <x v="0"/>
    <n v="18590"/>
    <n v="5"/>
    <x v="0"/>
  </r>
  <r>
    <s v="C815"/>
    <x v="814"/>
    <d v="2024-09-20T18:49:52"/>
    <x v="1"/>
    <n v="0"/>
    <n v="7967"/>
    <x v="2"/>
    <n v="1240"/>
    <n v="1053"/>
    <n v="36"/>
    <n v="8953"/>
    <n v="0.84919354838709682"/>
    <x v="814"/>
    <n v="16.920227920227919"/>
    <n v="494.91666666666669"/>
    <n v="2.2363499435170078"/>
    <n v="0.50249761463770559"/>
    <s v="CL815"/>
    <x v="2"/>
    <x v="1"/>
    <n v="17817"/>
    <n v="5"/>
    <x v="0"/>
  </r>
  <r>
    <s v="C816"/>
    <x v="815"/>
    <d v="2023-11-15T11:59:36"/>
    <x v="0"/>
    <n v="234.69167824074248"/>
    <n v="1747"/>
    <x v="1"/>
    <n v="18546"/>
    <n v="929"/>
    <n v="498"/>
    <n v="9343"/>
    <n v="5.0091663970667527E-2"/>
    <x v="815"/>
    <n v="4.3186221743810549"/>
    <n v="8.0562248995983943"/>
    <n v="2.2965082999427588"/>
    <n v="2.3287637088733799"/>
    <s v="CL816"/>
    <x v="3"/>
    <x v="1"/>
    <n v="4012"/>
    <n v="3"/>
    <x v="1"/>
  </r>
  <r>
    <s v="C817"/>
    <x v="816"/>
    <d v="2024-10-10T23:04:05"/>
    <x v="1"/>
    <n v="0"/>
    <n v="4745"/>
    <x v="0"/>
    <n v="11601"/>
    <n v="1000"/>
    <n v="133"/>
    <n v="1194"/>
    <n v="8.619946556331351E-2"/>
    <x v="816"/>
    <n v="16.713000000000001"/>
    <n v="125.66165413533835"/>
    <n v="3.5222339304531087"/>
    <n v="7.1441392927661107E-2"/>
    <s v="CL817"/>
    <x v="3"/>
    <x v="1"/>
    <n v="16713"/>
    <n v="5"/>
    <x v="0"/>
  </r>
  <r>
    <s v="C818"/>
    <x v="817"/>
    <d v="2023-12-15T19:39:53"/>
    <x v="0"/>
    <n v="217.24840277777548"/>
    <n v="8525"/>
    <x v="3"/>
    <n v="7669"/>
    <n v="677"/>
    <n v="41"/>
    <n v="893"/>
    <n v="8.8277480766723176E-2"/>
    <x v="817"/>
    <n v="4.7872968980797639"/>
    <n v="79.048780487804876"/>
    <n v="0.3801759530791789"/>
    <n v="0.27553224313483493"/>
    <s v="CL818"/>
    <x v="2"/>
    <x v="1"/>
    <n v="3241"/>
    <n v="1"/>
    <x v="2"/>
  </r>
  <r>
    <s v="C819"/>
    <x v="818"/>
    <d v="2024-12-01T16:07:51"/>
    <x v="0"/>
    <n v="535.72645833333081"/>
    <n v="5732"/>
    <x v="2"/>
    <n v="9837"/>
    <n v="159"/>
    <n v="42"/>
    <n v="10089"/>
    <n v="1.6163464470875268E-2"/>
    <x v="818"/>
    <n v="37.025157232704402"/>
    <n v="140.16666666666666"/>
    <n v="1.0270411723656665"/>
    <n v="1.7137761168676746"/>
    <s v="CL819"/>
    <x v="3"/>
    <x v="2"/>
    <n v="5887"/>
    <n v="4"/>
    <x v="0"/>
  </r>
  <r>
    <s v="C820"/>
    <x v="819"/>
    <d v="2024-01-02T08:06:45"/>
    <x v="1"/>
    <n v="0"/>
    <n v="3468"/>
    <x v="0"/>
    <n v="13701"/>
    <n v="799"/>
    <n v="205"/>
    <n v="3641"/>
    <n v="5.8316911174366833E-2"/>
    <x v="819"/>
    <n v="14.389236545682103"/>
    <n v="56.082926829268295"/>
    <n v="3.3151672433679353"/>
    <n v="0.31669131077672436"/>
    <s v="CL820"/>
    <x v="2"/>
    <x v="1"/>
    <n v="11497"/>
    <n v="3"/>
    <x v="1"/>
  </r>
  <r>
    <s v="C821"/>
    <x v="820"/>
    <d v="2023-10-17T18:53:24"/>
    <x v="1"/>
    <n v="0"/>
    <n v="3971"/>
    <x v="3"/>
    <n v="10009"/>
    <n v="1943"/>
    <n v="228"/>
    <n v="2504"/>
    <n v="0.19412528724148267"/>
    <x v="820"/>
    <n v="9.8013381369016983"/>
    <n v="83.526315789473685"/>
    <n v="4.7957693276252833"/>
    <n v="0.13148498214660786"/>
    <s v="CL821"/>
    <x v="2"/>
    <x v="0"/>
    <n v="19044"/>
    <n v="2"/>
    <x v="1"/>
  </r>
  <r>
    <s v="C822"/>
    <x v="821"/>
    <d v="2024-01-07T06:25:36"/>
    <x v="1"/>
    <n v="0"/>
    <n v="5019"/>
    <x v="3"/>
    <n v="7030"/>
    <n v="1271"/>
    <n v="476"/>
    <n v="10241"/>
    <n v="0.18079658605974394"/>
    <x v="821"/>
    <n v="13.72462627852085"/>
    <n v="36.647058823529413"/>
    <n v="3.4755927475592747"/>
    <n v="0.5870786516853933"/>
    <s v="CL822"/>
    <x v="4"/>
    <x v="1"/>
    <n v="17444"/>
    <n v="1"/>
    <x v="2"/>
  </r>
  <r>
    <s v="C823"/>
    <x v="822"/>
    <d v="2024-11-02T07:03:48"/>
    <x v="0"/>
    <n v="9.721678240741312"/>
    <n v="6443"/>
    <x v="2"/>
    <n v="7440"/>
    <n v="245"/>
    <n v="79"/>
    <n v="13385"/>
    <n v="3.2930107526881719E-2"/>
    <x v="822"/>
    <n v="43.648979591836735"/>
    <n v="135.36708860759492"/>
    <n v="1.6597858140617725"/>
    <n v="1.2516364316439126"/>
    <s v="CL823"/>
    <x v="2"/>
    <x v="0"/>
    <n v="10694"/>
    <n v="1"/>
    <x v="2"/>
  </r>
  <r>
    <s v="C824"/>
    <x v="823"/>
    <d v="2024-04-13T19:50:42"/>
    <x v="1"/>
    <n v="0"/>
    <n v="8482"/>
    <x v="1"/>
    <n v="3759"/>
    <n v="1337"/>
    <n v="436"/>
    <n v="3024"/>
    <n v="0.35567970204841715"/>
    <x v="823"/>
    <n v="12.707554225878834"/>
    <n v="38.967889908256879"/>
    <n v="2.0030653147842492"/>
    <n v="0.17798705120659211"/>
    <s v="CL824"/>
    <x v="1"/>
    <x v="0"/>
    <n v="16990"/>
    <n v="3"/>
    <x v="1"/>
  </r>
  <r>
    <s v="C825"/>
    <x v="824"/>
    <d v="2023-09-13T22:19:44"/>
    <x v="0"/>
    <n v="182.32762731481489"/>
    <n v="4465"/>
    <x v="3"/>
    <n v="17819"/>
    <n v="207"/>
    <n v="99"/>
    <n v="9669"/>
    <n v="1.1616813513665189E-2"/>
    <x v="824"/>
    <n v="5.6714975845410631"/>
    <n v="11.858585858585858"/>
    <n v="0.26293393057110864"/>
    <n v="8.2359454855195917"/>
    <s v="CL825"/>
    <x v="0"/>
    <x v="2"/>
    <n v="1174"/>
    <n v="5"/>
    <x v="0"/>
  </r>
  <r>
    <s v="C826"/>
    <x v="825"/>
    <d v="2024-07-18T08:41:20"/>
    <x v="1"/>
    <n v="0"/>
    <n v="5066"/>
    <x v="2"/>
    <n v="11108"/>
    <n v="1109"/>
    <n v="362"/>
    <n v="10962"/>
    <n v="9.9837954627295639E-2"/>
    <x v="825"/>
    <n v="13.553651938683499"/>
    <n v="41.52209944751381"/>
    <n v="2.9670351362021319"/>
    <n v="0.72929279489055954"/>
    <s v="CL826"/>
    <x v="3"/>
    <x v="0"/>
    <n v="15031"/>
    <n v="4"/>
    <x v="0"/>
  </r>
  <r>
    <s v="C827"/>
    <x v="826"/>
    <d v="2024-01-22T14:52:32"/>
    <x v="1"/>
    <n v="0"/>
    <n v="9594"/>
    <x v="1"/>
    <n v="8791"/>
    <n v="1300"/>
    <n v="246"/>
    <n v="10976"/>
    <n v="0.14787851211466271"/>
    <x v="826"/>
    <n v="12.251538461538461"/>
    <n v="64.743902439024396"/>
    <n v="1.6601000625390869"/>
    <n v="0.68914422050605895"/>
    <s v="CL827"/>
    <x v="2"/>
    <x v="0"/>
    <n v="15927"/>
    <n v="2"/>
    <x v="1"/>
  </r>
  <r>
    <s v="C828"/>
    <x v="827"/>
    <d v="2023-11-07T04:40:35"/>
    <x v="0"/>
    <n v="255.85525462963415"/>
    <n v="2534"/>
    <x v="0"/>
    <n v="17702"/>
    <n v="1356"/>
    <n v="189"/>
    <n v="1053"/>
    <n v="7.660151395322562E-2"/>
    <x v="827"/>
    <n v="3.5737463126843658"/>
    <n v="25.640211640211639"/>
    <n v="1.9123914759273875"/>
    <n v="0.21729261246388773"/>
    <s v="CL828"/>
    <x v="0"/>
    <x v="1"/>
    <n v="4846"/>
    <n v="5"/>
    <x v="0"/>
  </r>
  <r>
    <s v="C829"/>
    <x v="828"/>
    <d v="2024-11-27T23:34:22"/>
    <x v="0"/>
    <n v="11.091203703705105"/>
    <n v="8783"/>
    <x v="2"/>
    <n v="2071"/>
    <n v="464"/>
    <n v="380"/>
    <n v="11544"/>
    <n v="0.22404635441815549"/>
    <x v="828"/>
    <n v="40.84698275862069"/>
    <n v="49.876315789473686"/>
    <n v="2.1579187065922807"/>
    <n v="0.6090856328813381"/>
    <s v="CL829"/>
    <x v="3"/>
    <x v="2"/>
    <n v="18953"/>
    <n v="5"/>
    <x v="0"/>
  </r>
  <r>
    <s v="C830"/>
    <x v="829"/>
    <d v="2023-05-27T17:38:15"/>
    <x v="0"/>
    <n v="103.66748842592642"/>
    <n v="9756"/>
    <x v="2"/>
    <n v="10339"/>
    <n v="274"/>
    <n v="141"/>
    <n v="8943"/>
    <n v="2.6501595899023116E-2"/>
    <x v="829"/>
    <n v="69.412408759124091"/>
    <n v="134.88652482269504"/>
    <n v="1.9494669946699468"/>
    <n v="0.47021399652978602"/>
    <s v="CL830"/>
    <x v="0"/>
    <x v="1"/>
    <n v="19019"/>
    <n v="2"/>
    <x v="1"/>
  </r>
  <r>
    <s v="C831"/>
    <x v="830"/>
    <d v="2024-10-06T05:52:02"/>
    <x v="0"/>
    <n v="601.66619212963269"/>
    <n v="2715"/>
    <x v="2"/>
    <n v="8769"/>
    <n v="426"/>
    <n v="242"/>
    <n v="5611"/>
    <n v="4.8580225795415669E-2"/>
    <x v="830"/>
    <n v="16.572769953051644"/>
    <n v="29.173553719008265"/>
    <n v="2.6003683241252302"/>
    <n v="0.7947592067988668"/>
    <s v="CL831"/>
    <x v="1"/>
    <x v="1"/>
    <n v="7060"/>
    <n v="3"/>
    <x v="1"/>
  </r>
  <r>
    <s v="C832"/>
    <x v="831"/>
    <d v="2023-11-05T20:39:08"/>
    <x v="1"/>
    <n v="0"/>
    <n v="5356"/>
    <x v="3"/>
    <n v="7126"/>
    <n v="1539"/>
    <n v="150"/>
    <n v="14860"/>
    <n v="0.21596968846477688"/>
    <x v="831"/>
    <n v="0.54515919428200132"/>
    <n v="5.5933333333333337"/>
    <n v="0.15664675130694547"/>
    <n v="17.71156138259833"/>
    <s v="CL832"/>
    <x v="4"/>
    <x v="2"/>
    <n v="839"/>
    <n v="1"/>
    <x v="2"/>
  </r>
  <r>
    <s v="C833"/>
    <x v="832"/>
    <d v="2024-05-19T16:39:39"/>
    <x v="1"/>
    <n v="0"/>
    <n v="4989"/>
    <x v="2"/>
    <n v="14763"/>
    <n v="461"/>
    <n v="424"/>
    <n v="8356"/>
    <n v="3.1226715437241752E-2"/>
    <x v="832"/>
    <n v="30.759219088937094"/>
    <n v="33.443396226415096"/>
    <n v="2.8422529565043093"/>
    <n v="0.58928067700987308"/>
    <s v="CL833"/>
    <x v="1"/>
    <x v="1"/>
    <n v="14180"/>
    <n v="3"/>
    <x v="1"/>
  </r>
  <r>
    <s v="C834"/>
    <x v="833"/>
    <d v="2024-06-03T22:04:25"/>
    <x v="1"/>
    <n v="0"/>
    <n v="1548"/>
    <x v="1"/>
    <n v="5543"/>
    <n v="458"/>
    <n v="362"/>
    <n v="710"/>
    <n v="8.2626736424318961E-2"/>
    <x v="833"/>
    <n v="33.058951965065503"/>
    <n v="41.825966850828728"/>
    <n v="9.7810077519379846"/>
    <n v="4.6892543425137045E-2"/>
    <s v="CL834"/>
    <x v="3"/>
    <x v="0"/>
    <n v="15141"/>
    <n v="3"/>
    <x v="1"/>
  </r>
  <r>
    <s v="C835"/>
    <x v="834"/>
    <d v="2024-07-01T15:56:18"/>
    <x v="1"/>
    <n v="0"/>
    <n v="9593"/>
    <x v="1"/>
    <n v="3383"/>
    <n v="1510"/>
    <n v="319"/>
    <n v="13392"/>
    <n v="0.44634939402896839"/>
    <x v="834"/>
    <n v="11.737086092715233"/>
    <n v="55.557993730407524"/>
    <n v="1.8474929636193058"/>
    <n v="0.75562827963663037"/>
    <s v="CL835"/>
    <x v="1"/>
    <x v="2"/>
    <n v="17723"/>
    <n v="4"/>
    <x v="0"/>
  </r>
  <r>
    <s v="C836"/>
    <x v="835"/>
    <d v="2024-11-10T19:16:03"/>
    <x v="1"/>
    <n v="0"/>
    <n v="1588"/>
    <x v="3"/>
    <n v="2721"/>
    <n v="1670"/>
    <n v="31"/>
    <n v="14305"/>
    <n v="0.61374494671076807"/>
    <x v="835"/>
    <n v="2.4904191616766469"/>
    <n v="134.16129032258064"/>
    <n v="2.6190176322418135"/>
    <n v="3.439528732868478"/>
    <s v="CL836"/>
    <x v="3"/>
    <x v="1"/>
    <n v="4159"/>
    <n v="1"/>
    <x v="2"/>
  </r>
  <r>
    <s v="C837"/>
    <x v="836"/>
    <d v="2024-06-28T07:36:03"/>
    <x v="1"/>
    <n v="0"/>
    <n v="2718"/>
    <x v="0"/>
    <n v="19544"/>
    <n v="663"/>
    <n v="389"/>
    <n v="5743"/>
    <n v="3.3923454768726977E-2"/>
    <x v="836"/>
    <n v="23.837104072398191"/>
    <n v="40.627249357326477"/>
    <n v="5.814569536423841"/>
    <n v="0.36338901543912933"/>
    <s v="CL837"/>
    <x v="3"/>
    <x v="2"/>
    <n v="15804"/>
    <n v="1"/>
    <x v="2"/>
  </r>
  <r>
    <s v="C838"/>
    <x v="837"/>
    <d v="2024-07-31T08:06:11"/>
    <x v="1"/>
    <n v="0"/>
    <n v="2660"/>
    <x v="1"/>
    <n v="4588"/>
    <n v="651"/>
    <n v="26"/>
    <n v="4608"/>
    <n v="0.14189189189189189"/>
    <x v="837"/>
    <n v="12.411674347158218"/>
    <n v="310.76923076923077"/>
    <n v="3.0375939849624061"/>
    <n v="0.57029702970297025"/>
    <s v="CL838"/>
    <x v="1"/>
    <x v="1"/>
    <n v="8080"/>
    <n v="3"/>
    <x v="1"/>
  </r>
  <r>
    <s v="C839"/>
    <x v="838"/>
    <d v="2024-04-26T08:21:20"/>
    <x v="1"/>
    <n v="0"/>
    <n v="1349"/>
    <x v="3"/>
    <n v="4640"/>
    <n v="1508"/>
    <n v="60"/>
    <n v="9306"/>
    <n v="0.32500000000000001"/>
    <x v="838"/>
    <n v="10.669098143236074"/>
    <n v="268.14999999999998"/>
    <n v="11.926612305411416"/>
    <n v="0.5784076076822674"/>
    <s v="CL839"/>
    <x v="1"/>
    <x v="2"/>
    <n v="16089"/>
    <n v="3"/>
    <x v="1"/>
  </r>
  <r>
    <s v="C840"/>
    <x v="839"/>
    <d v="2024-10-12T04:03:57"/>
    <x v="1"/>
    <n v="0"/>
    <n v="6367"/>
    <x v="1"/>
    <n v="17983"/>
    <n v="631"/>
    <n v="61"/>
    <n v="3045"/>
    <n v="3.5088694878496356E-2"/>
    <x v="839"/>
    <n v="2.4548335974643423"/>
    <n v="25.393442622950818"/>
    <n v="0.2432856918485943"/>
    <n v="1.9657843770174306"/>
    <s v="CL840"/>
    <x v="1"/>
    <x v="0"/>
    <n v="1549"/>
    <n v="4"/>
    <x v="0"/>
  </r>
  <r>
    <s v="C841"/>
    <x v="840"/>
    <d v="2023-09-29T04:56:56"/>
    <x v="1"/>
    <n v="0"/>
    <n v="5764"/>
    <x v="3"/>
    <n v="4571"/>
    <n v="1873"/>
    <n v="261"/>
    <n v="4518"/>
    <n v="0.40975716473419382"/>
    <x v="840"/>
    <n v="7.7474639615589966"/>
    <n v="55.597701149425291"/>
    <n v="2.5175225537820958"/>
    <n v="0.31135001033698573"/>
    <s v="CL841"/>
    <x v="4"/>
    <x v="0"/>
    <n v="14511"/>
    <n v="5"/>
    <x v="0"/>
  </r>
  <r>
    <s v="C842"/>
    <x v="841"/>
    <d v="2024-04-24T16:07:40"/>
    <x v="1"/>
    <n v="0"/>
    <n v="8138"/>
    <x v="3"/>
    <n v="10382"/>
    <n v="633"/>
    <n v="110"/>
    <n v="14151"/>
    <n v="6.097091119244847E-2"/>
    <x v="841"/>
    <n v="22.597156398104264"/>
    <n v="130.03636363636363"/>
    <n v="1.7576800196608504"/>
    <n v="0.98930369127516782"/>
    <s v="CL842"/>
    <x v="0"/>
    <x v="2"/>
    <n v="14304"/>
    <n v="4"/>
    <x v="0"/>
  </r>
  <r>
    <s v="C843"/>
    <x v="842"/>
    <d v="2023-08-07T16:25:03"/>
    <x v="0"/>
    <n v="216.74593749999622"/>
    <n v="2513"/>
    <x v="0"/>
    <n v="11489"/>
    <n v="1582"/>
    <n v="35"/>
    <n v="7713"/>
    <n v="0.13769692749586562"/>
    <x v="842"/>
    <n v="11.525284450063211"/>
    <n v="520.94285714285718"/>
    <n v="7.2554715479506564"/>
    <n v="0.42302418691383753"/>
    <s v="CL843"/>
    <x v="3"/>
    <x v="1"/>
    <n v="18233"/>
    <n v="2"/>
    <x v="1"/>
  </r>
  <r>
    <s v="C844"/>
    <x v="843"/>
    <d v="2024-07-21T07:04:25"/>
    <x v="0"/>
    <n v="19.338379629632982"/>
    <n v="9388"/>
    <x v="2"/>
    <n v="6609"/>
    <n v="1375"/>
    <n v="373"/>
    <n v="14614"/>
    <n v="0.2080496292933878"/>
    <x v="843"/>
    <n v="10.197090909090909"/>
    <n v="37.589812332439678"/>
    <n v="1.4935023434171282"/>
    <n v="1.0422937023036873"/>
    <s v="CL844"/>
    <x v="0"/>
    <x v="1"/>
    <n v="14021"/>
    <n v="4"/>
    <x v="0"/>
  </r>
  <r>
    <s v="C845"/>
    <x v="844"/>
    <d v="2024-10-12T22:24:48"/>
    <x v="1"/>
    <n v="0"/>
    <n v="9112"/>
    <x v="3"/>
    <n v="17356"/>
    <n v="574"/>
    <n v="193"/>
    <n v="10255"/>
    <n v="3.3072136436967041E-2"/>
    <x v="844"/>
    <n v="30.851916376306619"/>
    <n v="91.756476683937819"/>
    <n v="1.9434811237928007"/>
    <n v="0.57908408154045965"/>
    <s v="CL845"/>
    <x v="1"/>
    <x v="2"/>
    <n v="17709"/>
    <n v="1"/>
    <x v="2"/>
  </r>
  <r>
    <s v="C846"/>
    <x v="845"/>
    <d v="2024-12-11T14:35:34"/>
    <x v="1"/>
    <n v="0"/>
    <n v="3509"/>
    <x v="0"/>
    <n v="18097"/>
    <n v="1537"/>
    <n v="274"/>
    <n v="12408"/>
    <n v="8.4931204066972424E-2"/>
    <x v="845"/>
    <n v="4.8445022771633051"/>
    <n v="27.175182481751825"/>
    <n v="2.1219720718153319"/>
    <n v="1.6663980660757454"/>
    <s v="CL846"/>
    <x v="2"/>
    <x v="1"/>
    <n v="7446"/>
    <n v="3"/>
    <x v="1"/>
  </r>
  <r>
    <s v="C847"/>
    <x v="846"/>
    <d v="2024-08-27T04:18:05"/>
    <x v="0"/>
    <n v="194.19579861111561"/>
    <n v="6176"/>
    <x v="1"/>
    <n v="13609"/>
    <n v="141"/>
    <n v="114"/>
    <n v="5956"/>
    <n v="1.0360790653244177E-2"/>
    <x v="846"/>
    <n v="73.531914893617028"/>
    <n v="90.94736842105263"/>
    <n v="1.6787564766839378"/>
    <n v="0.57445987654320985"/>
    <s v="CL847"/>
    <x v="4"/>
    <x v="2"/>
    <n v="10368"/>
    <n v="3"/>
    <x v="1"/>
  </r>
  <r>
    <s v="C848"/>
    <x v="847"/>
    <d v="2024-12-11T00:32:40"/>
    <x v="0"/>
    <n v="124.71248842592468"/>
    <n v="6876"/>
    <x v="0"/>
    <n v="13928"/>
    <n v="816"/>
    <n v="21"/>
    <n v="2901"/>
    <n v="5.858701895462378E-2"/>
    <x v="847"/>
    <n v="23.024509803921568"/>
    <n v="894.66666666666663"/>
    <n v="2.7324025596276904"/>
    <n v="0.15440706834149456"/>
    <s v="CL848"/>
    <x v="1"/>
    <x v="2"/>
    <n v="18788"/>
    <n v="1"/>
    <x v="2"/>
  </r>
  <r>
    <s v="C849"/>
    <x v="848"/>
    <d v="2023-12-02T01:26:58"/>
    <x v="1"/>
    <n v="0"/>
    <n v="7983"/>
    <x v="1"/>
    <n v="11772"/>
    <n v="1601"/>
    <n v="212"/>
    <n v="8508"/>
    <n v="0.13600067957866124"/>
    <x v="848"/>
    <n v="3.919425359150531"/>
    <n v="29.599056603773583"/>
    <n v="0.78604534636101719"/>
    <n v="1.3558565737051793"/>
    <s v="CL849"/>
    <x v="3"/>
    <x v="2"/>
    <n v="6275"/>
    <n v="5"/>
    <x v="0"/>
  </r>
  <r>
    <s v="C850"/>
    <x v="849"/>
    <d v="2023-07-16T17:18:29"/>
    <x v="1"/>
    <n v="0"/>
    <n v="9067"/>
    <x v="1"/>
    <n v="14035"/>
    <n v="746"/>
    <n v="98"/>
    <n v="9406"/>
    <n v="5.3152832205201284E-2"/>
    <x v="849"/>
    <n v="21.833780160857909"/>
    <n v="166.20408163265307"/>
    <n v="1.79640454395059"/>
    <n v="0.57748035363457761"/>
    <s v="CL850"/>
    <x v="1"/>
    <x v="0"/>
    <n v="16288"/>
    <n v="1"/>
    <x v="2"/>
  </r>
  <r>
    <s v="C851"/>
    <x v="850"/>
    <d v="2023-11-25T20:35:04"/>
    <x v="1"/>
    <n v="0"/>
    <n v="6554"/>
    <x v="3"/>
    <n v="13328"/>
    <n v="685"/>
    <n v="348"/>
    <n v="8490"/>
    <n v="5.1395558223289319E-2"/>
    <x v="850"/>
    <n v="11.217518248175182"/>
    <n v="22.080459770114942"/>
    <n v="1.1724137931034482"/>
    <n v="1.1048932847475272"/>
    <s v="CL851"/>
    <x v="3"/>
    <x v="1"/>
    <n v="7684"/>
    <n v="4"/>
    <x v="0"/>
  </r>
  <r>
    <s v="C852"/>
    <x v="851"/>
    <d v="2024-09-25T12:40:48"/>
    <x v="1"/>
    <n v="0"/>
    <n v="7743"/>
    <x v="2"/>
    <n v="6465"/>
    <n v="1799"/>
    <n v="430"/>
    <n v="6723"/>
    <n v="0.27826759474091262"/>
    <x v="851"/>
    <n v="10.58254585881045"/>
    <n v="44.27441860465116"/>
    <n v="2.458736923672995"/>
    <n v="0.35313583359596595"/>
    <s v="CL852"/>
    <x v="2"/>
    <x v="1"/>
    <n v="19038"/>
    <n v="3"/>
    <x v="1"/>
  </r>
  <r>
    <s v="C853"/>
    <x v="852"/>
    <d v="2024-04-06T07:23:21"/>
    <x v="0"/>
    <n v="9.8746412036998663"/>
    <n v="5347"/>
    <x v="3"/>
    <n v="3239"/>
    <n v="1233"/>
    <n v="69"/>
    <n v="3866"/>
    <n v="0.38067304723680151"/>
    <x v="852"/>
    <n v="1.089213300892133"/>
    <n v="19.463768115942027"/>
    <n v="0.25116887974565177"/>
    <n v="2.8786299329858527"/>
    <s v="CL853"/>
    <x v="2"/>
    <x v="2"/>
    <n v="1343"/>
    <n v="1"/>
    <x v="2"/>
  </r>
  <r>
    <s v="C854"/>
    <x v="853"/>
    <d v="2024-04-15T23:28:50"/>
    <x v="0"/>
    <n v="387.37024305554951"/>
    <n v="3952"/>
    <x v="2"/>
    <n v="4153"/>
    <n v="473"/>
    <n v="311"/>
    <n v="585"/>
    <n v="0.11389357091259331"/>
    <x v="853"/>
    <n v="22.598308668076111"/>
    <n v="34.369774919614144"/>
    <n v="2.7047064777327936"/>
    <n v="5.4729160819534099E-2"/>
    <s v="CL854"/>
    <x v="4"/>
    <x v="1"/>
    <n v="10689"/>
    <n v="5"/>
    <x v="0"/>
  </r>
  <r>
    <s v="C855"/>
    <x v="854"/>
    <d v="2024-08-06T20:27:46"/>
    <x v="1"/>
    <n v="0"/>
    <n v="2216"/>
    <x v="3"/>
    <n v="3798"/>
    <n v="1158"/>
    <n v="136"/>
    <n v="13920"/>
    <n v="0.30489731437598738"/>
    <x v="854"/>
    <n v="16.273747841105354"/>
    <n v="138.56617647058823"/>
    <n v="8.5040613718411553"/>
    <n v="0.73865746882462191"/>
    <s v="CL855"/>
    <x v="0"/>
    <x v="0"/>
    <n v="18845"/>
    <n v="5"/>
    <x v="0"/>
  </r>
  <r>
    <s v="C856"/>
    <x v="855"/>
    <d v="2024-07-11T17:37:56"/>
    <x v="0"/>
    <n v="113.3221412037019"/>
    <n v="9676"/>
    <x v="3"/>
    <n v="13175"/>
    <n v="1160"/>
    <n v="445"/>
    <n v="13603"/>
    <n v="8.8045540796963945E-2"/>
    <x v="855"/>
    <n v="8.3870689655172406"/>
    <n v="21.862921348314607"/>
    <n v="1.0054774700289375"/>
    <n v="1.3981909754342687"/>
    <s v="CL856"/>
    <x v="4"/>
    <x v="2"/>
    <n v="9729"/>
    <n v="5"/>
    <x v="0"/>
  </r>
  <r>
    <s v="C857"/>
    <x v="856"/>
    <d v="2023-07-13T15:28:46"/>
    <x v="1"/>
    <n v="0"/>
    <n v="6546"/>
    <x v="2"/>
    <n v="10434"/>
    <n v="1567"/>
    <n v="114"/>
    <n v="9032"/>
    <n v="0.15018209699060764"/>
    <x v="856"/>
    <n v="2.0446713465220165"/>
    <n v="28.105263157894736"/>
    <n v="0.48945921173235563"/>
    <n v="2.8189762796504367"/>
    <s v="CL857"/>
    <x v="1"/>
    <x v="0"/>
    <n v="3204"/>
    <n v="2"/>
    <x v="1"/>
  </r>
  <r>
    <s v="C858"/>
    <x v="857"/>
    <d v="2024-12-22T14:46:38"/>
    <x v="0"/>
    <n v="469.23730324074131"/>
    <n v="3392"/>
    <x v="1"/>
    <n v="4257"/>
    <n v="1266"/>
    <n v="468"/>
    <n v="11176"/>
    <n v="0.2973925299506695"/>
    <x v="857"/>
    <n v="10.785150078988941"/>
    <n v="29.175213675213676"/>
    <n v="4.0253537735849054"/>
    <n v="0.81851472096089062"/>
    <s v="CL858"/>
    <x v="0"/>
    <x v="2"/>
    <n v="13654"/>
    <n v="3"/>
    <x v="1"/>
  </r>
  <r>
    <s v="C859"/>
    <x v="858"/>
    <d v="2024-10-12T14:02:08"/>
    <x v="0"/>
    <n v="370.81287037036964"/>
    <n v="8863"/>
    <x v="3"/>
    <n v="16217"/>
    <n v="993"/>
    <n v="287"/>
    <n v="9928"/>
    <n v="6.1232040451378186E-2"/>
    <x v="858"/>
    <n v="19.831822759315205"/>
    <n v="68.616724738675956"/>
    <n v="2.2219338824325847"/>
    <n v="0.50413852637993195"/>
    <s v="CL859"/>
    <x v="1"/>
    <x v="1"/>
    <n v="19693"/>
    <n v="3"/>
    <x v="1"/>
  </r>
  <r>
    <s v="C860"/>
    <x v="859"/>
    <d v="2024-01-24T01:04:07"/>
    <x v="1"/>
    <n v="0"/>
    <n v="3529"/>
    <x v="0"/>
    <n v="16290"/>
    <n v="839"/>
    <n v="459"/>
    <n v="7333"/>
    <n v="5.1503990178023325E-2"/>
    <x v="859"/>
    <n v="18.837902264600714"/>
    <n v="34.433551198257078"/>
    <n v="4.4786058373476907"/>
    <n v="0.46396709901929767"/>
    <s v="CL860"/>
    <x v="4"/>
    <x v="1"/>
    <n v="15805"/>
    <n v="2"/>
    <x v="1"/>
  </r>
  <r>
    <s v="C861"/>
    <x v="860"/>
    <d v="2024-04-12T09:55:10"/>
    <x v="0"/>
    <n v="327.02521990740934"/>
    <n v="6543"/>
    <x v="3"/>
    <n v="17594"/>
    <n v="1428"/>
    <n v="320"/>
    <n v="4458"/>
    <n v="8.1164033193134019E-2"/>
    <x v="860"/>
    <n v="5.927871148459384"/>
    <n v="26.453125"/>
    <n v="1.2937490447806816"/>
    <n v="0.52663910218546961"/>
    <s v="CL861"/>
    <x v="3"/>
    <x v="2"/>
    <n v="8465"/>
    <n v="5"/>
    <x v="0"/>
  </r>
  <r>
    <s v="C862"/>
    <x v="861"/>
    <d v="2024-04-09T12:14:52"/>
    <x v="1"/>
    <n v="0"/>
    <n v="6186"/>
    <x v="1"/>
    <n v="19595"/>
    <n v="860"/>
    <n v="345"/>
    <n v="3395"/>
    <n v="4.3888747129369736E-2"/>
    <x v="861"/>
    <n v="8.4988372093023248"/>
    <n v="21.185507246376812"/>
    <n v="1.1815389589395409"/>
    <n v="0.46449582706252568"/>
    <s v="CL862"/>
    <x v="0"/>
    <x v="2"/>
    <n v="7309"/>
    <n v="1"/>
    <x v="2"/>
  </r>
  <r>
    <s v="C863"/>
    <x v="862"/>
    <d v="2024-09-30T20:49:43"/>
    <x v="1"/>
    <n v="0"/>
    <n v="6583"/>
    <x v="0"/>
    <n v="8548"/>
    <n v="471"/>
    <n v="452"/>
    <n v="4667"/>
    <n v="5.5100608329433788E-2"/>
    <x v="862"/>
    <n v="35.666666666666664"/>
    <n v="37.165929203539825"/>
    <n v="2.5518760443566761"/>
    <n v="0.27781415560450029"/>
    <s v="CL863"/>
    <x v="4"/>
    <x v="0"/>
    <n v="16799"/>
    <n v="5"/>
    <x v="0"/>
  </r>
  <r>
    <s v="C864"/>
    <x v="863"/>
    <d v="2024-01-30T20:34:35"/>
    <x v="1"/>
    <n v="0"/>
    <n v="7754"/>
    <x v="1"/>
    <n v="6690"/>
    <n v="1579"/>
    <n v="330"/>
    <n v="7370"/>
    <n v="0.23602391629297459"/>
    <x v="863"/>
    <n v="0.9119696010132996"/>
    <n v="4.3636363636363633"/>
    <n v="0.18571060098013928"/>
    <n v="5.1180555555555554"/>
    <s v="CL864"/>
    <x v="0"/>
    <x v="1"/>
    <n v="1440"/>
    <n v="1"/>
    <x v="2"/>
  </r>
  <r>
    <s v="C865"/>
    <x v="864"/>
    <d v="2024-06-11T21:53:37"/>
    <x v="0"/>
    <n v="418.74788194444409"/>
    <n v="9909"/>
    <x v="1"/>
    <n v="8460"/>
    <n v="1773"/>
    <n v="455"/>
    <n v="11917"/>
    <n v="0.20957446808510638"/>
    <x v="864"/>
    <n v="2.3981951494641849"/>
    <n v="9.3450549450549456"/>
    <n v="0.42910485417297406"/>
    <n v="2.8026810912511757"/>
    <s v="CL865"/>
    <x v="1"/>
    <x v="0"/>
    <n v="4252"/>
    <n v="5"/>
    <x v="0"/>
  </r>
  <r>
    <s v="C866"/>
    <x v="865"/>
    <d v="2024-04-22T23:14:02"/>
    <x v="1"/>
    <n v="0"/>
    <n v="7817"/>
    <x v="1"/>
    <n v="6636"/>
    <n v="1821"/>
    <n v="30"/>
    <n v="3711"/>
    <n v="0.2744122965641953"/>
    <x v="865"/>
    <n v="4.7276221856123009"/>
    <n v="286.96666666666664"/>
    <n v="1.1013176410387617"/>
    <n v="0.43106051806249274"/>
    <s v="CL866"/>
    <x v="4"/>
    <x v="1"/>
    <n v="8609"/>
    <n v="1"/>
    <x v="2"/>
  </r>
  <r>
    <s v="C867"/>
    <x v="866"/>
    <d v="2023-12-03T15:52:25"/>
    <x v="1"/>
    <n v="0"/>
    <n v="5958"/>
    <x v="1"/>
    <n v="16109"/>
    <n v="481"/>
    <n v="172"/>
    <n v="13488"/>
    <n v="2.9859084983549569E-2"/>
    <x v="866"/>
    <n v="27.534303534303536"/>
    <n v="77"/>
    <n v="2.222893588452501"/>
    <n v="1.0184234370280882"/>
    <s v="CL867"/>
    <x v="2"/>
    <x v="0"/>
    <n v="13244"/>
    <n v="4"/>
    <x v="0"/>
  </r>
  <r>
    <s v="C868"/>
    <x v="867"/>
    <d v="2024-04-17T12:28:58"/>
    <x v="1"/>
    <n v="0"/>
    <n v="7039"/>
    <x v="1"/>
    <n v="15355"/>
    <n v="1172"/>
    <n v="194"/>
    <n v="715"/>
    <n v="7.6326929338977528E-2"/>
    <x v="867"/>
    <n v="16.581058020477816"/>
    <n v="100.17010309278351"/>
    <n v="2.7607614717999716"/>
    <n v="3.6793083929398444E-2"/>
    <s v="CL868"/>
    <x v="4"/>
    <x v="0"/>
    <n v="19433"/>
    <n v="3"/>
    <x v="1"/>
  </r>
  <r>
    <s v="C869"/>
    <x v="868"/>
    <d v="2024-10-30T19:04:18"/>
    <x v="1"/>
    <n v="0"/>
    <n v="9717"/>
    <x v="2"/>
    <n v="8035"/>
    <n v="578"/>
    <n v="283"/>
    <n v="3567"/>
    <n v="7.1935283136278783E-2"/>
    <x v="868"/>
    <n v="22.027681660899653"/>
    <n v="44.989399293286219"/>
    <n v="1.3102809509107749"/>
    <n v="0.28016022620169651"/>
    <s v="CL869"/>
    <x v="1"/>
    <x v="2"/>
    <n v="12732"/>
    <n v="5"/>
    <x v="0"/>
  </r>
  <r>
    <s v="C870"/>
    <x v="869"/>
    <d v="2024-05-07T00:59:03"/>
    <x v="0"/>
    <n v="401.16737268518773"/>
    <n v="8295"/>
    <x v="3"/>
    <n v="12489"/>
    <n v="322"/>
    <n v="26"/>
    <n v="7987"/>
    <n v="2.5782688766114181E-2"/>
    <x v="869"/>
    <n v="24.363354037267079"/>
    <n v="301.73076923076923"/>
    <n v="0.94575045207956598"/>
    <n v="1.0181007010834926"/>
    <s v="CL870"/>
    <x v="2"/>
    <x v="0"/>
    <n v="7845"/>
    <n v="4"/>
    <x v="0"/>
  </r>
  <r>
    <s v="C871"/>
    <x v="870"/>
    <d v="2024-05-19T14:26:00"/>
    <x v="0"/>
    <n v="416.18568287037488"/>
    <n v="9994"/>
    <x v="0"/>
    <n v="5586"/>
    <n v="1663"/>
    <n v="213"/>
    <n v="13929"/>
    <n v="0.29770855710705335"/>
    <x v="870"/>
    <n v="10.728803367408299"/>
    <n v="83.765258215962447"/>
    <n v="1.7852711626976185"/>
    <n v="0.78068602174644097"/>
    <s v="CL871"/>
    <x v="0"/>
    <x v="1"/>
    <n v="17842"/>
    <n v="5"/>
    <x v="0"/>
  </r>
  <r>
    <s v="C872"/>
    <x v="871"/>
    <d v="2024-08-05T15:42:20"/>
    <x v="0"/>
    <n v="365.12891203703475"/>
    <n v="2343"/>
    <x v="3"/>
    <n v="6508"/>
    <n v="1450"/>
    <n v="422"/>
    <n v="9445"/>
    <n v="0.22280270436385988"/>
    <x v="871"/>
    <n v="8.6448275862068957"/>
    <n v="29.703791469194314"/>
    <n v="5.3499786598378147"/>
    <n v="0.75349022736338256"/>
    <s v="CL872"/>
    <x v="3"/>
    <x v="2"/>
    <n v="12535"/>
    <n v="3"/>
    <x v="1"/>
  </r>
  <r>
    <s v="C873"/>
    <x v="872"/>
    <d v="2024-06-21T22:12:11"/>
    <x v="1"/>
    <n v="0"/>
    <n v="3084"/>
    <x v="3"/>
    <n v="17790"/>
    <n v="759"/>
    <n v="141"/>
    <n v="6853"/>
    <n v="4.2664418212478919E-2"/>
    <x v="872"/>
    <n v="5.6930171277997363"/>
    <n v="30.645390070921987"/>
    <n v="1.4011024643320362"/>
    <n v="1.5859754686415182"/>
    <s v="CL873"/>
    <x v="0"/>
    <x v="0"/>
    <n v="4321"/>
    <n v="4"/>
    <x v="0"/>
  </r>
  <r>
    <s v="C874"/>
    <x v="873"/>
    <d v="2023-05-04T17:05:39"/>
    <x v="1"/>
    <n v="0"/>
    <n v="3151"/>
    <x v="2"/>
    <n v="9326"/>
    <n v="1157"/>
    <n v="384"/>
    <n v="3864"/>
    <n v="0.12406176281363929"/>
    <x v="873"/>
    <n v="7.182368193604149"/>
    <n v="21.640625"/>
    <n v="2.6372580133291019"/>
    <n v="0.46498194945848376"/>
    <s v="CL874"/>
    <x v="0"/>
    <x v="1"/>
    <n v="8310"/>
    <n v="2"/>
    <x v="1"/>
  </r>
  <r>
    <s v="C875"/>
    <x v="874"/>
    <d v="2024-11-14T22:15:55"/>
    <x v="0"/>
    <n v="257.66587962962512"/>
    <n v="9861"/>
    <x v="0"/>
    <n v="2177"/>
    <n v="687"/>
    <n v="212"/>
    <n v="9680"/>
    <n v="0.3155718879191548"/>
    <x v="874"/>
    <n v="7.2343522561863169"/>
    <n v="23.443396226415093"/>
    <n v="0.50400567893722747"/>
    <n v="1.9476861167002013"/>
    <s v="CL875"/>
    <x v="3"/>
    <x v="1"/>
    <n v="4970"/>
    <n v="2"/>
    <x v="1"/>
  </r>
  <r>
    <s v="C876"/>
    <x v="875"/>
    <d v="2024-10-04T07:05:42"/>
    <x v="1"/>
    <n v="0"/>
    <n v="2680"/>
    <x v="1"/>
    <n v="1797"/>
    <n v="485"/>
    <n v="468"/>
    <n v="10166"/>
    <n v="0.26989426822481916"/>
    <x v="875"/>
    <n v="16.905154639175258"/>
    <n v="17.51923076923077"/>
    <n v="3.0593283582089552"/>
    <n v="1.2399073057689962"/>
    <s v="CL876"/>
    <x v="1"/>
    <x v="0"/>
    <n v="8199"/>
    <n v="1"/>
    <x v="2"/>
  </r>
  <r>
    <s v="C877"/>
    <x v="876"/>
    <d v="2024-09-23T13:22:51"/>
    <x v="0"/>
    <n v="173.36185185185604"/>
    <n v="8100"/>
    <x v="2"/>
    <n v="6069"/>
    <n v="617"/>
    <n v="394"/>
    <n v="7757"/>
    <n v="0.10166419508980062"/>
    <x v="876"/>
    <n v="17.651539708265801"/>
    <n v="27.642131979695431"/>
    <n v="1.3445679012345679"/>
    <n v="0.71223946377743086"/>
    <s v="CL877"/>
    <x v="1"/>
    <x v="2"/>
    <n v="10891"/>
    <n v="4"/>
    <x v="0"/>
  </r>
  <r>
    <s v="C878"/>
    <x v="877"/>
    <d v="2024-03-09T23:26:38"/>
    <x v="0"/>
    <n v="390.57828703703126"/>
    <n v="6120"/>
    <x v="3"/>
    <n v="10568"/>
    <n v="472"/>
    <n v="315"/>
    <n v="4890"/>
    <n v="4.4663133989401971E-2"/>
    <x v="877"/>
    <n v="10.625"/>
    <n v="15.920634920634921"/>
    <n v="0.81944444444444442"/>
    <n v="0.97507477567298106"/>
    <s v="CL878"/>
    <x v="1"/>
    <x v="1"/>
    <n v="5015"/>
    <n v="5"/>
    <x v="0"/>
  </r>
  <r>
    <s v="C879"/>
    <x v="878"/>
    <d v="2023-05-08T22:05:06"/>
    <x v="0"/>
    <n v="25.345451388893707"/>
    <n v="3245"/>
    <x v="3"/>
    <n v="8124"/>
    <n v="999"/>
    <n v="192"/>
    <n v="8445"/>
    <n v="0.12296898079763663"/>
    <x v="878"/>
    <n v="19.522522522522522"/>
    <n v="101.578125"/>
    <n v="6.0101694915254233"/>
    <n v="0.43301030610675278"/>
    <s v="CL879"/>
    <x v="4"/>
    <x v="0"/>
    <n v="19503"/>
    <n v="5"/>
    <x v="0"/>
  </r>
  <r>
    <s v="C880"/>
    <x v="879"/>
    <d v="2024-05-10T09:37:29"/>
    <x v="0"/>
    <n v="132.2778819444502"/>
    <n v="6089"/>
    <x v="1"/>
    <n v="1923"/>
    <n v="1498"/>
    <n v="325"/>
    <n v="1060"/>
    <n v="0.77899115964638588"/>
    <x v="879"/>
    <n v="4.2616822429906538"/>
    <n v="19.643076923076922"/>
    <n v="1.0484480210215141"/>
    <n v="0.16604010025062657"/>
    <s v="CL880"/>
    <x v="4"/>
    <x v="0"/>
    <n v="6384"/>
    <n v="4"/>
    <x v="0"/>
  </r>
  <r>
    <s v="C881"/>
    <x v="880"/>
    <d v="2024-04-15T22:39:30"/>
    <x v="0"/>
    <n v="422.54637731481489"/>
    <n v="8220"/>
    <x v="1"/>
    <n v="13926"/>
    <n v="1742"/>
    <n v="215"/>
    <n v="3134"/>
    <n v="0.12508976016085022"/>
    <x v="880"/>
    <n v="4.6808266360505169"/>
    <n v="37.925581395348836"/>
    <n v="0.99197080291970807"/>
    <n v="0.38435123865587439"/>
    <s v="CL881"/>
    <x v="3"/>
    <x v="1"/>
    <n v="8154"/>
    <n v="2"/>
    <x v="1"/>
  </r>
  <r>
    <s v="C882"/>
    <x v="881"/>
    <d v="2023-07-08T15:00:06"/>
    <x v="1"/>
    <n v="0"/>
    <n v="6965"/>
    <x v="1"/>
    <n v="15136"/>
    <n v="843"/>
    <n v="94"/>
    <n v="6117"/>
    <n v="5.5695031712473572E-2"/>
    <x v="881"/>
    <n v="10.98576512455516"/>
    <n v="98.521276595744681"/>
    <n v="1.3296482412060302"/>
    <n v="0.66051182377712991"/>
    <s v="CL882"/>
    <x v="3"/>
    <x v="2"/>
    <n v="9261"/>
    <n v="1"/>
    <x v="2"/>
  </r>
  <r>
    <s v="C883"/>
    <x v="882"/>
    <d v="2024-09-20T16:02:09"/>
    <x v="0"/>
    <n v="603.079872685179"/>
    <n v="4962"/>
    <x v="3"/>
    <n v="4585"/>
    <n v="708"/>
    <n v="52"/>
    <n v="11563"/>
    <n v="0.1544165757906216"/>
    <x v="882"/>
    <n v="16.07909604519774"/>
    <n v="218.92307692307693"/>
    <n v="2.294236195082628"/>
    <n v="1.0157238229093464"/>
    <s v="CL883"/>
    <x v="2"/>
    <x v="0"/>
    <n v="11384"/>
    <n v="2"/>
    <x v="1"/>
  </r>
  <r>
    <s v="C884"/>
    <x v="883"/>
    <d v="2023-09-06T00:24:23"/>
    <x v="1"/>
    <n v="0"/>
    <n v="3410"/>
    <x v="1"/>
    <n v="3242"/>
    <n v="614"/>
    <n v="194"/>
    <n v="1482"/>
    <n v="0.18938926588525601"/>
    <x v="883"/>
    <n v="1.281758957654723"/>
    <n v="4.0567010309278349"/>
    <n v="0.230791788856305"/>
    <n v="1.8831003811944091"/>
    <s v="CL884"/>
    <x v="0"/>
    <x v="1"/>
    <n v="787"/>
    <n v="4"/>
    <x v="0"/>
  </r>
  <r>
    <s v="C885"/>
    <x v="884"/>
    <d v="2024-04-25T03:50:33"/>
    <x v="0"/>
    <n v="86.247118055551255"/>
    <n v="8941"/>
    <x v="3"/>
    <n v="8668"/>
    <n v="311"/>
    <n v="294"/>
    <n v="5267"/>
    <n v="3.5879095523765572E-2"/>
    <x v="884"/>
    <n v="19.65273311897106"/>
    <n v="20.789115646258505"/>
    <n v="0.68359243932446034"/>
    <n v="0.86174738219895286"/>
    <s v="CL885"/>
    <x v="2"/>
    <x v="1"/>
    <n v="6112"/>
    <n v="2"/>
    <x v="1"/>
  </r>
  <r>
    <s v="C886"/>
    <x v="885"/>
    <d v="2024-06-09T08:31:45"/>
    <x v="0"/>
    <n v="151.23958333332848"/>
    <n v="6133"/>
    <x v="2"/>
    <n v="16009"/>
    <n v="763"/>
    <n v="394"/>
    <n v="7519"/>
    <n v="4.7660690861390465E-2"/>
    <x v="885"/>
    <n v="12.002621231979029"/>
    <n v="23.243654822335024"/>
    <n v="1.4932333278982552"/>
    <n v="0.82103079274950863"/>
    <s v="CL886"/>
    <x v="2"/>
    <x v="0"/>
    <n v="9158"/>
    <n v="2"/>
    <x v="1"/>
  </r>
  <r>
    <s v="C887"/>
    <x v="886"/>
    <d v="2024-09-01T19:30:32"/>
    <x v="1"/>
    <n v="0"/>
    <n v="3865"/>
    <x v="0"/>
    <n v="10285"/>
    <n v="1081"/>
    <n v="261"/>
    <n v="1962"/>
    <n v="0.1051045211473019"/>
    <x v="886"/>
    <n v="14.2895467160037"/>
    <n v="59.183908045977013"/>
    <n v="3.9966364812419148"/>
    <n v="0.1270149543600699"/>
    <s v="CL887"/>
    <x v="1"/>
    <x v="0"/>
    <n v="15447"/>
    <n v="3"/>
    <x v="1"/>
  </r>
  <r>
    <s v="C888"/>
    <x v="887"/>
    <d v="2024-11-01T17:34:18"/>
    <x v="0"/>
    <n v="49.307083333333139"/>
    <n v="9002"/>
    <x v="2"/>
    <n v="12044"/>
    <n v="288"/>
    <n v="303"/>
    <n v="7743"/>
    <n v="2.391232148787778E-2"/>
    <x v="887"/>
    <n v="16.645833333333332"/>
    <n v="15.821782178217822"/>
    <n v="0.53254832259497886"/>
    <n v="1.6151439299123904"/>
    <s v="CL888"/>
    <x v="1"/>
    <x v="0"/>
    <n v="4794"/>
    <n v="2"/>
    <x v="1"/>
  </r>
  <r>
    <s v="C889"/>
    <x v="888"/>
    <d v="2024-06-30T18:04:48"/>
    <x v="1"/>
    <n v="0"/>
    <n v="9529"/>
    <x v="0"/>
    <n v="17715"/>
    <n v="1693"/>
    <n v="120"/>
    <n v="7979"/>
    <n v="9.5568727067456963E-2"/>
    <x v="888"/>
    <n v="7.9545186060248083"/>
    <n v="112.22499999999999"/>
    <n v="1.4132647706999686"/>
    <n v="0.59248533452142271"/>
    <s v="CL889"/>
    <x v="4"/>
    <x v="1"/>
    <n v="13467"/>
    <n v="2"/>
    <x v="1"/>
  </r>
  <r>
    <s v="C890"/>
    <x v="889"/>
    <d v="2024-06-15T08:00:48"/>
    <x v="1"/>
    <n v="0"/>
    <n v="5639"/>
    <x v="0"/>
    <n v="11784"/>
    <n v="1637"/>
    <n v="422"/>
    <n v="10439"/>
    <n v="0.13891717583163612"/>
    <x v="889"/>
    <n v="7.2406841783750764"/>
    <n v="28.087677725118482"/>
    <n v="2.1019684341195246"/>
    <n v="0.88070530667341607"/>
    <s v="CL890"/>
    <x v="3"/>
    <x v="1"/>
    <n v="11853"/>
    <n v="3"/>
    <x v="1"/>
  </r>
  <r>
    <s v="C891"/>
    <x v="890"/>
    <d v="2023-05-13T15:02:52"/>
    <x v="1"/>
    <n v="0"/>
    <n v="3487"/>
    <x v="2"/>
    <n v="14350"/>
    <n v="1618"/>
    <n v="109"/>
    <n v="10598"/>
    <n v="0.11275261324041812"/>
    <x v="890"/>
    <n v="7.5778739184177999"/>
    <n v="112.48623853211009"/>
    <n v="3.5162030398623458"/>
    <n v="0.86436669113449149"/>
    <s v="CL891"/>
    <x v="1"/>
    <x v="1"/>
    <n v="12261"/>
    <n v="4"/>
    <x v="0"/>
  </r>
  <r>
    <s v="C892"/>
    <x v="891"/>
    <d v="2024-10-13T17:07:26"/>
    <x v="0"/>
    <n v="454.66796296296525"/>
    <n v="9623"/>
    <x v="2"/>
    <n v="6750"/>
    <n v="1885"/>
    <n v="257"/>
    <n v="2492"/>
    <n v="0.27925925925925926"/>
    <x v="891"/>
    <n v="2.8960212201591511"/>
    <n v="21.24124513618677"/>
    <n v="0.56728670892653021"/>
    <n v="0.45649386334493497"/>
    <s v="CL892"/>
    <x v="2"/>
    <x v="1"/>
    <n v="5459"/>
    <n v="2"/>
    <x v="1"/>
  </r>
  <r>
    <s v="C893"/>
    <x v="892"/>
    <d v="2023-12-29T03:17:35"/>
    <x v="0"/>
    <n v="103.05226851852058"/>
    <n v="8084"/>
    <x v="3"/>
    <n v="9705"/>
    <n v="1994"/>
    <n v="361"/>
    <n v="7143"/>
    <n v="0.20546110252447192"/>
    <x v="892"/>
    <n v="8.0672016048144428"/>
    <n v="44.559556786703602"/>
    <n v="1.9898565066798615"/>
    <n v="0.44405072734054457"/>
    <s v="CL893"/>
    <x v="1"/>
    <x v="0"/>
    <n v="16086"/>
    <n v="4"/>
    <x v="0"/>
  </r>
  <r>
    <s v="C894"/>
    <x v="893"/>
    <d v="2024-04-03T22:04:58"/>
    <x v="1"/>
    <n v="0"/>
    <n v="9957"/>
    <x v="2"/>
    <n v="18228"/>
    <n v="596"/>
    <n v="449"/>
    <n v="4028"/>
    <n v="3.2696949747640994E-2"/>
    <x v="893"/>
    <n v="28.914429530201343"/>
    <n v="38.380846325167035"/>
    <n v="1.7307421914231194"/>
    <n v="0.23373759647188533"/>
    <s v="CL894"/>
    <x v="0"/>
    <x v="1"/>
    <n v="17233"/>
    <n v="5"/>
    <x v="0"/>
  </r>
  <r>
    <s v="C895"/>
    <x v="894"/>
    <d v="2024-03-23T02:14:22"/>
    <x v="0"/>
    <n v="227.0102430555562"/>
    <n v="4980"/>
    <x v="1"/>
    <n v="12260"/>
    <n v="926"/>
    <n v="197"/>
    <n v="6580"/>
    <n v="7.5530179445350731E-2"/>
    <x v="894"/>
    <n v="10.981641468682506"/>
    <n v="51.619289340101524"/>
    <n v="2.0419678714859439"/>
    <n v="0.64706460812272593"/>
    <s v="CL895"/>
    <x v="0"/>
    <x v="2"/>
    <n v="10169"/>
    <n v="2"/>
    <x v="1"/>
  </r>
  <r>
    <s v="C896"/>
    <x v="895"/>
    <d v="2023-09-22T19:04:02"/>
    <x v="1"/>
    <n v="0"/>
    <n v="4258"/>
    <x v="1"/>
    <n v="3659"/>
    <n v="1372"/>
    <n v="381"/>
    <n v="5207"/>
    <n v="0.37496583766056302"/>
    <x v="895"/>
    <n v="3.8979591836734695"/>
    <n v="14.036745406824148"/>
    <n v="1.2559887271019259"/>
    <n v="0.97363500373971579"/>
    <s v="CL896"/>
    <x v="2"/>
    <x v="2"/>
    <n v="5348"/>
    <n v="5"/>
    <x v="0"/>
  </r>
  <r>
    <s v="C897"/>
    <x v="896"/>
    <d v="2024-08-10T21:04:09"/>
    <x v="1"/>
    <n v="0"/>
    <n v="6987"/>
    <x v="2"/>
    <n v="14011"/>
    <n v="681"/>
    <n v="52"/>
    <n v="11442"/>
    <n v="4.8604667761044891E-2"/>
    <x v="896"/>
    <n v="20.772393538913363"/>
    <n v="272.03846153846155"/>
    <n v="2.0246171461285245"/>
    <n v="0.80885055846175602"/>
    <s v="CL897"/>
    <x v="4"/>
    <x v="0"/>
    <n v="14146"/>
    <n v="4"/>
    <x v="0"/>
  </r>
  <r>
    <s v="C898"/>
    <x v="897"/>
    <d v="2024-05-30T06:50:05"/>
    <x v="0"/>
    <n v="399.22314814815036"/>
    <n v="9688"/>
    <x v="3"/>
    <n v="7005"/>
    <n v="541"/>
    <n v="10"/>
    <n v="6734"/>
    <n v="7.7230549607423274E-2"/>
    <x v="897"/>
    <n v="34.918669131238445"/>
    <n v="1889.1"/>
    <n v="1.9499380677126341"/>
    <n v="0.35646604203059656"/>
    <s v="CL898"/>
    <x v="3"/>
    <x v="1"/>
    <n v="18891"/>
    <n v="5"/>
    <x v="0"/>
  </r>
  <r>
    <s v="C899"/>
    <x v="898"/>
    <d v="2024-02-17T12:39:37"/>
    <x v="1"/>
    <n v="0"/>
    <n v="5564"/>
    <x v="0"/>
    <n v="13883"/>
    <n v="1191"/>
    <n v="91"/>
    <n v="4383"/>
    <n v="8.5788374270690776E-2"/>
    <x v="898"/>
    <n v="0.96977329974811088"/>
    <n v="12.692307692307692"/>
    <n v="0.20758447160316318"/>
    <n v="3.7948051948051948"/>
    <s v="CL899"/>
    <x v="0"/>
    <x v="1"/>
    <n v="1155"/>
    <n v="3"/>
    <x v="1"/>
  </r>
  <r>
    <s v="C900"/>
    <x v="899"/>
    <d v="2023-11-27T08:57:08"/>
    <x v="0"/>
    <n v="263.64753472222219"/>
    <n v="9122"/>
    <x v="2"/>
    <n v="19916"/>
    <n v="1769"/>
    <n v="247"/>
    <n v="4460"/>
    <n v="8.882305683872263E-2"/>
    <x v="899"/>
    <n v="9.1102317693612207"/>
    <n v="65.246963562753038"/>
    <n v="1.7667178250383688"/>
    <n v="0.27674360883593946"/>
    <s v="CL900"/>
    <x v="0"/>
    <x v="2"/>
    <n v="16116"/>
    <n v="3"/>
    <x v="1"/>
  </r>
  <r>
    <s v="C901"/>
    <x v="900"/>
    <d v="2024-03-11T04:55:01"/>
    <x v="0"/>
    <n v="321.74799768518278"/>
    <n v="2561"/>
    <x v="1"/>
    <n v="10277"/>
    <n v="1537"/>
    <n v="88"/>
    <n v="13697"/>
    <n v="0.14955726379293569"/>
    <x v="900"/>
    <n v="4.1496421600520499"/>
    <n v="72.477272727272734"/>
    <n v="2.4904334244435766"/>
    <n v="2.1475384132957038"/>
    <s v="CL901"/>
    <x v="3"/>
    <x v="2"/>
    <n v="6378"/>
    <n v="1"/>
    <x v="2"/>
  </r>
  <r>
    <s v="C902"/>
    <x v="901"/>
    <d v="2023-11-30T20:58:39"/>
    <x v="0"/>
    <n v="109.76074074074131"/>
    <n v="5844"/>
    <x v="2"/>
    <n v="17817"/>
    <n v="210"/>
    <n v="167"/>
    <n v="4487"/>
    <n v="1.17864960431049E-2"/>
    <x v="901"/>
    <n v="13.771428571428572"/>
    <n v="17.317365269461078"/>
    <n v="0.49486652977412732"/>
    <n v="1.5515214384508991"/>
    <s v="CL902"/>
    <x v="0"/>
    <x v="2"/>
    <n v="2892"/>
    <n v="3"/>
    <x v="1"/>
  </r>
  <r>
    <s v="C903"/>
    <x v="902"/>
    <d v="2024-08-06T15:10:41"/>
    <x v="1"/>
    <n v="0"/>
    <n v="7272"/>
    <x v="2"/>
    <n v="3936"/>
    <n v="1467"/>
    <n v="188"/>
    <n v="13424"/>
    <n v="0.37271341463414637"/>
    <x v="902"/>
    <n v="6.4594410361281529"/>
    <n v="50.404255319148938"/>
    <n v="1.3030803080308031"/>
    <n v="1.4166314900802026"/>
    <s v="CL903"/>
    <x v="1"/>
    <x v="2"/>
    <n v="9476"/>
    <n v="3"/>
    <x v="1"/>
  </r>
  <r>
    <s v="C904"/>
    <x v="903"/>
    <d v="2023-10-28T03:49:57"/>
    <x v="1"/>
    <n v="0"/>
    <n v="5304"/>
    <x v="1"/>
    <n v="16807"/>
    <n v="287"/>
    <n v="38"/>
    <n v="7376"/>
    <n v="1.7076218242399001E-2"/>
    <x v="903"/>
    <n v="33.310104529616723"/>
    <n v="251.57894736842104"/>
    <n v="1.8024132730015083"/>
    <n v="0.77154811715481175"/>
    <s v="CL904"/>
    <x v="0"/>
    <x v="0"/>
    <n v="9560"/>
    <n v="3"/>
    <x v="1"/>
  </r>
  <r>
    <s v="C905"/>
    <x v="904"/>
    <d v="2023-11-24T12:59:34"/>
    <x v="0"/>
    <n v="69.712465277778392"/>
    <n v="7308"/>
    <x v="2"/>
    <n v="13796"/>
    <n v="478"/>
    <n v="392"/>
    <n v="12761"/>
    <n v="3.4647723977964624E-2"/>
    <x v="904"/>
    <n v="32.410041841004187"/>
    <n v="39.520408163265309"/>
    <n v="2.1198686371100166"/>
    <n v="0.82371546604699197"/>
    <s v="CL905"/>
    <x v="3"/>
    <x v="2"/>
    <n v="15492"/>
    <n v="4"/>
    <x v="0"/>
  </r>
  <r>
    <s v="C906"/>
    <x v="905"/>
    <d v="2024-06-08T10:06:35"/>
    <x v="1"/>
    <n v="0"/>
    <n v="1374"/>
    <x v="3"/>
    <n v="4968"/>
    <n v="345"/>
    <n v="466"/>
    <n v="6259"/>
    <n v="6.9444444444444448E-2"/>
    <x v="905"/>
    <n v="57.823188405797104"/>
    <n v="42.809012875536482"/>
    <n v="14.518922852983989"/>
    <n v="0.31375006265978245"/>
    <s v="CL906"/>
    <x v="2"/>
    <x v="1"/>
    <n v="19949"/>
    <n v="3"/>
    <x v="1"/>
  </r>
  <r>
    <s v="C907"/>
    <x v="906"/>
    <d v="2024-11-24T15:25:49"/>
    <x v="0"/>
    <n v="205.18787037036964"/>
    <n v="5767"/>
    <x v="3"/>
    <n v="17354"/>
    <n v="1014"/>
    <n v="194"/>
    <n v="8820"/>
    <n v="5.843033306442319E-2"/>
    <x v="906"/>
    <n v="0.76134122287968442"/>
    <n v="3.9793814432989691"/>
    <n v="0.13386509450320791"/>
    <n v="11.424870466321243"/>
    <s v="CL907"/>
    <x v="4"/>
    <x v="1"/>
    <n v="772"/>
    <n v="4"/>
    <x v="0"/>
  </r>
  <r>
    <s v="C908"/>
    <x v="907"/>
    <d v="2024-02-29T17:21:36"/>
    <x v="0"/>
    <n v="133.8836226851854"/>
    <n v="6383"/>
    <x v="1"/>
    <n v="18572"/>
    <n v="681"/>
    <n v="444"/>
    <n v="3195"/>
    <n v="3.6668102519922467E-2"/>
    <x v="907"/>
    <n v="5.7327459618208518"/>
    <n v="8.7927927927927936"/>
    <n v="0.61162462791790695"/>
    <n v="0.81839139344262291"/>
    <s v="CL908"/>
    <x v="0"/>
    <x v="1"/>
    <n v="3904"/>
    <n v="2"/>
    <x v="1"/>
  </r>
  <r>
    <s v="C909"/>
    <x v="908"/>
    <d v="2023-02-09T14:07:33"/>
    <x v="0"/>
    <n v="29.326967592591245"/>
    <n v="6442"/>
    <x v="2"/>
    <n v="9147"/>
    <n v="1359"/>
    <n v="315"/>
    <n v="11123"/>
    <n v="0.14857330272220401"/>
    <x v="908"/>
    <n v="6.8844738778513612"/>
    <n v="29.701587301587303"/>
    <n v="1.4523439925488979"/>
    <n v="1.1888627618640444"/>
    <s v="CL909"/>
    <x v="0"/>
    <x v="0"/>
    <n v="9356"/>
    <n v="3"/>
    <x v="1"/>
  </r>
  <r>
    <s v="C910"/>
    <x v="909"/>
    <d v="2024-03-27T18:16:00"/>
    <x v="0"/>
    <n v="95.46604166666657"/>
    <n v="1919"/>
    <x v="0"/>
    <n v="17211"/>
    <n v="1320"/>
    <n v="15"/>
    <n v="5404"/>
    <n v="7.6695136831096397E-2"/>
    <x v="909"/>
    <n v="6.6219696969696971"/>
    <n v="582.73333333333335"/>
    <n v="4.5549765502866073"/>
    <n v="0.6182358997826336"/>
    <s v="CL910"/>
    <x v="3"/>
    <x v="2"/>
    <n v="8741"/>
    <n v="1"/>
    <x v="2"/>
  </r>
  <r>
    <s v="C911"/>
    <x v="910"/>
    <d v="2024-02-06T17:00:17"/>
    <x v="0"/>
    <n v="210.39180555555504"/>
    <n v="6742"/>
    <x v="1"/>
    <n v="1433"/>
    <n v="703"/>
    <n v="260"/>
    <n v="10372"/>
    <n v="0.49057920446615494"/>
    <x v="910"/>
    <n v="21.348506401137978"/>
    <n v="57.723076923076924"/>
    <n v="2.2260456837733611"/>
    <n v="0.69109808102345416"/>
    <s v="CL911"/>
    <x v="3"/>
    <x v="0"/>
    <n v="15008"/>
    <n v="5"/>
    <x v="0"/>
  </r>
  <r>
    <s v="C912"/>
    <x v="911"/>
    <d v="2024-10-23T21:16:33"/>
    <x v="0"/>
    <n v="567.44237268518918"/>
    <n v="3351"/>
    <x v="3"/>
    <n v="10678"/>
    <n v="684"/>
    <n v="81"/>
    <n v="9380"/>
    <n v="6.4056939501779361E-2"/>
    <x v="911"/>
    <n v="4.2105263157894735"/>
    <n v="35.555555555555557"/>
    <n v="0.85944494180841535"/>
    <n v="3.2569444444444446"/>
    <s v="CL912"/>
    <x v="1"/>
    <x v="2"/>
    <n v="2880"/>
    <n v="1"/>
    <x v="2"/>
  </r>
  <r>
    <s v="C913"/>
    <x v="912"/>
    <d v="2024-08-13T16:56:57"/>
    <x v="1"/>
    <n v="0"/>
    <n v="2981"/>
    <x v="2"/>
    <n v="18873"/>
    <n v="512"/>
    <n v="364"/>
    <n v="2239"/>
    <n v="2.7128702379060034E-2"/>
    <x v="912"/>
    <n v="21.513671875"/>
    <n v="30.260989010989011"/>
    <n v="3.6950687688695067"/>
    <n v="0.20326827054017249"/>
    <s v="CL913"/>
    <x v="2"/>
    <x v="0"/>
    <n v="11015"/>
    <n v="5"/>
    <x v="0"/>
  </r>
  <r>
    <s v="C914"/>
    <x v="913"/>
    <d v="2023-12-16T06:20:44"/>
    <x v="1"/>
    <n v="0"/>
    <n v="5743"/>
    <x v="2"/>
    <n v="5924"/>
    <n v="667"/>
    <n v="289"/>
    <n v="7993"/>
    <n v="0.112592842673869"/>
    <x v="913"/>
    <n v="4.5982008995502248"/>
    <n v="10.612456747404844"/>
    <n v="0.5340414417551802"/>
    <n v="2.6061297685034237"/>
    <s v="CL914"/>
    <x v="4"/>
    <x v="2"/>
    <n v="3067"/>
    <n v="2"/>
    <x v="1"/>
  </r>
  <r>
    <s v="C915"/>
    <x v="914"/>
    <d v="2023-07-30T05:45:00"/>
    <x v="1"/>
    <n v="0"/>
    <n v="8172"/>
    <x v="0"/>
    <n v="18554"/>
    <n v="134"/>
    <n v="374"/>
    <n v="11415"/>
    <n v="7.2221623369623797E-3"/>
    <x v="914"/>
    <n v="27.738805970149254"/>
    <n v="9.9385026737967923"/>
    <n v="0.45484581497797355"/>
    <n v="3.0710250201775624"/>
    <s v="CL915"/>
    <x v="1"/>
    <x v="1"/>
    <n v="3717"/>
    <n v="4"/>
    <x v="0"/>
  </r>
  <r>
    <s v="C916"/>
    <x v="915"/>
    <d v="2024-11-23T14:15:23"/>
    <x v="0"/>
    <n v="92.685115740736364"/>
    <n v="4167"/>
    <x v="3"/>
    <n v="3398"/>
    <n v="519"/>
    <n v="337"/>
    <n v="664"/>
    <n v="0.15273690406121249"/>
    <x v="915"/>
    <n v="21.96339113680154"/>
    <n v="33.824925816023736"/>
    <n v="2.7355411567074635"/>
    <n v="5.8250723747697165E-2"/>
    <s v="CL916"/>
    <x v="4"/>
    <x v="1"/>
    <n v="11399"/>
    <n v="5"/>
    <x v="0"/>
  </r>
  <r>
    <s v="C917"/>
    <x v="916"/>
    <d v="2023-12-29T15:33:02"/>
    <x v="0"/>
    <n v="158.44516203703824"/>
    <n v="8567"/>
    <x v="1"/>
    <n v="6486"/>
    <n v="1589"/>
    <n v="468"/>
    <n v="9620"/>
    <n v="0.24498920752389763"/>
    <x v="916"/>
    <n v="5.7205789804908749"/>
    <n v="19.423076923076923"/>
    <n v="1.0610482082409245"/>
    <n v="1.0583058305830584"/>
    <s v="CL917"/>
    <x v="3"/>
    <x v="0"/>
    <n v="9090"/>
    <n v="2"/>
    <x v="1"/>
  </r>
  <r>
    <s v="C918"/>
    <x v="917"/>
    <d v="2024-04-15T16:01:42"/>
    <x v="1"/>
    <n v="0"/>
    <n v="2550"/>
    <x v="3"/>
    <n v="6571"/>
    <n v="1647"/>
    <n v="391"/>
    <n v="8781"/>
    <n v="0.25064678131182466"/>
    <x v="917"/>
    <n v="1.3879781420765027"/>
    <n v="5.8465473145780047"/>
    <n v="0.89647058823529413"/>
    <n v="3.841207349081365"/>
    <s v="CL918"/>
    <x v="1"/>
    <x v="2"/>
    <n v="2286"/>
    <n v="5"/>
    <x v="0"/>
  </r>
  <r>
    <s v="C919"/>
    <x v="918"/>
    <d v="2024-06-15T09:59:47"/>
    <x v="0"/>
    <n v="342.88167824073753"/>
    <n v="7230"/>
    <x v="2"/>
    <n v="12930"/>
    <n v="368"/>
    <n v="448"/>
    <n v="8987"/>
    <n v="2.8460943542150039E-2"/>
    <x v="918"/>
    <n v="16.190217391304348"/>
    <n v="13.299107142857142"/>
    <n v="0.82406639004149373"/>
    <n v="1.5083920778784827"/>
    <s v="CL919"/>
    <x v="3"/>
    <x v="0"/>
    <n v="5958"/>
    <n v="2"/>
    <x v="1"/>
  </r>
  <r>
    <s v="C920"/>
    <x v="919"/>
    <d v="2023-04-28T21:03:32"/>
    <x v="1"/>
    <n v="0"/>
    <n v="9979"/>
    <x v="3"/>
    <n v="1708"/>
    <n v="1609"/>
    <n v="357"/>
    <n v="1030"/>
    <n v="0.94203747072599531"/>
    <x v="919"/>
    <n v="9.4686140459912984"/>
    <n v="42.675070028011206"/>
    <n v="1.526706082773825"/>
    <n v="6.7607482769937638E-2"/>
    <s v="CL920"/>
    <x v="4"/>
    <x v="2"/>
    <n v="15235"/>
    <n v="5"/>
    <x v="0"/>
  </r>
  <r>
    <s v="C921"/>
    <x v="920"/>
    <d v="2024-09-23T23:22:43"/>
    <x v="1"/>
    <n v="0"/>
    <n v="6938"/>
    <x v="2"/>
    <n v="10856"/>
    <n v="142"/>
    <n v="262"/>
    <n v="8920"/>
    <n v="1.3080324244657332E-2"/>
    <x v="920"/>
    <n v="34.08450704225352"/>
    <n v="18.47328244274809"/>
    <n v="0.69760737964831365"/>
    <n v="1.8429752066115703"/>
    <s v="CL921"/>
    <x v="2"/>
    <x v="1"/>
    <n v="4840"/>
    <n v="1"/>
    <x v="2"/>
  </r>
  <r>
    <s v="C922"/>
    <x v="921"/>
    <d v="2024-02-13T20:55:01"/>
    <x v="0"/>
    <n v="37.862141203702777"/>
    <n v="2716"/>
    <x v="1"/>
    <n v="16152"/>
    <n v="1050"/>
    <n v="424"/>
    <n v="13655"/>
    <n v="6.5007429420505206E-2"/>
    <x v="921"/>
    <n v="2.9895238095238095"/>
    <n v="7.4033018867924527"/>
    <n v="1.1557437407952871"/>
    <n v="4.3501115004778592"/>
    <s v="CL922"/>
    <x v="1"/>
    <x v="1"/>
    <n v="3139"/>
    <n v="2"/>
    <x v="1"/>
  </r>
  <r>
    <s v="C923"/>
    <x v="922"/>
    <d v="2024-02-19T04:29:21"/>
    <x v="0"/>
    <n v="238.36333333333459"/>
    <n v="7702"/>
    <x v="1"/>
    <n v="19929"/>
    <n v="136"/>
    <n v="379"/>
    <n v="4913"/>
    <n v="6.8242260023081945E-3"/>
    <x v="922"/>
    <n v="40.948529411764703"/>
    <n v="14.693931398416886"/>
    <n v="0.72305894572838225"/>
    <n v="0.88220506374573537"/>
    <s v="CL923"/>
    <x v="4"/>
    <x v="2"/>
    <n v="5569"/>
    <n v="5"/>
    <x v="0"/>
  </r>
  <r>
    <s v="C924"/>
    <x v="923"/>
    <d v="2024-11-22T01:06:13"/>
    <x v="1"/>
    <n v="0"/>
    <n v="9059"/>
    <x v="1"/>
    <n v="14400"/>
    <n v="1388"/>
    <n v="79"/>
    <n v="14408"/>
    <n v="9.6388888888888885E-2"/>
    <x v="923"/>
    <n v="12.036023054755043"/>
    <n v="211.46835443037975"/>
    <n v="1.8441329065018215"/>
    <n v="0.86244463067161503"/>
    <s v="CL924"/>
    <x v="3"/>
    <x v="2"/>
    <n v="16706"/>
    <n v="2"/>
    <x v="1"/>
  </r>
  <r>
    <s v="C925"/>
    <x v="924"/>
    <d v="2023-10-10T08:21:29"/>
    <x v="1"/>
    <n v="0"/>
    <n v="4638"/>
    <x v="2"/>
    <n v="19024"/>
    <n v="638"/>
    <n v="84"/>
    <n v="3074"/>
    <n v="3.3536585365853661E-2"/>
    <x v="924"/>
    <n v="2.330721003134796"/>
    <n v="17.702380952380953"/>
    <n v="0.320612332902113"/>
    <n v="2.0672494956287828"/>
    <s v="CL925"/>
    <x v="4"/>
    <x v="2"/>
    <n v="1487"/>
    <n v="1"/>
    <x v="2"/>
  </r>
  <r>
    <s v="C926"/>
    <x v="925"/>
    <d v="2024-12-18T09:13:24"/>
    <x v="1"/>
    <n v="0"/>
    <n v="7483"/>
    <x v="1"/>
    <n v="5567"/>
    <n v="808"/>
    <n v="146"/>
    <n v="11557"/>
    <n v="0.145141009520388"/>
    <x v="925"/>
    <n v="7.8539603960396036"/>
    <n v="43.465753424657535"/>
    <n v="0.84805559267673392"/>
    <n v="1.8211471793255594"/>
    <s v="CL926"/>
    <x v="3"/>
    <x v="0"/>
    <n v="6346"/>
    <n v="5"/>
    <x v="0"/>
  </r>
  <r>
    <s v="C927"/>
    <x v="926"/>
    <d v="2024-07-14T14:27:47"/>
    <x v="1"/>
    <n v="0"/>
    <n v="7316"/>
    <x v="1"/>
    <n v="1157"/>
    <n v="125"/>
    <n v="312"/>
    <n v="5278"/>
    <n v="0.10803802938634399"/>
    <x v="926"/>
    <n v="19.071999999999999"/>
    <n v="7.6410256410256414"/>
    <n v="0.32586112629852376"/>
    <n v="2.2139261744966441"/>
    <s v="CL927"/>
    <x v="0"/>
    <x v="0"/>
    <n v="2384"/>
    <n v="4"/>
    <x v="0"/>
  </r>
  <r>
    <s v="C928"/>
    <x v="927"/>
    <d v="2024-10-27T15:03:51"/>
    <x v="1"/>
    <n v="0"/>
    <n v="2544"/>
    <x v="2"/>
    <n v="14037"/>
    <n v="159"/>
    <n v="158"/>
    <n v="6651"/>
    <n v="1.1327206668091472E-2"/>
    <x v="927"/>
    <n v="50.119496855345915"/>
    <n v="50.436708860759495"/>
    <n v="3.1324685534591197"/>
    <n v="0.83460911030242191"/>
    <s v="CL928"/>
    <x v="0"/>
    <x v="1"/>
    <n v="7969"/>
    <n v="5"/>
    <x v="0"/>
  </r>
  <r>
    <s v="C929"/>
    <x v="928"/>
    <d v="2024-10-16T22:16:27"/>
    <x v="0"/>
    <n v="36.034733796295768"/>
    <n v="7835"/>
    <x v="3"/>
    <n v="11716"/>
    <n v="1754"/>
    <n v="48"/>
    <n v="6948"/>
    <n v="0.14970979856606351"/>
    <x v="928"/>
    <n v="8.8072976054732042"/>
    <n v="321.83333333333331"/>
    <n v="1.9716656030631781"/>
    <n v="0.44976696012428791"/>
    <s v="CL929"/>
    <x v="4"/>
    <x v="1"/>
    <n v="15448"/>
    <n v="5"/>
    <x v="0"/>
  </r>
  <r>
    <s v="C930"/>
    <x v="929"/>
    <d v="2023-04-07T10:38:34"/>
    <x v="0"/>
    <n v="46.898888888892543"/>
    <n v="9576"/>
    <x v="1"/>
    <n v="14489"/>
    <n v="644"/>
    <n v="81"/>
    <n v="8556"/>
    <n v="4.4447511905583548E-2"/>
    <x v="929"/>
    <n v="22.153726708074533"/>
    <n v="176.1358024691358"/>
    <n v="1.4898705096073517"/>
    <n v="0.59970561435480474"/>
    <s v="CL930"/>
    <x v="1"/>
    <x v="2"/>
    <n v="14267"/>
    <n v="3"/>
    <x v="1"/>
  </r>
  <r>
    <s v="C931"/>
    <x v="930"/>
    <d v="2023-10-15T06:51:17"/>
    <x v="1"/>
    <n v="0"/>
    <n v="5777"/>
    <x v="2"/>
    <n v="17568"/>
    <n v="359"/>
    <n v="337"/>
    <n v="1015"/>
    <n v="2.0434881602914391E-2"/>
    <x v="930"/>
    <n v="26.022284122562674"/>
    <n v="27.72106824925816"/>
    <n v="1.6171023022329929"/>
    <n v="0.10864911153928496"/>
    <s v="CL931"/>
    <x v="3"/>
    <x v="2"/>
    <n v="9342"/>
    <n v="5"/>
    <x v="0"/>
  </r>
  <r>
    <s v="C932"/>
    <x v="931"/>
    <d v="2024-02-24T08:13:06"/>
    <x v="1"/>
    <n v="0"/>
    <n v="3008"/>
    <x v="3"/>
    <n v="5572"/>
    <n v="891"/>
    <n v="218"/>
    <n v="6476"/>
    <n v="0.15990667623833452"/>
    <x v="931"/>
    <n v="4.3378226711560046"/>
    <n v="17.729357798165136"/>
    <n v="1.284906914893617"/>
    <n v="1.6755498059508409"/>
    <s v="CL932"/>
    <x v="4"/>
    <x v="1"/>
    <n v="3865"/>
    <n v="1"/>
    <x v="2"/>
  </r>
  <r>
    <s v="C933"/>
    <x v="932"/>
    <d v="2023-10-29T10:47:04"/>
    <x v="1"/>
    <n v="0"/>
    <n v="9136"/>
    <x v="2"/>
    <n v="5361"/>
    <n v="935"/>
    <n v="197"/>
    <n v="14569"/>
    <n v="0.17440775974631598"/>
    <x v="932"/>
    <n v="8.4406417112299472"/>
    <n v="40.060913705583758"/>
    <n v="0.86383537653239928"/>
    <n v="1.8460466294982261"/>
    <s v="CL933"/>
    <x v="4"/>
    <x v="2"/>
    <n v="7892"/>
    <n v="5"/>
    <x v="0"/>
  </r>
  <r>
    <s v="C934"/>
    <x v="933"/>
    <d v="2024-11-28T20:11:34"/>
    <x v="1"/>
    <n v="0"/>
    <n v="2880"/>
    <x v="3"/>
    <n v="11334"/>
    <n v="404"/>
    <n v="222"/>
    <n v="6971"/>
    <n v="3.5644962061055233E-2"/>
    <x v="933"/>
    <n v="33.611386138613859"/>
    <n v="61.166666666666664"/>
    <n v="4.7149305555555552"/>
    <n v="0.51336622726268499"/>
    <s v="CL934"/>
    <x v="0"/>
    <x v="1"/>
    <n v="13579"/>
    <n v="1"/>
    <x v="2"/>
  </r>
  <r>
    <s v="C935"/>
    <x v="934"/>
    <d v="2024-09-29T12:49:37"/>
    <x v="0"/>
    <n v="300.731620370374"/>
    <n v="5600"/>
    <x v="3"/>
    <n v="18642"/>
    <n v="1877"/>
    <n v="69"/>
    <n v="1143"/>
    <n v="0.1006866216071237"/>
    <x v="934"/>
    <n v="5.6734150239744272"/>
    <n v="154.33333333333334"/>
    <n v="1.9016071428571428"/>
    <n v="0.10733402197389426"/>
    <s v="CL935"/>
    <x v="0"/>
    <x v="0"/>
    <n v="10649"/>
    <n v="1"/>
    <x v="2"/>
  </r>
  <r>
    <s v="C936"/>
    <x v="935"/>
    <d v="2024-02-08T05:46:29"/>
    <x v="1"/>
    <n v="0"/>
    <n v="2241"/>
    <x v="0"/>
    <n v="2544"/>
    <n v="734"/>
    <n v="202"/>
    <n v="1994"/>
    <n v="0.28852201257861637"/>
    <x v="935"/>
    <n v="12.610354223433243"/>
    <n v="45.821782178217823"/>
    <n v="4.1302989736724678"/>
    <n v="0.21542783059636991"/>
    <s v="CL936"/>
    <x v="1"/>
    <x v="2"/>
    <n v="9256"/>
    <n v="1"/>
    <x v="2"/>
  </r>
  <r>
    <s v="C937"/>
    <x v="936"/>
    <d v="2023-08-09T00:58:54"/>
    <x v="1"/>
    <n v="0"/>
    <n v="1856"/>
    <x v="2"/>
    <n v="5365"/>
    <n v="1619"/>
    <n v="18"/>
    <n v="4165"/>
    <n v="0.30177073625349488"/>
    <x v="936"/>
    <n v="7.3119209388511424"/>
    <n v="657.66666666666663"/>
    <n v="6.3782327586206895"/>
    <n v="0.3518330799121473"/>
    <s v="CL937"/>
    <x v="4"/>
    <x v="0"/>
    <n v="11838"/>
    <n v="4"/>
    <x v="0"/>
  </r>
  <r>
    <s v="C938"/>
    <x v="937"/>
    <d v="2024-06-01T11:51:18"/>
    <x v="1"/>
    <n v="0"/>
    <n v="9185"/>
    <x v="1"/>
    <n v="5732"/>
    <n v="723"/>
    <n v="241"/>
    <n v="4621"/>
    <n v="0.12613398464759246"/>
    <x v="937"/>
    <n v="18.975103734439834"/>
    <n v="56.925311203319502"/>
    <n v="1.4936309199782254"/>
    <n v="0.33683213062176542"/>
    <s v="CL938"/>
    <x v="4"/>
    <x v="0"/>
    <n v="13719"/>
    <n v="1"/>
    <x v="2"/>
  </r>
  <r>
    <s v="C939"/>
    <x v="938"/>
    <d v="2024-12-22T07:51:12"/>
    <x v="0"/>
    <n v="673.92547453703446"/>
    <n v="7182"/>
    <x v="3"/>
    <n v="15257"/>
    <n v="1942"/>
    <n v="208"/>
    <n v="14877"/>
    <n v="0.12728583600970048"/>
    <x v="938"/>
    <n v="2.7785787847579813"/>
    <n v="25.942307692307693"/>
    <n v="0.75132275132275128"/>
    <n v="2.757042253521127"/>
    <s v="CL939"/>
    <x v="4"/>
    <x v="2"/>
    <n v="5396"/>
    <n v="1"/>
    <x v="2"/>
  </r>
  <r>
    <s v="C940"/>
    <x v="939"/>
    <d v="2024-10-25T20:44:49"/>
    <x v="0"/>
    <n v="427.32767361111473"/>
    <n v="5449"/>
    <x v="2"/>
    <n v="4483"/>
    <n v="1846"/>
    <n v="65"/>
    <n v="2456"/>
    <n v="0.4117778273477582"/>
    <x v="939"/>
    <n v="6.7177681473456126"/>
    <n v="190.78461538461539"/>
    <n v="2.2758304276013948"/>
    <n v="0.19804854447221998"/>
    <s v="CL940"/>
    <x v="2"/>
    <x v="2"/>
    <n v="12401"/>
    <n v="4"/>
    <x v="0"/>
  </r>
  <r>
    <s v="C941"/>
    <x v="940"/>
    <d v="2023-09-09T08:21:41"/>
    <x v="0"/>
    <n v="114.1119212962949"/>
    <n v="6788"/>
    <x v="3"/>
    <n v="16114"/>
    <n v="1581"/>
    <n v="108"/>
    <n v="1804"/>
    <n v="9.8113441727690209E-2"/>
    <x v="940"/>
    <n v="9.0695762175838084"/>
    <n v="132.7685185185185"/>
    <n v="2.1124042427813787"/>
    <n v="0.12581072599204965"/>
    <s v="CL941"/>
    <x v="3"/>
    <x v="1"/>
    <n v="14339"/>
    <n v="2"/>
    <x v="1"/>
  </r>
  <r>
    <s v="C942"/>
    <x v="941"/>
    <d v="2024-11-04T12:53:03"/>
    <x v="1"/>
    <n v="0"/>
    <n v="3845"/>
    <x v="1"/>
    <n v="10525"/>
    <n v="938"/>
    <n v="174"/>
    <n v="5044"/>
    <n v="8.9121140142517818E-2"/>
    <x v="941"/>
    <n v="15.857142857142858"/>
    <n v="85.482758620689651"/>
    <n v="3.868400520156047"/>
    <n v="0.33911523463762272"/>
    <s v="CL942"/>
    <x v="0"/>
    <x v="0"/>
    <n v="14874"/>
    <n v="1"/>
    <x v="2"/>
  </r>
  <r>
    <s v="C943"/>
    <x v="942"/>
    <d v="2024-11-19T15:05:37"/>
    <x v="0"/>
    <n v="260.74393518518627"/>
    <n v="5352"/>
    <x v="1"/>
    <n v="7843"/>
    <n v="433"/>
    <n v="178"/>
    <n v="14684"/>
    <n v="5.5208466148157595E-2"/>
    <x v="942"/>
    <n v="10.868360277136258"/>
    <n v="26.438202247191011"/>
    <n v="0.87929745889387145"/>
    <n v="3.1202719932001699"/>
    <s v="CL943"/>
    <x v="0"/>
    <x v="0"/>
    <n v="4706"/>
    <n v="4"/>
    <x v="0"/>
  </r>
  <r>
    <s v="C944"/>
    <x v="943"/>
    <d v="2024-09-17T07:49:46"/>
    <x v="0"/>
    <n v="83.590162037035043"/>
    <n v="7193"/>
    <x v="3"/>
    <n v="13154"/>
    <n v="324"/>
    <n v="25"/>
    <n v="2631"/>
    <n v="2.463129086209518E-2"/>
    <x v="943"/>
    <n v="47.561728395061728"/>
    <n v="616.4"/>
    <n v="2.1423606283887113"/>
    <n v="0.17073329007138222"/>
    <s v="CL944"/>
    <x v="4"/>
    <x v="1"/>
    <n v="15410"/>
    <n v="5"/>
    <x v="0"/>
  </r>
  <r>
    <s v="C945"/>
    <x v="944"/>
    <d v="2024-05-02T09:40:22"/>
    <x v="1"/>
    <n v="0"/>
    <n v="7135"/>
    <x v="2"/>
    <n v="17144"/>
    <n v="1346"/>
    <n v="12"/>
    <n v="9382"/>
    <n v="7.8511432571161929E-2"/>
    <x v="944"/>
    <n v="7.4138187221396734"/>
    <n v="831.58333333333337"/>
    <n v="1.3985984583041347"/>
    <n v="0.94017436616895478"/>
    <s v="CL945"/>
    <x v="3"/>
    <x v="2"/>
    <n v="9979"/>
    <n v="2"/>
    <x v="1"/>
  </r>
  <r>
    <s v="C946"/>
    <x v="945"/>
    <d v="2024-07-31T21:38:51"/>
    <x v="1"/>
    <n v="0"/>
    <n v="6232"/>
    <x v="3"/>
    <n v="9244"/>
    <n v="667"/>
    <n v="291"/>
    <n v="2770"/>
    <n v="7.2154911293812199E-2"/>
    <x v="945"/>
    <n v="18.545727136431783"/>
    <n v="42.508591065292094"/>
    <n v="1.9849165596919127"/>
    <n v="0.22392886014551333"/>
    <s v="CL946"/>
    <x v="3"/>
    <x v="2"/>
    <n v="12370"/>
    <n v="1"/>
    <x v="2"/>
  </r>
  <r>
    <s v="C947"/>
    <x v="946"/>
    <d v="2023-09-27T17:42:22"/>
    <x v="1"/>
    <n v="0"/>
    <n v="5050"/>
    <x v="3"/>
    <n v="7220"/>
    <n v="1159"/>
    <n v="63"/>
    <n v="9871"/>
    <n v="0.16052631578947368"/>
    <x v="946"/>
    <n v="2.1604831751509921"/>
    <n v="39.746031746031747"/>
    <n v="0.49584158415841584"/>
    <n v="3.9420926517571884"/>
    <s v="CL947"/>
    <x v="1"/>
    <x v="2"/>
    <n v="2504"/>
    <n v="1"/>
    <x v="2"/>
  </r>
  <r>
    <s v="C948"/>
    <x v="947"/>
    <d v="2024-08-20T10:26:04"/>
    <x v="0"/>
    <n v="448.61582175926014"/>
    <n v="1955"/>
    <x v="1"/>
    <n v="11080"/>
    <n v="1651"/>
    <n v="329"/>
    <n v="2638"/>
    <n v="0.14900722021660651"/>
    <x v="947"/>
    <n v="1.6910963052695336"/>
    <n v="8.4863221884498472"/>
    <n v="1.4281329923273658"/>
    <n v="0.94484240687679089"/>
    <s v="CL948"/>
    <x v="0"/>
    <x v="1"/>
    <n v="2792"/>
    <n v="2"/>
    <x v="1"/>
  </r>
  <r>
    <s v="C949"/>
    <x v="948"/>
    <d v="2024-10-14T02:07:32"/>
    <x v="0"/>
    <n v="507.31424768518627"/>
    <n v="4335"/>
    <x v="0"/>
    <n v="3608"/>
    <n v="471"/>
    <n v="476"/>
    <n v="536"/>
    <n v="0.13054323725055433"/>
    <x v="948"/>
    <n v="28.307855626326965"/>
    <n v="28.010504201680671"/>
    <n v="3.0756632064590543"/>
    <n v="4.0201005025125629E-2"/>
    <s v="CL949"/>
    <x v="2"/>
    <x v="1"/>
    <n v="13333"/>
    <n v="3"/>
    <x v="1"/>
  </r>
  <r>
    <s v="C950"/>
    <x v="949"/>
    <d v="2024-02-14T04:28:31"/>
    <x v="1"/>
    <n v="0"/>
    <n v="4900"/>
    <x v="2"/>
    <n v="18181"/>
    <n v="265"/>
    <n v="429"/>
    <n v="13476"/>
    <n v="1.4575655904515704E-2"/>
    <x v="949"/>
    <n v="6.0981132075471702"/>
    <n v="3.7668997668997668"/>
    <n v="0.32979591836734695"/>
    <n v="8.3391089108910883"/>
    <s v="CL950"/>
    <x v="1"/>
    <x v="2"/>
    <n v="1616"/>
    <n v="3"/>
    <x v="1"/>
  </r>
  <r>
    <s v="C951"/>
    <x v="950"/>
    <d v="2024-03-15T03:50:41"/>
    <x v="0"/>
    <n v="155.65359953703592"/>
    <n v="3589"/>
    <x v="3"/>
    <n v="3035"/>
    <n v="1459"/>
    <n v="345"/>
    <n v="9747"/>
    <n v="0.48072487644151563"/>
    <x v="950"/>
    <n v="9.9403701165181637"/>
    <n v="42.037681159420288"/>
    <n v="4.0409584842574535"/>
    <n v="0.67206784803144182"/>
    <s v="CL951"/>
    <x v="3"/>
    <x v="1"/>
    <n v="14503"/>
    <n v="4"/>
    <x v="0"/>
  </r>
  <r>
    <s v="C952"/>
    <x v="951"/>
    <d v="2024-06-04T00:45:44"/>
    <x v="1"/>
    <n v="0"/>
    <n v="9485"/>
    <x v="2"/>
    <n v="11763"/>
    <n v="907"/>
    <n v="214"/>
    <n v="12553"/>
    <n v="7.7106180396157437E-2"/>
    <x v="951"/>
    <n v="21.853362734288865"/>
    <n v="92.621495327102807"/>
    <n v="2.0897206114918294"/>
    <n v="0.63331819787094501"/>
    <s v="CL952"/>
    <x v="2"/>
    <x v="2"/>
    <n v="19821"/>
    <n v="1"/>
    <x v="2"/>
  </r>
  <r>
    <s v="C953"/>
    <x v="952"/>
    <d v="2024-12-30T22:11:16"/>
    <x v="1"/>
    <n v="0"/>
    <n v="5452"/>
    <x v="3"/>
    <n v="18926"/>
    <n v="1395"/>
    <n v="279"/>
    <n v="14162"/>
    <n v="7.3708126386980877E-2"/>
    <x v="952"/>
    <n v="12.835125448028673"/>
    <n v="64.17562724014337"/>
    <n v="3.2841159207630226"/>
    <n v="0.79095224797542585"/>
    <s v="CL953"/>
    <x v="2"/>
    <x v="0"/>
    <n v="17905"/>
    <n v="1"/>
    <x v="2"/>
  </r>
  <r>
    <s v="C954"/>
    <x v="953"/>
    <d v="2024-12-01T15:49:43"/>
    <x v="0"/>
    <n v="622.65668981481576"/>
    <n v="8675"/>
    <x v="2"/>
    <n v="13790"/>
    <n v="721"/>
    <n v="397"/>
    <n v="3125"/>
    <n v="5.2284263959390863E-2"/>
    <x v="953"/>
    <n v="19.572815533980581"/>
    <n v="35.54659949622166"/>
    <n v="1.626743515850144"/>
    <n v="0.22144274376417233"/>
    <s v="CL954"/>
    <x v="1"/>
    <x v="0"/>
    <n v="14112"/>
    <n v="3"/>
    <x v="1"/>
  </r>
  <r>
    <s v="C955"/>
    <x v="954"/>
    <d v="2024-09-25T20:33:25"/>
    <x v="1"/>
    <n v="0"/>
    <n v="8688"/>
    <x v="0"/>
    <n v="13795"/>
    <n v="1304"/>
    <n v="22"/>
    <n v="13969"/>
    <n v="9.4527002537151142E-2"/>
    <x v="954"/>
    <n v="9.1963190184049086"/>
    <n v="545.09090909090912"/>
    <n v="1.3802946593001841"/>
    <n v="1.164859906604403"/>
    <s v="CL955"/>
    <x v="2"/>
    <x v="1"/>
    <n v="11992"/>
    <n v="3"/>
    <x v="1"/>
  </r>
  <r>
    <s v="C956"/>
    <x v="955"/>
    <d v="2024-09-19T11:42:28"/>
    <x v="1"/>
    <n v="0"/>
    <n v="1187"/>
    <x v="0"/>
    <n v="16468"/>
    <n v="1663"/>
    <n v="430"/>
    <n v="7150"/>
    <n v="0.10098372601408794"/>
    <x v="955"/>
    <n v="7.5129284425736618"/>
    <n v="29.055813953488371"/>
    <n v="10.5256950294861"/>
    <n v="0.57227469185208901"/>
    <s v="CL956"/>
    <x v="0"/>
    <x v="2"/>
    <n v="12494"/>
    <n v="4"/>
    <x v="0"/>
  </r>
  <r>
    <s v="C957"/>
    <x v="956"/>
    <d v="2024-11-26T15:16:59"/>
    <x v="0"/>
    <n v="548.79716435185401"/>
    <n v="9428"/>
    <x v="0"/>
    <n v="18253"/>
    <n v="339"/>
    <n v="165"/>
    <n v="1781"/>
    <n v="1.8572289486659729E-2"/>
    <x v="956"/>
    <n v="11.471976401179941"/>
    <n v="23.56969696969697"/>
    <n v="0.4124946966482817"/>
    <n v="0.45795834404731295"/>
    <s v="CL957"/>
    <x v="1"/>
    <x v="2"/>
    <n v="3889"/>
    <n v="3"/>
    <x v="1"/>
  </r>
  <r>
    <s v="C958"/>
    <x v="957"/>
    <d v="2024-10-07T16:53:40"/>
    <x v="1"/>
    <n v="0"/>
    <n v="9029"/>
    <x v="3"/>
    <n v="16954"/>
    <n v="1092"/>
    <n v="428"/>
    <n v="5437"/>
    <n v="6.4409578860445918E-2"/>
    <x v="957"/>
    <n v="3.5119047619047619"/>
    <n v="8.9602803738317753"/>
    <n v="0.42474249640048733"/>
    <n v="1.4177314211212517"/>
    <s v="CL958"/>
    <x v="3"/>
    <x v="0"/>
    <n v="3835"/>
    <n v="2"/>
    <x v="1"/>
  </r>
  <r>
    <s v="C959"/>
    <x v="958"/>
    <d v="2023-11-20T19:43:36"/>
    <x v="0"/>
    <n v="133.82084490740817"/>
    <n v="3712"/>
    <x v="0"/>
    <n v="8689"/>
    <n v="1860"/>
    <n v="144"/>
    <n v="5809"/>
    <n v="0.21406375877546324"/>
    <x v="958"/>
    <n v="8.8349462365591389"/>
    <n v="114.11805555555556"/>
    <n v="4.4269935344827589"/>
    <n v="0.35349601411793341"/>
    <s v="CL959"/>
    <x v="3"/>
    <x v="0"/>
    <n v="16433"/>
    <n v="4"/>
    <x v="0"/>
  </r>
  <r>
    <s v="C960"/>
    <x v="959"/>
    <d v="2023-06-12T05:59:31"/>
    <x v="0"/>
    <n v="78.495034722225682"/>
    <n v="7784"/>
    <x v="2"/>
    <n v="3057"/>
    <n v="231"/>
    <n v="259"/>
    <n v="2025"/>
    <n v="7.5564278704612367E-2"/>
    <x v="959"/>
    <n v="44.445887445887443"/>
    <n v="39.640926640926644"/>
    <n v="1.3189876670092497"/>
    <n v="0.19723385604363494"/>
    <s v="CL960"/>
    <x v="0"/>
    <x v="0"/>
    <n v="10267"/>
    <n v="4"/>
    <x v="0"/>
  </r>
  <r>
    <s v="C961"/>
    <x v="960"/>
    <d v="2024-12-30T10:28:44"/>
    <x v="1"/>
    <n v="0"/>
    <n v="8653"/>
    <x v="3"/>
    <n v="10851"/>
    <n v="1122"/>
    <n v="313"/>
    <n v="9579"/>
    <n v="0.103400608238872"/>
    <x v="960"/>
    <n v="13.729055258467023"/>
    <n v="49.214057507987221"/>
    <n v="1.7801918409800068"/>
    <n v="0.62185146715138928"/>
    <s v="CL961"/>
    <x v="0"/>
    <x v="2"/>
    <n v="15404"/>
    <n v="3"/>
    <x v="1"/>
  </r>
  <r>
    <s v="C962"/>
    <x v="961"/>
    <d v="2024-04-16T11:08:08"/>
    <x v="1"/>
    <n v="0"/>
    <n v="7856"/>
    <x v="2"/>
    <n v="3259"/>
    <n v="675"/>
    <n v="103"/>
    <n v="7741"/>
    <n v="0.20711874808223382"/>
    <x v="961"/>
    <n v="19.746666666666666"/>
    <n v="129.40776699029126"/>
    <n v="1.6966649694501019"/>
    <n v="0.58076374821817089"/>
    <s v="CL962"/>
    <x v="4"/>
    <x v="1"/>
    <n v="13329"/>
    <n v="5"/>
    <x v="0"/>
  </r>
  <r>
    <s v="C963"/>
    <x v="962"/>
    <d v="2024-10-01T21:55:26"/>
    <x v="1"/>
    <n v="0"/>
    <n v="2220"/>
    <x v="0"/>
    <n v="1223"/>
    <n v="798"/>
    <n v="460"/>
    <n v="7373"/>
    <n v="0.65249386753883887"/>
    <x v="962"/>
    <n v="23.283208020050125"/>
    <n v="40.391304347826086"/>
    <n v="8.3693693693693696"/>
    <n v="0.39682454251883748"/>
    <s v="CL963"/>
    <x v="0"/>
    <x v="2"/>
    <n v="18580"/>
    <n v="1"/>
    <x v="2"/>
  </r>
  <r>
    <s v="C964"/>
    <x v="963"/>
    <d v="2024-05-09T05:41:25"/>
    <x v="0"/>
    <n v="402.70042824074335"/>
    <n v="2785"/>
    <x v="1"/>
    <n v="16400"/>
    <n v="386"/>
    <n v="314"/>
    <n v="3193"/>
    <n v="2.3536585365853659E-2"/>
    <x v="963"/>
    <n v="22.357512953367877"/>
    <n v="27.484076433121018"/>
    <n v="3.0987432675044881"/>
    <n v="0.36998841251448433"/>
    <s v="CL964"/>
    <x v="2"/>
    <x v="2"/>
    <n v="8630"/>
    <n v="1"/>
    <x v="2"/>
  </r>
  <r>
    <s v="C965"/>
    <x v="964"/>
    <d v="2024-09-27T12:55:53"/>
    <x v="1"/>
    <n v="0"/>
    <n v="6131"/>
    <x v="1"/>
    <n v="1834"/>
    <n v="1564"/>
    <n v="388"/>
    <n v="2972"/>
    <n v="0.85278080697928027"/>
    <x v="964"/>
    <n v="6.3011508951406654"/>
    <n v="25.399484536082475"/>
    <n v="1.6074049910291959"/>
    <n v="0.30157280568239475"/>
    <s v="CL965"/>
    <x v="1"/>
    <x v="0"/>
    <n v="9855"/>
    <n v="3"/>
    <x v="1"/>
  </r>
  <r>
    <s v="C966"/>
    <x v="965"/>
    <d v="2023-06-17T15:03:28"/>
    <x v="1"/>
    <n v="0"/>
    <n v="4433"/>
    <x v="0"/>
    <n v="15587"/>
    <n v="1650"/>
    <n v="485"/>
    <n v="5928"/>
    <n v="0.1058574453069866"/>
    <x v="965"/>
    <n v="2.978787878787879"/>
    <n v="10.134020618556701"/>
    <n v="1.1087299796977217"/>
    <n v="1.2061037639877925"/>
    <s v="CL966"/>
    <x v="1"/>
    <x v="2"/>
    <n v="4915"/>
    <n v="2"/>
    <x v="1"/>
  </r>
  <r>
    <s v="C967"/>
    <x v="966"/>
    <d v="2024-02-20T12:57:15"/>
    <x v="0"/>
    <n v="3.9300231481538503"/>
    <n v="7773"/>
    <x v="3"/>
    <n v="6610"/>
    <n v="307"/>
    <n v="448"/>
    <n v="10970"/>
    <n v="4.644478063540091E-2"/>
    <x v="966"/>
    <n v="50.140065146579808"/>
    <n v="34.359375"/>
    <n v="1.9803164801235045"/>
    <n v="0.71266159942831153"/>
    <s v="CL967"/>
    <x v="4"/>
    <x v="0"/>
    <n v="15393"/>
    <n v="2"/>
    <x v="1"/>
  </r>
  <r>
    <s v="C968"/>
    <x v="967"/>
    <d v="2024-11-04T20:18:24"/>
    <x v="0"/>
    <n v="140.79152777777927"/>
    <n v="5301"/>
    <x v="0"/>
    <n v="2558"/>
    <n v="954"/>
    <n v="439"/>
    <n v="14084"/>
    <n v="0.37294761532447224"/>
    <x v="967"/>
    <n v="19.789308176100629"/>
    <n v="43.004555808656036"/>
    <n v="3.5614035087719298"/>
    <n v="0.74601408972932892"/>
    <s v="CL968"/>
    <x v="3"/>
    <x v="0"/>
    <n v="18879"/>
    <n v="1"/>
    <x v="2"/>
  </r>
  <r>
    <s v="C969"/>
    <x v="968"/>
    <d v="2023-09-13T17:22:04"/>
    <x v="0"/>
    <n v="18.480150462957681"/>
    <n v="7551"/>
    <x v="0"/>
    <n v="18571"/>
    <n v="1866"/>
    <n v="296"/>
    <n v="7106"/>
    <n v="0.10047924182865758"/>
    <x v="968"/>
    <n v="6.030010718113612"/>
    <n v="38.013513513513516"/>
    <n v="1.4901337571182625"/>
    <n v="0.6315321720583007"/>
    <s v="CL969"/>
    <x v="1"/>
    <x v="1"/>
    <n v="11252"/>
    <n v="3"/>
    <x v="1"/>
  </r>
  <r>
    <s v="C970"/>
    <x v="969"/>
    <d v="2024-01-14T15:05:20"/>
    <x v="1"/>
    <n v="0"/>
    <n v="9125"/>
    <x v="1"/>
    <n v="13787"/>
    <n v="850"/>
    <n v="455"/>
    <n v="741"/>
    <n v="6.1652281134401972E-2"/>
    <x v="969"/>
    <n v="19.182352941176472"/>
    <n v="35.835164835164832"/>
    <n v="1.7868493150684932"/>
    <n v="4.5446182152713892E-2"/>
    <s v="CL970"/>
    <x v="3"/>
    <x v="0"/>
    <n v="16305"/>
    <n v="4"/>
    <x v="0"/>
  </r>
  <r>
    <s v="C971"/>
    <x v="970"/>
    <d v="2024-11-23T02:38:51"/>
    <x v="0"/>
    <n v="609.90255787037313"/>
    <n v="6973"/>
    <x v="0"/>
    <n v="4342"/>
    <n v="103"/>
    <n v="114"/>
    <n v="8729"/>
    <n v="2.3721787194841085E-2"/>
    <x v="970"/>
    <n v="144.20388349514562"/>
    <n v="130.28947368421052"/>
    <n v="2.1300731392513983"/>
    <n v="0.58769272200902178"/>
    <s v="CL971"/>
    <x v="3"/>
    <x v="2"/>
    <n v="14853"/>
    <n v="2"/>
    <x v="1"/>
  </r>
  <r>
    <s v="C972"/>
    <x v="971"/>
    <d v="2023-10-31T16:41:17"/>
    <x v="0"/>
    <n v="176.60805555555271"/>
    <n v="9983"/>
    <x v="2"/>
    <n v="13637"/>
    <n v="360"/>
    <n v="427"/>
    <n v="10816"/>
    <n v="2.6398768057490651E-2"/>
    <x v="971"/>
    <n v="23.866666666666667"/>
    <n v="20.121779859484779"/>
    <n v="0.8606631273164379"/>
    <n v="1.2588454376163873"/>
    <s v="CL972"/>
    <x v="1"/>
    <x v="2"/>
    <n v="8592"/>
    <n v="4"/>
    <x v="0"/>
  </r>
  <r>
    <s v="C973"/>
    <x v="972"/>
    <d v="2023-07-19T18:54:06"/>
    <x v="0"/>
    <n v="102.80592592592438"/>
    <n v="6547"/>
    <x v="0"/>
    <n v="5419"/>
    <n v="413"/>
    <n v="34"/>
    <n v="3844"/>
    <n v="7.6213323491419085E-2"/>
    <x v="972"/>
    <n v="45.893462469733656"/>
    <n v="557.47058823529414"/>
    <n v="2.8950664426454864"/>
    <n v="0.20280679539938798"/>
    <s v="CL973"/>
    <x v="3"/>
    <x v="1"/>
    <n v="18954"/>
    <n v="3"/>
    <x v="1"/>
  </r>
  <r>
    <s v="C974"/>
    <x v="973"/>
    <d v="2024-11-26T17:18:22"/>
    <x v="1"/>
    <n v="0"/>
    <n v="3538"/>
    <x v="0"/>
    <n v="5433"/>
    <n v="743"/>
    <n v="304"/>
    <n v="3424"/>
    <n v="0.13675685624884962"/>
    <x v="973"/>
    <n v="22.646029609690444"/>
    <n v="55.348684210526315"/>
    <n v="4.7557942340305255"/>
    <n v="0.2034945917033163"/>
    <s v="CL974"/>
    <x v="3"/>
    <x v="2"/>
    <n v="16826"/>
    <n v="1"/>
    <x v="2"/>
  </r>
  <r>
    <s v="C975"/>
    <x v="974"/>
    <d v="2024-02-10T10:35:25"/>
    <x v="0"/>
    <n v="145.19791666666424"/>
    <n v="5356"/>
    <x v="1"/>
    <n v="6493"/>
    <n v="1072"/>
    <n v="118"/>
    <n v="3135"/>
    <n v="0.16510087786847374"/>
    <x v="974"/>
    <n v="1.8320895522388059"/>
    <n v="16.64406779661017"/>
    <n v="0.36669156086631816"/>
    <n v="1.5962321792260692"/>
    <s v="CL975"/>
    <x v="2"/>
    <x v="1"/>
    <n v="1964"/>
    <n v="1"/>
    <x v="2"/>
  </r>
  <r>
    <s v="C976"/>
    <x v="975"/>
    <d v="2023-05-20T23:56:19"/>
    <x v="1"/>
    <n v="0"/>
    <n v="1535"/>
    <x v="2"/>
    <n v="9871"/>
    <n v="681"/>
    <n v="431"/>
    <n v="11832"/>
    <n v="6.8989970621011046E-2"/>
    <x v="975"/>
    <n v="2.707782672540382"/>
    <n v="4.2784222737819029"/>
    <n v="1.2013029315960913"/>
    <n v="6.4164859002169194"/>
    <s v="CL976"/>
    <x v="0"/>
    <x v="1"/>
    <n v="1844"/>
    <n v="1"/>
    <x v="2"/>
  </r>
  <r>
    <s v="C977"/>
    <x v="976"/>
    <d v="2024-08-07T07:03:57"/>
    <x v="0"/>
    <n v="194.02232638888381"/>
    <n v="3875"/>
    <x v="0"/>
    <n v="17034"/>
    <n v="1793"/>
    <n v="84"/>
    <n v="7283"/>
    <n v="0.10526006809909592"/>
    <x v="976"/>
    <n v="2.5013943112102623"/>
    <n v="53.392857142857146"/>
    <n v="1.1574193548387097"/>
    <n v="1.6238573021181717"/>
    <s v="CL977"/>
    <x v="0"/>
    <x v="0"/>
    <n v="4485"/>
    <n v="5"/>
    <x v="0"/>
  </r>
  <r>
    <s v="C978"/>
    <x v="977"/>
    <d v="2024-12-12T17:01:17"/>
    <x v="1"/>
    <n v="0"/>
    <n v="1013"/>
    <x v="3"/>
    <n v="14004"/>
    <n v="618"/>
    <n v="189"/>
    <n v="6577"/>
    <n v="4.4130248500428446E-2"/>
    <x v="977"/>
    <n v="30.542071197411005"/>
    <n v="99.867724867724874"/>
    <n v="18.632773938795655"/>
    <n v="0.34845033112582779"/>
    <s v="CL978"/>
    <x v="1"/>
    <x v="1"/>
    <n v="18875"/>
    <n v="2"/>
    <x v="1"/>
  </r>
  <r>
    <s v="C979"/>
    <x v="978"/>
    <d v="2023-11-23T12:49:04"/>
    <x v="1"/>
    <n v="0"/>
    <n v="2468"/>
    <x v="0"/>
    <n v="1866"/>
    <n v="501"/>
    <n v="37"/>
    <n v="6876"/>
    <n v="0.26848874598070738"/>
    <x v="978"/>
    <n v="28.606786427145707"/>
    <n v="387.35135135135135"/>
    <n v="5.8071312803889787"/>
    <n v="0.47976555958693834"/>
    <s v="CL979"/>
    <x v="2"/>
    <x v="1"/>
    <n v="14332"/>
    <n v="2"/>
    <x v="1"/>
  </r>
  <r>
    <s v="C980"/>
    <x v="979"/>
    <d v="2024-12-03T13:53:56"/>
    <x v="0"/>
    <n v="644.51649305555475"/>
    <n v="4597"/>
    <x v="1"/>
    <n v="5380"/>
    <n v="171"/>
    <n v="75"/>
    <n v="3503"/>
    <n v="3.1784386617100369E-2"/>
    <x v="979"/>
    <n v="34.192982456140349"/>
    <n v="77.959999999999994"/>
    <n v="1.2719164672612573"/>
    <n v="0.59911065503677097"/>
    <s v="CL980"/>
    <x v="4"/>
    <x v="1"/>
    <n v="5847"/>
    <n v="1"/>
    <x v="2"/>
  </r>
  <r>
    <s v="C981"/>
    <x v="980"/>
    <d v="2024-09-30T19:03:15"/>
    <x v="1"/>
    <n v="0"/>
    <n v="6797"/>
    <x v="0"/>
    <n v="2724"/>
    <n v="196"/>
    <n v="405"/>
    <n v="11028"/>
    <n v="7.1953010279001473E-2"/>
    <x v="980"/>
    <n v="18.596938775510203"/>
    <n v="9"/>
    <n v="0.53626599970575251"/>
    <n v="3.0255144032921812"/>
    <s v="CL981"/>
    <x v="1"/>
    <x v="2"/>
    <n v="3645"/>
    <n v="2"/>
    <x v="1"/>
  </r>
  <r>
    <s v="C982"/>
    <x v="981"/>
    <d v="2024-09-05T19:24:13"/>
    <x v="0"/>
    <n v="4.4309143518548808"/>
    <n v="9183"/>
    <x v="0"/>
    <n v="7299"/>
    <n v="495"/>
    <n v="303"/>
    <n v="6644"/>
    <n v="6.7817509247842175E-2"/>
    <x v="981"/>
    <n v="2.3737373737373737"/>
    <n v="3.8778877887788781"/>
    <n v="0.1279538277251443"/>
    <n v="5.6544680851063829"/>
    <s v="CL982"/>
    <x v="4"/>
    <x v="1"/>
    <n v="1175"/>
    <n v="4"/>
    <x v="0"/>
  </r>
  <r>
    <s v="C983"/>
    <x v="982"/>
    <d v="2023-03-19T19:50:48"/>
    <x v="0"/>
    <n v="17.837395833332266"/>
    <n v="5843"/>
    <x v="3"/>
    <n v="12133"/>
    <n v="680"/>
    <n v="470"/>
    <n v="6794"/>
    <n v="5.6045495755377893E-2"/>
    <x v="982"/>
    <n v="16.319117647058825"/>
    <n v="23.610638297872342"/>
    <n v="1.8991956186890295"/>
    <n v="0.61223754167793099"/>
    <s v="CL983"/>
    <x v="3"/>
    <x v="0"/>
    <n v="11097"/>
    <n v="1"/>
    <x v="2"/>
  </r>
  <r>
    <s v="C984"/>
    <x v="983"/>
    <d v="2023-11-04T01:40:36"/>
    <x v="1"/>
    <n v="0"/>
    <n v="8719"/>
    <x v="2"/>
    <n v="18623"/>
    <n v="1631"/>
    <n v="154"/>
    <n v="14213"/>
    <n v="8.7579874348923378E-2"/>
    <x v="983"/>
    <n v="9.3586756591048434"/>
    <n v="99.116883116883116"/>
    <n v="1.7506594792980847"/>
    <n v="0.93114517819706499"/>
    <s v="CL984"/>
    <x v="4"/>
    <x v="0"/>
    <n v="15264"/>
    <n v="3"/>
    <x v="1"/>
  </r>
  <r>
    <s v="C985"/>
    <x v="984"/>
    <d v="2023-10-08T03:54:05"/>
    <x v="0"/>
    <n v="196.64011574073811"/>
    <n v="4762"/>
    <x v="2"/>
    <n v="11616"/>
    <n v="423"/>
    <n v="458"/>
    <n v="5656"/>
    <n v="3.6415289256198344E-2"/>
    <x v="984"/>
    <n v="46.520094562647756"/>
    <n v="42.965065502183407"/>
    <n v="4.1322973540529189"/>
    <n v="0.2874275841040756"/>
    <s v="CL985"/>
    <x v="4"/>
    <x v="1"/>
    <n v="19678"/>
    <n v="3"/>
    <x v="1"/>
  </r>
  <r>
    <s v="C986"/>
    <x v="985"/>
    <d v="2023-08-27T16:38:58"/>
    <x v="1"/>
    <n v="0"/>
    <n v="5608"/>
    <x v="0"/>
    <n v="19372"/>
    <n v="464"/>
    <n v="319"/>
    <n v="9623"/>
    <n v="2.3952095808383235E-2"/>
    <x v="985"/>
    <n v="31.157327586206897"/>
    <n v="45.319749216300941"/>
    <n v="2.5779243937232525"/>
    <n v="0.66562910700698619"/>
    <s v="CL986"/>
    <x v="1"/>
    <x v="2"/>
    <n v="14457"/>
    <n v="4"/>
    <x v="0"/>
  </r>
  <r>
    <s v="C987"/>
    <x v="986"/>
    <d v="2024-12-19T10:55:25"/>
    <x v="1"/>
    <n v="0"/>
    <n v="9304"/>
    <x v="3"/>
    <n v="18798"/>
    <n v="1666"/>
    <n v="440"/>
    <n v="1720"/>
    <n v="8.8626449622300249E-2"/>
    <x v="986"/>
    <n v="9.6890756302521002"/>
    <n v="36.686363636363637"/>
    <n v="1.7349527085124679"/>
    <n v="0.10655433031842398"/>
    <s v="CL987"/>
    <x v="4"/>
    <x v="2"/>
    <n v="16142"/>
    <n v="3"/>
    <x v="1"/>
  </r>
  <r>
    <s v="C988"/>
    <x v="987"/>
    <d v="2024-10-14T02:23:42"/>
    <x v="1"/>
    <n v="0"/>
    <n v="1991"/>
    <x v="2"/>
    <n v="4157"/>
    <n v="824"/>
    <n v="448"/>
    <n v="4382"/>
    <n v="0.19821987009862882"/>
    <x v="987"/>
    <n v="12.706310679611651"/>
    <n v="23.370535714285715"/>
    <n v="5.2586639879457557"/>
    <n v="0.41852913085004778"/>
    <s v="CL988"/>
    <x v="0"/>
    <x v="0"/>
    <n v="10470"/>
    <n v="5"/>
    <x v="0"/>
  </r>
  <r>
    <s v="C989"/>
    <x v="988"/>
    <d v="2024-06-11T12:03:19"/>
    <x v="1"/>
    <n v="0"/>
    <n v="1657"/>
    <x v="2"/>
    <n v="2410"/>
    <n v="878"/>
    <n v="217"/>
    <n v="1760"/>
    <n v="0.36431535269709542"/>
    <x v="988"/>
    <n v="17.273348519362187"/>
    <n v="69.889400921658989"/>
    <n v="9.1526855763427886"/>
    <n v="0.11604905710141106"/>
    <s v="CL989"/>
    <x v="0"/>
    <x v="2"/>
    <n v="15166"/>
    <n v="3"/>
    <x v="1"/>
  </r>
  <r>
    <s v="C990"/>
    <x v="989"/>
    <d v="2023-11-23T06:05:49"/>
    <x v="1"/>
    <n v="0"/>
    <n v="8252"/>
    <x v="2"/>
    <n v="15303"/>
    <n v="910"/>
    <n v="188"/>
    <n v="12147"/>
    <n v="5.9465464288048095E-2"/>
    <x v="989"/>
    <n v="9.6417582417582413"/>
    <n v="46.670212765957444"/>
    <n v="1.0632573921473583"/>
    <n v="1.3844312742192844"/>
    <s v="CL990"/>
    <x v="2"/>
    <x v="1"/>
    <n v="8774"/>
    <n v="1"/>
    <x v="2"/>
  </r>
  <r>
    <s v="C991"/>
    <x v="990"/>
    <d v="2024-05-23T22:43:57"/>
    <x v="0"/>
    <n v="348.41078703703533"/>
    <n v="6409"/>
    <x v="3"/>
    <n v="10077"/>
    <n v="562"/>
    <n v="82"/>
    <n v="9215"/>
    <n v="5.5770566636895905E-2"/>
    <x v="990"/>
    <n v="24.092526690391459"/>
    <n v="165.1219512195122"/>
    <n v="2.1126540801997193"/>
    <n v="0.680576070901034"/>
    <s v="CL991"/>
    <x v="0"/>
    <x v="1"/>
    <n v="13540"/>
    <n v="3"/>
    <x v="1"/>
  </r>
  <r>
    <s v="C992"/>
    <x v="991"/>
    <d v="2023-05-04T10:52:37"/>
    <x v="0"/>
    <n v="62.693148148144246"/>
    <n v="5418"/>
    <x v="0"/>
    <n v="19273"/>
    <n v="1849"/>
    <n v="392"/>
    <n v="10558"/>
    <n v="9.5937321641674886E-2"/>
    <x v="991"/>
    <n v="7.2374256354786368"/>
    <n v="34.137755102040813"/>
    <n v="2.4699150978220747"/>
    <n v="0.78897025855626957"/>
    <s v="CL992"/>
    <x v="2"/>
    <x v="2"/>
    <n v="13382"/>
    <n v="3"/>
    <x v="1"/>
  </r>
  <r>
    <s v="C993"/>
    <x v="992"/>
    <d v="2024-12-10T18:58:49"/>
    <x v="1"/>
    <n v="0"/>
    <n v="5823"/>
    <x v="0"/>
    <n v="17533"/>
    <n v="1491"/>
    <n v="46"/>
    <n v="6095"/>
    <n v="8.5039639536873324E-2"/>
    <x v="992"/>
    <n v="13.166331321260898"/>
    <n v="426.76086956521738"/>
    <n v="3.3712862785505755"/>
    <n v="0.31047832509805917"/>
    <s v="CL993"/>
    <x v="1"/>
    <x v="2"/>
    <n v="19631"/>
    <n v="2"/>
    <x v="1"/>
  </r>
  <r>
    <s v="C994"/>
    <x v="993"/>
    <d v="2024-03-03T02:53:20"/>
    <x v="0"/>
    <n v="44.966932870374876"/>
    <n v="7378"/>
    <x v="3"/>
    <n v="1161"/>
    <n v="1455"/>
    <n v="331"/>
    <n v="4640"/>
    <n v="1.2532299741602067"/>
    <x v="993"/>
    <n v="1.5298969072164947"/>
    <n v="6.7250755287009065"/>
    <n v="0.301707779886148"/>
    <n v="2.0844564240790655"/>
    <s v="CL994"/>
    <x v="4"/>
    <x v="0"/>
    <n v="2226"/>
    <n v="5"/>
    <x v="0"/>
  </r>
  <r>
    <s v="C995"/>
    <x v="994"/>
    <d v="2023-10-29T04:56:37"/>
    <x v="1"/>
    <n v="0"/>
    <n v="3429"/>
    <x v="1"/>
    <n v="2738"/>
    <n v="519"/>
    <n v="215"/>
    <n v="9186"/>
    <n v="0.18955441928414901"/>
    <x v="994"/>
    <n v="37.657032755298651"/>
    <n v="90.902325581395345"/>
    <n v="5.6996208807232431"/>
    <n v="0.47001637331150226"/>
    <s v="CL995"/>
    <x v="2"/>
    <x v="2"/>
    <n v="19544"/>
    <n v="3"/>
    <x v="1"/>
  </r>
  <r>
    <s v="C996"/>
    <x v="995"/>
    <d v="2024-02-20T10:58:57"/>
    <x v="1"/>
    <n v="0"/>
    <n v="1828"/>
    <x v="3"/>
    <n v="14386"/>
    <n v="119"/>
    <n v="231"/>
    <n v="11362"/>
    <n v="8.2719310440706236E-3"/>
    <x v="995"/>
    <n v="6.117647058823529"/>
    <n v="3.1515151515151514"/>
    <n v="0.39824945295404812"/>
    <n v="15.607142857142858"/>
    <s v="CL996"/>
    <x v="3"/>
    <x v="2"/>
    <n v="728"/>
    <n v="1"/>
    <x v="2"/>
  </r>
  <r>
    <s v="C997"/>
    <x v="996"/>
    <d v="2023-04-23T20:11:08"/>
    <x v="0"/>
    <n v="3.6870023148148903"/>
    <n v="1022"/>
    <x v="3"/>
    <n v="8538"/>
    <n v="1621"/>
    <n v="491"/>
    <n v="11623"/>
    <n v="0.18985710939330053"/>
    <x v="996"/>
    <n v="2.9309068476249229"/>
    <n v="9.6761710794297358"/>
    <n v="4.6487279843444229"/>
    <n v="2.446432330035782"/>
    <s v="CL997"/>
    <x v="1"/>
    <x v="1"/>
    <n v="4751"/>
    <n v="1"/>
    <x v="2"/>
  </r>
  <r>
    <s v="C998"/>
    <x v="997"/>
    <d v="2024-06-15T11:36:55"/>
    <x v="0"/>
    <n v="450.04756944444671"/>
    <n v="4525"/>
    <x v="2"/>
    <n v="4533"/>
    <n v="1784"/>
    <n v="336"/>
    <n v="12056"/>
    <n v="0.39355834987866756"/>
    <x v="997"/>
    <n v="3.2757847533632285"/>
    <n v="17.392857142857142"/>
    <n v="1.2914917127071823"/>
    <n v="2.0629705681040384"/>
    <s v="CL998"/>
    <x v="4"/>
    <x v="2"/>
    <n v="5844"/>
    <n v="2"/>
    <x v="1"/>
  </r>
  <r>
    <s v="C999"/>
    <x v="998"/>
    <d v="2024-06-03T22:49:44"/>
    <x v="1"/>
    <n v="0"/>
    <n v="9095"/>
    <x v="3"/>
    <n v="12229"/>
    <n v="1978"/>
    <n v="481"/>
    <n v="2234"/>
    <n v="0.16174666775697114"/>
    <x v="998"/>
    <n v="0.67239635995955516"/>
    <n v="2.7650727650727651"/>
    <n v="0.1462341946124244"/>
    <n v="1.6796992481203008"/>
    <s v="CL999"/>
    <x v="0"/>
    <x v="1"/>
    <n v="1330"/>
    <n v="2"/>
    <x v="1"/>
  </r>
  <r>
    <s v="C1000"/>
    <x v="999"/>
    <d v="2024-02-02T00:04:12"/>
    <x v="0"/>
    <n v="148.69898148148059"/>
    <n v="4512"/>
    <x v="0"/>
    <n v="15344"/>
    <n v="169"/>
    <n v="286"/>
    <n v="12026"/>
    <n v="1.1014077163712201E-2"/>
    <x v="999"/>
    <n v="71.10650887573965"/>
    <n v="42.01748251748252"/>
    <n v="2.6633421985815602"/>
    <n v="1.000748939003079"/>
    <s v="CL1000"/>
    <x v="0"/>
    <x v="0"/>
    <n v="12017"/>
    <n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C001"/>
    <d v="2023-04-19T22:56:21"/>
    <d v="2024-02-15T11:43:27"/>
    <s v="Completed"/>
    <n v="301.53270833333227"/>
    <n v="3216"/>
    <s v="Adults 25-34"/>
    <n v="17862"/>
    <n v="1352"/>
    <n v="200"/>
    <n v="5912"/>
    <n v="7.5691411935953426E-2"/>
    <n v="0.14792899408284024"/>
    <n v="2.165680473372781"/>
    <n v="14.64"/>
    <n v="0.91044776119402981"/>
    <n v="2.0191256830601092"/>
    <s v="CL001"/>
    <x v="0"/>
    <s v="Medium"/>
    <n v="2928"/>
    <n v="5"/>
    <s v="High"/>
  </r>
  <r>
    <s v="C002"/>
    <d v="2023-08-23T07:38:51"/>
    <d v="2023-08-23T07:38:51"/>
    <s v="Ongoing"/>
    <n v="0"/>
    <n v="1702"/>
    <s v="Professionals 35-50"/>
    <n v="8625"/>
    <n v="181"/>
    <n v="51"/>
    <n v="10101"/>
    <n v="2.0985507246376812E-2"/>
    <n v="0.28176795580110497"/>
    <n v="9.0718232044198892"/>
    <n v="32.196078431372548"/>
    <n v="0.96474735605170392"/>
    <n v="6.1516443361753961"/>
    <s v="CL002"/>
    <x v="1"/>
    <s v="Medium"/>
    <n v="1642"/>
    <n v="2"/>
    <s v="Medium"/>
  </r>
  <r>
    <s v="C003"/>
    <d v="2023-03-22T11:56:35"/>
    <d v="2024-12-22T16:29:11"/>
    <s v="Completed"/>
    <n v="641.18930555555562"/>
    <n v="1665"/>
    <s v="Adults 25-34"/>
    <n v="10136"/>
    <n v="1703"/>
    <n v="386"/>
    <n v="3148"/>
    <n v="0.1680149960536701"/>
    <n v="0.22665883734586026"/>
    <n v="10.540810334703464"/>
    <n v="46.505181347150256"/>
    <n v="10.781381381381381"/>
    <n v="0.17536627485933931"/>
    <s v="CL003"/>
    <x v="2"/>
    <s v="Medium"/>
    <n v="17951"/>
    <n v="4"/>
    <s v="High"/>
  </r>
  <r>
    <s v="C004"/>
    <d v="2024-05-09T09:29:28"/>
    <d v="2024-05-09T09:29:28"/>
    <s v="Ongoing"/>
    <n v="0"/>
    <n v="2883"/>
    <s v="Professionals 35-50"/>
    <n v="7926"/>
    <n v="1726"/>
    <n v="84"/>
    <n v="2137"/>
    <n v="0.21776431995962656"/>
    <n v="4.8667439165701043E-2"/>
    <n v="7.5150637311703363"/>
    <n v="154.41666666666666"/>
    <n v="4.4991328477280614"/>
    <n v="0.16475213938786523"/>
    <s v="CL004"/>
    <x v="0"/>
    <s v="Small"/>
    <n v="12971"/>
    <n v="4"/>
    <s v="High"/>
  </r>
  <r>
    <s v="C005"/>
    <d v="2023-07-22T13:42:06"/>
    <d v="2024-11-10T14:52:20"/>
    <s v="Completed"/>
    <n v="477.04877314814803"/>
    <n v="9896"/>
    <s v="Adults 25-34"/>
    <n v="15176"/>
    <n v="1603"/>
    <n v="499"/>
    <n v="11513"/>
    <n v="0.10562730627306273"/>
    <n v="0.31129132875857768"/>
    <n v="1.8041172800998129"/>
    <n v="5.7955911823647295"/>
    <n v="0.29223928860145515"/>
    <n v="3.9809820193637622"/>
    <s v="CL005"/>
    <x v="3"/>
    <s v="Medium"/>
    <n v="2892"/>
    <n v="4"/>
    <s v="High"/>
  </r>
  <r>
    <s v="C006"/>
    <d v="2024-12-27T08:38:10"/>
    <d v="2024-12-27T08:38:10"/>
    <s v="Ongoing"/>
    <n v="0"/>
    <n v="6576"/>
    <s v="Adults 25-34"/>
    <n v="14195"/>
    <n v="1340"/>
    <n v="128"/>
    <n v="1074"/>
    <n v="9.4399436421275101E-2"/>
    <n v="9.5522388059701493E-2"/>
    <n v="12.394029850746268"/>
    <n v="129.75"/>
    <n v="2.5255474452554743"/>
    <n v="6.4667630057803474E-2"/>
    <s v="CL006"/>
    <x v="3"/>
    <s v="Small"/>
    <n v="16608"/>
    <n v="2"/>
    <s v="Medium"/>
  </r>
  <r>
    <s v="C007"/>
    <d v="2023-04-18T21:03:25"/>
    <d v="2024-01-28T06:43:16"/>
    <s v="Completed"/>
    <n v="284.40267361111182"/>
    <n v="2580"/>
    <s v="Adults 25-34"/>
    <n v="6310"/>
    <n v="664"/>
    <n v="424"/>
    <n v="7255"/>
    <n v="0.105229793977813"/>
    <n v="0.63855421686746983"/>
    <n v="2.7379518072289155"/>
    <n v="4.2877358490566042"/>
    <n v="0.70465116279069773"/>
    <n v="3.9906490649064907"/>
    <s v="CL007"/>
    <x v="4"/>
    <s v="Small"/>
    <n v="1818"/>
    <n v="2"/>
    <s v="Medium"/>
  </r>
  <r>
    <s v="C008"/>
    <d v="2024-04-10T16:42:06"/>
    <d v="2024-04-10T16:42:06"/>
    <s v="Ongoing"/>
    <n v="0"/>
    <n v="8487"/>
    <s v="Youths 18-24"/>
    <n v="3619"/>
    <n v="395"/>
    <n v="329"/>
    <n v="6899"/>
    <n v="0.10914617297596022"/>
    <n v="0.83291139240506329"/>
    <n v="23.703797468354431"/>
    <n v="28.458966565349545"/>
    <n v="1.1032166843407565"/>
    <n v="0.73683648403289548"/>
    <s v="CL008"/>
    <x v="2"/>
    <s v="Small"/>
    <n v="9363"/>
    <n v="1"/>
    <s v="Low"/>
  </r>
  <r>
    <s v="C009"/>
    <d v="2023-07-09T11:59:33"/>
    <d v="2024-04-25T01:51:52"/>
    <s v="Completed"/>
    <n v="290.57799768518453"/>
    <n v="2452"/>
    <s v="Professionals 35-50"/>
    <n v="2749"/>
    <n v="1229"/>
    <n v="163"/>
    <n v="4265"/>
    <n v="0.44707166242269919"/>
    <n v="0.13262815296989422"/>
    <n v="14.959316517493898"/>
    <n v="112.79141104294479"/>
    <n v="7.4979608482871125"/>
    <n v="0.23198259450639108"/>
    <s v="CL009"/>
    <x v="2"/>
    <s v="Medium"/>
    <n v="18385"/>
    <n v="4"/>
    <s v="High"/>
  </r>
  <r>
    <s v="C010"/>
    <d v="2024-04-01T10:40:37"/>
    <d v="2024-04-01T10:40:37"/>
    <s v="Ongoing"/>
    <n v="0"/>
    <n v="2112"/>
    <s v="Professionals 35-50"/>
    <n v="18727"/>
    <n v="1018"/>
    <n v="179"/>
    <n v="671"/>
    <n v="5.436001495167405E-2"/>
    <n v="0.17583497053045186"/>
    <n v="18.390962671905697"/>
    <n v="104.59217877094972"/>
    <n v="8.8645833333333339"/>
    <n v="3.5840188014101056E-2"/>
    <s v="CL010"/>
    <x v="2"/>
    <s v="Medium"/>
    <n v="18722"/>
    <n v="5"/>
    <s v="High"/>
  </r>
  <r>
    <s v="C011"/>
    <d v="2023-06-26T12:33:51"/>
    <d v="2024-03-07T17:00:05"/>
    <s v="Completed"/>
    <n v="255.18488425925898"/>
    <n v="5739"/>
    <s v="Professionals 35-50"/>
    <n v="10638"/>
    <n v="1902"/>
    <n v="446"/>
    <n v="4312"/>
    <n v="0.17879300620417371"/>
    <n v="0.23449001051524712"/>
    <n v="2.0893796004206098"/>
    <n v="8.9103139013452921"/>
    <n v="0.69245513155602023"/>
    <n v="1.0850528434826372"/>
    <s v="CL011"/>
    <x v="0"/>
    <s v="Large"/>
    <n v="3974"/>
    <n v="4"/>
    <s v="High"/>
  </r>
  <r>
    <s v="C012"/>
    <d v="2023-10-15T22:22:58"/>
    <d v="2023-11-26T18:06:50"/>
    <s v="Completed"/>
    <n v="41.8221296296324"/>
    <n v="8988"/>
    <s v="Professionals 35-50"/>
    <n v="1787"/>
    <n v="1527"/>
    <n v="103"/>
    <n v="7600"/>
    <n v="0.85450475657526581"/>
    <n v="6.7452521283562536E-2"/>
    <n v="8.4014407334643089"/>
    <n v="124.55339805825243"/>
    <n v="1.4273475745438362"/>
    <n v="0.5924078260191753"/>
    <s v="CL012"/>
    <x v="2"/>
    <s v="Medium"/>
    <n v="12829"/>
    <n v="1"/>
    <s v="Low"/>
  </r>
  <r>
    <s v="C013"/>
    <d v="2024-07-28T04:47:12"/>
    <d v="2024-07-28T04:47:12"/>
    <s v="Ongoing"/>
    <n v="0"/>
    <n v="8686"/>
    <s v="Adults 25-34"/>
    <n v="13836"/>
    <n v="1032"/>
    <n v="135"/>
    <n v="9430"/>
    <n v="7.4588031222896797E-2"/>
    <n v="0.1308139534883721"/>
    <n v="1.8914728682170543"/>
    <n v="14.459259259259259"/>
    <n v="0.22472944968915495"/>
    <n v="4.8309426229508201"/>
    <s v="CL013"/>
    <x v="4"/>
    <s v="Medium"/>
    <n v="1952"/>
    <n v="2"/>
    <s v="Medium"/>
  </r>
  <r>
    <s v="C014"/>
    <d v="2023-10-06T23:51:43"/>
    <d v="2024-01-14T19:59:46"/>
    <s v="Completed"/>
    <n v="99.838923611110658"/>
    <n v="1141"/>
    <s v="Adults 25-34"/>
    <n v="16637"/>
    <n v="1223"/>
    <n v="332"/>
    <n v="10732"/>
    <n v="7.3510849311774956E-2"/>
    <n v="0.27146361406377761"/>
    <n v="8.6573998364677021"/>
    <n v="31.891566265060241"/>
    <n v="9.2795793163891318"/>
    <n v="1.0136003022289384"/>
    <s v="CL014"/>
    <x v="0"/>
    <s v="Large"/>
    <n v="10588"/>
    <n v="3"/>
    <s v="Medium"/>
  </r>
  <r>
    <s v="C015"/>
    <d v="2024-06-20T18:01:59"/>
    <d v="2024-09-04T12:51:53"/>
    <s v="Completed"/>
    <n v="75.784652777772862"/>
    <n v="2097"/>
    <s v="Parents 30-40"/>
    <n v="9164"/>
    <n v="601"/>
    <n v="271"/>
    <n v="11325"/>
    <n v="6.5582714971628112E-2"/>
    <n v="0.45091514143094841"/>
    <n v="15.668885191347753"/>
    <n v="34.749077490774908"/>
    <n v="4.4907010014306152"/>
    <n v="1.2026122969098438"/>
    <s v="CL015"/>
    <x v="3"/>
    <s v="Large"/>
    <n v="9417"/>
    <n v="4"/>
    <s v="High"/>
  </r>
  <r>
    <s v="C016"/>
    <d v="2024-07-14T13:40:46"/>
    <d v="2024-08-02T13:34:54"/>
    <s v="Completed"/>
    <n v="18.995925925926713"/>
    <n v="1860"/>
    <s v="Youths 18-24"/>
    <n v="17013"/>
    <n v="1737"/>
    <n v="409"/>
    <n v="10043"/>
    <n v="0.10209839534473637"/>
    <n v="0.23546344271732872"/>
    <n v="9.0725388601036272"/>
    <n v="38.530562347188265"/>
    <n v="8.4725806451612904"/>
    <n v="0.63728662986230089"/>
    <s v="CL016"/>
    <x v="3"/>
    <s v="Small"/>
    <n v="15759"/>
    <n v="1"/>
    <s v="Low"/>
  </r>
  <r>
    <s v="C017"/>
    <d v="2023-01-25T14:40:45"/>
    <d v="2023-12-23T04:07:58"/>
    <s v="Completed"/>
    <n v="331.56056712963618"/>
    <n v="2969"/>
    <s v="Youths 18-24"/>
    <n v="2652"/>
    <n v="237"/>
    <n v="303"/>
    <n v="13662"/>
    <n v="8.9366515837104074E-2"/>
    <n v="1.2784810126582278"/>
    <n v="60.801687763713083"/>
    <n v="47.557755775577554"/>
    <n v="4.8534860222297072"/>
    <n v="0.94809160305343509"/>
    <s v="CL017"/>
    <x v="1"/>
    <s v="Large"/>
    <n v="14410"/>
    <n v="4"/>
    <s v="High"/>
  </r>
  <r>
    <s v="C018"/>
    <d v="2024-06-24T22:26:16"/>
    <d v="2024-06-24T22:26:16"/>
    <s v="Ongoing"/>
    <n v="0"/>
    <n v="7893"/>
    <s v="Parents 30-40"/>
    <n v="14819"/>
    <n v="1091"/>
    <n v="143"/>
    <n v="1597"/>
    <n v="7.3621701869221942E-2"/>
    <n v="0.13107241063244729"/>
    <n v="1.3519706691109075"/>
    <n v="10.314685314685315"/>
    <n v="0.18687444571138984"/>
    <n v="1.0827118644067797"/>
    <s v="CL018"/>
    <x v="0"/>
    <s v="Medium"/>
    <n v="1475"/>
    <n v="2"/>
    <s v="Medium"/>
  </r>
  <r>
    <s v="C019"/>
    <d v="2023-03-18T14:01:35"/>
    <d v="2024-05-02T08:00:52"/>
    <s v="Completed"/>
    <n v="410.74950231481489"/>
    <n v="1624"/>
    <s v="Professionals 35-50"/>
    <n v="19892"/>
    <n v="633"/>
    <n v="483"/>
    <n v="4694"/>
    <n v="3.1821837924793886E-2"/>
    <n v="0.76303317535545023"/>
    <n v="11.898894154818326"/>
    <n v="15.594202898550725"/>
    <n v="4.6379310344827589"/>
    <n v="0.62320764737121614"/>
    <s v="CL019"/>
    <x v="4"/>
    <s v="Small"/>
    <n v="7532"/>
    <n v="1"/>
    <s v="Low"/>
  </r>
  <r>
    <s v="C020"/>
    <d v="2023-06-30T23:49:37"/>
    <d v="2024-06-29T15:26:12"/>
    <s v="Completed"/>
    <n v="364.65040509258688"/>
    <n v="1950"/>
    <s v="Professionals 35-50"/>
    <n v="10576"/>
    <n v="1808"/>
    <n v="96"/>
    <n v="8192"/>
    <n v="0.17095310136157338"/>
    <n v="5.3097345132743362E-2"/>
    <n v="8.3871681415929196"/>
    <n v="157.95833333333334"/>
    <n v="7.7764102564102568"/>
    <n v="0.54022685307306784"/>
    <s v="CL020"/>
    <x v="4"/>
    <s v="Small"/>
    <n v="15164"/>
    <n v="1"/>
    <s v="Low"/>
  </r>
  <r>
    <s v="C021"/>
    <d v="2024-01-14T15:17:40"/>
    <d v="2024-01-14T15:17:40"/>
    <s v="Ongoing"/>
    <n v="0"/>
    <n v="1704"/>
    <s v="Parents 30-40"/>
    <n v="3050"/>
    <n v="1811"/>
    <n v="249"/>
    <n v="836"/>
    <n v="0.59377049180327868"/>
    <n v="0.13749309773605742"/>
    <n v="3.962451684152402"/>
    <n v="28.819277108433734"/>
    <n v="4.211267605633803"/>
    <n v="0.1164994425863991"/>
    <s v="CL021"/>
    <x v="2"/>
    <s v="Medium"/>
    <n v="7176"/>
    <n v="2"/>
    <s v="Medium"/>
  </r>
  <r>
    <s v="C022"/>
    <d v="2024-05-30T21:44:09"/>
    <d v="2024-05-30T21:44:09"/>
    <s v="Ongoing"/>
    <n v="0"/>
    <n v="5600"/>
    <s v="Youths 18-24"/>
    <n v="13567"/>
    <n v="1671"/>
    <n v="174"/>
    <n v="13357"/>
    <n v="0.12316650696543083"/>
    <n v="0.10412926391382406"/>
    <n v="11.533812088569718"/>
    <n v="110.76436781609195"/>
    <n v="3.4416071428571429"/>
    <n v="0.69304207959321329"/>
    <s v="CL022"/>
    <x v="4"/>
    <s v="Medium"/>
    <n v="19273"/>
    <n v="4"/>
    <s v="High"/>
  </r>
  <r>
    <s v="C023"/>
    <d v="2023-06-14T23:29:23"/>
    <d v="2024-12-29T07:09:02"/>
    <s v="Completed"/>
    <n v="563.31920138889109"/>
    <n v="6106"/>
    <s v="Professionals 35-50"/>
    <n v="19338"/>
    <n v="1514"/>
    <n v="385"/>
    <n v="6256"/>
    <n v="7.8291446892129482E-2"/>
    <n v="0.25429326287978865"/>
    <n v="3.2780713342140024"/>
    <n v="12.890909090909091"/>
    <n v="0.81280707500818872"/>
    <n v="1.2605279065081605"/>
    <s v="CL023"/>
    <x v="1"/>
    <s v="Medium"/>
    <n v="4963"/>
    <n v="2"/>
    <s v="Medium"/>
  </r>
  <r>
    <s v="C024"/>
    <d v="2024-07-14T02:30:52"/>
    <d v="2024-10-23T05:45:16"/>
    <s v="Completed"/>
    <n v="101.13500000000204"/>
    <n v="6528"/>
    <s v="Adults 25-34"/>
    <n v="14851"/>
    <n v="1892"/>
    <n v="344"/>
    <n v="13299"/>
    <n v="0.12739882836172647"/>
    <n v="0.18181818181818182"/>
    <n v="3.3705073995771668"/>
    <n v="18.537790697674417"/>
    <n v="0.97686887254901966"/>
    <n v="2.0854633840363808"/>
    <s v="CL024"/>
    <x v="4"/>
    <s v="Large"/>
    <n v="6377"/>
    <n v="4"/>
    <s v="High"/>
  </r>
  <r>
    <s v="C025"/>
    <d v="2023-03-15T12:28:15"/>
    <d v="2023-10-26T11:49:23"/>
    <s v="Completed"/>
    <n v="224.97300925925811"/>
    <n v="6053"/>
    <s v="Parents 30-40"/>
    <n v="13853"/>
    <n v="1010"/>
    <n v="368"/>
    <n v="1838"/>
    <n v="7.2908395293438247E-2"/>
    <n v="0.36435643564356435"/>
    <n v="16.016831683168316"/>
    <n v="43.959239130434781"/>
    <n v="2.6725590616223363"/>
    <n v="0.11361809977128021"/>
    <s v="CL025"/>
    <x v="3"/>
    <s v="Medium"/>
    <n v="16177"/>
    <n v="1"/>
    <s v="Low"/>
  </r>
  <r>
    <s v="C026"/>
    <d v="2023-05-17T04:03:22"/>
    <d v="2023-07-08T02:15:59"/>
    <s v="Completed"/>
    <n v="51.925428240741894"/>
    <n v="4549"/>
    <s v="Adults 25-34"/>
    <n v="6912"/>
    <n v="1739"/>
    <n v="287"/>
    <n v="11590"/>
    <n v="0.25159143518518517"/>
    <n v="0.16503737780333524"/>
    <n v="6.2524439332949973"/>
    <n v="37.88501742160279"/>
    <n v="2.3901956473950321"/>
    <n v="1.0659431619608204"/>
    <s v="CL026"/>
    <x v="4"/>
    <s v="Medium"/>
    <n v="10873"/>
    <n v="3"/>
    <s v="Medium"/>
  </r>
  <r>
    <s v="C027"/>
    <d v="2024-09-23T18:03:38"/>
    <d v="2024-09-23T18:03:38"/>
    <s v="Ongoing"/>
    <n v="0"/>
    <n v="6545"/>
    <s v="Youths 18-24"/>
    <n v="1735"/>
    <n v="1304"/>
    <n v="177"/>
    <n v="8444"/>
    <n v="0.75158501440922187"/>
    <n v="0.1357361963190184"/>
    <n v="2.5030674846625769"/>
    <n v="18.440677966101696"/>
    <n v="0.4987012987012987"/>
    <n v="2.5870098039215685"/>
    <s v="CL027"/>
    <x v="1"/>
    <s v="Small"/>
    <n v="3264"/>
    <n v="5"/>
    <s v="High"/>
  </r>
  <r>
    <s v="C028"/>
    <d v="2023-09-30T02:43:08"/>
    <d v="2023-09-30T02:43:08"/>
    <s v="Ongoing"/>
    <n v="0"/>
    <n v="1092"/>
    <s v="Professionals 35-50"/>
    <n v="4713"/>
    <n v="320"/>
    <n v="184"/>
    <n v="11643"/>
    <n v="6.7897305325694893E-2"/>
    <n v="0.57499999999999996"/>
    <n v="7.2125000000000004"/>
    <n v="12.543478260869565"/>
    <n v="2.1135531135531136"/>
    <n v="5.0446273830155981"/>
    <s v="CL028"/>
    <x v="1"/>
    <s v="Medium"/>
    <n v="2308"/>
    <n v="3"/>
    <s v="Medium"/>
  </r>
  <r>
    <s v="C029"/>
    <d v="2024-02-01T07:16:13"/>
    <d v="2024-12-10T16:13:58"/>
    <s v="Completed"/>
    <n v="313.37343749999854"/>
    <n v="4780"/>
    <s v="Adults 25-34"/>
    <n v="3644"/>
    <n v="1208"/>
    <n v="251"/>
    <n v="14695"/>
    <n v="0.33150384193194293"/>
    <n v="0.20778145695364239"/>
    <n v="4.0778145695364234"/>
    <n v="19.625498007968126"/>
    <n v="1.0305439330543933"/>
    <n v="2.9831506293138448"/>
    <s v="CL029"/>
    <x v="0"/>
    <s v="Medium"/>
    <n v="4926"/>
    <n v="5"/>
    <s v="High"/>
  </r>
  <r>
    <s v="C030"/>
    <d v="2023-06-13T00:17:59"/>
    <d v="2024-03-04T17:54:35"/>
    <s v="Completed"/>
    <n v="265.73374999999942"/>
    <n v="7056"/>
    <s v="Youths 18-24"/>
    <n v="9331"/>
    <n v="153"/>
    <n v="282"/>
    <n v="7872"/>
    <n v="1.639695638195263E-2"/>
    <n v="1.8431372549019607"/>
    <n v="5.8692810457516336"/>
    <n v="3.1843971631205674"/>
    <n v="0.12726757369614514"/>
    <n v="8.7661469933184861"/>
    <s v="CL030"/>
    <x v="3"/>
    <s v="Small"/>
    <n v="898"/>
    <n v="5"/>
    <s v="High"/>
  </r>
  <r>
    <s v="C031"/>
    <d v="2024-05-09T10:57:39"/>
    <d v="2024-05-09T10:57:39"/>
    <s v="Ongoing"/>
    <n v="0"/>
    <n v="7807"/>
    <s v="Adults 25-34"/>
    <n v="4416"/>
    <n v="922"/>
    <n v="470"/>
    <n v="4232"/>
    <n v="0.20878623188405798"/>
    <n v="0.50976138828633411"/>
    <n v="12.951193058568331"/>
    <n v="25.406382978723403"/>
    <n v="1.529524785448956"/>
    <n v="0.35440917846076542"/>
    <s v="CL031"/>
    <x v="2"/>
    <s v="Medium"/>
    <n v="11941"/>
    <n v="1"/>
    <s v="Low"/>
  </r>
  <r>
    <s v="C032"/>
    <d v="2024-04-16T01:29:58"/>
    <d v="2024-04-16T01:29:58"/>
    <s v="Ongoing"/>
    <n v="0"/>
    <n v="9746"/>
    <s v="Parents 30-40"/>
    <n v="1611"/>
    <n v="1430"/>
    <n v="368"/>
    <n v="6214"/>
    <n v="0.88764742396027307"/>
    <n v="0.25734265734265732"/>
    <n v="3.6923076923076925"/>
    <n v="14.347826086956522"/>
    <n v="0.54176072234762984"/>
    <n v="1.1768939393939395"/>
    <s v="CL032"/>
    <x v="4"/>
    <s v="Large"/>
    <n v="5280"/>
    <n v="1"/>
    <s v="Low"/>
  </r>
  <r>
    <s v="C033"/>
    <d v="2023-01-12T09:51:32"/>
    <d v="2024-01-20T14:18:51"/>
    <s v="Completed"/>
    <n v="373.18563657407503"/>
    <n v="5215"/>
    <s v="Professionals 35-50"/>
    <n v="2584"/>
    <n v="182"/>
    <n v="192"/>
    <n v="14543"/>
    <n v="7.0433436532507734E-2"/>
    <n v="1.054945054945055"/>
    <n v="40.57692307692308"/>
    <n v="38.463541666666664"/>
    <n v="1.4161073825503356"/>
    <n v="1.9692620176032498"/>
    <s v="CL033"/>
    <x v="1"/>
    <s v="Small"/>
    <n v="7385"/>
    <n v="5"/>
    <s v="High"/>
  </r>
  <r>
    <s v="C034"/>
    <d v="2024-11-21T01:45:23"/>
    <d v="2024-11-21T01:45:23"/>
    <s v="Ongoing"/>
    <n v="0"/>
    <n v="9587"/>
    <s v="Professionals 35-50"/>
    <n v="16932"/>
    <n v="1105"/>
    <n v="97"/>
    <n v="4456"/>
    <n v="6.5261044176706834E-2"/>
    <n v="8.7782805429864247E-2"/>
    <n v="10.109502262443439"/>
    <n v="115.16494845360825"/>
    <n v="1.1652237404819026"/>
    <n v="0.39888998299167489"/>
    <s v="CL034"/>
    <x v="3"/>
    <s v="Medium"/>
    <n v="11171"/>
    <n v="3"/>
    <s v="Medium"/>
  </r>
  <r>
    <s v="C035"/>
    <d v="2023-08-17T10:21:21"/>
    <d v="2023-08-17T10:21:21"/>
    <s v="Ongoing"/>
    <n v="0"/>
    <n v="5625"/>
    <s v="Professionals 35-50"/>
    <n v="18293"/>
    <n v="359"/>
    <n v="330"/>
    <n v="9099"/>
    <n v="1.962499316678511E-2"/>
    <n v="0.91922005571030641"/>
    <n v="54.902506963788298"/>
    <n v="59.727272727272727"/>
    <n v="3.504"/>
    <n v="0.46164383561643835"/>
    <s v="CL035"/>
    <x v="0"/>
    <s v="Medium"/>
    <n v="19710"/>
    <n v="2"/>
    <s v="Medium"/>
  </r>
  <r>
    <s v="C036"/>
    <d v="2023-10-04T11:03:02"/>
    <d v="2024-03-16T02:59:18"/>
    <s v="Completed"/>
    <n v="163.66407407407678"/>
    <n v="3366"/>
    <s v="Parents 30-40"/>
    <n v="15705"/>
    <n v="381"/>
    <n v="240"/>
    <n v="875"/>
    <n v="2.425978987583572E-2"/>
    <n v="0.62992125984251968"/>
    <n v="41.897637795275593"/>
    <n v="66.512500000000003"/>
    <n v="4.7424242424242422"/>
    <n v="5.4814257971559234E-2"/>
    <s v="CL036"/>
    <x v="2"/>
    <s v="Medium"/>
    <n v="15963"/>
    <n v="3"/>
    <s v="Medium"/>
  </r>
  <r>
    <s v="C037"/>
    <d v="2023-04-27T12:56:10"/>
    <d v="2024-09-09T08:36:30"/>
    <s v="Completed"/>
    <n v="500.81967592592264"/>
    <n v="9689"/>
    <s v="Parents 30-40"/>
    <n v="4059"/>
    <n v="984"/>
    <n v="267"/>
    <n v="3568"/>
    <n v="0.24242424242424243"/>
    <n v="0.27134146341463417"/>
    <n v="9.0243902439024382"/>
    <n v="33.258426966292134"/>
    <n v="0.91650325110950559"/>
    <n v="0.40180180180180181"/>
    <s v="CL037"/>
    <x v="1"/>
    <s v="Small"/>
    <n v="8880"/>
    <n v="2"/>
    <s v="Medium"/>
  </r>
  <r>
    <s v="C038"/>
    <d v="2024-04-14T12:04:57"/>
    <d v="2024-08-29T16:07:45"/>
    <s v="Completed"/>
    <n v="137.16861111110484"/>
    <n v="5201"/>
    <s v="Adults 25-34"/>
    <n v="16403"/>
    <n v="447"/>
    <n v="437"/>
    <n v="8058"/>
    <n v="2.7251112601353412E-2"/>
    <n v="0.97762863534675615"/>
    <n v="29.029082774049218"/>
    <n v="29.693363844393591"/>
    <n v="2.4949048259950009"/>
    <n v="0.62099260172626392"/>
    <s v="CL038"/>
    <x v="2"/>
    <s v="Small"/>
    <n v="12976"/>
    <n v="5"/>
    <s v="High"/>
  </r>
  <r>
    <s v="C039"/>
    <d v="2024-09-08T19:48:46"/>
    <d v="2024-09-08T19:48:46"/>
    <s v="Ongoing"/>
    <n v="0"/>
    <n v="4944"/>
    <s v="Professionals 35-50"/>
    <n v="11642"/>
    <n v="302"/>
    <n v="146"/>
    <n v="5588"/>
    <n v="2.5940560041230028E-2"/>
    <n v="0.48344370860927155"/>
    <n v="10.235099337748345"/>
    <n v="21.171232876712327"/>
    <n v="0.62520226537216828"/>
    <n v="1.8078291814946619"/>
    <s v="CL039"/>
    <x v="1"/>
    <s v="Small"/>
    <n v="3091"/>
    <n v="4"/>
    <s v="High"/>
  </r>
  <r>
    <s v="C040"/>
    <d v="2023-11-13T07:43:56"/>
    <d v="2024-12-21T07:52:18"/>
    <s v="Completed"/>
    <n v="404.00581018518278"/>
    <n v="2196"/>
    <s v="Parents 30-40"/>
    <n v="12915"/>
    <n v="1174"/>
    <n v="145"/>
    <n v="14307"/>
    <n v="9.0902051877661635E-2"/>
    <n v="0.12350936967632027"/>
    <n v="12.420783645655877"/>
    <n v="100.56551724137931"/>
    <n v="6.6402550091074684"/>
    <n v="0.98114113290357974"/>
    <s v="CL040"/>
    <x v="1"/>
    <s v="Large"/>
    <n v="14582"/>
    <n v="3"/>
    <s v="Medium"/>
  </r>
  <r>
    <s v="C041"/>
    <d v="2024-11-01T07:39:39"/>
    <d v="2024-11-01T07:39:39"/>
    <s v="Ongoing"/>
    <n v="0"/>
    <n v="7885"/>
    <s v="Professionals 35-50"/>
    <n v="1511"/>
    <n v="196"/>
    <n v="459"/>
    <n v="4173"/>
    <n v="0.12971542025148908"/>
    <n v="2.3418367346938775"/>
    <n v="17.877551020408163"/>
    <n v="7.6339869281045756"/>
    <n v="0.44438807863031071"/>
    <n v="1.1909246575342465"/>
    <s v="CL041"/>
    <x v="2"/>
    <s v="Small"/>
    <n v="3504"/>
    <n v="5"/>
    <s v="High"/>
  </r>
  <r>
    <s v="C042"/>
    <d v="2024-08-15T09:39:18"/>
    <d v="2024-08-15T09:39:18"/>
    <s v="Ongoing"/>
    <n v="0"/>
    <n v="9316"/>
    <s v="Adults 25-34"/>
    <n v="9370"/>
    <n v="1824"/>
    <n v="377"/>
    <n v="4251"/>
    <n v="0.19466382070437566"/>
    <n v="0.20668859649122806"/>
    <n v="8.6951754385964914"/>
    <n v="42.068965517241381"/>
    <n v="1.7024474023185916"/>
    <n v="0.2680327868852459"/>
    <s v="CL042"/>
    <x v="4"/>
    <s v="Large"/>
    <n v="15860"/>
    <n v="2"/>
    <s v="Medium"/>
  </r>
  <r>
    <s v="C043"/>
    <d v="2024-10-04T06:28:20"/>
    <d v="2024-10-04T06:28:20"/>
    <s v="Ongoing"/>
    <n v="0"/>
    <n v="7090"/>
    <s v="Parents 30-40"/>
    <n v="19404"/>
    <n v="207"/>
    <n v="61"/>
    <n v="11931"/>
    <n v="1.0667903525046383E-2"/>
    <n v="0.29468599033816423"/>
    <n v="92.787439613526573"/>
    <n v="314.86885245901641"/>
    <n v="2.7090267983074754"/>
    <n v="0.62117977820586245"/>
    <s v="CL043"/>
    <x v="2"/>
    <s v="Small"/>
    <n v="19207"/>
    <n v="2"/>
    <s v="Medium"/>
  </r>
  <r>
    <s v="C044"/>
    <d v="2023-06-12T21:28:02"/>
    <d v="2024-04-29T10:27:14"/>
    <s v="Completed"/>
    <n v="321.54111111110979"/>
    <n v="9579"/>
    <s v="Youths 18-24"/>
    <n v="1899"/>
    <n v="603"/>
    <n v="486"/>
    <n v="5661"/>
    <n v="0.31753554502369669"/>
    <n v="0.80597014925373134"/>
    <n v="9.0497512437810954"/>
    <n v="11.228395061728396"/>
    <n v="0.56968368305668649"/>
    <n v="1.0373831775700935"/>
    <s v="CL044"/>
    <x v="0"/>
    <s v="Large"/>
    <n v="5457"/>
    <n v="5"/>
    <s v="High"/>
  </r>
  <r>
    <s v="C045"/>
    <d v="2024-06-07T21:28:43"/>
    <d v="2024-06-07T21:28:43"/>
    <s v="Ongoing"/>
    <n v="0"/>
    <n v="1701"/>
    <s v="Youths 18-24"/>
    <n v="12620"/>
    <n v="588"/>
    <n v="116"/>
    <n v="13139"/>
    <n v="4.6592709984152138E-2"/>
    <n v="0.19727891156462585"/>
    <n v="22.945578231292519"/>
    <n v="116.31034482758621"/>
    <n v="7.93180482069371"/>
    <n v="0.97383634746516456"/>
    <s v="CL045"/>
    <x v="0"/>
    <s v="Medium"/>
    <n v="13492"/>
    <n v="5"/>
    <s v="High"/>
  </r>
  <r>
    <s v="C046"/>
    <d v="2024-10-05T09:36:11"/>
    <d v="2024-10-05T09:36:11"/>
    <s v="Ongoing"/>
    <n v="0"/>
    <n v="9860"/>
    <s v="Youths 18-24"/>
    <n v="2801"/>
    <n v="1327"/>
    <n v="202"/>
    <n v="13898"/>
    <n v="0.4737593716529811"/>
    <n v="0.1522230595327807"/>
    <n v="8.3496608892238129"/>
    <n v="54.851485148514854"/>
    <n v="1.1237322515212982"/>
    <n v="1.254332129963899"/>
    <s v="CL046"/>
    <x v="2"/>
    <s v="Large"/>
    <n v="11080"/>
    <n v="4"/>
    <s v="High"/>
  </r>
  <r>
    <s v="C047"/>
    <d v="2024-07-16T00:10:41"/>
    <d v="2024-07-16T00:10:41"/>
    <s v="Ongoing"/>
    <n v="0"/>
    <n v="2182"/>
    <s v="Youths 18-24"/>
    <n v="16206"/>
    <n v="473"/>
    <n v="219"/>
    <n v="3226"/>
    <n v="2.9186720967542885E-2"/>
    <n v="0.46300211416490489"/>
    <n v="41.329809725158562"/>
    <n v="89.264840182648399"/>
    <n v="8.9592117323556373"/>
    <n v="0.16502122870735075"/>
    <s v="CL047"/>
    <x v="3"/>
    <s v="Small"/>
    <n v="19549"/>
    <n v="5"/>
    <s v="High"/>
  </r>
  <r>
    <s v="C048"/>
    <d v="2024-05-25T12:19:10"/>
    <d v="2024-05-25T12:19:10"/>
    <s v="Ongoing"/>
    <n v="0"/>
    <n v="1836"/>
    <s v="Adults 25-34"/>
    <n v="9781"/>
    <n v="559"/>
    <n v="335"/>
    <n v="9167"/>
    <n v="5.7151620488702586E-2"/>
    <n v="0.59928443649373886"/>
    <n v="19.677996422182467"/>
    <n v="32.835820895522389"/>
    <n v="5.9912854030501093"/>
    <n v="0.83336363636363642"/>
    <s v="CL048"/>
    <x v="1"/>
    <s v="Large"/>
    <n v="11000"/>
    <n v="4"/>
    <s v="High"/>
  </r>
  <r>
    <s v="C049"/>
    <d v="2023-04-08T22:47:32"/>
    <d v="2024-02-09T05:19:49"/>
    <s v="Completed"/>
    <n v="306.2724189814835"/>
    <n v="7769"/>
    <s v="Adults 25-34"/>
    <n v="14964"/>
    <n v="602"/>
    <n v="495"/>
    <n v="8712"/>
    <n v="4.0229885057471264E-2"/>
    <n v="0.82225913621262459"/>
    <n v="5.9235880398671092"/>
    <n v="7.2040404040404038"/>
    <n v="0.45900373278414208"/>
    <n v="2.4430734716769491"/>
    <s v="CL049"/>
    <x v="2"/>
    <s v="Small"/>
    <n v="3566"/>
    <n v="2"/>
    <s v="Medium"/>
  </r>
  <r>
    <s v="C050"/>
    <d v="2023-08-16T05:02:59"/>
    <d v="2023-08-16T05:02:59"/>
    <s v="Ongoing"/>
    <n v="0"/>
    <n v="9873"/>
    <s v="Professionals 35-50"/>
    <n v="12982"/>
    <n v="637"/>
    <n v="284"/>
    <n v="4137"/>
    <n v="4.9067940224926825E-2"/>
    <n v="0.44583987441130296"/>
    <n v="2.0753532182103611"/>
    <n v="4.654929577464789"/>
    <n v="0.13390053681758332"/>
    <n v="3.1293494704992435"/>
    <s v="CL050"/>
    <x v="0"/>
    <s v="Large"/>
    <n v="1322"/>
    <n v="1"/>
    <s v="Low"/>
  </r>
  <r>
    <s v="C051"/>
    <d v="2023-08-15T20:21:08"/>
    <d v="2023-08-15T20:21:08"/>
    <s v="Ongoing"/>
    <n v="0"/>
    <n v="7642"/>
    <s v="Parents 30-40"/>
    <n v="19272"/>
    <n v="1411"/>
    <n v="361"/>
    <n v="8299"/>
    <n v="7.3215026982150266E-2"/>
    <n v="0.25584691708008506"/>
    <n v="13.119064493267187"/>
    <n v="51.277008310249307"/>
    <n v="2.4222716566343889"/>
    <n v="0.4483280211765977"/>
    <s v="CL051"/>
    <x v="4"/>
    <s v="Small"/>
    <n v="18511"/>
    <n v="4"/>
    <s v="High"/>
  </r>
  <r>
    <s v="C052"/>
    <d v="2023-05-11T09:55:21"/>
    <d v="2023-07-31T17:10:42"/>
    <s v="Completed"/>
    <n v="81.302326388889924"/>
    <n v="7632"/>
    <s v="Professionals 35-50"/>
    <n v="12676"/>
    <n v="1315"/>
    <n v="265"/>
    <n v="10333"/>
    <n v="0.10373934995266645"/>
    <n v="0.20152091254752852"/>
    <n v="11.638022813688213"/>
    <n v="57.750943396226418"/>
    <n v="2.0052410901467503"/>
    <n v="0.67518295870360689"/>
    <s v="CL052"/>
    <x v="1"/>
    <s v="Medium"/>
    <n v="15304"/>
    <n v="2"/>
    <s v="Medium"/>
  </r>
  <r>
    <s v="C053"/>
    <d v="2023-08-09T19:20:38"/>
    <d v="2023-08-09T19:20:38"/>
    <s v="Ongoing"/>
    <n v="0"/>
    <n v="4035"/>
    <s v="Adults 25-34"/>
    <n v="11715"/>
    <n v="101"/>
    <n v="239"/>
    <n v="8828"/>
    <n v="8.6214255228339743E-3"/>
    <n v="2.3663366336633662"/>
    <n v="108.52475247524752"/>
    <n v="45.861924686192467"/>
    <n v="2.7164807930607187"/>
    <n v="0.80540096706504882"/>
    <s v="CL053"/>
    <x v="2"/>
    <s v="Medium"/>
    <n v="10961"/>
    <n v="4"/>
    <s v="High"/>
  </r>
  <r>
    <s v="C054"/>
    <d v="2024-04-11T19:57:05"/>
    <d v="2024-04-11T19:57:05"/>
    <s v="Ongoing"/>
    <n v="0"/>
    <n v="9075"/>
    <s v="Adults 25-34"/>
    <n v="10653"/>
    <n v="1598"/>
    <n v="97"/>
    <n v="11468"/>
    <n v="0.15000469351356424"/>
    <n v="6.07008760951189E-2"/>
    <n v="0.33979974968710891"/>
    <n v="5.5979381443298966"/>
    <n v="5.9834710743801652E-2"/>
    <n v="21.119705340699817"/>
    <s v="CL054"/>
    <x v="4"/>
    <s v="Medium"/>
    <n v="543"/>
    <n v="5"/>
    <s v="High"/>
  </r>
  <r>
    <s v="C055"/>
    <d v="2023-11-09T22:52:14"/>
    <d v="2024-07-03T13:55:45"/>
    <s v="Completed"/>
    <n v="236.62744212962571"/>
    <n v="6588"/>
    <s v="Youths 18-24"/>
    <n v="14597"/>
    <n v="1162"/>
    <n v="287"/>
    <n v="1008"/>
    <n v="7.9605398369527985E-2"/>
    <n v="0.24698795180722891"/>
    <n v="6.4328743545611013"/>
    <n v="26.045296167247386"/>
    <n v="1.1346387370977535"/>
    <n v="0.13484949832775919"/>
    <s v="CL055"/>
    <x v="1"/>
    <s v="Small"/>
    <n v="7475"/>
    <n v="5"/>
    <s v="High"/>
  </r>
  <r>
    <s v="C056"/>
    <d v="2024-03-11T13:30:17"/>
    <d v="2024-08-12T20:30:00"/>
    <s v="Completed"/>
    <n v="154.29146990740264"/>
    <n v="6042"/>
    <s v="Adults 25-34"/>
    <n v="17042"/>
    <n v="1834"/>
    <n v="426"/>
    <n v="1632"/>
    <n v="0.10761647693932637"/>
    <n v="0.23227917121046893"/>
    <n v="6.808069792802617"/>
    <n v="29.309859154929576"/>
    <n v="2.0665342601787486"/>
    <n v="0.13070639115809707"/>
    <s v="CL056"/>
    <x v="2"/>
    <s v="Medium"/>
    <n v="12486"/>
    <n v="5"/>
    <s v="High"/>
  </r>
  <r>
    <s v="C057"/>
    <d v="2023-04-09T11:14:36"/>
    <d v="2023-04-09T11:14:36"/>
    <s v="Ongoing"/>
    <n v="0"/>
    <n v="1953"/>
    <s v="Parents 30-40"/>
    <n v="5166"/>
    <n v="1007"/>
    <n v="423"/>
    <n v="9876"/>
    <n v="0.19492837785520711"/>
    <n v="0.42005958291956308"/>
    <n v="15.067527308838134"/>
    <n v="35.869976359338061"/>
    <n v="7.7690732206861242"/>
    <n v="0.65089303367824425"/>
    <s v="CL057"/>
    <x v="1"/>
    <s v="Small"/>
    <n v="15173"/>
    <n v="4"/>
    <s v="High"/>
  </r>
  <r>
    <s v="C058"/>
    <d v="2023-03-09T21:23:16"/>
    <d v="2024-09-24T09:55:24"/>
    <s v="Completed"/>
    <n v="564.52231481481431"/>
    <n v="8366"/>
    <s v="Adults 25-34"/>
    <n v="15485"/>
    <n v="1280"/>
    <n v="74"/>
    <n v="3220"/>
    <n v="8.2660639328382302E-2"/>
    <n v="5.7812500000000003E-2"/>
    <n v="4.34765625"/>
    <n v="75.202702702702709"/>
    <n v="0.66519244561319624"/>
    <n v="0.57861635220125784"/>
    <s v="CL058"/>
    <x v="0"/>
    <s v="Small"/>
    <n v="5565"/>
    <n v="3"/>
    <s v="Medium"/>
  </r>
  <r>
    <s v="C059"/>
    <d v="2024-05-22T23:10:38"/>
    <d v="2024-06-28T01:27:37"/>
    <s v="Completed"/>
    <n v="36.095127314816636"/>
    <n v="2672"/>
    <s v="Youths 18-24"/>
    <n v="11712"/>
    <n v="724"/>
    <n v="458"/>
    <n v="11219"/>
    <n v="6.1816939890710382E-2"/>
    <n v="0.63259668508287292"/>
    <n v="18.933701657458563"/>
    <n v="29.930131004366814"/>
    <n v="5.1302395209580842"/>
    <n v="0.8184271957980741"/>
    <s v="CL059"/>
    <x v="3"/>
    <s v="Small"/>
    <n v="13708"/>
    <n v="4"/>
    <s v="High"/>
  </r>
  <r>
    <s v="C060"/>
    <d v="2024-06-27T12:38:00"/>
    <d v="2024-06-27T12:38:00"/>
    <s v="Ongoing"/>
    <n v="0"/>
    <n v="5638"/>
    <s v="Professionals 35-50"/>
    <n v="1565"/>
    <n v="756"/>
    <n v="291"/>
    <n v="8026"/>
    <n v="0.48306709265175718"/>
    <n v="0.38492063492063494"/>
    <n v="6.5886243386243386"/>
    <n v="17.116838487972508"/>
    <n v="0.88346931536005679"/>
    <n v="1.6113230275045172"/>
    <s v="CL060"/>
    <x v="1"/>
    <s v="Large"/>
    <n v="4981"/>
    <n v="2"/>
    <s v="Medium"/>
  </r>
  <r>
    <s v="C061"/>
    <d v="2023-10-29T12:58:45"/>
    <d v="2023-10-29T12:58:45"/>
    <s v="Ongoing"/>
    <n v="0"/>
    <n v="4977"/>
    <s v="Youths 18-24"/>
    <n v="4429"/>
    <n v="1818"/>
    <n v="18"/>
    <n v="3835"/>
    <n v="0.41047640550914427"/>
    <n v="9.9009900990099011E-3"/>
    <n v="6.6386138613861387"/>
    <n v="670.5"/>
    <n v="2.4249547920433998"/>
    <n v="0.31775623498218575"/>
    <s v="CL061"/>
    <x v="2"/>
    <s v="Medium"/>
    <n v="12069"/>
    <n v="4"/>
    <s v="High"/>
  </r>
  <r>
    <s v="C062"/>
    <d v="2023-03-02T15:40:51"/>
    <d v="2024-03-17T03:44:19"/>
    <s v="Completed"/>
    <n v="380.50240740740264"/>
    <n v="8332"/>
    <s v="Adults 25-34"/>
    <n v="2345"/>
    <n v="1168"/>
    <n v="495"/>
    <n v="13522"/>
    <n v="0.49808102345415778"/>
    <n v="0.4238013698630137"/>
    <n v="7.8621575342465757"/>
    <n v="18.551515151515151"/>
    <n v="1.1021363418146903"/>
    <n v="1.4725035391484265"/>
    <s v="CL062"/>
    <x v="4"/>
    <s v="Medium"/>
    <n v="9183"/>
    <n v="5"/>
    <s v="High"/>
  </r>
  <r>
    <s v="C063"/>
    <d v="2024-11-23T21:11:35"/>
    <d v="2024-11-23T21:11:35"/>
    <s v="Ongoing"/>
    <n v="0"/>
    <n v="4294"/>
    <s v="Adults 25-34"/>
    <n v="17009"/>
    <n v="837"/>
    <n v="119"/>
    <n v="5063"/>
    <n v="4.9209242165912166E-2"/>
    <n v="0.14217443249701314"/>
    <n v="22.285543608124254"/>
    <n v="156.74789915966386"/>
    <n v="4.3439683278993941"/>
    <n v="0.27143086902911062"/>
    <s v="CL063"/>
    <x v="0"/>
    <s v="Small"/>
    <n v="18653"/>
    <n v="2"/>
    <s v="Medium"/>
  </r>
  <r>
    <s v="C064"/>
    <d v="2024-07-13T11:58:21"/>
    <d v="2024-09-09T00:44:55"/>
    <s v="Completed"/>
    <n v="57.532337962962629"/>
    <n v="3484"/>
    <s v="Parents 30-40"/>
    <n v="9889"/>
    <n v="1893"/>
    <n v="329"/>
    <n v="12904"/>
    <n v="0.19142481545151177"/>
    <n v="0.17379820390913894"/>
    <n v="1.7913365029054411"/>
    <n v="10.306990881458967"/>
    <n v="0.97330654420206664"/>
    <n v="3.8053671483338247"/>
    <s v="CL064"/>
    <x v="1"/>
    <s v="Large"/>
    <n v="3391"/>
    <n v="5"/>
    <s v="High"/>
  </r>
  <r>
    <s v="C065"/>
    <d v="2023-12-22T11:42:38"/>
    <d v="2024-05-08T14:00:32"/>
    <s v="Completed"/>
    <n v="138.095763888894"/>
    <n v="7354"/>
    <s v="Adults 25-34"/>
    <n v="14296"/>
    <n v="698"/>
    <n v="222"/>
    <n v="13779"/>
    <n v="4.8824846110800221E-2"/>
    <n v="0.31805157593123207"/>
    <n v="6.0802292263610314"/>
    <n v="19.117117117117118"/>
    <n v="0.57710089747076421"/>
    <n v="3.2467012252591894"/>
    <s v="CL065"/>
    <x v="0"/>
    <s v="Large"/>
    <n v="4244"/>
    <n v="1"/>
    <s v="Low"/>
  </r>
  <r>
    <s v="C066"/>
    <d v="2023-04-23T17:23:07"/>
    <d v="2023-12-29T09:41:05"/>
    <s v="Completed"/>
    <n v="249.67914351851505"/>
    <n v="9963"/>
    <s v="Adults 25-34"/>
    <n v="14218"/>
    <n v="888"/>
    <n v="82"/>
    <n v="7338"/>
    <n v="6.2456041637361091E-2"/>
    <n v="9.2342342342342343E-2"/>
    <n v="16.206081081081081"/>
    <n v="175.5"/>
    <n v="1.4444444444444444"/>
    <n v="0.50990202209714408"/>
    <s v="CL066"/>
    <x v="2"/>
    <s v="Large"/>
    <n v="14391"/>
    <n v="2"/>
    <s v="Medium"/>
  </r>
  <r>
    <s v="C067"/>
    <d v="2023-08-30T18:21:30"/>
    <d v="2023-08-30T18:21:30"/>
    <s v="Ongoing"/>
    <n v="0"/>
    <n v="6144"/>
    <s v="Adults 25-34"/>
    <n v="16755"/>
    <n v="143"/>
    <n v="135"/>
    <n v="4664"/>
    <n v="8.5347657415696804E-3"/>
    <n v="0.94405594405594406"/>
    <n v="88.055944055944053"/>
    <n v="93.274074074074079"/>
    <n v="2.0494791666666665"/>
    <n v="0.37039390088945362"/>
    <s v="CL067"/>
    <x v="3"/>
    <s v="Large"/>
    <n v="12592"/>
    <n v="3"/>
    <s v="Medium"/>
  </r>
  <r>
    <s v="C068"/>
    <d v="2024-07-30T19:08:11"/>
    <d v="2024-07-30T19:08:11"/>
    <s v="Ongoing"/>
    <n v="0"/>
    <n v="9854"/>
    <s v="Adults 25-34"/>
    <n v="18392"/>
    <n v="1610"/>
    <n v="314"/>
    <n v="12249"/>
    <n v="8.7538060026098305E-2"/>
    <n v="0.19503105590062111"/>
    <n v="11.362732919254658"/>
    <n v="58.261146496815286"/>
    <n v="1.8565049725999594"/>
    <n v="0.66956379140701872"/>
    <s v="CL068"/>
    <x v="3"/>
    <s v="Medium"/>
    <n v="18294"/>
    <n v="4"/>
    <s v="High"/>
  </r>
  <r>
    <s v="C069"/>
    <d v="2024-06-22T02:08:15"/>
    <d v="2024-06-22T02:08:15"/>
    <s v="Ongoing"/>
    <n v="0"/>
    <n v="4881"/>
    <s v="Adults 25-34"/>
    <n v="9572"/>
    <n v="1399"/>
    <n v="115"/>
    <n v="4262"/>
    <n v="0.14615545340576683"/>
    <n v="8.2201572551822727E-2"/>
    <n v="8.521801286633309"/>
    <n v="103.66956521739131"/>
    <n v="2.4425322679778736"/>
    <n v="0.3574903539674551"/>
    <s v="CL069"/>
    <x v="2"/>
    <s v="Large"/>
    <n v="11922"/>
    <n v="5"/>
    <s v="High"/>
  </r>
  <r>
    <s v="C070"/>
    <d v="2024-11-29T00:13:41"/>
    <d v="2024-11-29T00:13:41"/>
    <s v="Ongoing"/>
    <n v="0"/>
    <n v="3918"/>
    <s v="Professionals 35-50"/>
    <n v="5586"/>
    <n v="1151"/>
    <n v="102"/>
    <n v="1404"/>
    <n v="0.20605084138918725"/>
    <n v="8.8618592528236312E-2"/>
    <n v="11.280625543006082"/>
    <n v="127.29411764705883"/>
    <n v="3.313935681470138"/>
    <n v="0.10813308687615526"/>
    <s v="CL070"/>
    <x v="1"/>
    <s v="Medium"/>
    <n v="12984"/>
    <n v="2"/>
    <s v="Medium"/>
  </r>
  <r>
    <s v="C071"/>
    <d v="2024-12-09T15:53:03"/>
    <d v="2024-12-09T15:53:03"/>
    <s v="Ongoing"/>
    <n v="0"/>
    <n v="3791"/>
    <s v="Youths 18-24"/>
    <n v="14243"/>
    <n v="1190"/>
    <n v="199"/>
    <n v="8666"/>
    <n v="8.3549813943691639E-2"/>
    <n v="0.16722689075630251"/>
    <n v="16.604201680672269"/>
    <n v="99.291457286432163"/>
    <n v="5.2120812450540752"/>
    <n v="0.43858494863100361"/>
    <s v="CL071"/>
    <x v="2"/>
    <s v="Large"/>
    <n v="19759"/>
    <n v="4"/>
    <s v="High"/>
  </r>
  <r>
    <s v="C072"/>
    <d v="2024-03-17T17:52:20"/>
    <d v="2024-03-17T17:52:20"/>
    <s v="Ongoing"/>
    <n v="0"/>
    <n v="3584"/>
    <s v="Youths 18-24"/>
    <n v="5731"/>
    <n v="476"/>
    <n v="387"/>
    <n v="5937"/>
    <n v="8.3057058105042755E-2"/>
    <n v="0.81302521008403361"/>
    <n v="4.3046218487394956"/>
    <n v="5.2945736434108523"/>
    <n v="0.5717075892857143"/>
    <n v="2.8975109809663251"/>
    <s v="CL072"/>
    <x v="3"/>
    <s v="Medium"/>
    <n v="2049"/>
    <n v="5"/>
    <s v="High"/>
  </r>
  <r>
    <s v="C073"/>
    <d v="2024-02-11T00:30:12"/>
    <d v="2024-02-11T00:30:12"/>
    <s v="Ongoing"/>
    <n v="0"/>
    <n v="1613"/>
    <s v="Professionals 35-50"/>
    <n v="11944"/>
    <n v="667"/>
    <n v="217"/>
    <n v="10203"/>
    <n v="5.5843938379102481E-2"/>
    <n v="0.32533733133433285"/>
    <n v="28.923538230884557"/>
    <n v="88.903225806451616"/>
    <n v="11.960322380657161"/>
    <n v="0.52887207132490155"/>
    <s v="CL073"/>
    <x v="1"/>
    <s v="Medium"/>
    <n v="19292"/>
    <n v="3"/>
    <s v="Medium"/>
  </r>
  <r>
    <s v="C074"/>
    <d v="2024-01-08T08:52:36"/>
    <d v="2024-06-28T02:12:28"/>
    <s v="Completed"/>
    <n v="171.72212962963386"/>
    <n v="6972"/>
    <s v="Parents 30-40"/>
    <n v="16890"/>
    <n v="174"/>
    <n v="252"/>
    <n v="8176"/>
    <n v="1.0301953818827708E-2"/>
    <n v="1.4482758620689655"/>
    <n v="74.281609195402297"/>
    <n v="51.289682539682538"/>
    <n v="1.8538439472174413"/>
    <n v="0.63257253384912959"/>
    <s v="CL074"/>
    <x v="4"/>
    <s v="Large"/>
    <n v="12925"/>
    <n v="4"/>
    <s v="High"/>
  </r>
  <r>
    <s v="C075"/>
    <d v="2024-03-03T15:24:44"/>
    <d v="2024-10-30T18:24:58"/>
    <s v="Completed"/>
    <n v="241.12516203703854"/>
    <n v="6557"/>
    <s v="Parents 30-40"/>
    <n v="11062"/>
    <n v="233"/>
    <n v="212"/>
    <n v="8987"/>
    <n v="2.1063098897125293E-2"/>
    <n v="0.90987124463519309"/>
    <n v="38.480686695278969"/>
    <n v="42.29245283018868"/>
    <n v="1.3673936251334451"/>
    <n v="1.0023421815748383"/>
    <s v="CL075"/>
    <x v="1"/>
    <s v="Medium"/>
    <n v="8966"/>
    <n v="5"/>
    <s v="High"/>
  </r>
  <r>
    <s v="C076"/>
    <d v="2024-09-10T03:51:49"/>
    <d v="2024-09-10T03:51:49"/>
    <s v="Ongoing"/>
    <n v="0"/>
    <n v="4429"/>
    <s v="Youths 18-24"/>
    <n v="18797"/>
    <n v="1440"/>
    <n v="95"/>
    <n v="10494"/>
    <n v="7.6607969356812258E-2"/>
    <n v="6.5972222222222224E-2"/>
    <n v="9.1416666666666675"/>
    <n v="138.56842105263158"/>
    <n v="2.9722284940167079"/>
    <n v="0.79717411121239745"/>
    <s v="CL076"/>
    <x v="3"/>
    <s v="Large"/>
    <n v="13164"/>
    <n v="5"/>
    <s v="High"/>
  </r>
  <r>
    <s v="C077"/>
    <d v="2024-05-21T16:22:01"/>
    <d v="2024-05-21T16:22:01"/>
    <s v="Ongoing"/>
    <n v="0"/>
    <n v="2400"/>
    <s v="Professionals 35-50"/>
    <n v="2699"/>
    <n v="1542"/>
    <n v="306"/>
    <n v="14392"/>
    <n v="0.57132271211559837"/>
    <n v="0.19844357976653695"/>
    <n v="9.1057068741893641"/>
    <n v="45.885620915032682"/>
    <n v="5.8504166666666668"/>
    <n v="1.0249982195000356"/>
    <s v="CL077"/>
    <x v="2"/>
    <s v="Medium"/>
    <n v="14041"/>
    <n v="2"/>
    <s v="Medium"/>
  </r>
  <r>
    <s v="C078"/>
    <d v="2024-08-13T11:32:15"/>
    <d v="2024-08-13T11:32:15"/>
    <s v="Ongoing"/>
    <n v="0"/>
    <n v="3565"/>
    <s v="Parents 30-40"/>
    <n v="7034"/>
    <n v="434"/>
    <n v="255"/>
    <n v="6390"/>
    <n v="6.1700312766562411E-2"/>
    <n v="0.5875576036866359"/>
    <n v="26.875576036866359"/>
    <n v="45.741176470588236"/>
    <n v="3.2718092566619914"/>
    <n v="0.5478395061728395"/>
    <s v="CL078"/>
    <x v="3"/>
    <s v="Small"/>
    <n v="11664"/>
    <n v="4"/>
    <s v="High"/>
  </r>
  <r>
    <s v="C079"/>
    <d v="2024-08-10T13:55:55"/>
    <d v="2024-09-13T14:01:39"/>
    <s v="Completed"/>
    <n v="34.003981481480878"/>
    <n v="3316"/>
    <s v="Youths 18-24"/>
    <n v="14750"/>
    <n v="1722"/>
    <n v="231"/>
    <n v="1438"/>
    <n v="0.1167457627118644"/>
    <n v="0.13414634146341464"/>
    <n v="9.0969802555168418"/>
    <n v="67.813852813852819"/>
    <n v="4.7240651387213513"/>
    <n v="9.1796999680817115E-2"/>
    <s v="CL079"/>
    <x v="3"/>
    <s v="Large"/>
    <n v="15665"/>
    <n v="4"/>
    <s v="High"/>
  </r>
  <r>
    <s v="C080"/>
    <d v="2024-06-09T06:02:14"/>
    <d v="2024-06-09T06:02:14"/>
    <s v="Ongoing"/>
    <n v="0"/>
    <n v="9801"/>
    <s v="Youths 18-24"/>
    <n v="12755"/>
    <n v="645"/>
    <n v="54"/>
    <n v="4937"/>
    <n v="5.0568404547236379E-2"/>
    <n v="8.3720930232558138E-2"/>
    <n v="5.6930232558139533"/>
    <n v="68"/>
    <n v="0.37465564738292012"/>
    <n v="1.3444989106753813"/>
    <s v="CL080"/>
    <x v="0"/>
    <s v="Small"/>
    <n v="3672"/>
    <n v="2"/>
    <s v="Medium"/>
  </r>
  <r>
    <s v="C081"/>
    <d v="2024-08-09T01:18:48"/>
    <d v="2024-08-09T01:18:48"/>
    <s v="Ongoing"/>
    <n v="0"/>
    <n v="7863"/>
    <s v="Youths 18-24"/>
    <n v="17622"/>
    <n v="550"/>
    <n v="446"/>
    <n v="7468"/>
    <n v="3.1210986267166042E-2"/>
    <n v="0.81090909090909091"/>
    <n v="31.098181818181818"/>
    <n v="38.349775784753362"/>
    <n v="2.1752511763957778"/>
    <n v="0.43662301216089805"/>
    <s v="CL081"/>
    <x v="0"/>
    <s v="Large"/>
    <n v="17104"/>
    <n v="1"/>
    <s v="Low"/>
  </r>
  <r>
    <s v="C082"/>
    <d v="2023-12-13T17:25:36"/>
    <d v="2023-12-13T17:25:36"/>
    <s v="Ongoing"/>
    <n v="0"/>
    <n v="6697"/>
    <s v="Youths 18-24"/>
    <n v="15673"/>
    <n v="828"/>
    <n v="21"/>
    <n v="9841"/>
    <n v="5.2829707139666941E-2"/>
    <n v="2.5362318840579712E-2"/>
    <n v="7.7463768115942031"/>
    <n v="305.42857142857144"/>
    <n v="0.95774227265939971"/>
    <n v="1.5342999688182102"/>
    <s v="CL082"/>
    <x v="1"/>
    <s v="Medium"/>
    <n v="6414"/>
    <n v="5"/>
    <s v="High"/>
  </r>
  <r>
    <s v="C083"/>
    <d v="2023-08-12T15:35:16"/>
    <d v="2024-04-21T14:01:39"/>
    <s v="Completed"/>
    <n v="252.93498842592817"/>
    <n v="7160"/>
    <s v="Professionals 35-50"/>
    <n v="4174"/>
    <n v="738"/>
    <n v="118"/>
    <n v="6809"/>
    <n v="0.17680881648298993"/>
    <n v="0.15989159891598917"/>
    <n v="22.372628726287264"/>
    <n v="139.92372881355934"/>
    <n v="2.3060055865921787"/>
    <n v="0.41239173884077279"/>
    <s v="CL083"/>
    <x v="4"/>
    <s v="Small"/>
    <n v="16511"/>
    <n v="3"/>
    <s v="Medium"/>
  </r>
  <r>
    <s v="C084"/>
    <d v="2023-04-28T10:25:21"/>
    <d v="2024-03-19T14:38:12"/>
    <s v="Completed"/>
    <n v="326.17559027777315"/>
    <n v="1746"/>
    <s v="Professionals 35-50"/>
    <n v="13723"/>
    <n v="1826"/>
    <n v="57"/>
    <n v="9352"/>
    <n v="0.13306128397580705"/>
    <n v="3.12157721796276E-2"/>
    <n v="1.0580503833515882"/>
    <n v="33.89473684210526"/>
    <n v="1.1065292096219932"/>
    <n v="4.8405797101449277"/>
    <s v="CL084"/>
    <x v="1"/>
    <s v="Small"/>
    <n v="1932"/>
    <n v="3"/>
    <s v="Medium"/>
  </r>
  <r>
    <s v="C085"/>
    <d v="2023-04-15T18:40:34"/>
    <d v="2024-09-16T20:27:45"/>
    <s v="Completed"/>
    <n v="520.07443287037313"/>
    <n v="2762"/>
    <s v="Adults 25-34"/>
    <n v="3702"/>
    <n v="1475"/>
    <n v="196"/>
    <n v="4723"/>
    <n v="0.39843327930848188"/>
    <n v="0.13288135593220338"/>
    <n v="5.1349152542372885"/>
    <n v="38.642857142857146"/>
    <n v="2.7422157856625633"/>
    <n v="0.62358067071560597"/>
    <s v="CL085"/>
    <x v="2"/>
    <s v="Small"/>
    <n v="7574"/>
    <n v="2"/>
    <s v="Medium"/>
  </r>
  <r>
    <s v="C086"/>
    <d v="2023-03-11T16:19:24"/>
    <d v="2023-04-16T20:53:40"/>
    <s v="Completed"/>
    <n v="36.190462962964375"/>
    <n v="5405"/>
    <s v="Youths 18-24"/>
    <n v="12061"/>
    <n v="1206"/>
    <n v="223"/>
    <n v="14650"/>
    <n v="9.9991708813531213E-2"/>
    <n v="0.18490878938640132"/>
    <n v="9.1210613598673298"/>
    <n v="49.327354260089685"/>
    <n v="2.0351526364477337"/>
    <n v="1.3318181818181818"/>
    <s v="CL086"/>
    <x v="3"/>
    <s v="Large"/>
    <n v="11000"/>
    <n v="2"/>
    <s v="Medium"/>
  </r>
  <r>
    <s v="C087"/>
    <d v="2024-11-04T20:40:29"/>
    <d v="2024-11-04T20:40:29"/>
    <s v="Ongoing"/>
    <n v="0"/>
    <n v="7044"/>
    <s v="Professionals 35-50"/>
    <n v="2141"/>
    <n v="1280"/>
    <n v="203"/>
    <n v="10362"/>
    <n v="0.59785147127510507"/>
    <n v="0.15859375000000001"/>
    <n v="1.3687499999999999"/>
    <n v="8.6305418719211815"/>
    <n v="0.24872231686541738"/>
    <n v="5.9143835616438354"/>
    <s v="CL087"/>
    <x v="1"/>
    <s v="Medium"/>
    <n v="1752"/>
    <n v="1"/>
    <s v="Low"/>
  </r>
  <r>
    <s v="C088"/>
    <d v="2024-10-27T03:38:25"/>
    <d v="2024-10-27T03:38:25"/>
    <s v="Ongoing"/>
    <n v="0"/>
    <n v="2950"/>
    <s v="Youths 18-24"/>
    <n v="17874"/>
    <n v="1078"/>
    <n v="235"/>
    <n v="12351"/>
    <n v="6.0311066353362426E-2"/>
    <n v="0.21799628942486085"/>
    <n v="7.304267161410019"/>
    <n v="33.506382978723401"/>
    <n v="2.6691525423728812"/>
    <n v="1.5685801371602743"/>
    <s v="CL088"/>
    <x v="0"/>
    <s v="Large"/>
    <n v="7874"/>
    <n v="4"/>
    <s v="High"/>
  </r>
  <r>
    <s v="C089"/>
    <d v="2023-01-24T07:52:57"/>
    <d v="2023-10-16T12:11:41"/>
    <s v="Completed"/>
    <n v="265.17967592592322"/>
    <n v="3944"/>
    <s v="Parents 30-40"/>
    <n v="13936"/>
    <n v="152"/>
    <n v="279"/>
    <n v="1492"/>
    <n v="1.0907003444316877E-2"/>
    <n v="1.8355263157894737"/>
    <n v="28.842105263157894"/>
    <n v="15.713261648745521"/>
    <n v="1.1115618661257607"/>
    <n v="0.34032846715328469"/>
    <s v="CL089"/>
    <x v="2"/>
    <s v="Small"/>
    <n v="4384"/>
    <n v="5"/>
    <s v="High"/>
  </r>
  <r>
    <s v="C090"/>
    <d v="2023-02-23T18:39:17"/>
    <d v="2023-10-04T05:35:48"/>
    <s v="Completed"/>
    <n v="222.45591435184906"/>
    <n v="3082"/>
    <s v="Youths 18-24"/>
    <n v="16376"/>
    <n v="1790"/>
    <n v="86"/>
    <n v="5897"/>
    <n v="0.10930630190522717"/>
    <n v="4.8044692737430165E-2"/>
    <n v="5.976536312849162"/>
    <n v="124.3953488372093"/>
    <n v="3.4711226476314083"/>
    <n v="0.55122452794914933"/>
    <s v="CL090"/>
    <x v="3"/>
    <s v="Large"/>
    <n v="10698"/>
    <n v="4"/>
    <s v="High"/>
  </r>
  <r>
    <s v="C091"/>
    <d v="2024-09-22T02:00:54"/>
    <d v="2024-09-22T02:00:54"/>
    <s v="Ongoing"/>
    <n v="0"/>
    <n v="5530"/>
    <s v="Youths 18-24"/>
    <n v="18904"/>
    <n v="355"/>
    <n v="369"/>
    <n v="14423"/>
    <n v="1.8779094371561573E-2"/>
    <n v="1.0394366197183098"/>
    <n v="34.101408450704227"/>
    <n v="32.807588075880759"/>
    <n v="2.1891500904159131"/>
    <n v="1.1913926978357838"/>
    <s v="CL091"/>
    <x v="0"/>
    <s v="Large"/>
    <n v="12106"/>
    <n v="3"/>
    <s v="Medium"/>
  </r>
  <r>
    <s v="C092"/>
    <d v="2024-03-10T23:27:38"/>
    <d v="2024-03-10T23:27:38"/>
    <s v="Ongoing"/>
    <n v="0"/>
    <n v="4168"/>
    <s v="Parents 30-40"/>
    <n v="2896"/>
    <n v="440"/>
    <n v="194"/>
    <n v="12094"/>
    <n v="0.15193370165745856"/>
    <n v="0.44090909090909092"/>
    <n v="32.877272727272725"/>
    <n v="74.567010309278345"/>
    <n v="3.4707293666026873"/>
    <n v="0.83602931010645654"/>
    <s v="CL092"/>
    <x v="2"/>
    <s v="Small"/>
    <n v="14466"/>
    <n v="1"/>
    <s v="Low"/>
  </r>
  <r>
    <s v="C093"/>
    <d v="2023-04-29T00:52:48"/>
    <d v="2024-09-24T17:43:10"/>
    <s v="Completed"/>
    <n v="514.70164351852145"/>
    <n v="3110"/>
    <s v="Adults 25-34"/>
    <n v="19956"/>
    <n v="694"/>
    <n v="55"/>
    <n v="13873"/>
    <n v="3.4776508318300259E-2"/>
    <n v="7.9250720461095103E-2"/>
    <n v="21.354466858789625"/>
    <n v="269.45454545454544"/>
    <n v="4.765273311897106"/>
    <n v="0.93609986504723341"/>
    <s v="CL093"/>
    <x v="2"/>
    <s v="Large"/>
    <n v="14820"/>
    <n v="4"/>
    <s v="High"/>
  </r>
  <r>
    <s v="C094"/>
    <d v="2024-05-17T12:29:26"/>
    <d v="2024-05-17T12:29:26"/>
    <s v="Ongoing"/>
    <n v="0"/>
    <n v="2041"/>
    <s v="Adults 25-34"/>
    <n v="12551"/>
    <n v="1197"/>
    <n v="334"/>
    <n v="2031"/>
    <n v="9.5370886781929731E-2"/>
    <n v="0.27903091060985796"/>
    <n v="13.487050960735171"/>
    <n v="48.335329341317369"/>
    <n v="7.9098481136697698"/>
    <n v="0.12580525272547077"/>
    <s v="CL094"/>
    <x v="3"/>
    <s v="Medium"/>
    <n v="16144"/>
    <n v="2"/>
    <s v="Medium"/>
  </r>
  <r>
    <s v="C095"/>
    <d v="2024-07-10T07:52:55"/>
    <d v="2024-09-04T10:06:37"/>
    <s v="Completed"/>
    <n v="56.09284722222219"/>
    <n v="9620"/>
    <s v="Youths 18-24"/>
    <n v="7844"/>
    <n v="1705"/>
    <n v="164"/>
    <n v="12548"/>
    <n v="0.21736359000509944"/>
    <n v="9.6187683284457481E-2"/>
    <n v="8.8076246334310859"/>
    <n v="91.567073170731703"/>
    <n v="1.561018711018711"/>
    <n v="0.83558633548644867"/>
    <s v="CL095"/>
    <x v="0"/>
    <s v="Large"/>
    <n v="15017"/>
    <n v="3"/>
    <s v="Medium"/>
  </r>
  <r>
    <s v="C096"/>
    <d v="2023-03-17T19:00:41"/>
    <d v="2024-07-09T17:18:40"/>
    <s v="Completed"/>
    <n v="479.92915509259183"/>
    <n v="9793"/>
    <s v="Youths 18-24"/>
    <n v="14815"/>
    <n v="923"/>
    <n v="199"/>
    <n v="10155"/>
    <n v="6.2301721228484645E-2"/>
    <n v="0.21560130010834236"/>
    <n v="19.722643553629471"/>
    <n v="91.477386934673362"/>
    <n v="1.8588787909731441"/>
    <n v="0.5578444297956493"/>
    <s v="CL096"/>
    <x v="3"/>
    <s v="Medium"/>
    <n v="18204"/>
    <n v="5"/>
    <s v="High"/>
  </r>
  <r>
    <s v="C097"/>
    <d v="2023-08-09T15:58:15"/>
    <d v="2024-09-30T19:31:08"/>
    <s v="Completed"/>
    <n v="418.14783564815298"/>
    <n v="3959"/>
    <s v="Adults 25-34"/>
    <n v="19920"/>
    <n v="1208"/>
    <n v="162"/>
    <n v="10600"/>
    <n v="6.0642570281124498E-2"/>
    <n v="0.13410596026490065"/>
    <n v="2.3543046357615895"/>
    <n v="17.555555555555557"/>
    <n v="0.71836322303612021"/>
    <n v="3.7271448663853728"/>
    <s v="CL097"/>
    <x v="0"/>
    <s v="Medium"/>
    <n v="2844"/>
    <n v="5"/>
    <s v="High"/>
  </r>
  <r>
    <s v="C098"/>
    <d v="2023-12-15T14:21:01"/>
    <d v="2024-04-08T17:59:39"/>
    <s v="Completed"/>
    <n v="115.15182870370336"/>
    <n v="8779"/>
    <s v="Professionals 35-50"/>
    <n v="9421"/>
    <n v="132"/>
    <n v="241"/>
    <n v="11863"/>
    <n v="1.401125145950536E-2"/>
    <n v="1.8257575757575757"/>
    <n v="85.25"/>
    <n v="46.692946058091287"/>
    <n v="1.2818088620571819"/>
    <n v="1.0542077668177374"/>
    <s v="CL098"/>
    <x v="0"/>
    <s v="Large"/>
    <n v="11253"/>
    <n v="2"/>
    <s v="Medium"/>
  </r>
  <r>
    <s v="C099"/>
    <d v="2023-07-22T04:13:20"/>
    <d v="2023-07-22T04:13:20"/>
    <s v="Ongoing"/>
    <n v="0"/>
    <n v="6556"/>
    <s v="Adults 25-34"/>
    <n v="1519"/>
    <n v="1821"/>
    <n v="348"/>
    <n v="2838"/>
    <n v="1.1988150098749177"/>
    <n v="0.19110378912685339"/>
    <n v="4.5299286106534868"/>
    <n v="23.704022988505749"/>
    <n v="1.2582367297132397"/>
    <n v="0.34404170202448781"/>
    <s v="CL099"/>
    <x v="4"/>
    <s v="Large"/>
    <n v="8249"/>
    <n v="5"/>
    <s v="High"/>
  </r>
  <r>
    <s v="C100"/>
    <d v="2024-08-11T18:28:21"/>
    <d v="2024-08-11T18:28:21"/>
    <s v="Ongoing"/>
    <n v="0"/>
    <n v="9385"/>
    <s v="Parents 30-40"/>
    <n v="8723"/>
    <n v="1107"/>
    <n v="342"/>
    <n v="2313"/>
    <n v="0.12690588100424166"/>
    <n v="0.30894308943089432"/>
    <n v="9.3911472448057811"/>
    <n v="30.397660818713451"/>
    <n v="1.1077250932338838"/>
    <n v="0.22248941900731051"/>
    <s v="CL100"/>
    <x v="0"/>
    <s v="Large"/>
    <n v="10396"/>
    <n v="4"/>
    <s v="High"/>
  </r>
  <r>
    <s v="C101"/>
    <d v="2023-10-04T02:38:10"/>
    <d v="2023-10-04T02:38:10"/>
    <s v="Ongoing"/>
    <n v="0"/>
    <n v="5686"/>
    <s v="Adults 25-34"/>
    <n v="14864"/>
    <n v="581"/>
    <n v="391"/>
    <n v="6576"/>
    <n v="3.9087728740581272E-2"/>
    <n v="0.67297762478485368"/>
    <n v="19.542168674698797"/>
    <n v="29.038363171355499"/>
    <n v="1.9968343299331692"/>
    <n v="0.57917914391403913"/>
    <s v="CL101"/>
    <x v="1"/>
    <s v="Large"/>
    <n v="11354"/>
    <n v="5"/>
    <s v="High"/>
  </r>
  <r>
    <s v="C102"/>
    <d v="2024-04-05T14:14:55"/>
    <d v="2024-09-14T01:56:15"/>
    <s v="Completed"/>
    <n v="161.48703703703359"/>
    <n v="9511"/>
    <s v="Professionals 35-50"/>
    <n v="13556"/>
    <n v="1528"/>
    <n v="420"/>
    <n v="13463"/>
    <n v="0.11271761581587489"/>
    <n v="0.27486910994764396"/>
    <n v="1.7859947643979057"/>
    <n v="6.4976190476190476"/>
    <n v="0.28693092209021132"/>
    <n v="4.9333089043605716"/>
    <s v="CL102"/>
    <x v="2"/>
    <s v="Medium"/>
    <n v="2729"/>
    <n v="1"/>
    <s v="Low"/>
  </r>
  <r>
    <s v="C103"/>
    <d v="2023-12-29T05:48:27"/>
    <d v="2023-12-29T05:48:27"/>
    <s v="Ongoing"/>
    <n v="0"/>
    <n v="1673"/>
    <s v="Parents 30-40"/>
    <n v="3765"/>
    <n v="1775"/>
    <n v="324"/>
    <n v="509"/>
    <n v="0.4714475431606906"/>
    <n v="0.18253521126760563"/>
    <n v="0.75380281690140849"/>
    <n v="4.1296296296296298"/>
    <n v="0.79976090854751947"/>
    <n v="0.38041853512705531"/>
    <s v="CL103"/>
    <x v="1"/>
    <s v="Medium"/>
    <n v="1338"/>
    <n v="4"/>
    <s v="High"/>
  </r>
  <r>
    <s v="C104"/>
    <d v="2023-02-03T20:52:37"/>
    <d v="2024-01-31T20:44:58"/>
    <s v="Completed"/>
    <n v="361.99468749999505"/>
    <n v="1030"/>
    <s v="Adults 25-34"/>
    <n v="8079"/>
    <n v="1030"/>
    <n v="450"/>
    <n v="7476"/>
    <n v="0.1274910261170937"/>
    <n v="0.43689320388349512"/>
    <n v="18.99514563106796"/>
    <n v="43.477777777777774"/>
    <n v="18.99514563106796"/>
    <n v="0.3821109123434705"/>
    <s v="CL104"/>
    <x v="4"/>
    <s v="Large"/>
    <n v="19565"/>
    <n v="1"/>
    <s v="Low"/>
  </r>
  <r>
    <s v="C105"/>
    <d v="2023-10-28T21:46:04"/>
    <d v="2023-10-28T21:46:04"/>
    <s v="Ongoing"/>
    <n v="0"/>
    <n v="7138"/>
    <s v="Parents 30-40"/>
    <n v="15887"/>
    <n v="360"/>
    <n v="56"/>
    <n v="7781"/>
    <n v="2.2660036507836597E-2"/>
    <n v="0.15555555555555556"/>
    <n v="27.722222222222221"/>
    <n v="178.21428571428572"/>
    <n v="1.3981507425049033"/>
    <n v="0.77965931863727456"/>
    <s v="CL105"/>
    <x v="4"/>
    <s v="Medium"/>
    <n v="9980"/>
    <n v="1"/>
    <s v="Low"/>
  </r>
  <r>
    <s v="C106"/>
    <d v="2023-08-15T19:24:15"/>
    <d v="2024-04-20T16:11:33"/>
    <s v="Completed"/>
    <n v="248.86618055556028"/>
    <n v="7079"/>
    <s v="Professionals 35-50"/>
    <n v="12778"/>
    <n v="467"/>
    <n v="145"/>
    <n v="4349"/>
    <n v="3.6547190483643764E-2"/>
    <n v="0.31049250535331907"/>
    <n v="20.907922912205567"/>
    <n v="67.337931034482764"/>
    <n v="1.3792908602910015"/>
    <n v="0.44541171650962719"/>
    <s v="CL106"/>
    <x v="0"/>
    <s v="Medium"/>
    <n v="9764"/>
    <n v="1"/>
    <s v="Low"/>
  </r>
  <r>
    <s v="C107"/>
    <d v="2023-09-02T22:27:21"/>
    <d v="2023-10-16T01:14:18"/>
    <s v="Completed"/>
    <n v="43.115937499998836"/>
    <n v="6157"/>
    <s v="Professionals 35-50"/>
    <n v="1673"/>
    <n v="1777"/>
    <n v="486"/>
    <n v="7042"/>
    <n v="1.0621637776449493"/>
    <n v="0.27349465391108613"/>
    <n v="4.5047833427124369"/>
    <n v="16.47119341563786"/>
    <n v="1.3001461750852688"/>
    <n v="0.87970018738288569"/>
    <s v="CL107"/>
    <x v="1"/>
    <s v="Large"/>
    <n v="8005"/>
    <n v="1"/>
    <s v="Low"/>
  </r>
  <r>
    <s v="C108"/>
    <d v="2024-02-15T21:42:28"/>
    <d v="2024-03-24T20:50:31"/>
    <s v="Completed"/>
    <n v="37.963923611110658"/>
    <n v="5699"/>
    <s v="Professionals 35-50"/>
    <n v="17622"/>
    <n v="1319"/>
    <n v="457"/>
    <n v="968"/>
    <n v="7.4849619793440014E-2"/>
    <n v="0.34647460197119029"/>
    <n v="13.794541319181198"/>
    <n v="39.814004376367613"/>
    <n v="3.192665379891209"/>
    <n v="5.3201428964001096E-2"/>
    <s v="CL108"/>
    <x v="3"/>
    <s v="Large"/>
    <n v="18195"/>
    <n v="3"/>
    <s v="Medium"/>
  </r>
  <r>
    <s v="C109"/>
    <d v="2024-05-24T01:15:24"/>
    <d v="2024-05-24T01:15:24"/>
    <s v="Ongoing"/>
    <n v="0"/>
    <n v="3947"/>
    <s v="Professionals 35-50"/>
    <n v="19587"/>
    <n v="559"/>
    <n v="165"/>
    <n v="10061"/>
    <n v="2.8539337315566446E-2"/>
    <n v="0.29516994633273702"/>
    <n v="13.010733452593918"/>
    <n v="44.078787878787878"/>
    <n v="1.8426653154294401"/>
    <n v="1.3833356249140658"/>
    <s v="CL109"/>
    <x v="2"/>
    <s v="Medium"/>
    <n v="7273"/>
    <n v="3"/>
    <s v="Medium"/>
  </r>
  <r>
    <s v="C110"/>
    <d v="2023-06-12T17:57:27"/>
    <d v="2023-06-24T16:34:36"/>
    <s v="Completed"/>
    <n v="11.942465277774318"/>
    <n v="6938"/>
    <s v="Professionals 35-50"/>
    <n v="18649"/>
    <n v="433"/>
    <n v="107"/>
    <n v="5910"/>
    <n v="2.3218403131535201E-2"/>
    <n v="0.24711316397228639"/>
    <n v="3.840646651270208"/>
    <n v="15.542056074766355"/>
    <n v="0.23969443643701355"/>
    <n v="3.5538184004810582"/>
    <s v="CL110"/>
    <x v="4"/>
    <s v="Small"/>
    <n v="1663"/>
    <n v="3"/>
    <s v="Medium"/>
  </r>
  <r>
    <s v="C111"/>
    <d v="2023-01-04T15:38:56"/>
    <d v="2024-03-16T06:16:59"/>
    <s v="Completed"/>
    <n v="436.60975694444642"/>
    <n v="4643"/>
    <s v="Parents 30-40"/>
    <n v="2903"/>
    <n v="849"/>
    <n v="267"/>
    <n v="895"/>
    <n v="0.29245607991732692"/>
    <n v="0.31448763250883394"/>
    <n v="9.0129564193168434"/>
    <n v="28.659176029962548"/>
    <n v="1.6480723670040922"/>
    <n v="0.11696288552012546"/>
    <s v="CL111"/>
    <x v="0"/>
    <s v="Large"/>
    <n v="7652"/>
    <n v="5"/>
    <s v="High"/>
  </r>
  <r>
    <s v="C112"/>
    <d v="2023-04-06T18:19:04"/>
    <d v="2024-05-02T23:41:46"/>
    <s v="Completed"/>
    <n v="392.22409722222073"/>
    <n v="1129"/>
    <s v="Parents 30-40"/>
    <n v="19332"/>
    <n v="1492"/>
    <n v="474"/>
    <n v="14557"/>
    <n v="7.7177736395613497E-2"/>
    <n v="0.31769436997319034"/>
    <n v="1.0650134048257374"/>
    <n v="3.352320675105485"/>
    <n v="1.4074402125775023"/>
    <n v="9.1611076148521082"/>
    <s v="CL112"/>
    <x v="3"/>
    <s v="Large"/>
    <n v="1589"/>
    <n v="1"/>
    <s v="Low"/>
  </r>
  <r>
    <s v="C113"/>
    <d v="2024-10-10T23:17:16"/>
    <d v="2024-10-10T23:17:16"/>
    <s v="Ongoing"/>
    <n v="0"/>
    <n v="8949"/>
    <s v="Professionals 35-50"/>
    <n v="13335"/>
    <n v="1387"/>
    <n v="248"/>
    <n v="10563"/>
    <n v="0.10401199850018748"/>
    <n v="0.1788031723143475"/>
    <n v="10.996395097332371"/>
    <n v="61.5"/>
    <n v="1.7043245055313443"/>
    <n v="0.69256490952006289"/>
    <s v="CL113"/>
    <x v="0"/>
    <s v="Large"/>
    <n v="15252"/>
    <n v="2"/>
    <s v="Medium"/>
  </r>
  <r>
    <s v="C114"/>
    <d v="2024-07-15T16:28:44"/>
    <d v="2024-08-08T00:57:43"/>
    <s v="Completed"/>
    <n v="23.35346064814803"/>
    <n v="4333"/>
    <s v="Youths 18-24"/>
    <n v="16679"/>
    <n v="1663"/>
    <n v="249"/>
    <n v="7461"/>
    <n v="9.970621739912465E-2"/>
    <n v="0.1497294046903187"/>
    <n v="5.2453397474443779"/>
    <n v="35.032128514056225"/>
    <n v="2.013154858066005"/>
    <n v="0.85532500286598645"/>
    <s v="CL114"/>
    <x v="2"/>
    <s v="Medium"/>
    <n v="8723"/>
    <n v="3"/>
    <s v="Medium"/>
  </r>
  <r>
    <s v="C115"/>
    <d v="2024-09-07T12:06:21"/>
    <d v="2024-09-07T12:06:21"/>
    <s v="Ongoing"/>
    <n v="0"/>
    <n v="1255"/>
    <s v="Parents 30-40"/>
    <n v="19027"/>
    <n v="188"/>
    <n v="174"/>
    <n v="1387"/>
    <n v="9.8806958532611545E-3"/>
    <n v="0.92553191489361697"/>
    <n v="32.468085106382979"/>
    <n v="35.080459770114942"/>
    <n v="4.8637450199203185"/>
    <n v="0.22722804718217562"/>
    <s v="CL115"/>
    <x v="3"/>
    <s v="Large"/>
    <n v="6104"/>
    <n v="4"/>
    <s v="High"/>
  </r>
  <r>
    <s v="C116"/>
    <d v="2023-10-06T16:48:08"/>
    <d v="2024-09-10T03:00:41"/>
    <s v="Completed"/>
    <n v="339.42538194444933"/>
    <n v="8055"/>
    <s v="Parents 30-40"/>
    <n v="6646"/>
    <n v="1597"/>
    <n v="225"/>
    <n v="11491"/>
    <n v="0.2402949142341258"/>
    <n v="0.14088916718847841"/>
    <n v="9.8365685660613646"/>
    <n v="69.817777777777778"/>
    <n v="1.9502172563625078"/>
    <n v="0.73149150168693111"/>
    <s v="CL116"/>
    <x v="1"/>
    <s v="Medium"/>
    <n v="15709"/>
    <n v="1"/>
    <s v="Low"/>
  </r>
  <r>
    <s v="C117"/>
    <d v="2024-07-11T22:04:53"/>
    <d v="2024-07-11T22:04:53"/>
    <s v="Ongoing"/>
    <n v="0"/>
    <n v="2712"/>
    <s v="Parents 30-40"/>
    <n v="5126"/>
    <n v="692"/>
    <n v="368"/>
    <n v="917"/>
    <n v="0.13499804916113928"/>
    <n v="0.53179190751445082"/>
    <n v="10.544797687861271"/>
    <n v="19.828804347826086"/>
    <n v="2.6906342182890857"/>
    <n v="0.12566808277374264"/>
    <s v="CL117"/>
    <x v="3"/>
    <s v="Small"/>
    <n v="7297"/>
    <n v="5"/>
    <s v="High"/>
  </r>
  <r>
    <s v="C118"/>
    <d v="2023-05-16T02:35:22"/>
    <d v="2024-09-12T05:15:11"/>
    <s v="Completed"/>
    <n v="485.11098379629402"/>
    <n v="3068"/>
    <s v="Youths 18-24"/>
    <n v="15685"/>
    <n v="1267"/>
    <n v="153"/>
    <n v="13206"/>
    <n v="8.0777813197322287E-2"/>
    <n v="0.12075769534333071"/>
    <n v="11.021310181531176"/>
    <n v="91.267973856209153"/>
    <n v="4.5514993481095178"/>
    <n v="0.94571755943855629"/>
    <s v="CL118"/>
    <x v="3"/>
    <s v="Medium"/>
    <n v="13964"/>
    <n v="1"/>
    <s v="Low"/>
  </r>
  <r>
    <s v="C119"/>
    <d v="2024-06-02T04:19:59"/>
    <d v="2024-12-02T21:12:46"/>
    <s v="Completed"/>
    <n v="183.7033217592616"/>
    <n v="8132"/>
    <s v="Professionals 35-50"/>
    <n v="12192"/>
    <n v="1332"/>
    <n v="417"/>
    <n v="2172"/>
    <n v="0.10925196850393701"/>
    <n v="0.31306306306306309"/>
    <n v="1.5908408408408408"/>
    <n v="5.0815347721822546"/>
    <n v="0.26057550418101327"/>
    <n v="1.025011798017933"/>
    <s v="CL119"/>
    <x v="4"/>
    <s v="Medium"/>
    <n v="2119"/>
    <n v="2"/>
    <s v="Medium"/>
  </r>
  <r>
    <s v="C120"/>
    <d v="2024-08-03T05:30:00"/>
    <d v="2024-11-10T13:26:17"/>
    <s v="Completed"/>
    <n v="99.330752314817801"/>
    <n v="2748"/>
    <s v="Parents 30-40"/>
    <n v="3968"/>
    <n v="1206"/>
    <n v="357"/>
    <n v="6374"/>
    <n v="0.30393145161290325"/>
    <n v="0.29601990049751242"/>
    <n v="7.1011608623548925"/>
    <n v="23.988795518207283"/>
    <n v="3.1164483260553131"/>
    <n v="0.74427837459131252"/>
    <s v="CL120"/>
    <x v="4"/>
    <s v="Small"/>
    <n v="8564"/>
    <n v="1"/>
    <s v="Low"/>
  </r>
  <r>
    <s v="C121"/>
    <d v="2024-04-11T19:49:44"/>
    <d v="2024-04-11T19:49:44"/>
    <s v="Ongoing"/>
    <n v="0"/>
    <n v="3122"/>
    <s v="Professionals 35-50"/>
    <n v="3248"/>
    <n v="754"/>
    <n v="97"/>
    <n v="9770"/>
    <n v="0.23214285714285715"/>
    <n v="0.1286472148541114"/>
    <n v="16.575596816976127"/>
    <n v="128.84536082474227"/>
    <n v="4.003203074951954"/>
    <n v="0.7817250760121619"/>
    <s v="CL121"/>
    <x v="0"/>
    <s v="Medium"/>
    <n v="12498"/>
    <n v="5"/>
    <s v="High"/>
  </r>
  <r>
    <s v="C122"/>
    <d v="2024-07-07T01:07:58"/>
    <d v="2024-07-07T01:07:58"/>
    <s v="Ongoing"/>
    <n v="0"/>
    <n v="5426"/>
    <s v="Adults 25-34"/>
    <n v="13502"/>
    <n v="894"/>
    <n v="431"/>
    <n v="1297"/>
    <n v="6.6212412975855423E-2"/>
    <n v="0.48210290827740493"/>
    <n v="11.280760626398211"/>
    <n v="23.399071925754061"/>
    <n v="1.8586435680058975"/>
    <n v="0.12860684184432325"/>
    <s v="CL122"/>
    <x v="2"/>
    <s v="Small"/>
    <n v="10085"/>
    <n v="5"/>
    <s v="High"/>
  </r>
  <r>
    <s v="C123"/>
    <d v="2023-05-22T05:34:06"/>
    <d v="2024-06-30T12:58:10"/>
    <s v="Completed"/>
    <n v="405.30837962962687"/>
    <n v="1535"/>
    <s v="Youths 18-24"/>
    <n v="15698"/>
    <n v="1645"/>
    <n v="119"/>
    <n v="5869"/>
    <n v="0.10479041916167664"/>
    <n v="7.2340425531914887E-2"/>
    <n v="10.293009118541033"/>
    <n v="142.28571428571428"/>
    <n v="11.030618892508143"/>
    <n v="0.34662178124261755"/>
    <s v="CL123"/>
    <x v="0"/>
    <s v="Small"/>
    <n v="16932"/>
    <n v="5"/>
    <s v="High"/>
  </r>
  <r>
    <s v="C124"/>
    <d v="2024-06-28T21:30:14"/>
    <d v="2024-06-28T21:30:14"/>
    <s v="Ongoing"/>
    <n v="0"/>
    <n v="4609"/>
    <s v="Adults 25-34"/>
    <n v="17030"/>
    <n v="131"/>
    <n v="71"/>
    <n v="11246"/>
    <n v="7.6923076923076927E-3"/>
    <n v="0.5419847328244275"/>
    <n v="80.297709923664115"/>
    <n v="148.1549295774648"/>
    <n v="2.2822738121067476"/>
    <n v="1.069113033558323"/>
    <s v="CL124"/>
    <x v="2"/>
    <s v="Medium"/>
    <n v="10519"/>
    <n v="4"/>
    <s v="High"/>
  </r>
  <r>
    <s v="C125"/>
    <d v="2024-05-27T12:04:48"/>
    <d v="2024-07-11T00:14:33"/>
    <s v="Completed"/>
    <n v="44.506770833329938"/>
    <n v="3494"/>
    <s v="Parents 30-40"/>
    <n v="12349"/>
    <n v="871"/>
    <n v="23"/>
    <n v="14951"/>
    <n v="7.0532026884767993E-2"/>
    <n v="2.6406429391504019E-2"/>
    <n v="6.5510907003444316"/>
    <n v="248.08695652173913"/>
    <n v="1.633085289066972"/>
    <n v="2.6202243252716437"/>
    <s v="CL125"/>
    <x v="2"/>
    <s v="Medium"/>
    <n v="5706"/>
    <n v="2"/>
    <s v="Medium"/>
  </r>
  <r>
    <s v="C126"/>
    <d v="2024-04-06T02:30:28"/>
    <d v="2024-08-31T03:55:05"/>
    <s v="Completed"/>
    <n v="147.05876157407329"/>
    <n v="2139"/>
    <s v="Parents 30-40"/>
    <n v="7670"/>
    <n v="633"/>
    <n v="321"/>
    <n v="9153"/>
    <n v="8.2529335071707954E-2"/>
    <n v="0.50710900473933651"/>
    <n v="23.003159557661927"/>
    <n v="45.361370716510905"/>
    <n v="6.8073866292660119"/>
    <n v="0.62859693702355612"/>
    <s v="CL126"/>
    <x v="2"/>
    <s v="Large"/>
    <n v="14561"/>
    <n v="1"/>
    <s v="Low"/>
  </r>
  <r>
    <s v="C127"/>
    <d v="2024-02-01T07:51:52"/>
    <d v="2024-04-02T11:04:04"/>
    <s v="Completed"/>
    <n v="61.133472222223645"/>
    <n v="2827"/>
    <s v="Professionals 35-50"/>
    <n v="18484"/>
    <n v="1946"/>
    <n v="245"/>
    <n v="14289"/>
    <n v="0.105280242371781"/>
    <n v="0.12589928057553956"/>
    <n v="1.5817060637204523"/>
    <n v="12.56326530612245"/>
    <n v="1.0887866996816413"/>
    <n v="4.6423001949317735"/>
    <s v="CL127"/>
    <x v="3"/>
    <s v="Medium"/>
    <n v="3078"/>
    <n v="4"/>
    <s v="High"/>
  </r>
  <r>
    <s v="C128"/>
    <d v="2023-03-10T06:49:10"/>
    <d v="2023-03-10T06:49:10"/>
    <s v="Ongoing"/>
    <n v="0"/>
    <n v="5269"/>
    <s v="Youths 18-24"/>
    <n v="7459"/>
    <n v="1115"/>
    <n v="415"/>
    <n v="5438"/>
    <n v="0.14948384501943959"/>
    <n v="0.37219730941704038"/>
    <n v="9.2600896860986541"/>
    <n v="24.879518072289155"/>
    <n v="1.9595748718921997"/>
    <n v="0.52668280871670703"/>
    <s v="CL128"/>
    <x v="3"/>
    <s v="Medium"/>
    <n v="10325"/>
    <n v="1"/>
    <s v="Low"/>
  </r>
  <r>
    <s v="C129"/>
    <d v="2023-10-24T09:44:43"/>
    <d v="2023-11-03T08:27:24"/>
    <s v="Completed"/>
    <n v="9.9463078703702195"/>
    <n v="1412"/>
    <s v="Parents 30-40"/>
    <n v="13283"/>
    <n v="1535"/>
    <n v="70"/>
    <n v="759"/>
    <n v="0.11556124369494843"/>
    <n v="4.5602605863192182E-2"/>
    <n v="5.2540716612377851"/>
    <n v="115.21428571428571"/>
    <n v="5.7117563739376767"/>
    <n v="9.4110353378797279E-2"/>
    <s v="CL129"/>
    <x v="0"/>
    <s v="Medium"/>
    <n v="8065"/>
    <n v="3"/>
    <s v="Medium"/>
  </r>
  <r>
    <s v="C130"/>
    <d v="2023-08-03T09:16:50"/>
    <d v="2023-08-03T09:16:50"/>
    <s v="Ongoing"/>
    <n v="0"/>
    <n v="9370"/>
    <s v="Parents 30-40"/>
    <n v="17177"/>
    <n v="1307"/>
    <n v="277"/>
    <n v="3228"/>
    <n v="7.6090120509984288E-2"/>
    <n v="0.21193573068094873"/>
    <n v="10.674062739097169"/>
    <n v="50.364620938628157"/>
    <n v="1.4889007470651014"/>
    <n v="0.23138126299190023"/>
    <s v="CL130"/>
    <x v="0"/>
    <s v="Large"/>
    <n v="13951"/>
    <n v="5"/>
    <s v="High"/>
  </r>
  <r>
    <s v="C131"/>
    <d v="2024-11-27T04:27:18"/>
    <d v="2024-11-27T04:27:18"/>
    <s v="Ongoing"/>
    <n v="0"/>
    <n v="7101"/>
    <s v="Parents 30-40"/>
    <n v="14096"/>
    <n v="1002"/>
    <n v="346"/>
    <n v="1517"/>
    <n v="7.1083995459704882E-2"/>
    <n v="0.34530938123752497"/>
    <n v="16.238522954091817"/>
    <n v="47.02601156069364"/>
    <n v="2.2913674130404167"/>
    <n v="9.3233359965582935E-2"/>
    <s v="CL131"/>
    <x v="1"/>
    <s v="Large"/>
    <n v="16271"/>
    <n v="3"/>
    <s v="Medium"/>
  </r>
  <r>
    <s v="C132"/>
    <d v="2023-01-14T08:47:46"/>
    <d v="2024-10-26T07:10:00"/>
    <s v="Completed"/>
    <n v="650.93210648147942"/>
    <n v="3317"/>
    <s v="Youths 18-24"/>
    <n v="2929"/>
    <n v="1269"/>
    <n v="121"/>
    <n v="12466"/>
    <n v="0.43325367019460564"/>
    <n v="9.5350669818754924E-2"/>
    <n v="13.792750197005516"/>
    <n v="144.65289256198346"/>
    <n v="5.276756104914079"/>
    <n v="0.71222076215505914"/>
    <s v="CL132"/>
    <x v="4"/>
    <s v="Large"/>
    <n v="17503"/>
    <n v="2"/>
    <s v="Medium"/>
  </r>
  <r>
    <s v="C133"/>
    <d v="2023-03-14T13:43:28"/>
    <d v="2024-10-09T07:10:09"/>
    <s v="Completed"/>
    <n v="574.72686342592351"/>
    <n v="1649"/>
    <s v="Adults 25-34"/>
    <n v="7565"/>
    <n v="1790"/>
    <n v="230"/>
    <n v="8687"/>
    <n v="0.23661599471249173"/>
    <n v="0.12849162011173185"/>
    <n v="3.3396648044692738"/>
    <n v="25.991304347826087"/>
    <n v="3.6252274105518496"/>
    <n v="1.4531615925058547"/>
    <s v="CL133"/>
    <x v="0"/>
    <s v="Medium"/>
    <n v="5978"/>
    <n v="5"/>
    <s v="High"/>
  </r>
  <r>
    <s v="C134"/>
    <d v="2023-03-16T03:58:43"/>
    <d v="2023-04-20T15:45:49"/>
    <s v="Completed"/>
    <n v="35.491041666668025"/>
    <n v="1350"/>
    <s v="Parents 30-40"/>
    <n v="18976"/>
    <n v="104"/>
    <n v="11"/>
    <n v="2792"/>
    <n v="5.4806070826306915E-3"/>
    <n v="0.10576923076923077"/>
    <n v="6.6057692307692308"/>
    <n v="62.454545454545453"/>
    <n v="0.50888888888888884"/>
    <n v="4.0640465793304221"/>
    <s v="CL134"/>
    <x v="1"/>
    <s v="Small"/>
    <n v="687"/>
    <n v="2"/>
    <s v="Medium"/>
  </r>
  <r>
    <s v="C135"/>
    <d v="2023-05-07T21:37:41"/>
    <d v="2023-07-14T23:13:54"/>
    <s v="Completed"/>
    <n v="68.066817129634728"/>
    <n v="3662"/>
    <s v="Adults 25-34"/>
    <n v="15683"/>
    <n v="347"/>
    <n v="466"/>
    <n v="5318"/>
    <n v="2.2125868775106805E-2"/>
    <n v="1.3429394812680115"/>
    <n v="41.841498559077813"/>
    <n v="31.156652360515022"/>
    <n v="3.9647733478973239"/>
    <n v="0.36627866932984365"/>
    <s v="CL135"/>
    <x v="4"/>
    <s v="Small"/>
    <n v="14519"/>
    <n v="4"/>
    <s v="High"/>
  </r>
  <r>
    <s v="C136"/>
    <d v="2024-02-03T16:30:56"/>
    <d v="2024-02-03T16:30:56"/>
    <s v="Ongoing"/>
    <n v="0"/>
    <n v="2319"/>
    <s v="Adults 25-34"/>
    <n v="8052"/>
    <n v="1684"/>
    <n v="25"/>
    <n v="9293"/>
    <n v="0.20914058618976653"/>
    <n v="1.4845605700712588E-2"/>
    <n v="11.065320665083135"/>
    <n v="745.36"/>
    <n v="8.0353600689952565"/>
    <n v="0.49871203176988299"/>
    <s v="CL136"/>
    <x v="0"/>
    <s v="Large"/>
    <n v="18634"/>
    <n v="2"/>
    <s v="Medium"/>
  </r>
  <r>
    <s v="C137"/>
    <d v="2023-02-15T21:52:12"/>
    <d v="2024-12-30T03:54:11"/>
    <s v="Completed"/>
    <n v="683.25137731481664"/>
    <n v="9921"/>
    <s v="Youths 18-24"/>
    <n v="14409"/>
    <n v="457"/>
    <n v="318"/>
    <n v="11574"/>
    <n v="3.1716288430841837E-2"/>
    <n v="0.69584245076586437"/>
    <n v="29.584245076586434"/>
    <n v="42.515723270440255"/>
    <n v="1.3627658502167119"/>
    <n v="0.8560650887573964"/>
    <s v="CL137"/>
    <x v="1"/>
    <s v="Large"/>
    <n v="13520"/>
    <n v="1"/>
    <s v="Low"/>
  </r>
  <r>
    <s v="C138"/>
    <d v="2024-06-29T16:26:51"/>
    <d v="2024-06-29T16:26:51"/>
    <s v="Ongoing"/>
    <n v="0"/>
    <n v="9748"/>
    <s v="Professionals 35-50"/>
    <n v="3368"/>
    <n v="1154"/>
    <n v="281"/>
    <n v="8652"/>
    <n v="0.34263657957244653"/>
    <n v="0.24350086655112652"/>
    <n v="6.5961871750433279"/>
    <n v="27.088967971530248"/>
    <n v="0.78087812884694296"/>
    <n v="1.1366263794009459"/>
    <s v="CL138"/>
    <x v="3"/>
    <s v="Small"/>
    <n v="7612"/>
    <n v="4"/>
    <s v="High"/>
  </r>
  <r>
    <s v="C139"/>
    <d v="2023-12-31T10:00:36"/>
    <d v="2024-10-30T09:34:27"/>
    <s v="Completed"/>
    <n v="303.98184027777461"/>
    <n v="6629"/>
    <s v="Parents 30-40"/>
    <n v="6036"/>
    <n v="1691"/>
    <n v="495"/>
    <n v="8610"/>
    <n v="0.28015241882041086"/>
    <n v="0.29272619751626255"/>
    <n v="4.6723832052040217"/>
    <n v="15.961616161616162"/>
    <n v="1.1918841454216322"/>
    <n v="1.0897354765219593"/>
    <s v="CL139"/>
    <x v="1"/>
    <s v="Small"/>
    <n v="7901"/>
    <n v="3"/>
    <s v="Medium"/>
  </r>
  <r>
    <s v="C140"/>
    <d v="2024-02-23T08:25:23"/>
    <d v="2024-02-23T08:25:23"/>
    <s v="Ongoing"/>
    <n v="0"/>
    <n v="2529"/>
    <s v="Professionals 35-50"/>
    <n v="12957"/>
    <n v="190"/>
    <n v="444"/>
    <n v="5434"/>
    <n v="1.4663888245735895E-2"/>
    <n v="2.3368421052631581"/>
    <n v="5.1105263157894738"/>
    <n v="2.1869369369369371"/>
    <n v="0.38394622380387505"/>
    <n v="5.5962924819773425"/>
    <s v="CL140"/>
    <x v="1"/>
    <s v="Medium"/>
    <n v="971"/>
    <n v="5"/>
    <s v="High"/>
  </r>
  <r>
    <s v="C141"/>
    <d v="2024-07-29T15:29:10"/>
    <d v="2024-07-29T15:29:10"/>
    <s v="Ongoing"/>
    <n v="0"/>
    <n v="3679"/>
    <s v="Professionals 35-50"/>
    <n v="6448"/>
    <n v="1786"/>
    <n v="186"/>
    <n v="12966"/>
    <n v="0.27698511166253104"/>
    <n v="0.10414333706606943"/>
    <n v="3.0498320268756998"/>
    <n v="29.28494623655914"/>
    <n v="1.4805653710247351"/>
    <n v="2.3803928768129246"/>
    <s v="CL141"/>
    <x v="0"/>
    <s v="Small"/>
    <n v="5447"/>
    <n v="1"/>
    <s v="Low"/>
  </r>
  <r>
    <s v="C142"/>
    <d v="2024-02-03T21:37:50"/>
    <d v="2024-02-11T09:06:41"/>
    <s v="Completed"/>
    <n v="7.4783680555556202"/>
    <n v="5357"/>
    <s v="Professionals 35-50"/>
    <n v="15017"/>
    <n v="151"/>
    <n v="145"/>
    <n v="13313"/>
    <n v="1.0055270693214357E-2"/>
    <n v="0.96026490066225167"/>
    <n v="100.35761589403974"/>
    <n v="104.51034482758621"/>
    <n v="2.828822101922718"/>
    <n v="0.87851392371651049"/>
    <s v="CL142"/>
    <x v="4"/>
    <s v="Small"/>
    <n v="15154"/>
    <n v="3"/>
    <s v="Medium"/>
  </r>
  <r>
    <s v="C143"/>
    <d v="2023-02-13T22:27:07"/>
    <d v="2024-01-09T19:15:13"/>
    <s v="Completed"/>
    <n v="329.86673611111473"/>
    <n v="8206"/>
    <s v="Professionals 35-50"/>
    <n v="1277"/>
    <n v="440"/>
    <n v="106"/>
    <n v="13996"/>
    <n v="0.34455755677368832"/>
    <n v="0.24090909090909091"/>
    <n v="25.040909090909089"/>
    <n v="103.94339622641509"/>
    <n v="1.3426760906653668"/>
    <n v="1.2702849882011253"/>
    <s v="CL143"/>
    <x v="1"/>
    <s v="Medium"/>
    <n v="11018"/>
    <n v="3"/>
    <s v="Medium"/>
  </r>
  <r>
    <s v="C144"/>
    <d v="2023-05-22T01:13:59"/>
    <d v="2024-12-18T08:30:02"/>
    <s v="Completed"/>
    <n v="576.30281250000553"/>
    <n v="9316"/>
    <s v="Youths 18-24"/>
    <n v="1848"/>
    <n v="1557"/>
    <n v="477"/>
    <n v="5392"/>
    <n v="0.84253246753246758"/>
    <n v="0.30635838150289019"/>
    <n v="3.5016056518946694"/>
    <n v="11.429769392033544"/>
    <n v="0.58522971232288534"/>
    <n v="0.98899486426999261"/>
    <s v="CL144"/>
    <x v="3"/>
    <s v="Large"/>
    <n v="5452"/>
    <n v="2"/>
    <s v="Medium"/>
  </r>
  <r>
    <s v="C145"/>
    <d v="2024-08-11T02:21:36"/>
    <d v="2024-08-11T02:21:36"/>
    <s v="Ongoing"/>
    <n v="0"/>
    <n v="2566"/>
    <s v="Professionals 35-50"/>
    <n v="4325"/>
    <n v="109"/>
    <n v="354"/>
    <n v="13495"/>
    <n v="2.5202312138728325E-2"/>
    <n v="3.2477064220183487"/>
    <n v="33.990825688073393"/>
    <n v="10.466101694915254"/>
    <n v="1.4438815276695245"/>
    <n v="3.642375168690958"/>
    <s v="CL145"/>
    <x v="4"/>
    <s v="Small"/>
    <n v="3705"/>
    <n v="4"/>
    <s v="High"/>
  </r>
  <r>
    <s v="C146"/>
    <d v="2023-05-26T20:56:05"/>
    <d v="2024-08-31T09:33:25"/>
    <s v="Completed"/>
    <n v="462.52592592592555"/>
    <n v="3588"/>
    <s v="Professionals 35-50"/>
    <n v="3274"/>
    <n v="781"/>
    <n v="23"/>
    <n v="3300"/>
    <n v="0.23854612095296274"/>
    <n v="2.9449423815621E-2"/>
    <n v="4.3994878361075545"/>
    <n v="149.39130434782609"/>
    <n v="0.9576365663322185"/>
    <n v="0.96041909196740394"/>
    <s v="CL146"/>
    <x v="1"/>
    <s v="Small"/>
    <n v="3436"/>
    <n v="3"/>
    <s v="Medium"/>
  </r>
  <r>
    <s v="C147"/>
    <d v="2024-04-20T18:20:24"/>
    <d v="2024-09-11T04:47:46"/>
    <s v="Completed"/>
    <n v="143.4356712962981"/>
    <n v="7304"/>
    <s v="Parents 30-40"/>
    <n v="14863"/>
    <n v="178"/>
    <n v="236"/>
    <n v="9720"/>
    <n v="1.1976047904191617E-2"/>
    <n v="1.3258426966292134"/>
    <n v="45.247191011235955"/>
    <n v="34.127118644067799"/>
    <n v="1.1026834611171961"/>
    <n v="1.2068537372734045"/>
    <s v="CL147"/>
    <x v="3"/>
    <s v="Large"/>
    <n v="8054"/>
    <n v="2"/>
    <s v="Medium"/>
  </r>
  <r>
    <s v="C148"/>
    <d v="2023-01-03T04:51:07"/>
    <d v="2024-09-14T14:53:32"/>
    <s v="Completed"/>
    <n v="620.41834490740439"/>
    <n v="8299"/>
    <s v="Professionals 35-50"/>
    <n v="18516"/>
    <n v="1507"/>
    <n v="353"/>
    <n v="11616"/>
    <n v="8.138906891337222E-2"/>
    <n v="0.23424021234240211"/>
    <n v="2.7438619774386197"/>
    <n v="11.713881019830028"/>
    <n v="0.49825280154235452"/>
    <n v="2.8091898428053206"/>
    <s v="CL148"/>
    <x v="4"/>
    <s v="Small"/>
    <n v="4135"/>
    <n v="5"/>
    <s v="High"/>
  </r>
  <r>
    <s v="C149"/>
    <d v="2023-08-07T15:52:12"/>
    <d v="2023-08-07T15:52:12"/>
    <s v="Ongoing"/>
    <n v="0"/>
    <n v="1485"/>
    <s v="Professionals 35-50"/>
    <n v="18146"/>
    <n v="1959"/>
    <n v="157"/>
    <n v="5590"/>
    <n v="0.10795767662294721"/>
    <n v="8.0142930066360391E-2"/>
    <n v="1.1250638080653395"/>
    <n v="14.038216560509554"/>
    <n v="1.4841750841750843"/>
    <n v="2.5362976406533577"/>
    <s v="CL149"/>
    <x v="3"/>
    <s v="Large"/>
    <n v="2204"/>
    <n v="2"/>
    <s v="Medium"/>
  </r>
  <r>
    <s v="C150"/>
    <d v="2024-12-03T19:39:44"/>
    <d v="2024-12-03T19:39:44"/>
    <s v="Ongoing"/>
    <n v="0"/>
    <n v="5767"/>
    <s v="Professionals 35-50"/>
    <n v="16952"/>
    <n v="920"/>
    <n v="484"/>
    <n v="12812"/>
    <n v="5.427088249174139E-2"/>
    <n v="0.52608695652173909"/>
    <n v="8.6695652173913036"/>
    <n v="16.479338842975206"/>
    <n v="1.3830414426911739"/>
    <n v="1.6063189568706118"/>
    <s v="CL150"/>
    <x v="4"/>
    <s v="Small"/>
    <n v="7976"/>
    <n v="4"/>
    <s v="High"/>
  </r>
  <r>
    <s v="C151"/>
    <d v="2024-07-14T09:42:32"/>
    <d v="2024-07-14T09:42:32"/>
    <s v="Ongoing"/>
    <n v="0"/>
    <n v="4967"/>
    <s v="Adults 25-34"/>
    <n v="6462"/>
    <n v="724"/>
    <n v="52"/>
    <n v="7988"/>
    <n v="0.1120396162178892"/>
    <n v="7.18232044198895E-2"/>
    <n v="5.1436464088397793"/>
    <n v="71.615384615384613"/>
    <n v="0.74974833903764848"/>
    <n v="2.1450053705692804"/>
    <s v="CL151"/>
    <x v="1"/>
    <s v="Large"/>
    <n v="3724"/>
    <n v="3"/>
    <s v="Medium"/>
  </r>
  <r>
    <s v="C152"/>
    <d v="2023-05-09T13:35:53"/>
    <d v="2024-02-14T15:56:42"/>
    <s v="Completed"/>
    <n v="281.09778935185022"/>
    <n v="1796"/>
    <s v="Professionals 35-50"/>
    <n v="9512"/>
    <n v="1851"/>
    <n v="21"/>
    <n v="6988"/>
    <n v="0.19459629941126996"/>
    <n v="1.1345218800648298E-2"/>
    <n v="7.1318206374932469"/>
    <n v="628.61904761904759"/>
    <n v="7.3502227171492205"/>
    <n v="0.52935383683054316"/>
    <s v="CL152"/>
    <x v="1"/>
    <s v="Small"/>
    <n v="13201"/>
    <n v="2"/>
    <s v="Medium"/>
  </r>
  <r>
    <s v="C153"/>
    <d v="2024-03-23T17:40:55"/>
    <d v="2024-03-23T17:40:55"/>
    <s v="Ongoing"/>
    <n v="0"/>
    <n v="7241"/>
    <s v="Youths 18-24"/>
    <n v="13424"/>
    <n v="1313"/>
    <n v="86"/>
    <n v="8293"/>
    <n v="9.780989272943981E-2"/>
    <n v="6.5498857578065506E-2"/>
    <n v="5.1287128712871288"/>
    <n v="78.302325581395351"/>
    <n v="0.9299820466786356"/>
    <n v="1.2315117315117314"/>
    <s v="CL153"/>
    <x v="2"/>
    <s v="Medium"/>
    <n v="6734"/>
    <n v="2"/>
    <s v="Medium"/>
  </r>
  <r>
    <s v="C154"/>
    <d v="2023-02-10T19:18:32"/>
    <d v="2023-06-05T19:35:50"/>
    <s v="Completed"/>
    <n v="115.01201388888876"/>
    <n v="9853"/>
    <s v="Youths 18-24"/>
    <n v="3377"/>
    <n v="341"/>
    <n v="391"/>
    <n v="6118"/>
    <n v="0.10097719869706841"/>
    <n v="1.1466275659824048"/>
    <n v="50.363636363636367"/>
    <n v="43.923273657289002"/>
    <n v="1.7430224297168375"/>
    <n v="0.35623617095609644"/>
    <s v="CL154"/>
    <x v="2"/>
    <s v="Large"/>
    <n v="17174"/>
    <n v="3"/>
    <s v="Medium"/>
  </r>
  <r>
    <s v="C155"/>
    <d v="2023-02-01T12:20:40"/>
    <d v="2024-10-09T17:50:28"/>
    <s v="Completed"/>
    <n v="616.22902777777927"/>
    <n v="9630"/>
    <s v="Professionals 35-50"/>
    <n v="10943"/>
    <n v="1060"/>
    <n v="279"/>
    <n v="13967"/>
    <n v="9.6865576167412953E-2"/>
    <n v="0.26320754716981132"/>
    <n v="7.2424528301886788"/>
    <n v="27.516129032258064"/>
    <n v="0.797196261682243"/>
    <n v="1.8193304676305848"/>
    <s v="CL155"/>
    <x v="0"/>
    <s v="Large"/>
    <n v="7677"/>
    <n v="2"/>
    <s v="Medium"/>
  </r>
  <r>
    <s v="C156"/>
    <d v="2023-06-22T04:51:36"/>
    <d v="2023-11-26T19:12:56"/>
    <s v="Completed"/>
    <n v="157.59814814815036"/>
    <n v="2928"/>
    <s v="Professionals 35-50"/>
    <n v="4860"/>
    <n v="1533"/>
    <n v="109"/>
    <n v="9269"/>
    <n v="0.3154320987654321"/>
    <n v="7.1102413568166989E-2"/>
    <n v="8.7971298108284408"/>
    <n v="123.72477064220183"/>
    <n v="4.6058743169398904"/>
    <n v="0.68730535370013346"/>
    <s v="CL156"/>
    <x v="1"/>
    <s v="Medium"/>
    <n v="13486"/>
    <n v="2"/>
    <s v="Medium"/>
  </r>
  <r>
    <s v="C157"/>
    <d v="2024-06-13T04:35:21"/>
    <d v="2024-06-13T04:35:21"/>
    <s v="Ongoing"/>
    <n v="0"/>
    <n v="7021"/>
    <s v="Professionals 35-50"/>
    <n v="10419"/>
    <n v="1628"/>
    <n v="312"/>
    <n v="7525"/>
    <n v="0.15625299932815048"/>
    <n v="0.19164619164619165"/>
    <n v="8.0945945945945947"/>
    <n v="42.237179487179489"/>
    <n v="1.8769406067511751"/>
    <n v="0.57102747002580057"/>
    <s v="CL157"/>
    <x v="0"/>
    <s v="Large"/>
    <n v="13178"/>
    <n v="2"/>
    <s v="Medium"/>
  </r>
  <r>
    <s v="C158"/>
    <d v="2023-01-06T10:34:21"/>
    <d v="2023-05-11T14:50:36"/>
    <s v="Completed"/>
    <n v="125.17795138889051"/>
    <n v="1905"/>
    <s v="Adults 25-34"/>
    <n v="6310"/>
    <n v="1394"/>
    <n v="317"/>
    <n v="10128"/>
    <n v="0.22091917591125199"/>
    <n v="0.22740315638450503"/>
    <n v="13.961262553802008"/>
    <n v="61.394321766561511"/>
    <n v="10.216272965879265"/>
    <n v="0.52039872572191959"/>
    <s v="CL158"/>
    <x v="3"/>
    <s v="Large"/>
    <n v="19462"/>
    <n v="2"/>
    <s v="Medium"/>
  </r>
  <r>
    <s v="C159"/>
    <d v="2023-11-15T04:09:38"/>
    <d v="2024-02-14T04:33:20"/>
    <s v="Completed"/>
    <n v="91.01645833333896"/>
    <n v="4907"/>
    <s v="Youths 18-24"/>
    <n v="14252"/>
    <n v="1378"/>
    <n v="109"/>
    <n v="6784"/>
    <n v="9.6688184114510245E-2"/>
    <n v="7.9100145137880981E-2"/>
    <n v="8.6545718432510892"/>
    <n v="109.41284403669725"/>
    <n v="2.4304055431016915"/>
    <n v="0.56884118732181788"/>
    <s v="CL159"/>
    <x v="1"/>
    <s v="Medium"/>
    <n v="11926"/>
    <n v="5"/>
    <s v="High"/>
  </r>
  <r>
    <s v="C160"/>
    <d v="2023-11-01T06:13:44"/>
    <d v="2023-11-01T06:13:44"/>
    <s v="Ongoing"/>
    <n v="0"/>
    <n v="4526"/>
    <s v="Adults 25-34"/>
    <n v="1631"/>
    <n v="853"/>
    <n v="28"/>
    <n v="3598"/>
    <n v="0.52299202942979772"/>
    <n v="3.2825322391559206E-2"/>
    <n v="12.488862837045721"/>
    <n v="380.46428571428572"/>
    <n v="2.3537339814405658"/>
    <n v="0.3377452360837323"/>
    <s v="CL160"/>
    <x v="0"/>
    <s v="Small"/>
    <n v="10653"/>
    <n v="1"/>
    <s v="Low"/>
  </r>
  <r>
    <s v="C161"/>
    <d v="2023-02-19T18:52:02"/>
    <d v="2023-07-24T23:06:45"/>
    <s v="Completed"/>
    <n v="155.17688657407416"/>
    <n v="3930"/>
    <s v="Youths 18-24"/>
    <n v="2487"/>
    <n v="1790"/>
    <n v="214"/>
    <n v="11632"/>
    <n v="0.7197426618415762"/>
    <n v="0.11955307262569832"/>
    <n v="2.0754189944134076"/>
    <n v="17.359813084112151"/>
    <n v="0.94529262086513999"/>
    <n v="3.1310901749663524"/>
    <s v="CL161"/>
    <x v="4"/>
    <s v="Medium"/>
    <n v="3715"/>
    <n v="1"/>
    <s v="Low"/>
  </r>
  <r>
    <s v="C162"/>
    <d v="2024-03-03T12:51:10"/>
    <d v="2024-03-03T12:51:10"/>
    <s v="Ongoing"/>
    <n v="0"/>
    <n v="1557"/>
    <s v="Adults 25-34"/>
    <n v="19370"/>
    <n v="605"/>
    <n v="466"/>
    <n v="9190"/>
    <n v="3.1233866804336603E-2"/>
    <n v="0.77024793388429758"/>
    <n v="11.8"/>
    <n v="15.319742489270386"/>
    <n v="4.5850995504174694"/>
    <n v="1.2872951393752627"/>
    <s v="CL162"/>
    <x v="4"/>
    <s v="Small"/>
    <n v="7139"/>
    <n v="2"/>
    <s v="Medium"/>
  </r>
  <r>
    <s v="C163"/>
    <d v="2023-03-20T14:07:44"/>
    <d v="2023-10-28T22:50:37"/>
    <s v="Completed"/>
    <n v="222.36311342592671"/>
    <n v="1489"/>
    <s v="Parents 30-40"/>
    <n v="17425"/>
    <n v="499"/>
    <n v="488"/>
    <n v="13112"/>
    <n v="2.8637015781922525E-2"/>
    <n v="0.97795591182364727"/>
    <n v="7.4108216432865728"/>
    <n v="7.5778688524590168"/>
    <n v="2.4835460040295501"/>
    <n v="3.5457003785830179"/>
    <s v="CL163"/>
    <x v="3"/>
    <s v="Large"/>
    <n v="3698"/>
    <n v="5"/>
    <s v="High"/>
  </r>
  <r>
    <s v="C164"/>
    <d v="2023-05-06T12:22:19"/>
    <d v="2024-03-04T18:38:43"/>
    <s v="Completed"/>
    <n v="303.26138888888818"/>
    <n v="4579"/>
    <s v="Parents 30-40"/>
    <n v="7731"/>
    <n v="1422"/>
    <n v="235"/>
    <n v="11466"/>
    <n v="0.18393480791618161"/>
    <n v="0.16526019690576652"/>
    <n v="8.4303797468354436"/>
    <n v="51.01276595744681"/>
    <n v="2.6180388731164008"/>
    <n v="0.95645645645645649"/>
    <s v="CL164"/>
    <x v="4"/>
    <s v="Small"/>
    <n v="11988"/>
    <n v="4"/>
    <s v="High"/>
  </r>
  <r>
    <s v="C165"/>
    <d v="2023-08-31T08:49:00"/>
    <d v="2024-12-14T18:41:40"/>
    <s v="Completed"/>
    <n v="471.41157407407445"/>
    <n v="2160"/>
    <s v="Adults 25-34"/>
    <n v="6391"/>
    <n v="741"/>
    <n v="327"/>
    <n v="870"/>
    <n v="0.11594429666718824"/>
    <n v="0.44129554655870445"/>
    <n v="18.278002699055332"/>
    <n v="41.418960244648318"/>
    <n v="6.2703703703703706"/>
    <n v="6.4235085646780862E-2"/>
    <s v="CL165"/>
    <x v="3"/>
    <s v="Medium"/>
    <n v="13544"/>
    <n v="1"/>
    <s v="Low"/>
  </r>
  <r>
    <s v="C166"/>
    <d v="2024-10-26T00:09:35"/>
    <d v="2024-10-26T00:09:35"/>
    <s v="Ongoing"/>
    <n v="0"/>
    <n v="9585"/>
    <s v="Youths 18-24"/>
    <n v="9394"/>
    <n v="1368"/>
    <n v="281"/>
    <n v="7409"/>
    <n v="0.14562486693634236"/>
    <n v="0.20540935672514621"/>
    <n v="12.470760233918128"/>
    <n v="60.711743772241995"/>
    <n v="1.7798643714136673"/>
    <n v="0.43429073856975381"/>
    <s v="CL166"/>
    <x v="2"/>
    <s v="Large"/>
    <n v="17060"/>
    <n v="4"/>
    <s v="High"/>
  </r>
  <r>
    <s v="C167"/>
    <d v="2024-04-15T11:40:42"/>
    <d v="2024-06-24T23:11:38"/>
    <s v="Completed"/>
    <n v="70.479814814811107"/>
    <n v="4884"/>
    <s v="Adults 25-34"/>
    <n v="10481"/>
    <n v="1276"/>
    <n v="283"/>
    <n v="7412"/>
    <n v="0.12174410838660434"/>
    <n v="0.22178683385579936"/>
    <n v="8.0540752351097176"/>
    <n v="36.314487632508836"/>
    <n v="2.104217854217854"/>
    <n v="0.72122214654081929"/>
    <s v="CL167"/>
    <x v="4"/>
    <s v="Medium"/>
    <n v="10277"/>
    <n v="5"/>
    <s v="High"/>
  </r>
  <r>
    <s v="C168"/>
    <d v="2023-07-12T07:18:57"/>
    <d v="2023-07-12T07:18:57"/>
    <s v="Ongoing"/>
    <n v="0"/>
    <n v="4018"/>
    <s v="Adults 25-34"/>
    <n v="16257"/>
    <n v="1924"/>
    <n v="486"/>
    <n v="7340"/>
    <n v="0.11834901888417297"/>
    <n v="0.25259875259875259"/>
    <n v="3.9121621621621623"/>
    <n v="15.487654320987655"/>
    <n v="1.8733200597312096"/>
    <n v="0.97515610468978342"/>
    <s v="CL168"/>
    <x v="2"/>
    <s v="Small"/>
    <n v="7527"/>
    <n v="1"/>
    <s v="Low"/>
  </r>
  <r>
    <s v="C169"/>
    <d v="2024-06-18T08:09:47"/>
    <d v="2024-06-18T08:09:47"/>
    <s v="Ongoing"/>
    <n v="0"/>
    <n v="6676"/>
    <s v="Youths 18-24"/>
    <n v="17274"/>
    <n v="1803"/>
    <n v="207"/>
    <n v="9247"/>
    <n v="0.10437651962486974"/>
    <n v="0.11480865224625623"/>
    <n v="8.1536328341652808"/>
    <n v="71.019323671497588"/>
    <n v="2.202067106051528"/>
    <n v="0.62900482960342829"/>
    <s v="CL169"/>
    <x v="4"/>
    <s v="Small"/>
    <n v="14701"/>
    <n v="5"/>
    <s v="High"/>
  </r>
  <r>
    <s v="C170"/>
    <d v="2024-11-15T17:01:00"/>
    <d v="2024-11-15T17:01:00"/>
    <s v="Ongoing"/>
    <n v="0"/>
    <n v="4607"/>
    <s v="Parents 30-40"/>
    <n v="9395"/>
    <n v="1351"/>
    <n v="241"/>
    <n v="1557"/>
    <n v="0.14379989356040446"/>
    <n v="0.17838638045891933"/>
    <n v="13.278312361213915"/>
    <n v="74.435684647302907"/>
    <n v="3.8938571738658565"/>
    <n v="8.6794135682033563E-2"/>
    <s v="CL170"/>
    <x v="3"/>
    <s v="Medium"/>
    <n v="17939"/>
    <n v="2"/>
    <s v="Medium"/>
  </r>
  <r>
    <s v="C171"/>
    <d v="2023-04-11T08:05:20"/>
    <d v="2024-07-26T05:29:05"/>
    <s v="Completed"/>
    <n v="471.89149305555475"/>
    <n v="4571"/>
    <s v="Professionals 35-50"/>
    <n v="6751"/>
    <n v="1302"/>
    <n v="214"/>
    <n v="13351"/>
    <n v="0.19286031699007555"/>
    <n v="0.16436251920122888"/>
    <n v="7.0783410138248852"/>
    <n v="43.065420560747661"/>
    <n v="2.0161890177204111"/>
    <n v="1.4486762152777777"/>
    <s v="CL171"/>
    <x v="1"/>
    <s v="Medium"/>
    <n v="9216"/>
    <n v="4"/>
    <s v="High"/>
  </r>
  <r>
    <s v="C172"/>
    <d v="2023-12-31T12:56:53"/>
    <d v="2023-12-31T12:56:53"/>
    <s v="Ongoing"/>
    <n v="0"/>
    <n v="3466"/>
    <s v="Youths 18-24"/>
    <n v="5424"/>
    <n v="447"/>
    <n v="25"/>
    <n v="4030"/>
    <n v="8.2411504424778764E-2"/>
    <n v="5.5928411633109618E-2"/>
    <n v="39.259507829977629"/>
    <n v="701.96"/>
    <n v="5.0631852279284475"/>
    <n v="0.2296427146845974"/>
    <s v="CL172"/>
    <x v="1"/>
    <s v="Large"/>
    <n v="17549"/>
    <n v="2"/>
    <s v="Medium"/>
  </r>
  <r>
    <s v="C173"/>
    <d v="2024-04-05T07:32:40"/>
    <d v="2024-08-31T22:09:19"/>
    <s v="Completed"/>
    <n v="148.6087847222152"/>
    <n v="1834"/>
    <s v="Professionals 35-50"/>
    <n v="19015"/>
    <n v="625"/>
    <n v="423"/>
    <n v="14160"/>
    <n v="3.2868787799105972E-2"/>
    <n v="0.67679999999999996"/>
    <n v="8.1359999999999992"/>
    <n v="12.021276595744681"/>
    <n v="2.7726281352235551"/>
    <n v="2.7846607669616521"/>
    <s v="CL173"/>
    <x v="2"/>
    <s v="Large"/>
    <n v="5085"/>
    <n v="5"/>
    <s v="High"/>
  </r>
  <r>
    <s v="C174"/>
    <d v="2024-05-15T20:10:58"/>
    <d v="2024-05-15T20:10:58"/>
    <s v="Ongoing"/>
    <n v="0"/>
    <n v="2333"/>
    <s v="Parents 30-40"/>
    <n v="12482"/>
    <n v="1015"/>
    <n v="235"/>
    <n v="2968"/>
    <n v="8.1317096619131543E-2"/>
    <n v="0.23152709359605911"/>
    <n v="4.6719211822660096"/>
    <n v="20.178723404255319"/>
    <n v="2.0325760822974712"/>
    <n v="0.62589624630957397"/>
    <s v="CL174"/>
    <x v="4"/>
    <s v="Large"/>
    <n v="4742"/>
    <n v="5"/>
    <s v="High"/>
  </r>
  <r>
    <s v="C175"/>
    <d v="2023-01-20T22:58:12"/>
    <d v="2024-03-21T10:22:03"/>
    <s v="Completed"/>
    <n v="425.47489583332936"/>
    <n v="2793"/>
    <s v="Youths 18-24"/>
    <n v="15891"/>
    <n v="182"/>
    <n v="210"/>
    <n v="3939"/>
    <n v="1.1453023724120572E-2"/>
    <n v="1.1538461538461537"/>
    <n v="30"/>
    <n v="26"/>
    <n v="1.9548872180451127"/>
    <n v="0.72142857142857142"/>
    <s v="CL175"/>
    <x v="0"/>
    <s v="Large"/>
    <n v="5460"/>
    <n v="5"/>
    <s v="High"/>
  </r>
  <r>
    <s v="C176"/>
    <d v="2024-04-26T22:16:04"/>
    <d v="2024-04-26T22:16:04"/>
    <s v="Ongoing"/>
    <n v="0"/>
    <n v="2749"/>
    <s v="Adults 25-34"/>
    <n v="11888"/>
    <n v="472"/>
    <n v="336"/>
    <n v="14485"/>
    <n v="3.9703903095558546E-2"/>
    <n v="0.71186440677966101"/>
    <n v="2.7288135593220337"/>
    <n v="3.8333333333333335"/>
    <n v="0.46853401236813386"/>
    <n v="11.246118012422361"/>
    <s v="CL176"/>
    <x v="3"/>
    <s v="Small"/>
    <n v="1288"/>
    <n v="2"/>
    <s v="Medium"/>
  </r>
  <r>
    <s v="C177"/>
    <d v="2023-11-28T02:25:15"/>
    <d v="2023-11-28T02:25:15"/>
    <s v="Ongoing"/>
    <n v="0"/>
    <n v="5874"/>
    <s v="Parents 30-40"/>
    <n v="2816"/>
    <n v="427"/>
    <n v="490"/>
    <n v="6008"/>
    <n v="0.15163352272727273"/>
    <n v="1.1475409836065573"/>
    <n v="13.997658079625293"/>
    <n v="12.19795918367347"/>
    <n v="1.0175348995573714"/>
    <n v="1.0051865484356701"/>
    <s v="CL177"/>
    <x v="4"/>
    <s v="Medium"/>
    <n v="5977"/>
    <n v="4"/>
    <s v="High"/>
  </r>
  <r>
    <s v="C178"/>
    <d v="2023-06-01T11:57:30"/>
    <d v="2024-06-18T18:18:21"/>
    <s v="Completed"/>
    <n v="383.26447916666802"/>
    <n v="2687"/>
    <s v="Adults 25-34"/>
    <n v="18956"/>
    <n v="774"/>
    <n v="78"/>
    <n v="11173"/>
    <n v="4.0831399029331084E-2"/>
    <n v="0.10077519379844961"/>
    <n v="6.2428940568475451"/>
    <n v="61.948717948717949"/>
    <n v="1.7982880535913659"/>
    <n v="2.3122930463576159"/>
    <s v="CL178"/>
    <x v="4"/>
    <s v="Small"/>
    <n v="4832"/>
    <n v="3"/>
    <s v="Medium"/>
  </r>
  <r>
    <s v="C179"/>
    <d v="2023-01-24T21:56:28"/>
    <d v="2024-12-18T04:41:54"/>
    <s v="Completed"/>
    <n v="693.28155092592351"/>
    <n v="6522"/>
    <s v="Adults 25-34"/>
    <n v="18550"/>
    <n v="763"/>
    <n v="324"/>
    <n v="12942"/>
    <n v="4.1132075471698115E-2"/>
    <n v="0.42463958060288337"/>
    <n v="18.972477064220183"/>
    <n v="44.679012345679013"/>
    <n v="2.2195645507513033"/>
    <n v="0.8940315004144791"/>
    <s v="CL179"/>
    <x v="1"/>
    <s v="Large"/>
    <n v="14476"/>
    <n v="3"/>
    <s v="Medium"/>
  </r>
  <r>
    <s v="C180"/>
    <d v="2024-03-23T13:04:28"/>
    <d v="2024-07-04T13:25:16"/>
    <s v="Completed"/>
    <n v="103.01444444444496"/>
    <n v="1130"/>
    <s v="Parents 30-40"/>
    <n v="11572"/>
    <n v="1364"/>
    <n v="324"/>
    <n v="4225"/>
    <n v="0.11787072243346007"/>
    <n v="0.23753665689149561"/>
    <n v="6.8702346041055717"/>
    <n v="28.922839506172838"/>
    <n v="8.2929203539823018"/>
    <n v="0.45085903318749332"/>
    <s v="CL180"/>
    <x v="2"/>
    <s v="Large"/>
    <n v="9371"/>
    <n v="1"/>
    <s v="Low"/>
  </r>
  <r>
    <s v="C181"/>
    <d v="2023-07-06T11:12:14"/>
    <d v="2023-07-06T11:12:14"/>
    <s v="Ongoing"/>
    <n v="0"/>
    <n v="7525"/>
    <s v="Youths 18-24"/>
    <n v="19635"/>
    <n v="825"/>
    <n v="86"/>
    <n v="14369"/>
    <n v="4.2016806722689079E-2"/>
    <n v="0.10424242424242425"/>
    <n v="13.775757575757575"/>
    <n v="132.15116279069767"/>
    <n v="1.5102990033222592"/>
    <n v="1.264320281566212"/>
    <s v="CL181"/>
    <x v="3"/>
    <s v="Large"/>
    <n v="11365"/>
    <n v="3"/>
    <s v="Medium"/>
  </r>
  <r>
    <s v="C182"/>
    <d v="2023-06-14T20:53:00"/>
    <d v="2024-12-22T02:08:29"/>
    <s v="Completed"/>
    <n v="556.21908564814657"/>
    <n v="4455"/>
    <s v="Parents 30-40"/>
    <n v="9473"/>
    <n v="1011"/>
    <n v="427"/>
    <n v="4859"/>
    <n v="0.1067243745381611"/>
    <n v="0.42235410484668645"/>
    <n v="10.93570722057369"/>
    <n v="25.892271662763466"/>
    <n v="2.4817059483726149"/>
    <n v="0.43948986975397974"/>
    <s v="CL182"/>
    <x v="1"/>
    <s v="Medium"/>
    <n v="11056"/>
    <n v="3"/>
    <s v="Medium"/>
  </r>
  <r>
    <s v="C183"/>
    <d v="2023-04-08T19:49:31"/>
    <d v="2023-05-05T07:52:13"/>
    <s v="Completed"/>
    <n v="26.50187499999447"/>
    <n v="4159"/>
    <s v="Youths 18-24"/>
    <n v="8489"/>
    <n v="1351"/>
    <n v="334"/>
    <n v="6628"/>
    <n v="0.15914713158204735"/>
    <n v="0.24722427831236121"/>
    <n v="0.90821613619541086"/>
    <n v="3.6736526946107784"/>
    <n v="0.29502284202933399"/>
    <n v="5.4017929910350446"/>
    <s v="CL183"/>
    <x v="4"/>
    <s v="Small"/>
    <n v="1227"/>
    <n v="4"/>
    <s v="High"/>
  </r>
  <r>
    <s v="C184"/>
    <d v="2023-02-15T08:17:06"/>
    <d v="2023-09-07T20:55:57"/>
    <s v="Completed"/>
    <n v="204.52697916666511"/>
    <n v="5172"/>
    <s v="Youths 18-24"/>
    <n v="4818"/>
    <n v="968"/>
    <n v="369"/>
    <n v="6752"/>
    <n v="0.20091324200913241"/>
    <n v="0.381198347107438"/>
    <n v="7.5144628099173554"/>
    <n v="19.712737127371273"/>
    <n v="1.4064191802010828"/>
    <n v="0.92823755842727518"/>
    <s v="CL184"/>
    <x v="2"/>
    <s v="Small"/>
    <n v="7274"/>
    <n v="3"/>
    <s v="Medium"/>
  </r>
  <r>
    <s v="C185"/>
    <d v="2024-08-07T04:56:39"/>
    <d v="2024-08-07T04:56:39"/>
    <s v="Ongoing"/>
    <n v="0"/>
    <n v="5200"/>
    <s v="Youths 18-24"/>
    <n v="14461"/>
    <n v="1710"/>
    <n v="284"/>
    <n v="12231"/>
    <n v="0.11824908374247978"/>
    <n v="0.16608187134502925"/>
    <n v="1.1309941520467837"/>
    <n v="6.8098591549295771"/>
    <n v="0.37192307692307691"/>
    <n v="6.324198552223371"/>
    <s v="CL185"/>
    <x v="2"/>
    <s v="Large"/>
    <n v="1934"/>
    <n v="3"/>
    <s v="Medium"/>
  </r>
  <r>
    <s v="C186"/>
    <d v="2024-10-05T02:20:04"/>
    <d v="2024-10-05T02:20:04"/>
    <s v="Ongoing"/>
    <n v="0"/>
    <n v="3095"/>
    <s v="Adults 25-34"/>
    <n v="13209"/>
    <n v="1552"/>
    <n v="160"/>
    <n v="12129"/>
    <n v="0.11749564690741161"/>
    <n v="0.10309278350515463"/>
    <n v="5.4432989690721651"/>
    <n v="52.8"/>
    <n v="2.7295638126009694"/>
    <n v="1.4357244318181819"/>
    <s v="CL186"/>
    <x v="2"/>
    <s v="Large"/>
    <n v="8448"/>
    <n v="2"/>
    <s v="Medium"/>
  </r>
  <r>
    <s v="C187"/>
    <d v="2023-12-23T02:16:19"/>
    <d v="2023-12-23T02:16:19"/>
    <s v="Ongoing"/>
    <n v="0"/>
    <n v="9299"/>
    <s v="Parents 30-40"/>
    <n v="9531"/>
    <n v="1449"/>
    <n v="334"/>
    <n v="2087"/>
    <n v="0.15203021718602455"/>
    <n v="0.23050379572118704"/>
    <n v="6.8461007591442371"/>
    <n v="29.700598802395209"/>
    <n v="1.066781374341327"/>
    <n v="0.21038306451612904"/>
    <s v="CL187"/>
    <x v="3"/>
    <s v="Large"/>
    <n v="9920"/>
    <n v="4"/>
    <s v="High"/>
  </r>
  <r>
    <s v="C188"/>
    <d v="2024-06-07T00:46:20"/>
    <d v="2024-06-07T00:46:20"/>
    <s v="Ongoing"/>
    <n v="0"/>
    <n v="1931"/>
    <s v="Adults 25-34"/>
    <n v="17374"/>
    <n v="472"/>
    <n v="213"/>
    <n v="4551"/>
    <n v="2.716703119604006E-2"/>
    <n v="0.45127118644067798"/>
    <n v="30.489406779661017"/>
    <n v="67.563380281690144"/>
    <n v="7.45261522527188"/>
    <n v="0.31623931623931623"/>
    <s v="CL188"/>
    <x v="2"/>
    <s v="Large"/>
    <n v="14391"/>
    <n v="3"/>
    <s v="Medium"/>
  </r>
  <r>
    <s v="C189"/>
    <d v="2023-01-13T13:27:16"/>
    <d v="2023-10-06T15:57:27"/>
    <s v="Completed"/>
    <n v="266.10429398147971"/>
    <n v="3870"/>
    <s v="Parents 30-40"/>
    <n v="15744"/>
    <n v="1529"/>
    <n v="266"/>
    <n v="7759"/>
    <n v="9.7116361788617891E-2"/>
    <n v="0.17396991497710923"/>
    <n v="3.2629169391759318"/>
    <n v="18.755639097744361"/>
    <n v="1.2891472868217053"/>
    <n v="1.5552214872719985"/>
    <s v="CL189"/>
    <x v="4"/>
    <s v="Small"/>
    <n v="4989"/>
    <n v="5"/>
    <s v="High"/>
  </r>
  <r>
    <s v="C190"/>
    <d v="2023-10-08T22:47:09"/>
    <d v="2023-10-08T22:47:09"/>
    <s v="Ongoing"/>
    <n v="0"/>
    <n v="4219"/>
    <s v="Parents 30-40"/>
    <n v="13852"/>
    <n v="1597"/>
    <n v="18"/>
    <n v="14680"/>
    <n v="0.1152902107998845"/>
    <n v="1.1271133375078271E-2"/>
    <n v="7.6368190356919223"/>
    <n v="677.55555555555554"/>
    <n v="2.890732401042901"/>
    <n v="1.2036733355198426"/>
    <s v="CL190"/>
    <x v="4"/>
    <s v="Large"/>
    <n v="12196"/>
    <n v="3"/>
    <s v="Medium"/>
  </r>
  <r>
    <s v="C191"/>
    <d v="2023-10-09T09:54:34"/>
    <d v="2024-04-15T10:22:48"/>
    <s v="Completed"/>
    <n v="189.01960648148088"/>
    <n v="7557"/>
    <s v="Youths 18-24"/>
    <n v="11266"/>
    <n v="932"/>
    <n v="357"/>
    <n v="14734"/>
    <n v="8.2726788567370854E-2"/>
    <n v="0.38304721030042921"/>
    <n v="20.363733905579398"/>
    <n v="53.162464985994397"/>
    <n v="2.5114463411406645"/>
    <n v="0.77633173507560993"/>
    <s v="CL191"/>
    <x v="3"/>
    <s v="Small"/>
    <n v="18979"/>
    <n v="4"/>
    <s v="High"/>
  </r>
  <r>
    <s v="C192"/>
    <d v="2023-10-19T17:05:38"/>
    <d v="2024-04-26T06:48:25"/>
    <s v="Completed"/>
    <n v="189.57137731481635"/>
    <n v="1407"/>
    <s v="Parents 30-40"/>
    <n v="7819"/>
    <n v="414"/>
    <n v="380"/>
    <n v="2635"/>
    <n v="5.2947947307839874E-2"/>
    <n v="0.91787439613526567"/>
    <n v="23.838164251207729"/>
    <n v="25.971052631578946"/>
    <n v="7.0142146410803123"/>
    <n v="0.26699766947005776"/>
    <s v="CL192"/>
    <x v="1"/>
    <s v="Large"/>
    <n v="9869"/>
    <n v="4"/>
    <s v="High"/>
  </r>
  <r>
    <s v="C193"/>
    <d v="2024-04-17T08:53:05"/>
    <d v="2024-05-25T00:41:25"/>
    <s v="Completed"/>
    <n v="37.65856481481751"/>
    <n v="5381"/>
    <s v="Adults 25-34"/>
    <n v="10532"/>
    <n v="585"/>
    <n v="148"/>
    <n v="13252"/>
    <n v="5.5545005696923659E-2"/>
    <n v="0.25299145299145298"/>
    <n v="26.784615384615385"/>
    <n v="105.87162162162163"/>
    <n v="2.911912283962089"/>
    <n v="0.84574637819899168"/>
    <s v="CL193"/>
    <x v="3"/>
    <s v="Medium"/>
    <n v="15669"/>
    <n v="5"/>
    <s v="High"/>
  </r>
  <r>
    <s v="C194"/>
    <d v="2024-04-26T06:47:56"/>
    <d v="2024-04-26T06:47:56"/>
    <s v="Ongoing"/>
    <n v="0"/>
    <n v="7931"/>
    <s v="Parents 30-40"/>
    <n v="16873"/>
    <n v="576"/>
    <n v="179"/>
    <n v="4804"/>
    <n v="3.4137379244947551E-2"/>
    <n v="0.3107638888888889"/>
    <n v="32.213541666666664"/>
    <n v="103.65921787709497"/>
    <n v="2.3395536502332619"/>
    <n v="0.25890595526812182"/>
    <s v="CL194"/>
    <x v="1"/>
    <s v="Large"/>
    <n v="18555"/>
    <n v="1"/>
    <s v="Low"/>
  </r>
  <r>
    <s v="C195"/>
    <d v="2023-10-27T17:01:26"/>
    <d v="2024-10-31T12:24:32"/>
    <s v="Completed"/>
    <n v="369.80770833333372"/>
    <n v="4119"/>
    <s v="Youths 18-24"/>
    <n v="4875"/>
    <n v="1755"/>
    <n v="15"/>
    <n v="3926"/>
    <n v="0.36"/>
    <n v="8.5470085470085479E-3"/>
    <n v="8.904843304843304"/>
    <n v="1041.8666666666666"/>
    <n v="3.7941247875697983"/>
    <n v="0.25121576657281802"/>
    <s v="CL195"/>
    <x v="1"/>
    <s v="Small"/>
    <n v="15628"/>
    <n v="4"/>
    <s v="High"/>
  </r>
  <r>
    <s v="C196"/>
    <d v="2023-12-04T17:03:16"/>
    <d v="2023-12-04T17:03:16"/>
    <s v="Ongoing"/>
    <n v="0"/>
    <n v="3174"/>
    <s v="Youths 18-24"/>
    <n v="9106"/>
    <n v="1689"/>
    <n v="149"/>
    <n v="6691"/>
    <n v="0.18548209971447396"/>
    <n v="8.8217880402605087E-2"/>
    <n v="10.301953818827709"/>
    <n v="116.77852348993288"/>
    <n v="5.4820415879017013"/>
    <n v="0.38454022988505748"/>
    <s v="CL196"/>
    <x v="0"/>
    <s v="Large"/>
    <n v="17400"/>
    <n v="1"/>
    <s v="Low"/>
  </r>
  <r>
    <s v="C197"/>
    <d v="2024-07-31T01:15:51"/>
    <d v="2024-07-31T01:15:51"/>
    <s v="Ongoing"/>
    <n v="0"/>
    <n v="6635"/>
    <s v="Parents 30-40"/>
    <n v="18767"/>
    <n v="932"/>
    <n v="306"/>
    <n v="1106"/>
    <n v="4.9661640112964249E-2"/>
    <n v="0.3283261802575107"/>
    <n v="6.0879828326180254"/>
    <n v="18.542483660130721"/>
    <n v="0.85516201959306704"/>
    <n v="0.19492421572083188"/>
    <s v="CL197"/>
    <x v="3"/>
    <s v="Large"/>
    <n v="5674"/>
    <n v="2"/>
    <s v="Medium"/>
  </r>
  <r>
    <s v="C198"/>
    <d v="2023-02-07T06:39:33"/>
    <d v="2024-08-01T21:25:46"/>
    <s v="Completed"/>
    <n v="541.61542824073695"/>
    <n v="6887"/>
    <s v="Professionals 35-50"/>
    <n v="11397"/>
    <n v="174"/>
    <n v="481"/>
    <n v="13199"/>
    <n v="1.5267175572519083E-2"/>
    <n v="2.764367816091954"/>
    <n v="35.080459770114942"/>
    <n v="12.69022869022869"/>
    <n v="0.88630753593727307"/>
    <n v="2.1623525557011796"/>
    <s v="CL198"/>
    <x v="3"/>
    <s v="Large"/>
    <n v="6104"/>
    <n v="2"/>
    <s v="Medium"/>
  </r>
  <r>
    <s v="C199"/>
    <d v="2023-09-14T01:38:19"/>
    <d v="2023-09-14T01:38:19"/>
    <s v="Ongoing"/>
    <n v="0"/>
    <n v="7534"/>
    <s v="Professionals 35-50"/>
    <n v="4045"/>
    <n v="1843"/>
    <n v="472"/>
    <n v="9417"/>
    <n v="0.45562422744128556"/>
    <n v="0.25610417797069995"/>
    <n v="3.0168204015192619"/>
    <n v="11.779661016949152"/>
    <n v="0.73798778869126624"/>
    <n v="1.6937050359712231"/>
    <s v="CL199"/>
    <x v="3"/>
    <s v="Small"/>
    <n v="5560"/>
    <n v="2"/>
    <s v="Medium"/>
  </r>
  <r>
    <s v="C200"/>
    <d v="2023-06-30T22:06:28"/>
    <d v="2023-12-05T20:47:03"/>
    <s v="Completed"/>
    <n v="157.94484953703795"/>
    <n v="2739"/>
    <s v="Professionals 35-50"/>
    <n v="18798"/>
    <n v="1024"/>
    <n v="292"/>
    <n v="13261"/>
    <n v="5.447388020002128E-2"/>
    <n v="0.28515625"/>
    <n v="19.40234375"/>
    <n v="68.041095890410958"/>
    <n v="7.2537422416940487"/>
    <n v="0.66745520434870143"/>
    <s v="CL200"/>
    <x v="2"/>
    <s v="Large"/>
    <n v="19868"/>
    <n v="2"/>
    <s v="Medium"/>
  </r>
  <r>
    <s v="C201"/>
    <d v="2024-01-14T12:45:09"/>
    <d v="2024-01-14T12:45:09"/>
    <s v="Ongoing"/>
    <n v="0"/>
    <n v="8781"/>
    <s v="Youths 18-24"/>
    <n v="1728"/>
    <n v="1226"/>
    <n v="278"/>
    <n v="1076"/>
    <n v="0.7094907407407407"/>
    <n v="0.2267536704730832"/>
    <n v="2.2724306688417619"/>
    <n v="10.02158273381295"/>
    <n v="0.31727593668147136"/>
    <n v="0.38621679827709976"/>
    <s v="CL201"/>
    <x v="1"/>
    <s v="Small"/>
    <n v="2786"/>
    <n v="3"/>
    <s v="Medium"/>
  </r>
  <r>
    <s v="C202"/>
    <d v="2023-04-14T04:46:34"/>
    <d v="2023-05-10T21:14:49"/>
    <s v="Completed"/>
    <n v="26.686284722221899"/>
    <n v="6464"/>
    <s v="Professionals 35-50"/>
    <n v="19236"/>
    <n v="1031"/>
    <n v="315"/>
    <n v="5840"/>
    <n v="5.3597421501351633E-2"/>
    <n v="0.30552861299709022"/>
    <n v="17.274490785645003"/>
    <n v="56.539682539682538"/>
    <n v="2.7552599009900991"/>
    <n v="0.32790567097136442"/>
    <s v="CL202"/>
    <x v="0"/>
    <s v="Medium"/>
    <n v="17810"/>
    <n v="3"/>
    <s v="Medium"/>
  </r>
  <r>
    <s v="C203"/>
    <d v="2023-06-24T01:45:11"/>
    <d v="2024-06-17T08:15:00"/>
    <s v="Completed"/>
    <n v="359.27070601852029"/>
    <n v="4215"/>
    <s v="Youths 18-24"/>
    <n v="14285"/>
    <n v="1595"/>
    <n v="491"/>
    <n v="9150"/>
    <n v="0.11165558277913895"/>
    <n v="0.30783699059561126"/>
    <n v="11.66269592476489"/>
    <n v="37.885947046843178"/>
    <n v="4.4132858837485172"/>
    <n v="0.49188259326954092"/>
    <s v="CL203"/>
    <x v="1"/>
    <s v="Small"/>
    <n v="18602"/>
    <n v="2"/>
    <s v="Medium"/>
  </r>
  <r>
    <s v="C204"/>
    <d v="2023-11-10T21:58:48"/>
    <d v="2023-11-10T21:58:48"/>
    <s v="Ongoing"/>
    <n v="0"/>
    <n v="8979"/>
    <s v="Professionals 35-50"/>
    <n v="19712"/>
    <n v="544"/>
    <n v="118"/>
    <n v="11480"/>
    <n v="2.7597402597402596E-2"/>
    <n v="0.21691176470588236"/>
    <n v="20.211397058823529"/>
    <n v="93.177966101694921"/>
    <n v="1.2245238890745072"/>
    <n v="1.0441109595270577"/>
    <s v="CL204"/>
    <x v="2"/>
    <s v="Medium"/>
    <n v="10995"/>
    <n v="2"/>
    <s v="Medium"/>
  </r>
  <r>
    <s v="C205"/>
    <d v="2023-08-04T08:48:17"/>
    <d v="2023-10-22T02:21:22"/>
    <s v="Completed"/>
    <n v="78.731307870373712"/>
    <n v="4943"/>
    <s v="Professionals 35-50"/>
    <n v="12633"/>
    <n v="463"/>
    <n v="231"/>
    <n v="4811"/>
    <n v="3.6650043536768782E-2"/>
    <n v="0.49892008639308855"/>
    <n v="11.29805615550756"/>
    <n v="22.645021645021647"/>
    <n v="1.0582642120169938"/>
    <n v="0.91970942458420957"/>
    <s v="CL205"/>
    <x v="1"/>
    <s v="Medium"/>
    <n v="5231"/>
    <n v="2"/>
    <s v="Medium"/>
  </r>
  <r>
    <s v="C206"/>
    <d v="2023-02-22T12:23:58"/>
    <d v="2023-04-27T14:11:00"/>
    <s v="Completed"/>
    <n v="64.074328703703941"/>
    <n v="1411"/>
    <s v="Professionals 35-50"/>
    <n v="10015"/>
    <n v="865"/>
    <n v="75"/>
    <n v="2318"/>
    <n v="8.6370444333499746E-2"/>
    <n v="8.6705202312138727E-2"/>
    <n v="18.23005780346821"/>
    <n v="210.25333333333333"/>
    <n v="11.175761871013465"/>
    <n v="0.14699727313082631"/>
    <s v="CL206"/>
    <x v="0"/>
    <s v="Small"/>
    <n v="15769"/>
    <n v="4"/>
    <s v="High"/>
  </r>
  <r>
    <s v="C207"/>
    <d v="2024-10-07T02:57:46"/>
    <d v="2024-10-07T02:57:46"/>
    <s v="Ongoing"/>
    <n v="0"/>
    <n v="7966"/>
    <s v="Professionals 35-50"/>
    <n v="9928"/>
    <n v="1730"/>
    <n v="388"/>
    <n v="9148"/>
    <n v="0.17425463336019339"/>
    <n v="0.22427745664739884"/>
    <n v="9.1635838150289022"/>
    <n v="40.858247422680414"/>
    <n v="1.9900828521215164"/>
    <n v="0.57705166214596604"/>
    <s v="CL207"/>
    <x v="0"/>
    <s v="Large"/>
    <n v="15853"/>
    <n v="4"/>
    <s v="High"/>
  </r>
  <r>
    <s v="C208"/>
    <d v="2023-09-26T07:56:55"/>
    <d v="2024-10-29T17:45:47"/>
    <s v="Completed"/>
    <n v="399.40893518518715"/>
    <n v="6773"/>
    <s v="Parents 30-40"/>
    <n v="11856"/>
    <n v="1653"/>
    <n v="248"/>
    <n v="11536"/>
    <n v="0.13942307692307693"/>
    <n v="0.15003024803387779"/>
    <n v="10.605565638233514"/>
    <n v="70.689516129032256"/>
    <n v="2.5883655691717111"/>
    <n v="0.65803433917061205"/>
    <s v="CL208"/>
    <x v="2"/>
    <s v="Medium"/>
    <n v="17531"/>
    <n v="2"/>
    <s v="Medium"/>
  </r>
  <r>
    <s v="C209"/>
    <d v="2024-10-28T10:02:05"/>
    <d v="2024-10-28T10:02:05"/>
    <s v="Ongoing"/>
    <n v="0"/>
    <n v="5921"/>
    <s v="Parents 30-40"/>
    <n v="16835"/>
    <n v="353"/>
    <n v="232"/>
    <n v="11123"/>
    <n v="2.0968220968220968E-2"/>
    <n v="0.65722379603399439"/>
    <n v="5.3484419263456093"/>
    <n v="8.137931034482758"/>
    <n v="0.31886505657828068"/>
    <n v="5.8914194915254239"/>
    <s v="CL209"/>
    <x v="2"/>
    <s v="Large"/>
    <n v="1888"/>
    <n v="1"/>
    <s v="Low"/>
  </r>
  <r>
    <s v="C210"/>
    <d v="2024-12-17T04:40:46"/>
    <d v="2024-12-17T04:40:46"/>
    <s v="Ongoing"/>
    <n v="0"/>
    <n v="3725"/>
    <s v="Parents 30-40"/>
    <n v="4767"/>
    <n v="693"/>
    <n v="229"/>
    <n v="14785"/>
    <n v="0.14537444933920704"/>
    <n v="0.33044733044733043"/>
    <n v="5.6594516594516593"/>
    <n v="17.126637554585152"/>
    <n v="1.0528859060402684"/>
    <n v="3.7697603263641"/>
    <s v="CL210"/>
    <x v="2"/>
    <s v="Large"/>
    <n v="3922"/>
    <n v="1"/>
    <s v="Low"/>
  </r>
  <r>
    <s v="C211"/>
    <d v="2023-10-03T09:11:50"/>
    <d v="2024-05-05T13:54:04"/>
    <s v="Completed"/>
    <n v="215.19599537036993"/>
    <n v="1524"/>
    <s v="Youths 18-24"/>
    <n v="12015"/>
    <n v="761"/>
    <n v="246"/>
    <n v="5548"/>
    <n v="6.3337494798168956E-2"/>
    <n v="0.32325886990801578"/>
    <n v="15.021024967148488"/>
    <n v="46.467479674796749"/>
    <n v="7.5006561679790025"/>
    <n v="0.48534686379144432"/>
    <s v="CL211"/>
    <x v="3"/>
    <s v="Medium"/>
    <n v="11431"/>
    <n v="4"/>
    <s v="High"/>
  </r>
  <r>
    <s v="C212"/>
    <d v="2024-02-27T10:28:19"/>
    <d v="2024-02-27T10:28:19"/>
    <s v="Ongoing"/>
    <n v="0"/>
    <n v="3021"/>
    <s v="Professionals 35-50"/>
    <n v="15541"/>
    <n v="366"/>
    <n v="345"/>
    <n v="11387"/>
    <n v="2.355060806897883E-2"/>
    <n v="0.94262295081967218"/>
    <n v="45.751366120218577"/>
    <n v="48.536231884057969"/>
    <n v="5.5428666004634231"/>
    <n v="0.68002388772767985"/>
    <s v="CL212"/>
    <x v="1"/>
    <s v="Medium"/>
    <n v="16745"/>
    <n v="3"/>
    <s v="Medium"/>
  </r>
  <r>
    <s v="C213"/>
    <d v="2023-03-18T14:57:03"/>
    <d v="2023-10-19T08:22:06"/>
    <s v="Completed"/>
    <n v="214.72572916666832"/>
    <n v="6263"/>
    <s v="Youths 18-24"/>
    <n v="8099"/>
    <n v="258"/>
    <n v="381"/>
    <n v="1705"/>
    <n v="3.1855784664773429E-2"/>
    <n v="1.4767441860465116"/>
    <n v="40.511627906976742"/>
    <n v="27.433070866141733"/>
    <n v="1.6688487945074246"/>
    <n v="0.16312667432070418"/>
    <s v="CL213"/>
    <x v="2"/>
    <s v="Large"/>
    <n v="10452"/>
    <n v="3"/>
    <s v="Medium"/>
  </r>
  <r>
    <s v="C214"/>
    <d v="2024-05-06T10:29:19"/>
    <d v="2024-05-06T10:29:19"/>
    <s v="Ongoing"/>
    <n v="0"/>
    <n v="5953"/>
    <s v="Parents 30-40"/>
    <n v="6829"/>
    <n v="1559"/>
    <n v="254"/>
    <n v="1246"/>
    <n v="0.22829111143652073"/>
    <n v="0.1629249518922386"/>
    <n v="12.089159717767799"/>
    <n v="74.2007874015748"/>
    <n v="3.1659667394590962"/>
    <n v="6.6111317451053211E-2"/>
    <s v="CL214"/>
    <x v="1"/>
    <s v="Medium"/>
    <n v="18847"/>
    <n v="2"/>
    <s v="Medium"/>
  </r>
  <r>
    <s v="C215"/>
    <d v="2024-02-24T18:56:32"/>
    <d v="2024-05-25T18:46:48"/>
    <s v="Completed"/>
    <n v="90.993240740739566"/>
    <n v="4804"/>
    <s v="Professionals 35-50"/>
    <n v="6777"/>
    <n v="1836"/>
    <n v="225"/>
    <n v="8899"/>
    <n v="0.27091633466135456"/>
    <n v="0.12254901960784313"/>
    <n v="8.0702614379084974"/>
    <n v="65.853333333333339"/>
    <n v="3.0843047460449626"/>
    <n v="0.60059391239792126"/>
    <s v="CL215"/>
    <x v="4"/>
    <s v="Medium"/>
    <n v="14817"/>
    <n v="3"/>
    <s v="Medium"/>
  </r>
  <r>
    <s v="C216"/>
    <d v="2023-10-02T05:33:25"/>
    <d v="2023-11-29T09:00:49"/>
    <s v="Completed"/>
    <n v="58.144027777780138"/>
    <n v="1796"/>
    <s v="Parents 30-40"/>
    <n v="15212"/>
    <n v="1458"/>
    <n v="393"/>
    <n v="11716"/>
    <n v="9.5845385222193005E-2"/>
    <n v="0.26954732510288065"/>
    <n v="4.711934156378601"/>
    <n v="17.480916030534353"/>
    <n v="3.8251670378619154"/>
    <n v="1.7053857350800583"/>
    <s v="CL216"/>
    <x v="0"/>
    <s v="Medium"/>
    <n v="6870"/>
    <n v="4"/>
    <s v="High"/>
  </r>
  <r>
    <s v="C217"/>
    <d v="2023-02-20T15:52:29"/>
    <d v="2024-05-09T03:02:26"/>
    <s v="Completed"/>
    <n v="443.46524305555795"/>
    <n v="9367"/>
    <s v="Adults 25-34"/>
    <n v="16333"/>
    <n v="1857"/>
    <n v="68"/>
    <n v="5682"/>
    <n v="0.11369619788158943"/>
    <n v="3.66182014001077E-2"/>
    <n v="3.6731287022078623"/>
    <n v="100.30882352941177"/>
    <n v="0.72819472616632863"/>
    <n v="0.83301568684943561"/>
    <s v="CL217"/>
    <x v="4"/>
    <s v="Medium"/>
    <n v="6821"/>
    <n v="1"/>
    <s v="Low"/>
  </r>
  <r>
    <s v="C218"/>
    <d v="2024-01-04T02:19:05"/>
    <d v="2024-01-04T02:19:05"/>
    <s v="Ongoing"/>
    <n v="0"/>
    <n v="1251"/>
    <s v="Professionals 35-50"/>
    <n v="10856"/>
    <n v="1649"/>
    <n v="190"/>
    <n v="6059"/>
    <n v="0.15189756816507"/>
    <n v="0.11522134627046694"/>
    <n v="8.8295936931473626"/>
    <n v="76.631578947368425"/>
    <n v="11.638689048760991"/>
    <n v="0.41614010989010991"/>
    <s v="CL218"/>
    <x v="1"/>
    <s v="Large"/>
    <n v="14560"/>
    <n v="1"/>
    <s v="Low"/>
  </r>
  <r>
    <s v="C219"/>
    <d v="2023-01-19T12:24:45"/>
    <d v="2024-11-11T06:02:20"/>
    <s v="Completed"/>
    <n v="661.73443287036935"/>
    <n v="1818"/>
    <s v="Adults 25-34"/>
    <n v="9959"/>
    <n v="1134"/>
    <n v="186"/>
    <n v="5334"/>
    <n v="0.11386685410181745"/>
    <n v="0.16402116402116401"/>
    <n v="7.6657848324514992"/>
    <n v="46.736559139784944"/>
    <n v="4.7816281628162818"/>
    <n v="0.61359714712987456"/>
    <s v="CL219"/>
    <x v="0"/>
    <s v="Large"/>
    <n v="8693"/>
    <n v="1"/>
    <s v="Low"/>
  </r>
  <r>
    <s v="C220"/>
    <d v="2024-11-27T10:39:29"/>
    <d v="2024-11-27T10:39:29"/>
    <s v="Ongoing"/>
    <n v="0"/>
    <n v="3688"/>
    <s v="Youths 18-24"/>
    <n v="8901"/>
    <n v="791"/>
    <n v="472"/>
    <n v="7182"/>
    <n v="8.886641950342658E-2"/>
    <n v="0.59671302149178251"/>
    <n v="18.515802781289509"/>
    <n v="31.029661016949152"/>
    <n v="3.9712581344902387"/>
    <n v="0.49037279803359279"/>
    <s v="CL220"/>
    <x v="2"/>
    <s v="Medium"/>
    <n v="14646"/>
    <n v="2"/>
    <s v="Medium"/>
  </r>
  <r>
    <s v="C221"/>
    <d v="2023-09-23T23:39:35"/>
    <d v="2024-08-25T06:09:58"/>
    <s v="Completed"/>
    <n v="336.27109953703621"/>
    <n v="6313"/>
    <s v="Adults 25-34"/>
    <n v="18478"/>
    <n v="226"/>
    <n v="210"/>
    <n v="7028"/>
    <n v="1.2230760904859833E-2"/>
    <n v="0.92920353982300885"/>
    <n v="80.862831858407077"/>
    <n v="87.023809523809518"/>
    <n v="2.8948202122604152"/>
    <n v="0.38456908344733243"/>
    <s v="CL221"/>
    <x v="0"/>
    <s v="Medium"/>
    <n v="18275"/>
    <n v="5"/>
    <s v="High"/>
  </r>
  <r>
    <s v="C222"/>
    <d v="2024-04-14T16:29:48"/>
    <d v="2024-05-17T02:33:50"/>
    <s v="Completed"/>
    <n v="32.419467592597357"/>
    <n v="5252"/>
    <s v="Professionals 35-50"/>
    <n v="1355"/>
    <n v="1644"/>
    <n v="191"/>
    <n v="885"/>
    <n v="1.2132841328413284"/>
    <n v="0.11618004866180048"/>
    <n v="6.7256690997566908"/>
    <n v="57.890052356020945"/>
    <n v="2.1052932216298554"/>
    <n v="8.0039793795785477E-2"/>
    <s v="CL222"/>
    <x v="1"/>
    <s v="Large"/>
    <n v="11057"/>
    <n v="1"/>
    <s v="Low"/>
  </r>
  <r>
    <s v="C223"/>
    <d v="2023-05-30T21:49:15"/>
    <d v="2024-05-13T22:06:46"/>
    <s v="Completed"/>
    <n v="349.01216435185052"/>
    <n v="2416"/>
    <s v="Professionals 35-50"/>
    <n v="11992"/>
    <n v="1309"/>
    <n v="264"/>
    <n v="5005"/>
    <n v="0.10915610406937959"/>
    <n v="0.20168067226890757"/>
    <n v="6.60733384262796"/>
    <n v="32.761363636363633"/>
    <n v="3.5798841059602649"/>
    <n v="0.57867961614059427"/>
    <s v="CL223"/>
    <x v="2"/>
    <s v="Small"/>
    <n v="8649"/>
    <n v="3"/>
    <s v="Medium"/>
  </r>
  <r>
    <s v="C224"/>
    <d v="2024-01-12T09:13:12"/>
    <d v="2024-03-25T03:03:37"/>
    <s v="Completed"/>
    <n v="72.743344907408755"/>
    <n v="2564"/>
    <s v="Adults 25-34"/>
    <n v="10191"/>
    <n v="1994"/>
    <n v="261"/>
    <n v="14858"/>
    <n v="0.19566283976057305"/>
    <n v="0.13089267803410232"/>
    <n v="4.8380140421263791"/>
    <n v="36.961685823754792"/>
    <n v="3.762480499219969"/>
    <n v="1.5401679278532185"/>
    <s v="CL224"/>
    <x v="4"/>
    <s v="Small"/>
    <n v="9647"/>
    <n v="4"/>
    <s v="High"/>
  </r>
  <r>
    <s v="C225"/>
    <d v="2024-08-22T11:32:51"/>
    <d v="2024-08-26T13:24:17"/>
    <s v="Completed"/>
    <n v="4.0773842592607252"/>
    <n v="5001"/>
    <s v="Adults 25-34"/>
    <n v="7253"/>
    <n v="1946"/>
    <n v="259"/>
    <n v="11152"/>
    <n v="0.26830277126706192"/>
    <n v="0.13309352517985612"/>
    <n v="8.4069886947584784"/>
    <n v="63.166023166023166"/>
    <n v="3.2713457308538292"/>
    <n v="0.68166259168704157"/>
    <s v="CL225"/>
    <x v="1"/>
    <s v="Medium"/>
    <n v="16360"/>
    <n v="3"/>
    <s v="Medium"/>
  </r>
  <r>
    <s v="C226"/>
    <d v="2024-06-17T00:18:25"/>
    <d v="2024-06-17T00:18:25"/>
    <s v="Ongoing"/>
    <n v="0"/>
    <n v="7016"/>
    <s v="Parents 30-40"/>
    <n v="7889"/>
    <n v="606"/>
    <n v="392"/>
    <n v="1422"/>
    <n v="7.6815819495500065E-2"/>
    <n v="0.64686468646864681"/>
    <n v="21.866336633663366"/>
    <n v="33.803571428571431"/>
    <n v="1.8886830102622576"/>
    <n v="0.1073126556486303"/>
    <s v="CL226"/>
    <x v="1"/>
    <s v="Small"/>
    <n v="13251"/>
    <n v="4"/>
    <s v="High"/>
  </r>
  <r>
    <s v="C227"/>
    <d v="2023-04-20T17:41:32"/>
    <d v="2023-04-20T17:41:32"/>
    <s v="Ongoing"/>
    <n v="0"/>
    <n v="8890"/>
    <s v="Professionals 35-50"/>
    <n v="6722"/>
    <n v="1073"/>
    <n v="11"/>
    <n v="1401"/>
    <n v="0.15962511157393633"/>
    <n v="1.0251630941286114E-2"/>
    <n v="9.4193849021435234"/>
    <n v="918.81818181818187"/>
    <n v="1.1368953880764905"/>
    <n v="0.13861680023745918"/>
    <s v="CL227"/>
    <x v="0"/>
    <s v="Small"/>
    <n v="10107"/>
    <n v="4"/>
    <s v="High"/>
  </r>
  <r>
    <s v="C228"/>
    <d v="2024-08-24T21:22:11"/>
    <d v="2024-08-24T21:22:11"/>
    <s v="Ongoing"/>
    <n v="0"/>
    <n v="8064"/>
    <s v="Adults 25-34"/>
    <n v="15155"/>
    <n v="1181"/>
    <n v="398"/>
    <n v="3318"/>
    <n v="7.7928076542395253E-2"/>
    <n v="0.33700254022015241"/>
    <n v="4.8128704487722267"/>
    <n v="14.28140703517588"/>
    <n v="0.70486111111111116"/>
    <n v="0.58374384236453203"/>
    <s v="CL228"/>
    <x v="1"/>
    <s v="Small"/>
    <n v="5684"/>
    <n v="5"/>
    <s v="High"/>
  </r>
  <r>
    <s v="C229"/>
    <d v="2024-03-19T19:01:23"/>
    <d v="2024-11-20T14:53:21"/>
    <s v="Completed"/>
    <n v="245.82775462963036"/>
    <n v="3016"/>
    <s v="Youths 18-24"/>
    <n v="10506"/>
    <n v="761"/>
    <n v="305"/>
    <n v="4384"/>
    <n v="7.2434799162383406E-2"/>
    <n v="0.40078843626806832"/>
    <n v="15.386333771353483"/>
    <n v="38.390163934426226"/>
    <n v="3.8822944297082227"/>
    <n v="0.37441284482022374"/>
    <s v="CL229"/>
    <x v="3"/>
    <s v="Medium"/>
    <n v="11709"/>
    <n v="3"/>
    <s v="Medium"/>
  </r>
  <r>
    <s v="C230"/>
    <d v="2024-01-26T21:01:57"/>
    <d v="2024-03-10T00:22:07"/>
    <s v="Completed"/>
    <n v="43.139004629636474"/>
    <n v="8967"/>
    <s v="Professionals 35-50"/>
    <n v="19300"/>
    <n v="1083"/>
    <n v="18"/>
    <n v="5176"/>
    <n v="5.6113989637305697E-2"/>
    <n v="1.662049861495845E-2"/>
    <n v="10.848568790397046"/>
    <n v="652.72222222222217"/>
    <n v="1.3102486896397902"/>
    <n v="0.44054813175589413"/>
    <s v="CL230"/>
    <x v="0"/>
    <s v="Small"/>
    <n v="11749"/>
    <n v="1"/>
    <s v="Low"/>
  </r>
  <r>
    <s v="C231"/>
    <d v="2024-12-02T15:00:14"/>
    <d v="2024-12-02T15:00:14"/>
    <s v="Ongoing"/>
    <n v="0"/>
    <n v="9211"/>
    <s v="Professionals 35-50"/>
    <n v="17807"/>
    <n v="342"/>
    <n v="62"/>
    <n v="8736"/>
    <n v="1.9205930252148031E-2"/>
    <n v="0.18128654970760233"/>
    <n v="33.10526315789474"/>
    <n v="182.61290322580646"/>
    <n v="1.2291824991857561"/>
    <n v="0.77159512453630097"/>
    <s v="CL231"/>
    <x v="3"/>
    <s v="Small"/>
    <n v="11322"/>
    <n v="3"/>
    <s v="Medium"/>
  </r>
  <r>
    <s v="C232"/>
    <d v="2024-11-04T20:45:29"/>
    <d v="2024-11-04T20:45:29"/>
    <s v="Ongoing"/>
    <n v="0"/>
    <n v="3883"/>
    <s v="Youths 18-24"/>
    <n v="9052"/>
    <n v="819"/>
    <n v="376"/>
    <n v="953"/>
    <n v="9.0477242598320809E-2"/>
    <n v="0.45909645909645908"/>
    <n v="19.702075702075703"/>
    <n v="42.914893617021278"/>
    <n v="4.1555498326036568"/>
    <n v="5.9060485870104117E-2"/>
    <s v="CL232"/>
    <x v="0"/>
    <s v="Medium"/>
    <n v="16136"/>
    <n v="4"/>
    <s v="High"/>
  </r>
  <r>
    <s v="C233"/>
    <d v="2024-01-18T18:14:17"/>
    <d v="2024-01-18T18:14:17"/>
    <s v="Ongoing"/>
    <n v="0"/>
    <n v="6795"/>
    <s v="Adults 25-34"/>
    <n v="12203"/>
    <n v="512"/>
    <n v="313"/>
    <n v="10183"/>
    <n v="4.1956895845283948E-2"/>
    <n v="0.611328125"/>
    <n v="16.2578125"/>
    <n v="26.594249201277954"/>
    <n v="1.225018395879323"/>
    <n v="1.2233301297453147"/>
    <s v="CL233"/>
    <x v="3"/>
    <s v="Medium"/>
    <n v="8324"/>
    <n v="1"/>
    <s v="Low"/>
  </r>
  <r>
    <s v="C234"/>
    <d v="2023-04-19T21:32:42"/>
    <d v="2023-04-19T21:32:42"/>
    <s v="Ongoing"/>
    <n v="0"/>
    <n v="9245"/>
    <s v="Professionals 35-50"/>
    <n v="10606"/>
    <n v="941"/>
    <n v="120"/>
    <n v="13270"/>
    <n v="8.8723364133509328E-2"/>
    <n v="0.1275239107332625"/>
    <n v="20.99893730074389"/>
    <n v="164.66666666666666"/>
    <n v="2.1373715521903733"/>
    <n v="0.67155870445344135"/>
    <s v="CL234"/>
    <x v="2"/>
    <s v="Medium"/>
    <n v="19760"/>
    <n v="1"/>
    <s v="Low"/>
  </r>
  <r>
    <s v="C235"/>
    <d v="2024-08-11T23:30:38"/>
    <d v="2024-08-11T23:30:38"/>
    <s v="Ongoing"/>
    <n v="0"/>
    <n v="7310"/>
    <s v="Youths 18-24"/>
    <n v="10568"/>
    <n v="1635"/>
    <n v="408"/>
    <n v="2208"/>
    <n v="0.1547123391370174"/>
    <n v="0.24954128440366974"/>
    <n v="7.5798165137614681"/>
    <n v="30.375"/>
    <n v="1.6953488372093024"/>
    <n v="0.17816509319777293"/>
    <s v="CL235"/>
    <x v="4"/>
    <s v="Large"/>
    <n v="12393"/>
    <n v="5"/>
    <s v="High"/>
  </r>
  <r>
    <s v="C236"/>
    <d v="2024-08-18T15:13:17"/>
    <d v="2024-08-18T15:13:17"/>
    <s v="Ongoing"/>
    <n v="0"/>
    <n v="4390"/>
    <s v="Youths 18-24"/>
    <n v="6898"/>
    <n v="466"/>
    <n v="193"/>
    <n v="4748"/>
    <n v="6.7555813279211369E-2"/>
    <n v="0.41416309012875535"/>
    <n v="21.873390557939913"/>
    <n v="52.813471502590673"/>
    <n v="2.3218678815489748"/>
    <n v="0.46580986951829689"/>
    <s v="CL236"/>
    <x v="0"/>
    <s v="Large"/>
    <n v="10193"/>
    <n v="3"/>
    <s v="Medium"/>
  </r>
  <r>
    <s v="C237"/>
    <d v="2023-04-19T08:38:46"/>
    <d v="2024-08-24T11:24:02"/>
    <s v="Completed"/>
    <n v="493.1147685185133"/>
    <n v="5196"/>
    <s v="Adults 25-34"/>
    <n v="4266"/>
    <n v="337"/>
    <n v="138"/>
    <n v="1010"/>
    <n v="7.8996718237224567E-2"/>
    <n v="0.40949554896142432"/>
    <n v="22.213649851632049"/>
    <n v="54.246376811594203"/>
    <n v="1.4407236335642801"/>
    <n v="0.13491851456051296"/>
    <s v="CL237"/>
    <x v="0"/>
    <s v="Medium"/>
    <n v="7486"/>
    <n v="4"/>
    <s v="High"/>
  </r>
  <r>
    <s v="C238"/>
    <d v="2023-11-14T16:15:31"/>
    <d v="2024-03-04T08:49:15"/>
    <s v="Completed"/>
    <n v="110.69009259259474"/>
    <n v="9816"/>
    <s v="Professionals 35-50"/>
    <n v="1246"/>
    <n v="668"/>
    <n v="384"/>
    <n v="13924"/>
    <n v="0.536115569823435"/>
    <n v="0.57485029940119758"/>
    <n v="27.70808383233533"/>
    <n v="48.200520833333336"/>
    <n v="1.8855949470252649"/>
    <n v="0.75228267329407317"/>
    <s v="CL238"/>
    <x v="3"/>
    <s v="Large"/>
    <n v="18509"/>
    <n v="1"/>
    <s v="Low"/>
  </r>
  <r>
    <s v="C239"/>
    <d v="2024-08-25T03:23:23"/>
    <d v="2024-08-25T03:23:23"/>
    <s v="Ongoing"/>
    <n v="0"/>
    <n v="8784"/>
    <s v="Professionals 35-50"/>
    <n v="11557"/>
    <n v="803"/>
    <n v="449"/>
    <n v="5840"/>
    <n v="6.9481699402959243E-2"/>
    <n v="0.55915317559153177"/>
    <n v="18.745952677459528"/>
    <n v="33.525612472160354"/>
    <n v="1.713683970856102"/>
    <n v="0.38796253238557099"/>
    <s v="CL239"/>
    <x v="4"/>
    <s v="Small"/>
    <n v="15053"/>
    <n v="3"/>
    <s v="Medium"/>
  </r>
  <r>
    <s v="C240"/>
    <d v="2023-08-08T14:58:17"/>
    <d v="2023-12-10T03:31:35"/>
    <s v="Completed"/>
    <n v="123.52312499999971"/>
    <n v="4667"/>
    <s v="Adults 25-34"/>
    <n v="3759"/>
    <n v="814"/>
    <n v="247"/>
    <n v="8711"/>
    <n v="0.21654695397712156"/>
    <n v="0.30343980343980342"/>
    <n v="18.300982800982801"/>
    <n v="60.311740890688256"/>
    <n v="3.1919862866938078"/>
    <n v="0.58474860710210108"/>
    <s v="CL240"/>
    <x v="4"/>
    <s v="Small"/>
    <n v="14897"/>
    <n v="4"/>
    <s v="High"/>
  </r>
  <r>
    <s v="C241"/>
    <d v="2024-06-09T18:31:11"/>
    <d v="2024-06-10T17:50:22"/>
    <s v="Completed"/>
    <n v="0.97165509259502869"/>
    <n v="1642"/>
    <s v="Professionals 35-50"/>
    <n v="1471"/>
    <n v="325"/>
    <n v="371"/>
    <n v="2924"/>
    <n v="0.22093813732154996"/>
    <n v="1.1415384615384616"/>
    <n v="20.21846153846154"/>
    <n v="17.711590296495956"/>
    <n v="4.0018270401948843"/>
    <n v="0.44498554253538275"/>
    <s v="CL241"/>
    <x v="4"/>
    <s v="Medium"/>
    <n v="6571"/>
    <n v="3"/>
    <s v="Medium"/>
  </r>
  <r>
    <s v="C242"/>
    <d v="2024-10-18T23:27:47"/>
    <d v="2024-10-18T23:27:47"/>
    <s v="Ongoing"/>
    <n v="0"/>
    <n v="5566"/>
    <s v="Youths 18-24"/>
    <n v="6099"/>
    <n v="1987"/>
    <n v="51"/>
    <n v="2558"/>
    <n v="0.32579111329726185"/>
    <n v="2.5666834423754403E-2"/>
    <n v="8.1071967790639157"/>
    <n v="315.86274509803923"/>
    <n v="2.8941789435860583"/>
    <n v="0.15879322118070643"/>
    <s v="CL242"/>
    <x v="4"/>
    <s v="Medium"/>
    <n v="16109"/>
    <n v="2"/>
    <s v="Medium"/>
  </r>
  <r>
    <s v="C243"/>
    <d v="2023-01-12T07:58:04"/>
    <d v="2024-08-30T09:50:23"/>
    <s v="Completed"/>
    <n v="596.07799768518453"/>
    <n v="5058"/>
    <s v="Parents 30-40"/>
    <n v="19620"/>
    <n v="1275"/>
    <n v="360"/>
    <n v="6628"/>
    <n v="6.4984709480122319E-2"/>
    <n v="0.28235294117647058"/>
    <n v="7.7654901960784315"/>
    <n v="27.502777777777776"/>
    <n v="1.957493080268881"/>
    <n v="0.66942733057266945"/>
    <s v="CL243"/>
    <x v="3"/>
    <s v="Medium"/>
    <n v="9901"/>
    <n v="2"/>
    <s v="Medium"/>
  </r>
  <r>
    <s v="C244"/>
    <d v="2023-12-17T05:35:11"/>
    <d v="2024-10-18T12:01:13"/>
    <s v="Completed"/>
    <n v="306.26807870370249"/>
    <n v="5680"/>
    <s v="Professionals 35-50"/>
    <n v="18961"/>
    <n v="415"/>
    <n v="21"/>
    <n v="11086"/>
    <n v="2.1887031274721799E-2"/>
    <n v="5.0602409638554217E-2"/>
    <n v="2.8963855421686748"/>
    <n v="57.238095238095241"/>
    <n v="0.21161971830985915"/>
    <n v="9.222961730449251"/>
    <s v="CL244"/>
    <x v="0"/>
    <s v="Medium"/>
    <n v="1202"/>
    <n v="4"/>
    <s v="High"/>
  </r>
  <r>
    <s v="C245"/>
    <d v="2024-03-22T09:14:58"/>
    <d v="2024-03-30T19:41:06"/>
    <s v="Completed"/>
    <n v="8.434814814812853"/>
    <n v="8099"/>
    <s v="Youths 18-24"/>
    <n v="15867"/>
    <n v="1248"/>
    <n v="40"/>
    <n v="2154"/>
    <n v="7.8653809793911886E-2"/>
    <n v="3.2051282051282048E-2"/>
    <n v="6.9415064102564106"/>
    <n v="216.57499999999999"/>
    <n v="1.0696382269415978"/>
    <n v="0.24864365693177884"/>
    <s v="CL245"/>
    <x v="4"/>
    <s v="Large"/>
    <n v="8663"/>
    <n v="4"/>
    <s v="High"/>
  </r>
  <r>
    <s v="C246"/>
    <d v="2023-09-13T19:15:32"/>
    <d v="2024-07-15T10:13:45"/>
    <s v="Completed"/>
    <n v="305.62376157407562"/>
    <n v="3931"/>
    <s v="Adults 25-34"/>
    <n v="11530"/>
    <n v="515"/>
    <n v="193"/>
    <n v="11678"/>
    <n v="4.4666088464874243E-2"/>
    <n v="0.37475728155339805"/>
    <n v="10.749514563106796"/>
    <n v="28.683937823834196"/>
    <n v="1.4082930552022386"/>
    <n v="2.1094653179190752"/>
    <s v="CL246"/>
    <x v="0"/>
    <s v="Medium"/>
    <n v="5536"/>
    <n v="5"/>
    <s v="High"/>
  </r>
  <r>
    <s v="C247"/>
    <d v="2023-12-04T16:32:00"/>
    <d v="2023-12-04T16:32:00"/>
    <s v="Ongoing"/>
    <n v="0"/>
    <n v="5615"/>
    <s v="Youths 18-24"/>
    <n v="15162"/>
    <n v="139"/>
    <n v="329"/>
    <n v="1107"/>
    <n v="9.1676559820604141E-3"/>
    <n v="2.3669064748201438"/>
    <n v="21.25179856115108"/>
    <n v="8.9787234042553195"/>
    <n v="0.52609082813891361"/>
    <n v="0.37474610697359512"/>
    <s v="CL247"/>
    <x v="4"/>
    <s v="Small"/>
    <n v="2954"/>
    <n v="4"/>
    <s v="High"/>
  </r>
  <r>
    <s v="C248"/>
    <d v="2023-11-20T22:53:08"/>
    <d v="2023-11-20T22:53:08"/>
    <s v="Ongoing"/>
    <n v="0"/>
    <n v="4270"/>
    <s v="Parents 30-40"/>
    <n v="3507"/>
    <n v="252"/>
    <n v="323"/>
    <n v="2895"/>
    <n v="7.1856287425149698E-2"/>
    <n v="1.2817460317460319"/>
    <n v="15.162698412698413"/>
    <n v="11.829721362229103"/>
    <n v="0.89484777517564407"/>
    <n v="0.75765506411934047"/>
    <s v="CL248"/>
    <x v="1"/>
    <s v="Large"/>
    <n v="3821"/>
    <n v="1"/>
    <s v="Low"/>
  </r>
  <r>
    <s v="C249"/>
    <d v="2024-12-04T00:34:19"/>
    <d v="2024-12-04T00:34:19"/>
    <s v="Ongoing"/>
    <n v="0"/>
    <n v="4891"/>
    <s v="Professionals 35-50"/>
    <n v="5138"/>
    <n v="1746"/>
    <n v="289"/>
    <n v="11951"/>
    <n v="0.3398209420007785"/>
    <n v="0.16552119129438717"/>
    <n v="11.357388316151203"/>
    <n v="68.615916955017298"/>
    <n v="4.0543856062154982"/>
    <n v="0.60267271810388301"/>
    <s v="CL249"/>
    <x v="3"/>
    <s v="Small"/>
    <n v="19830"/>
    <n v="4"/>
    <s v="High"/>
  </r>
  <r>
    <s v="C250"/>
    <d v="2024-10-13T02:40:54"/>
    <d v="2024-10-13T02:40:54"/>
    <s v="Ongoing"/>
    <n v="0"/>
    <n v="8338"/>
    <s v="Youths 18-24"/>
    <n v="16444"/>
    <n v="588"/>
    <n v="20"/>
    <n v="3686"/>
    <n v="3.5757723181707612E-2"/>
    <n v="3.4013605442176874E-2"/>
    <n v="10.510204081632653"/>
    <n v="309"/>
    <n v="0.74118493643559602"/>
    <n v="0.59644012944983815"/>
    <s v="CL250"/>
    <x v="1"/>
    <s v="Large"/>
    <n v="6180"/>
    <n v="2"/>
    <s v="Medium"/>
  </r>
  <r>
    <s v="C251"/>
    <d v="2024-10-22T18:49:32"/>
    <d v="2024-10-22T18:49:32"/>
    <s v="Ongoing"/>
    <n v="0"/>
    <n v="1093"/>
    <s v="Youths 18-24"/>
    <n v="14933"/>
    <n v="1122"/>
    <n v="361"/>
    <n v="8510"/>
    <n v="7.5135605705484498E-2"/>
    <n v="0.32174688057041001"/>
    <n v="10.541889483065953"/>
    <n v="32.764542936288088"/>
    <n v="10.821591948764867"/>
    <n v="0.71947920189381132"/>
    <s v="CL251"/>
    <x v="4"/>
    <s v="Large"/>
    <n v="11828"/>
    <n v="3"/>
    <s v="Medium"/>
  </r>
  <r>
    <s v="C252"/>
    <d v="2023-06-10T18:54:29"/>
    <d v="2024-09-28T09:40:05"/>
    <s v="Completed"/>
    <n v="475.61500000000524"/>
    <n v="1081"/>
    <s v="Professionals 35-50"/>
    <n v="18186"/>
    <n v="1355"/>
    <n v="366"/>
    <n v="12445"/>
    <n v="7.4507863191465962E-2"/>
    <n v="0.27011070110701108"/>
    <n v="11.057564575645756"/>
    <n v="40.937158469945352"/>
    <n v="13.860314523589269"/>
    <n v="0.83060802242541543"/>
    <s v="CL252"/>
    <x v="0"/>
    <s v="Medium"/>
    <n v="14983"/>
    <n v="1"/>
    <s v="Low"/>
  </r>
  <r>
    <s v="C253"/>
    <d v="2023-11-08T10:58:32"/>
    <d v="2023-12-25T13:06:50"/>
    <s v="Completed"/>
    <n v="47.089097222225973"/>
    <n v="6825"/>
    <s v="Professionals 35-50"/>
    <n v="7785"/>
    <n v="1309"/>
    <n v="270"/>
    <n v="2333"/>
    <n v="0.16814386640976237"/>
    <n v="0.20626432391138275"/>
    <n v="5.909854851031322"/>
    <n v="28.651851851851852"/>
    <n v="1.1334798534798536"/>
    <n v="0.30157704239917271"/>
    <s v="CL253"/>
    <x v="1"/>
    <s v="Medium"/>
    <n v="7736"/>
    <n v="1"/>
    <s v="Low"/>
  </r>
  <r>
    <s v="C254"/>
    <d v="2024-08-26T12:05:13"/>
    <d v="2024-08-26T12:05:13"/>
    <s v="Ongoing"/>
    <n v="0"/>
    <n v="8354"/>
    <s v="Parents 30-40"/>
    <n v="5940"/>
    <n v="1225"/>
    <n v="442"/>
    <n v="8918"/>
    <n v="0.20622895622895623"/>
    <n v="0.36081632653061224"/>
    <n v="2.9681632653061225"/>
    <n v="8.2262443438914019"/>
    <n v="0.43524060330380654"/>
    <n v="2.4526952695269526"/>
    <s v="CL254"/>
    <x v="3"/>
    <s v="Medium"/>
    <n v="3636"/>
    <n v="1"/>
    <s v="Low"/>
  </r>
  <r>
    <s v="C255"/>
    <d v="2023-09-22T16:04:49"/>
    <d v="2023-09-22T16:04:49"/>
    <s v="Ongoing"/>
    <n v="0"/>
    <n v="1257"/>
    <s v="Professionals 35-50"/>
    <n v="6562"/>
    <n v="940"/>
    <n v="119"/>
    <n v="8529"/>
    <n v="0.14324900944833893"/>
    <n v="0.12659574468085105"/>
    <n v="10.514893617021277"/>
    <n v="83.058823529411768"/>
    <n v="7.8631662688941928"/>
    <n v="0.86290975313638207"/>
    <s v="CL255"/>
    <x v="3"/>
    <s v="Medium"/>
    <n v="9884"/>
    <n v="2"/>
    <s v="Medium"/>
  </r>
  <r>
    <s v="C256"/>
    <d v="2024-04-19T10:30:20"/>
    <d v="2024-04-19T10:30:20"/>
    <s v="Ongoing"/>
    <n v="0"/>
    <n v="6173"/>
    <s v="Adults 25-34"/>
    <n v="2170"/>
    <n v="384"/>
    <n v="342"/>
    <n v="4580"/>
    <n v="0.17695852534562212"/>
    <n v="0.890625"/>
    <n v="10.372395833333334"/>
    <n v="11.646198830409357"/>
    <n v="0.64522922404017491"/>
    <n v="1.1498870198342959"/>
    <s v="CL256"/>
    <x v="0"/>
    <s v="Medium"/>
    <n v="3983"/>
    <n v="2"/>
    <s v="Medium"/>
  </r>
  <r>
    <s v="C257"/>
    <d v="2024-04-08T11:45:37"/>
    <d v="2024-04-08T11:45:37"/>
    <s v="Ongoing"/>
    <n v="0"/>
    <n v="6972"/>
    <s v="Adults 25-34"/>
    <n v="8386"/>
    <n v="328"/>
    <n v="228"/>
    <n v="3123"/>
    <n v="3.9112807059384691E-2"/>
    <n v="0.69512195121951215"/>
    <n v="6.9024390243902438"/>
    <n v="9.9298245614035086"/>
    <n v="0.32472748135398738"/>
    <n v="1.3794169611307421"/>
    <s v="CL257"/>
    <x v="4"/>
    <s v="Medium"/>
    <n v="2264"/>
    <n v="4"/>
    <s v="High"/>
  </r>
  <r>
    <s v="C258"/>
    <d v="2024-05-20T03:56:11"/>
    <d v="2024-08-28T14:08:02"/>
    <s v="Completed"/>
    <n v="100.42489583333372"/>
    <n v="1496"/>
    <s v="Parents 30-40"/>
    <n v="17252"/>
    <n v="1058"/>
    <n v="138"/>
    <n v="10848"/>
    <n v="6.132622304660329E-2"/>
    <n v="0.13043478260869565"/>
    <n v="1.6115311909262759"/>
    <n v="12.355072463768115"/>
    <n v="1.1397058823529411"/>
    <n v="6.3624633431085043"/>
    <s v="CL258"/>
    <x v="2"/>
    <s v="Small"/>
    <n v="1705"/>
    <n v="2"/>
    <s v="Medium"/>
  </r>
  <r>
    <s v="C259"/>
    <d v="2024-06-20T05:05:06"/>
    <d v="2024-06-20T05:05:06"/>
    <s v="Ongoing"/>
    <n v="0"/>
    <n v="7221"/>
    <s v="Professionals 35-50"/>
    <n v="9324"/>
    <n v="1349"/>
    <n v="395"/>
    <n v="1878"/>
    <n v="0.14468039468039467"/>
    <n v="0.29280948851000743"/>
    <n v="9.6189770200148264"/>
    <n v="32.850632911392402"/>
    <n v="1.7969810275585099"/>
    <n v="0.14472872996300862"/>
    <s v="CL259"/>
    <x v="0"/>
    <s v="Small"/>
    <n v="12976"/>
    <n v="5"/>
    <s v="High"/>
  </r>
  <r>
    <s v="C260"/>
    <d v="2024-11-05T01:01:11"/>
    <d v="2024-11-05T01:01:11"/>
    <s v="Ongoing"/>
    <n v="0"/>
    <n v="1722"/>
    <s v="Adults 25-34"/>
    <n v="2105"/>
    <n v="1879"/>
    <n v="229"/>
    <n v="4271"/>
    <n v="0.89263657957244658"/>
    <n v="0.12187333688131985"/>
    <n v="9.0782331027142096"/>
    <n v="74.489082969432317"/>
    <n v="9.9059233449477357"/>
    <n v="0.25038105287841483"/>
    <s v="CL260"/>
    <x v="4"/>
    <s v="Small"/>
    <n v="17058"/>
    <n v="5"/>
    <s v="High"/>
  </r>
  <r>
    <s v="C261"/>
    <d v="2023-03-10T15:57:35"/>
    <d v="2023-06-25T22:04:15"/>
    <s v="Completed"/>
    <n v="107.25462962963502"/>
    <n v="8499"/>
    <s v="Youths 18-24"/>
    <n v="18576"/>
    <n v="191"/>
    <n v="42"/>
    <n v="5256"/>
    <n v="1.0282084409991387E-2"/>
    <n v="0.21989528795811519"/>
    <n v="66.821989528795811"/>
    <n v="303.88095238095241"/>
    <n v="1.5017060830685962"/>
    <n v="0.41181540390190396"/>
    <s v="CL261"/>
    <x v="0"/>
    <s v="Small"/>
    <n v="12763"/>
    <n v="2"/>
    <s v="Medium"/>
  </r>
  <r>
    <s v="C262"/>
    <d v="2024-05-11T15:34:24"/>
    <d v="2024-08-12T19:37:52"/>
    <s v="Completed"/>
    <n v="93.16907407407416"/>
    <n v="9122"/>
    <s v="Professionals 35-50"/>
    <n v="9062"/>
    <n v="1307"/>
    <n v="215"/>
    <n v="7368"/>
    <n v="0.14422864709777092"/>
    <n v="0.16449885233358838"/>
    <n v="1.9418515684774291"/>
    <n v="11.804651162790698"/>
    <n v="0.27822845867134399"/>
    <n v="2.9030732860520096"/>
    <s v="CL262"/>
    <x v="0"/>
    <s v="Large"/>
    <n v="2538"/>
    <n v="4"/>
    <s v="High"/>
  </r>
  <r>
    <s v="C263"/>
    <d v="2024-05-19T21:09:29"/>
    <d v="2024-11-18T10:05:32"/>
    <s v="Completed"/>
    <n v="182.53892361111502"/>
    <n v="7554"/>
    <s v="Youths 18-24"/>
    <n v="16919"/>
    <n v="187"/>
    <n v="334"/>
    <n v="2484"/>
    <n v="1.1052662686920031E-2"/>
    <n v="1.786096256684492"/>
    <n v="87.759358288770059"/>
    <n v="49.134730538922156"/>
    <n v="2.1724913952872651"/>
    <n v="0.15136189141429529"/>
    <s v="CL263"/>
    <x v="4"/>
    <s v="Small"/>
    <n v="16411"/>
    <n v="2"/>
    <s v="Medium"/>
  </r>
  <r>
    <s v="C264"/>
    <d v="2023-03-16T12:56:15"/>
    <d v="2023-07-02T12:17:16"/>
    <s v="Completed"/>
    <n v="107.97292824074248"/>
    <n v="6945"/>
    <s v="Professionals 35-50"/>
    <n v="14996"/>
    <n v="1039"/>
    <n v="307"/>
    <n v="1896"/>
    <n v="6.9285142704721261E-2"/>
    <n v="0.29547641963426374"/>
    <n v="3.8392685274302214"/>
    <n v="12.993485342019545"/>
    <n v="0.57437005039596833"/>
    <n v="0.47530709450990222"/>
    <s v="CL264"/>
    <x v="4"/>
    <s v="Small"/>
    <n v="3989"/>
    <n v="3"/>
    <s v="Medium"/>
  </r>
  <r>
    <s v="C265"/>
    <d v="2023-07-27T09:19:18"/>
    <d v="2024-03-14T23:29:16"/>
    <s v="Completed"/>
    <n v="231.59025462963473"/>
    <n v="7891"/>
    <s v="Professionals 35-50"/>
    <n v="16177"/>
    <n v="262"/>
    <n v="91"/>
    <n v="3380"/>
    <n v="1.6195833590900661E-2"/>
    <n v="0.34732824427480918"/>
    <n v="56.702290076335878"/>
    <n v="163.25274725274724"/>
    <n v="1.8826511215308579"/>
    <n v="0.22751750134625739"/>
    <s v="CL265"/>
    <x v="1"/>
    <s v="Small"/>
    <n v="14856"/>
    <n v="1"/>
    <s v="Low"/>
  </r>
  <r>
    <s v="C266"/>
    <d v="2023-05-07T11:23:49"/>
    <d v="2024-12-13T11:21:15"/>
    <s v="Completed"/>
    <n v="585.99821759259794"/>
    <n v="2719"/>
    <s v="Professionals 35-50"/>
    <n v="18233"/>
    <n v="297"/>
    <n v="169"/>
    <n v="2119"/>
    <n v="1.6289146053858387E-2"/>
    <n v="0.56902356902356899"/>
    <n v="47.006734006734007"/>
    <n v="82.609467455621299"/>
    <n v="5.1346083118793677"/>
    <n v="0.15177995845569803"/>
    <s v="CL266"/>
    <x v="2"/>
    <s v="Large"/>
    <n v="13961"/>
    <n v="4"/>
    <s v="High"/>
  </r>
  <r>
    <s v="C267"/>
    <d v="2024-06-19T18:04:01"/>
    <d v="2024-06-19T18:04:01"/>
    <s v="Ongoing"/>
    <n v="0"/>
    <n v="7917"/>
    <s v="Adults 25-34"/>
    <n v="13764"/>
    <n v="227"/>
    <n v="226"/>
    <n v="2953"/>
    <n v="1.6492298750363267E-2"/>
    <n v="0.99559471365638763"/>
    <n v="21.828193832599119"/>
    <n v="21.924778761061948"/>
    <n v="0.62586838448907411"/>
    <n v="0.59596367305751763"/>
    <s v="CL267"/>
    <x v="1"/>
    <s v="Medium"/>
    <n v="4955"/>
    <n v="1"/>
    <s v="Low"/>
  </r>
  <r>
    <s v="C268"/>
    <d v="2023-10-25T12:13:32"/>
    <d v="2024-07-25T07:40:52"/>
    <s v="Completed"/>
    <n v="273.81064814815181"/>
    <n v="9775"/>
    <s v="Parents 30-40"/>
    <n v="5284"/>
    <n v="699"/>
    <n v="398"/>
    <n v="4793"/>
    <n v="0.13228614685844056"/>
    <n v="0.56938483547925611"/>
    <n v="26.137339055793991"/>
    <n v="45.904522613065325"/>
    <n v="1.8690537084398977"/>
    <n v="0.26234263820470716"/>
    <s v="CL268"/>
    <x v="4"/>
    <s v="Large"/>
    <n v="18270"/>
    <n v="5"/>
    <s v="High"/>
  </r>
  <r>
    <s v="C269"/>
    <d v="2024-08-30T13:02:34"/>
    <d v="2024-08-30T13:02:34"/>
    <s v="Ongoing"/>
    <n v="0"/>
    <n v="3095"/>
    <s v="Parents 30-40"/>
    <n v="2387"/>
    <n v="1217"/>
    <n v="370"/>
    <n v="7205"/>
    <n v="0.50984499371596148"/>
    <n v="0.30402629416598193"/>
    <n v="7.5571076417419887"/>
    <n v="24.856756756756756"/>
    <n v="2.97156704361874"/>
    <n v="0.78340763292377946"/>
    <s v="CL269"/>
    <x v="3"/>
    <s v="Small"/>
    <n v="9197"/>
    <n v="3"/>
    <s v="Medium"/>
  </r>
  <r>
    <s v="C270"/>
    <d v="2024-02-21T17:43:25"/>
    <d v="2024-02-21T17:43:25"/>
    <s v="Ongoing"/>
    <n v="0"/>
    <n v="6942"/>
    <s v="Professionals 35-50"/>
    <n v="10965"/>
    <n v="1573"/>
    <n v="191"/>
    <n v="5376"/>
    <n v="0.14345645234838122"/>
    <n v="0.12142403051493961"/>
    <n v="7.2892561983471076"/>
    <n v="60.031413612565444"/>
    <n v="1.651685393258427"/>
    <n v="0.46886446886446886"/>
    <s v="CL270"/>
    <x v="3"/>
    <s v="Small"/>
    <n v="11466"/>
    <n v="1"/>
    <s v="Low"/>
  </r>
  <r>
    <s v="C271"/>
    <d v="2023-03-05T13:36:50"/>
    <d v="2024-06-24T10:54:11"/>
    <s v="Completed"/>
    <n v="476.88704861110455"/>
    <n v="4155"/>
    <s v="Parents 30-40"/>
    <n v="14787"/>
    <n v="742"/>
    <n v="55"/>
    <n v="3205"/>
    <n v="5.0179211469534052E-2"/>
    <n v="7.4123989218328842E-2"/>
    <n v="21.805929919137466"/>
    <n v="294.18181818181819"/>
    <n v="3.8941034897713598"/>
    <n v="0.19808405438813351"/>
    <s v="CL271"/>
    <x v="0"/>
    <s v="Large"/>
    <n v="16180"/>
    <n v="1"/>
    <s v="Low"/>
  </r>
  <r>
    <s v="C272"/>
    <d v="2024-03-11T10:44:13"/>
    <d v="2024-03-11T10:44:13"/>
    <s v="Ongoing"/>
    <n v="0"/>
    <n v="4255"/>
    <s v="Professionals 35-50"/>
    <n v="10428"/>
    <n v="543"/>
    <n v="72"/>
    <n v="12231"/>
    <n v="5.2071346375143844E-2"/>
    <n v="0.13259668508287292"/>
    <n v="23.447513812154696"/>
    <n v="176.83333333333334"/>
    <n v="2.9922444183313748"/>
    <n v="0.96065032987747412"/>
    <s v="CL272"/>
    <x v="1"/>
    <s v="Medium"/>
    <n v="12732"/>
    <n v="5"/>
    <s v="High"/>
  </r>
  <r>
    <s v="C273"/>
    <d v="2024-01-10T04:37:19"/>
    <d v="2024-01-10T04:37:19"/>
    <s v="Ongoing"/>
    <n v="0"/>
    <n v="1414"/>
    <s v="Youths 18-24"/>
    <n v="11744"/>
    <n v="937"/>
    <n v="496"/>
    <n v="9891"/>
    <n v="7.9785422343324253E-2"/>
    <n v="0.52934898612593384"/>
    <n v="3.3372465314834576"/>
    <n v="6.304435483870968"/>
    <n v="2.2114568599717113"/>
    <n v="3.1630956188039656"/>
    <s v="CL273"/>
    <x v="4"/>
    <s v="Small"/>
    <n v="3127"/>
    <n v="4"/>
    <s v="High"/>
  </r>
  <r>
    <s v="C274"/>
    <d v="2024-08-30T06:29:10"/>
    <d v="2024-08-30T06:29:10"/>
    <s v="Ongoing"/>
    <n v="0"/>
    <n v="8547"/>
    <s v="Adults 25-34"/>
    <n v="3911"/>
    <n v="151"/>
    <n v="359"/>
    <n v="1112"/>
    <n v="3.8609051393505497E-2"/>
    <n v="2.3774834437086092"/>
    <n v="78.258278145695371"/>
    <n v="32.916434540389972"/>
    <n v="1.3825903825903827"/>
    <n v="9.4101717864094103E-2"/>
    <s v="CL274"/>
    <x v="2"/>
    <s v="Medium"/>
    <n v="11817"/>
    <n v="3"/>
    <s v="Medium"/>
  </r>
  <r>
    <s v="C275"/>
    <d v="2024-12-11T05:31:09"/>
    <d v="2024-12-11T05:31:09"/>
    <s v="Ongoing"/>
    <n v="0"/>
    <n v="1097"/>
    <s v="Youths 18-24"/>
    <n v="7377"/>
    <n v="1932"/>
    <n v="464"/>
    <n v="4485"/>
    <n v="0.26189507930052869"/>
    <n v="0.2401656314699793"/>
    <n v="8.4052795031055894"/>
    <n v="34.997844827586206"/>
    <n v="14.803099361896081"/>
    <n v="0.27618695732495846"/>
    <s v="CL275"/>
    <x v="0"/>
    <s v="Small"/>
    <n v="16239"/>
    <n v="3"/>
    <s v="Medium"/>
  </r>
  <r>
    <s v="C276"/>
    <d v="2024-09-15T13:43:05"/>
    <d v="2024-11-25T16:34:15"/>
    <s v="Completed"/>
    <n v="71.118865740740148"/>
    <n v="7702"/>
    <s v="Youths 18-24"/>
    <n v="4141"/>
    <n v="1328"/>
    <n v="367"/>
    <n v="8997"/>
    <n v="0.32069548418256461"/>
    <n v="0.27635542168674698"/>
    <n v="1.0956325301204819"/>
    <n v="3.9645776566757491"/>
    <n v="0.18891197091664502"/>
    <n v="6.1835051546391755"/>
    <s v="CL276"/>
    <x v="0"/>
    <s v="Small"/>
    <n v="1455"/>
    <n v="1"/>
    <s v="Low"/>
  </r>
  <r>
    <s v="C277"/>
    <d v="2024-05-19T17:51:44"/>
    <d v="2024-05-19T17:51:44"/>
    <s v="Ongoing"/>
    <n v="0"/>
    <n v="1632"/>
    <s v="Parents 30-40"/>
    <n v="11408"/>
    <n v="457"/>
    <n v="11"/>
    <n v="2280"/>
    <n v="4.005960729312763E-2"/>
    <n v="2.4070021881838075E-2"/>
    <n v="36.433260393873084"/>
    <n v="1513.6363636363637"/>
    <n v="10.202205882352942"/>
    <n v="0.13693693693693693"/>
    <s v="CL277"/>
    <x v="3"/>
    <s v="Large"/>
    <n v="16650"/>
    <n v="4"/>
    <s v="High"/>
  </r>
  <r>
    <s v="C278"/>
    <d v="2024-03-24T18:01:57"/>
    <d v="2024-03-24T18:01:57"/>
    <s v="Ongoing"/>
    <n v="0"/>
    <n v="7200"/>
    <s v="Professionals 35-50"/>
    <n v="5783"/>
    <n v="1265"/>
    <n v="384"/>
    <n v="7081"/>
    <n v="0.21874459623033027"/>
    <n v="0.30355731225296445"/>
    <n v="4.0766798418972332"/>
    <n v="13.4296875"/>
    <n v="0.71625000000000005"/>
    <n v="1.3730851270118285"/>
    <s v="CL278"/>
    <x v="1"/>
    <s v="Medium"/>
    <n v="5157"/>
    <n v="3"/>
    <s v="Medium"/>
  </r>
  <r>
    <s v="C279"/>
    <d v="2024-07-19T05:57:20"/>
    <d v="2024-07-19T05:57:20"/>
    <s v="Ongoing"/>
    <n v="0"/>
    <n v="3550"/>
    <s v="Parents 30-40"/>
    <n v="13305"/>
    <n v="357"/>
    <n v="500"/>
    <n v="5492"/>
    <n v="2.6832018038331455E-2"/>
    <n v="1.4005602240896358"/>
    <n v="47.53221288515406"/>
    <n v="33.938000000000002"/>
    <n v="4.78"/>
    <n v="0.32364900701278804"/>
    <s v="CL279"/>
    <x v="3"/>
    <s v="Small"/>
    <n v="16969"/>
    <n v="5"/>
    <s v="High"/>
  </r>
  <r>
    <s v="C280"/>
    <d v="2024-06-19T00:41:54"/>
    <d v="2024-08-02T11:00:37"/>
    <s v="Completed"/>
    <n v="44.429664351853717"/>
    <n v="2276"/>
    <s v="Professionals 35-50"/>
    <n v="13060"/>
    <n v="1875"/>
    <n v="38"/>
    <n v="5733"/>
    <n v="0.14356814701378254"/>
    <n v="2.0266666666666665E-2"/>
    <n v="10.490133333333333"/>
    <n v="517.60526315789468"/>
    <n v="8.6419156414762739"/>
    <n v="0.29147389292795772"/>
    <s v="CL280"/>
    <x v="3"/>
    <s v="Medium"/>
    <n v="19669"/>
    <n v="5"/>
    <s v="High"/>
  </r>
  <r>
    <s v="C281"/>
    <d v="2023-09-15T15:40:17"/>
    <d v="2023-09-15T15:40:17"/>
    <s v="Ongoing"/>
    <n v="0"/>
    <n v="4650"/>
    <s v="Adults 25-34"/>
    <n v="7526"/>
    <n v="1390"/>
    <n v="383"/>
    <n v="7772"/>
    <n v="0.18469306404464522"/>
    <n v="0.27553956834532373"/>
    <n v="11.564748201438849"/>
    <n v="41.971279373368148"/>
    <n v="3.456989247311828"/>
    <n v="0.48348367029548989"/>
    <s v="CL281"/>
    <x v="1"/>
    <s v="Large"/>
    <n v="16075"/>
    <n v="1"/>
    <s v="Low"/>
  </r>
  <r>
    <s v="C282"/>
    <d v="2023-01-02T23:44:46"/>
    <d v="2024-05-15T19:29:09"/>
    <s v="Completed"/>
    <n v="498.82248842592526"/>
    <n v="3111"/>
    <s v="Professionals 35-50"/>
    <n v="15446"/>
    <n v="1388"/>
    <n v="157"/>
    <n v="7498"/>
    <n v="8.986145280331477E-2"/>
    <n v="0.11311239193083573"/>
    <n v="2.6354466858789625"/>
    <n v="23.29936305732484"/>
    <n v="1.1758277081324333"/>
    <n v="2.0497539639147075"/>
    <s v="CL282"/>
    <x v="4"/>
    <s v="Large"/>
    <n v="3658"/>
    <n v="1"/>
    <s v="Low"/>
  </r>
  <r>
    <s v="C283"/>
    <d v="2023-12-08T05:44:36"/>
    <d v="2023-12-08T05:44:36"/>
    <s v="Ongoing"/>
    <n v="0"/>
    <n v="3853"/>
    <s v="Parents 30-40"/>
    <n v="17708"/>
    <n v="779"/>
    <n v="129"/>
    <n v="5500"/>
    <n v="4.3991416309012876E-2"/>
    <n v="0.16559691912708602"/>
    <n v="3.7509627727856225"/>
    <n v="22.651162790697676"/>
    <n v="0.75837010121982873"/>
    <n v="1.8822724161533197"/>
    <s v="CL283"/>
    <x v="4"/>
    <s v="Large"/>
    <n v="2922"/>
    <n v="5"/>
    <s v="High"/>
  </r>
  <r>
    <s v="C284"/>
    <d v="2023-06-25T19:38:10"/>
    <d v="2023-06-25T19:38:10"/>
    <s v="Ongoing"/>
    <n v="0"/>
    <n v="1709"/>
    <s v="Parents 30-40"/>
    <n v="15308"/>
    <n v="1428"/>
    <n v="343"/>
    <n v="6270"/>
    <n v="9.3284557094329756E-2"/>
    <n v="0.24019607843137256"/>
    <n v="8.75"/>
    <n v="36.428571428571431"/>
    <n v="7.3112931538911647"/>
    <n v="0.50180072028811529"/>
    <s v="CL284"/>
    <x v="4"/>
    <s v="Small"/>
    <n v="12495"/>
    <n v="4"/>
    <s v="High"/>
  </r>
  <r>
    <s v="C285"/>
    <d v="2023-09-13T16:52:02"/>
    <d v="2023-11-03T04:01:53"/>
    <s v="Completed"/>
    <n v="50.465173611111823"/>
    <n v="4767"/>
    <s v="Youths 18-24"/>
    <n v="18197"/>
    <n v="123"/>
    <n v="137"/>
    <n v="14707"/>
    <n v="6.7593559377919438E-3"/>
    <n v="1.1138211382113821"/>
    <n v="10.16260162601626"/>
    <n v="9.1240875912408761"/>
    <n v="0.26221942521501995"/>
    <n v="11.765599999999999"/>
    <s v="CL285"/>
    <x v="1"/>
    <s v="Large"/>
    <n v="1250"/>
    <n v="1"/>
    <s v="Low"/>
  </r>
  <r>
    <s v="C286"/>
    <d v="2024-07-28T20:09:41"/>
    <d v="2024-11-06T07:32:46"/>
    <s v="Completed"/>
    <n v="100.47436342592118"/>
    <n v="3903"/>
    <s v="Parents 30-40"/>
    <n v="17497"/>
    <n v="1626"/>
    <n v="461"/>
    <n v="13919"/>
    <n v="9.2930216608561461E-2"/>
    <n v="0.28351783517835177"/>
    <n v="2.4114391143911438"/>
    <n v="8.5054229934924077"/>
    <n v="1.0046118370484243"/>
    <n v="3.5498597296608008"/>
    <s v="CL286"/>
    <x v="0"/>
    <s v="Small"/>
    <n v="3921"/>
    <n v="2"/>
    <s v="Medium"/>
  </r>
  <r>
    <s v="C287"/>
    <d v="2023-03-27T16:33:17"/>
    <d v="2023-07-08T22:05:09"/>
    <s v="Completed"/>
    <n v="103.23046296295797"/>
    <n v="2890"/>
    <s v="Parents 30-40"/>
    <n v="11456"/>
    <n v="1106"/>
    <n v="479"/>
    <n v="14218"/>
    <n v="9.6543296089385472E-2"/>
    <n v="0.43309222423146476"/>
    <n v="17.922242314647377"/>
    <n v="41.382045929018787"/>
    <n v="6.8588235294117643"/>
    <n v="0.71728382605186158"/>
    <s v="CL287"/>
    <x v="3"/>
    <s v="Large"/>
    <n v="19822"/>
    <n v="4"/>
    <s v="High"/>
  </r>
  <r>
    <s v="C288"/>
    <d v="2023-04-19T04:34:00"/>
    <d v="2024-05-22T20:03:00"/>
    <s v="Completed"/>
    <n v="399.64513888888905"/>
    <n v="1876"/>
    <s v="Youths 18-24"/>
    <n v="2003"/>
    <n v="507"/>
    <n v="269"/>
    <n v="7149"/>
    <n v="0.25312031952071889"/>
    <n v="0.53057199211045369"/>
    <n v="31.301775147928993"/>
    <n v="58.996282527881043"/>
    <n v="8.4594882729211083"/>
    <n v="0.45047258979206051"/>
    <s v="CL288"/>
    <x v="4"/>
    <s v="Small"/>
    <n v="15870"/>
    <n v="3"/>
    <s v="Medium"/>
  </r>
  <r>
    <s v="C289"/>
    <d v="2023-08-01T21:31:42"/>
    <d v="2024-05-02T00:27:47"/>
    <s v="Completed"/>
    <n v="274.12228009258979"/>
    <n v="5406"/>
    <s v="Adults 25-34"/>
    <n v="19175"/>
    <n v="595"/>
    <n v="234"/>
    <n v="5525"/>
    <n v="3.1029986962190351E-2"/>
    <n v="0.39327731092436974"/>
    <n v="9.6655462184873944"/>
    <n v="24.576923076923077"/>
    <n v="1.0638179800221976"/>
    <n v="0.96070248652408274"/>
    <s v="CL289"/>
    <x v="4"/>
    <s v="Medium"/>
    <n v="5751"/>
    <n v="2"/>
    <s v="Medium"/>
  </r>
  <r>
    <s v="C290"/>
    <d v="2023-04-09T05:59:58"/>
    <d v="2023-09-02T13:14:28"/>
    <s v="Completed"/>
    <n v="146.3017361111124"/>
    <n v="6242"/>
    <s v="Parents 30-40"/>
    <n v="11376"/>
    <n v="730"/>
    <n v="62"/>
    <n v="3648"/>
    <n v="6.4170182841068915E-2"/>
    <n v="8.4931506849315067E-2"/>
    <n v="19.104109589041094"/>
    <n v="224.93548387096774"/>
    <n v="2.2342198013457226"/>
    <n v="0.26158038147138962"/>
    <s v="CL290"/>
    <x v="0"/>
    <s v="Large"/>
    <n v="13946"/>
    <n v="1"/>
    <s v="Low"/>
  </r>
  <r>
    <s v="C291"/>
    <d v="2023-09-30T20:42:22"/>
    <d v="2023-09-30T20:42:22"/>
    <s v="Ongoing"/>
    <n v="0"/>
    <n v="4251"/>
    <s v="Professionals 35-50"/>
    <n v="6344"/>
    <n v="1690"/>
    <n v="489"/>
    <n v="12136"/>
    <n v="0.26639344262295084"/>
    <n v="0.2893491124260355"/>
    <n v="0.6585798816568047"/>
    <n v="2.276073619631902"/>
    <n v="0.26182074805928018"/>
    <n v="10.90386343216532"/>
    <s v="CL291"/>
    <x v="4"/>
    <s v="Large"/>
    <n v="1113"/>
    <n v="4"/>
    <s v="High"/>
  </r>
  <r>
    <s v="C292"/>
    <d v="2023-03-11T01:48:25"/>
    <d v="2023-07-07T15:15:20"/>
    <s v="Completed"/>
    <n v="118.56035879629781"/>
    <n v="5599"/>
    <s v="Youths 18-24"/>
    <n v="12966"/>
    <n v="723"/>
    <n v="133"/>
    <n v="6243"/>
    <n v="5.5761221656640443E-2"/>
    <n v="0.1839557399723375"/>
    <n v="19.744121715076073"/>
    <n v="107.33082706766918"/>
    <n v="2.5495624218610464"/>
    <n v="0.43733800350262697"/>
    <s v="CL292"/>
    <x v="3"/>
    <s v="Medium"/>
    <n v="14275"/>
    <n v="5"/>
    <s v="High"/>
  </r>
  <r>
    <s v="C293"/>
    <d v="2024-09-06T13:10:20"/>
    <d v="2024-09-06T13:10:20"/>
    <s v="Ongoing"/>
    <n v="0"/>
    <n v="5494"/>
    <s v="Youths 18-24"/>
    <n v="15303"/>
    <n v="803"/>
    <n v="395"/>
    <n v="4100"/>
    <n v="5.2473371234398485E-2"/>
    <n v="0.49190535491905357"/>
    <n v="2.8941469489414695"/>
    <n v="5.8835443037974686"/>
    <n v="0.42300691663633055"/>
    <n v="1.7641996557659207"/>
    <s v="CL293"/>
    <x v="3"/>
    <s v="Small"/>
    <n v="2324"/>
    <n v="1"/>
    <s v="Low"/>
  </r>
  <r>
    <s v="C294"/>
    <d v="2023-10-28T15:38:32"/>
    <d v="2023-10-28T15:38:32"/>
    <s v="Ongoing"/>
    <n v="0"/>
    <n v="8818"/>
    <s v="Youths 18-24"/>
    <n v="12480"/>
    <n v="1591"/>
    <n v="91"/>
    <n v="12375"/>
    <n v="0.12748397435897435"/>
    <n v="5.7196731615336269E-2"/>
    <n v="1.9472030169704588"/>
    <n v="34.043956043956044"/>
    <n v="0.35132683148106147"/>
    <n v="3.9945125887669466"/>
    <s v="CL294"/>
    <x v="3"/>
    <s v="Medium"/>
    <n v="3098"/>
    <n v="5"/>
    <s v="High"/>
  </r>
  <r>
    <s v="C295"/>
    <d v="2023-08-06T09:54:39"/>
    <d v="2024-06-29T03:51:05"/>
    <s v="Completed"/>
    <n v="327.74752314814396"/>
    <n v="1816"/>
    <s v="Professionals 35-50"/>
    <n v="8847"/>
    <n v="713"/>
    <n v="280"/>
    <n v="4912"/>
    <n v="8.059229117214875E-2"/>
    <n v="0.39270687237026647"/>
    <n v="13.945301542776999"/>
    <n v="35.510714285714286"/>
    <n v="5.4752202643171808"/>
    <n v="0.49401589057628481"/>
    <s v="CL295"/>
    <x v="2"/>
    <s v="Large"/>
    <n v="9943"/>
    <n v="2"/>
    <s v="Medium"/>
  </r>
  <r>
    <s v="C296"/>
    <d v="2023-08-05T23:56:56"/>
    <d v="2024-11-01T05:00:01"/>
    <s v="Completed"/>
    <n v="453.21047453703795"/>
    <n v="7328"/>
    <s v="Parents 30-40"/>
    <n v="7477"/>
    <n v="904"/>
    <n v="377"/>
    <n v="11897"/>
    <n v="0.12090410592483616"/>
    <n v="0.41703539823008851"/>
    <n v="3.5995575221238938"/>
    <n v="8.6312997347480103"/>
    <n v="0.44405021834061137"/>
    <n v="3.6561155500921942"/>
    <s v="CL296"/>
    <x v="2"/>
    <s v="Large"/>
    <n v="3254"/>
    <n v="4"/>
    <s v="High"/>
  </r>
  <r>
    <s v="C297"/>
    <d v="2024-11-28T10:00:17"/>
    <d v="2024-11-28T10:00:17"/>
    <s v="Ongoing"/>
    <n v="0"/>
    <n v="1181"/>
    <s v="Youths 18-24"/>
    <n v="10766"/>
    <n v="1693"/>
    <n v="32"/>
    <n v="7440"/>
    <n v="0.15725431915288873"/>
    <n v="1.8901358535144713E-2"/>
    <n v="8.2096869462492617"/>
    <n v="434.34375"/>
    <n v="11.768839966130399"/>
    <n v="0.53529030865529892"/>
    <s v="CL297"/>
    <x v="4"/>
    <s v="Small"/>
    <n v="13899"/>
    <n v="4"/>
    <s v="High"/>
  </r>
  <r>
    <s v="C298"/>
    <d v="2023-12-29T06:58:46"/>
    <d v="2024-09-07T21:57:15"/>
    <s v="Completed"/>
    <n v="253.62394675926043"/>
    <n v="4963"/>
    <s v="Adults 25-34"/>
    <n v="19549"/>
    <n v="1798"/>
    <n v="349"/>
    <n v="11895"/>
    <n v="9.19740140160622E-2"/>
    <n v="0.19410456062291434"/>
    <n v="8.9527252502780872"/>
    <n v="46.123209169054441"/>
    <n v="3.2434011686479951"/>
    <n v="0.73895756973349069"/>
    <s v="CL298"/>
    <x v="0"/>
    <s v="Small"/>
    <n v="16097"/>
    <n v="2"/>
    <s v="Medium"/>
  </r>
  <r>
    <s v="C299"/>
    <d v="2023-02-17T12:59:34"/>
    <d v="2023-12-13T08:42:55"/>
    <s v="Completed"/>
    <n v="298.82177083333227"/>
    <n v="2857"/>
    <s v="Parents 30-40"/>
    <n v="2308"/>
    <n v="1607"/>
    <n v="327"/>
    <n v="2367"/>
    <n v="0.69627383015597921"/>
    <n v="0.20348475420037337"/>
    <n v="3.6888612321095207"/>
    <n v="18.128440366972477"/>
    <n v="2.0749037451872594"/>
    <n v="0.39929149797570851"/>
    <s v="CL299"/>
    <x v="2"/>
    <s v="Small"/>
    <n v="5928"/>
    <n v="4"/>
    <s v="High"/>
  </r>
  <r>
    <s v="C300"/>
    <d v="2024-01-06T08:51:15"/>
    <d v="2024-10-08T03:42:21"/>
    <s v="Completed"/>
    <n v="275.78548611111182"/>
    <n v="8565"/>
    <s v="Adults 25-34"/>
    <n v="2453"/>
    <n v="405"/>
    <n v="147"/>
    <n v="9509"/>
    <n v="0.16510395434162251"/>
    <n v="0.36296296296296299"/>
    <n v="34.056790123456793"/>
    <n v="93.829931972789112"/>
    <n v="1.6103911266783422"/>
    <n v="0.68940767055752916"/>
    <s v="CL300"/>
    <x v="4"/>
    <s v="Medium"/>
    <n v="13793"/>
    <n v="4"/>
    <s v="High"/>
  </r>
  <r>
    <s v="C301"/>
    <d v="2024-01-03T05:54:31"/>
    <d v="2024-01-03T05:54:31"/>
    <s v="Ongoing"/>
    <n v="0"/>
    <n v="2289"/>
    <s v="Youths 18-24"/>
    <n v="19797"/>
    <n v="927"/>
    <n v="135"/>
    <n v="8254"/>
    <n v="4.6825276557054096E-2"/>
    <n v="0.14563106796116504"/>
    <n v="10.650485436893204"/>
    <n v="73.13333333333334"/>
    <n v="4.3132372214941022"/>
    <n v="0.83601742124987344"/>
    <s v="CL301"/>
    <x v="0"/>
    <s v="Medium"/>
    <n v="9873"/>
    <n v="2"/>
    <s v="Medium"/>
  </r>
  <r>
    <s v="C302"/>
    <d v="2023-10-06T18:26:49"/>
    <d v="2023-10-06T18:26:49"/>
    <s v="Ongoing"/>
    <n v="0"/>
    <n v="5617"/>
    <s v="Professionals 35-50"/>
    <n v="15410"/>
    <n v="228"/>
    <n v="190"/>
    <n v="3875"/>
    <n v="1.4795587280986372E-2"/>
    <n v="0.83333333333333337"/>
    <n v="63.377192982456137"/>
    <n v="76.05263157894737"/>
    <n v="2.5725476232864519"/>
    <n v="0.26816608996539792"/>
    <s v="CL302"/>
    <x v="2"/>
    <s v="Large"/>
    <n v="14450"/>
    <n v="4"/>
    <s v="High"/>
  </r>
  <r>
    <s v="C303"/>
    <d v="2024-03-08T17:13:18"/>
    <d v="2024-06-26T03:47:30"/>
    <s v="Completed"/>
    <n v="109.44041666666453"/>
    <n v="2742"/>
    <s v="Parents 30-40"/>
    <n v="10930"/>
    <n v="838"/>
    <n v="127"/>
    <n v="13825"/>
    <n v="7.6669716376944197E-2"/>
    <n v="0.15155131264916469"/>
    <n v="22.813842482100238"/>
    <n v="150.53543307086613"/>
    <n v="6.972283005105762"/>
    <n v="0.72314049586776863"/>
    <s v="CL303"/>
    <x v="3"/>
    <s v="Small"/>
    <n v="19118"/>
    <n v="5"/>
    <s v="High"/>
  </r>
  <r>
    <s v="C304"/>
    <d v="2023-09-27T23:21:35"/>
    <d v="2024-07-30T05:44:58"/>
    <s v="Completed"/>
    <n v="306.2662384259238"/>
    <n v="8882"/>
    <s v="Adults 25-34"/>
    <n v="8195"/>
    <n v="1101"/>
    <n v="408"/>
    <n v="745"/>
    <n v="0.13435021354484442"/>
    <n v="0.37057220708446864"/>
    <n v="2.4450499545867395"/>
    <n v="6.5980392156862742"/>
    <n v="0.30308489079036255"/>
    <n v="0.27674591381872216"/>
    <s v="CL304"/>
    <x v="3"/>
    <s v="Medium"/>
    <n v="2692"/>
    <n v="5"/>
    <s v="High"/>
  </r>
  <r>
    <s v="C305"/>
    <d v="2023-04-28T10:39:48"/>
    <d v="2023-06-13T18:00:38"/>
    <s v="Completed"/>
    <n v="46.306134259262762"/>
    <n v="7730"/>
    <s v="Youths 18-24"/>
    <n v="2235"/>
    <n v="1454"/>
    <n v="467"/>
    <n v="4709"/>
    <n v="0.65055928411633113"/>
    <n v="0.32118294360385147"/>
    <n v="2.7895460797799174"/>
    <n v="8.6852248394004281"/>
    <n v="0.52470892626131949"/>
    <n v="1.1609960552268244"/>
    <s v="CL305"/>
    <x v="4"/>
    <s v="Large"/>
    <n v="4056"/>
    <n v="1"/>
    <s v="Low"/>
  </r>
  <r>
    <s v="C306"/>
    <d v="2024-06-26T19:02:44"/>
    <d v="2024-06-26T19:02:44"/>
    <s v="Ongoing"/>
    <n v="0"/>
    <n v="2812"/>
    <s v="Professionals 35-50"/>
    <n v="3589"/>
    <n v="923"/>
    <n v="369"/>
    <n v="8358"/>
    <n v="0.25717470047366953"/>
    <n v="0.39978331527627303"/>
    <n v="14.257854821235103"/>
    <n v="35.663956639566393"/>
    <n v="4.6799431009957324"/>
    <n v="0.63510638297872335"/>
    <s v="CL306"/>
    <x v="2"/>
    <s v="Medium"/>
    <n v="13160"/>
    <n v="2"/>
    <s v="Medium"/>
  </r>
  <r>
    <s v="C307"/>
    <d v="2024-11-20T22:26:59"/>
    <d v="2024-11-20T22:26:59"/>
    <s v="Ongoing"/>
    <n v="0"/>
    <n v="7614"/>
    <s v="Professionals 35-50"/>
    <n v="13631"/>
    <n v="1239"/>
    <n v="305"/>
    <n v="13729"/>
    <n v="9.0895752329249499E-2"/>
    <n v="0.24616626311541565"/>
    <n v="10.118644067796611"/>
    <n v="41.104918032786884"/>
    <n v="1.6465721040189125"/>
    <n v="1.0950785674403765"/>
    <s v="CL307"/>
    <x v="1"/>
    <s v="Large"/>
    <n v="12537"/>
    <n v="2"/>
    <s v="Medium"/>
  </r>
  <r>
    <s v="C308"/>
    <d v="2023-08-21T14:41:56"/>
    <d v="2023-08-21T14:41:56"/>
    <s v="Ongoing"/>
    <n v="0"/>
    <n v="7620"/>
    <s v="Adults 25-34"/>
    <n v="11483"/>
    <n v="1166"/>
    <n v="405"/>
    <n v="6479"/>
    <n v="0.10154140903944962"/>
    <n v="0.34734133790737565"/>
    <n v="15.839622641509434"/>
    <n v="45.602469135802473"/>
    <n v="2.4237532808398949"/>
    <n v="0.35080405002977966"/>
    <s v="CL308"/>
    <x v="0"/>
    <s v="Small"/>
    <n v="18469"/>
    <n v="2"/>
    <s v="Medium"/>
  </r>
  <r>
    <s v="C309"/>
    <d v="2024-02-10T06:57:34"/>
    <d v="2024-02-10T06:57:34"/>
    <s v="Ongoing"/>
    <n v="0"/>
    <n v="4463"/>
    <s v="Youths 18-24"/>
    <n v="17778"/>
    <n v="1014"/>
    <n v="315"/>
    <n v="11419"/>
    <n v="5.7036787040161997E-2"/>
    <n v="0.31065088757396447"/>
    <n v="9.0147928994082847"/>
    <n v="29.019047619047619"/>
    <n v="2.0481738740757338"/>
    <n v="1.2492068701454984"/>
    <s v="CL309"/>
    <x v="1"/>
    <s v="Medium"/>
    <n v="9141"/>
    <n v="3"/>
    <s v="Medium"/>
  </r>
  <r>
    <s v="C310"/>
    <d v="2023-10-26T10:38:59"/>
    <d v="2023-10-26T10:38:59"/>
    <s v="Ongoing"/>
    <n v="0"/>
    <n v="3570"/>
    <s v="Adults 25-34"/>
    <n v="12068"/>
    <n v="1597"/>
    <n v="496"/>
    <n v="5571"/>
    <n v="0.13233344381836262"/>
    <n v="0.31058234189104572"/>
    <n v="5.3537883531621793"/>
    <n v="17.237903225806452"/>
    <n v="2.3949579831932772"/>
    <n v="0.65157894736842104"/>
    <s v="CL310"/>
    <x v="4"/>
    <s v="Medium"/>
    <n v="8550"/>
    <n v="3"/>
    <s v="Medium"/>
  </r>
  <r>
    <s v="C311"/>
    <d v="2023-01-19T10:03:10"/>
    <d v="2023-04-28T08:49:57"/>
    <s v="Completed"/>
    <n v="98.949155092588626"/>
    <n v="5673"/>
    <s v="Youths 18-24"/>
    <n v="15956"/>
    <n v="315"/>
    <n v="494"/>
    <n v="1359"/>
    <n v="1.9741789922286288E-2"/>
    <n v="1.5682539682539682"/>
    <n v="27.746031746031747"/>
    <n v="17.692307692307693"/>
    <n v="1.5406310594041952"/>
    <n v="0.15549199084668192"/>
    <s v="CL311"/>
    <x v="2"/>
    <s v="Small"/>
    <n v="8740"/>
    <n v="4"/>
    <s v="High"/>
  </r>
  <r>
    <s v="C312"/>
    <d v="2023-10-16T01:29:25"/>
    <d v="2023-10-16T01:29:25"/>
    <s v="Ongoing"/>
    <n v="0"/>
    <n v="7917"/>
    <s v="Parents 30-40"/>
    <n v="14699"/>
    <n v="1339"/>
    <n v="358"/>
    <n v="3396"/>
    <n v="9.1094632287910746E-2"/>
    <n v="0.26736370425690814"/>
    <n v="13.888722927557879"/>
    <n v="51.946927374301673"/>
    <n v="2.3489958317544524"/>
    <n v="0.18261009840296821"/>
    <s v="CL312"/>
    <x v="3"/>
    <s v="Large"/>
    <n v="18597"/>
    <n v="1"/>
    <s v="Low"/>
  </r>
  <r>
    <s v="C313"/>
    <d v="2023-04-28T01:44:42"/>
    <d v="2024-03-20T18:15:20"/>
    <s v="Completed"/>
    <n v="327.68793981481576"/>
    <n v="1774"/>
    <s v="Youths 18-24"/>
    <n v="15981"/>
    <n v="1367"/>
    <n v="347"/>
    <n v="9906"/>
    <n v="8.5539077654714968E-2"/>
    <n v="0.2538405267008047"/>
    <n v="0.71104608632040966"/>
    <n v="2.8011527377521612"/>
    <n v="0.54791431792559186"/>
    <n v="10.191358024691358"/>
    <s v="CL313"/>
    <x v="0"/>
    <s v="Medium"/>
    <n v="972"/>
    <n v="3"/>
    <s v="Medium"/>
  </r>
  <r>
    <s v="C314"/>
    <d v="2023-10-24T15:22:52"/>
    <d v="2023-10-24T15:22:52"/>
    <s v="Ongoing"/>
    <n v="0"/>
    <n v="7137"/>
    <s v="Professionals 35-50"/>
    <n v="4638"/>
    <n v="1466"/>
    <n v="93"/>
    <n v="605"/>
    <n v="0.31608451918930575"/>
    <n v="6.3437926330150066E-2"/>
    <n v="9.7046384720327428"/>
    <n v="152.97849462365591"/>
    <n v="1.993414599971977"/>
    <n v="4.2524776832782739E-2"/>
    <s v="CL314"/>
    <x v="4"/>
    <s v="Large"/>
    <n v="14227"/>
    <n v="3"/>
    <s v="Medium"/>
  </r>
  <r>
    <s v="C315"/>
    <d v="2023-09-29T19:19:24"/>
    <d v="2024-09-29T16:48:36"/>
    <s v="Completed"/>
    <n v="365.8952777777813"/>
    <n v="7822"/>
    <s v="Professionals 35-50"/>
    <n v="19503"/>
    <n v="417"/>
    <n v="52"/>
    <n v="7524"/>
    <n v="2.1381325949853869E-2"/>
    <n v="0.12470023980815348"/>
    <n v="10.040767386091128"/>
    <n v="80.519230769230774"/>
    <n v="0.53528509332651497"/>
    <n v="1.7969906854549798"/>
    <s v="CL315"/>
    <x v="3"/>
    <s v="Medium"/>
    <n v="4187"/>
    <n v="4"/>
    <s v="High"/>
  </r>
  <r>
    <s v="C316"/>
    <d v="2024-03-09T23:34:28"/>
    <d v="2024-03-09T23:34:28"/>
    <s v="Ongoing"/>
    <n v="0"/>
    <n v="6551"/>
    <s v="Adults 25-34"/>
    <n v="15879"/>
    <n v="1050"/>
    <n v="392"/>
    <n v="13678"/>
    <n v="6.6125070848290196E-2"/>
    <n v="0.37333333333333335"/>
    <n v="18.942857142857143"/>
    <n v="50.739795918367349"/>
    <n v="3.0361776827965197"/>
    <n v="0.68768225238813474"/>
    <s v="CL316"/>
    <x v="0"/>
    <s v="Large"/>
    <n v="19890"/>
    <n v="3"/>
    <s v="Medium"/>
  </r>
  <r>
    <s v="C317"/>
    <d v="2024-09-21T06:14:37"/>
    <d v="2024-09-21T06:14:37"/>
    <s v="Ongoing"/>
    <n v="0"/>
    <n v="7021"/>
    <s v="Adults 25-34"/>
    <n v="7357"/>
    <n v="842"/>
    <n v="317"/>
    <n v="7583"/>
    <n v="0.11444882424901455"/>
    <n v="0.37648456057007124"/>
    <n v="13.230403800475059"/>
    <n v="35.141955835962143"/>
    <n v="1.5866685657313773"/>
    <n v="0.6807001795332136"/>
    <s v="CL317"/>
    <x v="3"/>
    <s v="Large"/>
    <n v="11140"/>
    <n v="4"/>
    <s v="High"/>
  </r>
  <r>
    <s v="C318"/>
    <d v="2023-03-13T09:49:38"/>
    <d v="2023-07-11T11:22:46"/>
    <s v="Completed"/>
    <n v="120.06467592592526"/>
    <n v="5681"/>
    <s v="Youths 18-24"/>
    <n v="19590"/>
    <n v="344"/>
    <n v="238"/>
    <n v="5070"/>
    <n v="1.755997958141909E-2"/>
    <n v="0.69186046511627908"/>
    <n v="17.819767441860463"/>
    <n v="25.756302521008404"/>
    <n v="1.0790353810948776"/>
    <n v="0.82707993474714514"/>
    <s v="CL318"/>
    <x v="3"/>
    <s v="Medium"/>
    <n v="6130"/>
    <n v="5"/>
    <s v="High"/>
  </r>
  <r>
    <s v="C319"/>
    <d v="2023-10-15T14:22:18"/>
    <d v="2024-05-15T22:54:16"/>
    <s v="Completed"/>
    <n v="213.35553240741137"/>
    <n v="4282"/>
    <s v="Adults 25-34"/>
    <n v="8222"/>
    <n v="1925"/>
    <n v="298"/>
    <n v="2126"/>
    <n v="0.23412794940403794"/>
    <n v="0.15480519480519481"/>
    <n v="6.8192207792207791"/>
    <n v="44.050335570469798"/>
    <n v="3.0656235404016816"/>
    <n v="0.16195627332977833"/>
    <s v="CL319"/>
    <x v="3"/>
    <s v="Medium"/>
    <n v="13127"/>
    <n v="3"/>
    <s v="Medium"/>
  </r>
  <r>
    <s v="C320"/>
    <d v="2023-12-31T19:32:24"/>
    <d v="2024-04-09T18:59:57"/>
    <s v="Completed"/>
    <n v="99.97746527777781"/>
    <n v="5328"/>
    <s v="Professionals 35-50"/>
    <n v="1830"/>
    <n v="966"/>
    <n v="432"/>
    <n v="5920"/>
    <n v="0.52786885245901638"/>
    <n v="0.44720496894409939"/>
    <n v="19.508281573498966"/>
    <n v="43.622685185185183"/>
    <n v="3.5369744744744747"/>
    <n v="0.31414168214380472"/>
    <s v="CL320"/>
    <x v="2"/>
    <s v="Large"/>
    <n v="18845"/>
    <n v="4"/>
    <s v="High"/>
  </r>
  <r>
    <s v="C321"/>
    <d v="2023-09-30T16:19:00"/>
    <d v="2024-05-03T11:37:38"/>
    <s v="Completed"/>
    <n v="215.80460648148437"/>
    <n v="7488"/>
    <s v="Parents 30-40"/>
    <n v="7145"/>
    <n v="1861"/>
    <n v="79"/>
    <n v="2720"/>
    <n v="0.26046186144156752"/>
    <n v="4.245029554003224E-2"/>
    <n v="9.0037614185921555"/>
    <n v="212.1012658227848"/>
    <n v="2.237713675213675"/>
    <n v="0.16232991167343042"/>
    <s v="CL321"/>
    <x v="4"/>
    <s v="Medium"/>
    <n v="16756"/>
    <n v="1"/>
    <s v="Low"/>
  </r>
  <r>
    <s v="C322"/>
    <d v="2023-08-11T11:41:46"/>
    <d v="2023-10-26T04:59:15"/>
    <s v="Completed"/>
    <n v="75.720474537032715"/>
    <n v="3474"/>
    <s v="Parents 30-40"/>
    <n v="16830"/>
    <n v="210"/>
    <n v="207"/>
    <n v="5791"/>
    <n v="1.2477718360071301E-2"/>
    <n v="0.98571428571428577"/>
    <n v="17.69047619047619"/>
    <n v="17.946859903381643"/>
    <n v="1.0693724812895797"/>
    <n v="1.5588156123822341"/>
    <s v="CL322"/>
    <x v="2"/>
    <s v="Small"/>
    <n v="3715"/>
    <n v="3"/>
    <s v="Medium"/>
  </r>
  <r>
    <s v="C323"/>
    <d v="2023-02-20T11:37:53"/>
    <d v="2023-10-29T10:27:37"/>
    <s v="Completed"/>
    <n v="250.95120370370569"/>
    <n v="3119"/>
    <s v="Parents 30-40"/>
    <n v="2600"/>
    <n v="1249"/>
    <n v="29"/>
    <n v="8128"/>
    <n v="0.48038461538461541"/>
    <n v="2.321857485988791E-2"/>
    <n v="15.5564451561249"/>
    <n v="670"/>
    <n v="6.2295607566527735"/>
    <n v="0.41832218219248585"/>
    <s v="CL323"/>
    <x v="2"/>
    <s v="Medium"/>
    <n v="19430"/>
    <n v="4"/>
    <s v="High"/>
  </r>
  <r>
    <s v="C324"/>
    <d v="2023-08-18T15:56:44"/>
    <d v="2024-09-18T12:33:33"/>
    <s v="Completed"/>
    <n v="396.85890046296117"/>
    <n v="8206"/>
    <s v="Professionals 35-50"/>
    <n v="8179"/>
    <n v="213"/>
    <n v="430"/>
    <n v="5164"/>
    <n v="2.6042303460080695E-2"/>
    <n v="2.0187793427230045"/>
    <n v="17.305164319248828"/>
    <n v="8.5720930232558139"/>
    <n v="0.44918352425054836"/>
    <n v="1.400976668475312"/>
    <s v="CL324"/>
    <x v="1"/>
    <s v="Small"/>
    <n v="3686"/>
    <n v="1"/>
    <s v="Low"/>
  </r>
  <r>
    <s v="C325"/>
    <d v="2024-07-14T17:55:29"/>
    <d v="2024-07-14T17:55:29"/>
    <s v="Ongoing"/>
    <n v="0"/>
    <n v="9700"/>
    <s v="Professionals 35-50"/>
    <n v="19720"/>
    <n v="1978"/>
    <n v="359"/>
    <n v="4658"/>
    <n v="0.10030425963488844"/>
    <n v="0.18149646107178968"/>
    <n v="1.6132457027300304"/>
    <n v="8.8885793871866294"/>
    <n v="0.32896907216494847"/>
    <n v="1.4597304920087746"/>
    <s v="CL325"/>
    <x v="2"/>
    <s v="Large"/>
    <n v="3191"/>
    <n v="2"/>
    <s v="Medium"/>
  </r>
  <r>
    <s v="C326"/>
    <d v="2023-07-07T21:16:59"/>
    <d v="2024-03-06T13:58:15"/>
    <s v="Completed"/>
    <n v="242.69532407407678"/>
    <n v="3034"/>
    <s v="Adults 25-34"/>
    <n v="17148"/>
    <n v="1630"/>
    <n v="214"/>
    <n v="4045"/>
    <n v="9.5054816888266849E-2"/>
    <n v="0.1312883435582822"/>
    <n v="10.255828220858895"/>
    <n v="78.116822429906549"/>
    <n v="5.5098879367172051"/>
    <n v="0.24196925285637375"/>
    <s v="CL326"/>
    <x v="4"/>
    <s v="Large"/>
    <n v="16717"/>
    <n v="4"/>
    <s v="High"/>
  </r>
  <r>
    <s v="C327"/>
    <d v="2024-07-29T12:57:01"/>
    <d v="2024-07-29T12:57:01"/>
    <s v="Ongoing"/>
    <n v="0"/>
    <n v="2027"/>
    <s v="Adults 25-34"/>
    <n v="11346"/>
    <n v="446"/>
    <n v="76"/>
    <n v="5920"/>
    <n v="3.9309007579763793E-2"/>
    <n v="0.17040358744394618"/>
    <n v="17.892376681614351"/>
    <n v="105"/>
    <n v="3.9368524913665515"/>
    <n v="0.74185463659147866"/>
    <s v="CL327"/>
    <x v="0"/>
    <s v="Medium"/>
    <n v="7980"/>
    <n v="2"/>
    <s v="Medium"/>
  </r>
  <r>
    <s v="C328"/>
    <d v="2024-03-02T10:18:23"/>
    <d v="2024-03-02T10:18:23"/>
    <s v="Ongoing"/>
    <n v="0"/>
    <n v="9417"/>
    <s v="Adults 25-34"/>
    <n v="11992"/>
    <n v="828"/>
    <n v="118"/>
    <n v="8478"/>
    <n v="6.9046030687124754E-2"/>
    <n v="0.14251207729468598"/>
    <n v="14.721014492753623"/>
    <n v="103.29661016949153"/>
    <n v="1.2943612615482638"/>
    <n v="0.69554516367216346"/>
    <s v="CL328"/>
    <x v="1"/>
    <s v="Large"/>
    <n v="12189"/>
    <n v="1"/>
    <s v="Low"/>
  </r>
  <r>
    <s v="C329"/>
    <d v="2024-09-01T10:17:47"/>
    <d v="2024-09-01T10:17:47"/>
    <s v="Ongoing"/>
    <n v="0"/>
    <n v="5589"/>
    <s v="Adults 25-34"/>
    <n v="2585"/>
    <n v="1712"/>
    <n v="376"/>
    <n v="8607"/>
    <n v="0.66228239845261117"/>
    <n v="0.21962616822429906"/>
    <n v="10.924065420560748"/>
    <n v="49.73936170212766"/>
    <n v="3.3462157809983899"/>
    <n v="0.46021815848572345"/>
    <s v="CL329"/>
    <x v="0"/>
    <s v="Medium"/>
    <n v="18702"/>
    <n v="4"/>
    <s v="High"/>
  </r>
  <r>
    <s v="C330"/>
    <d v="2023-03-11T18:44:14"/>
    <d v="2023-04-10T15:59:39"/>
    <s v="Completed"/>
    <n v="29.885706018518249"/>
    <n v="6412"/>
    <s v="Adults 25-34"/>
    <n v="1023"/>
    <n v="605"/>
    <n v="151"/>
    <n v="4679"/>
    <n v="0.59139784946236562"/>
    <n v="0.24958677685950414"/>
    <n v="2.4479338842975205"/>
    <n v="9.8079470198675498"/>
    <n v="0.23097317529631939"/>
    <n v="3.1593517893315326"/>
    <s v="CL330"/>
    <x v="2"/>
    <s v="Large"/>
    <n v="1481"/>
    <n v="2"/>
    <s v="Medium"/>
  </r>
  <r>
    <s v="C331"/>
    <d v="2024-12-02T03:17:00"/>
    <d v="2024-12-02T03:17:00"/>
    <s v="Ongoing"/>
    <n v="0"/>
    <n v="5130"/>
    <s v="Youths 18-24"/>
    <n v="3749"/>
    <n v="848"/>
    <n v="373"/>
    <n v="12314"/>
    <n v="0.22619365164043745"/>
    <n v="0.43985849056603776"/>
    <n v="15.235849056603774"/>
    <n v="34.638069705093834"/>
    <n v="2.5185185185185186"/>
    <n v="0.95309597523219813"/>
    <s v="CL331"/>
    <x v="4"/>
    <s v="Medium"/>
    <n v="12920"/>
    <n v="1"/>
    <s v="Low"/>
  </r>
  <r>
    <s v="C332"/>
    <d v="2024-04-06T14:12:48"/>
    <d v="2024-10-04T18:41:49"/>
    <s v="Completed"/>
    <n v="181.18681712963007"/>
    <n v="8449"/>
    <s v="Professionals 35-50"/>
    <n v="6386"/>
    <n v="1931"/>
    <n v="430"/>
    <n v="5221"/>
    <n v="0.30238020670216098"/>
    <n v="0.22268254790264111"/>
    <n v="6.6395649922320041"/>
    <n v="29.816279069767443"/>
    <n v="1.5174576873002723"/>
    <n v="0.40722252554402932"/>
    <s v="CL332"/>
    <x v="2"/>
    <s v="Large"/>
    <n v="12821"/>
    <n v="4"/>
    <s v="High"/>
  </r>
  <r>
    <s v="C333"/>
    <d v="2023-05-25T12:28:00"/>
    <d v="2023-07-11T04:31:33"/>
    <s v="Completed"/>
    <n v="46.669131944443507"/>
    <n v="4579"/>
    <s v="Parents 30-40"/>
    <n v="2413"/>
    <n v="1237"/>
    <n v="203"/>
    <n v="13725"/>
    <n v="0.51263986738499789"/>
    <n v="0.16410670978173"/>
    <n v="0.86742118027485848"/>
    <n v="5.2857142857142856"/>
    <n v="0.23433063987770256"/>
    <n v="12.791239515377447"/>
    <s v="CL333"/>
    <x v="0"/>
    <s v="Small"/>
    <n v="1073"/>
    <n v="1"/>
    <s v="Low"/>
  </r>
  <r>
    <s v="C334"/>
    <d v="2023-04-23T23:12:45"/>
    <d v="2023-06-19T06:42:08"/>
    <s v="Completed"/>
    <n v="56.312071759261016"/>
    <n v="5575"/>
    <s v="Parents 30-40"/>
    <n v="17044"/>
    <n v="234"/>
    <n v="282"/>
    <n v="5540"/>
    <n v="1.3729171555972777E-2"/>
    <n v="1.2051282051282051"/>
    <n v="79.987179487179489"/>
    <n v="66.372340425531917"/>
    <n v="3.3573094170403586"/>
    <n v="0.29598760485120479"/>
    <s v="CL334"/>
    <x v="2"/>
    <s v="Small"/>
    <n v="18717"/>
    <n v="4"/>
    <s v="High"/>
  </r>
  <r>
    <s v="C335"/>
    <d v="2023-12-12T10:13:35"/>
    <d v="2023-12-12T10:13:35"/>
    <s v="Ongoing"/>
    <n v="0"/>
    <n v="9288"/>
    <s v="Youths 18-24"/>
    <n v="19331"/>
    <n v="453"/>
    <n v="278"/>
    <n v="5993"/>
    <n v="2.3433862707568153E-2"/>
    <n v="0.61368653421633557"/>
    <n v="41.046357615894038"/>
    <n v="66.884892086330936"/>
    <n v="2.001937984496124"/>
    <n v="0.3223082714854254"/>
    <s v="CL335"/>
    <x v="1"/>
    <s v="Medium"/>
    <n v="18594"/>
    <n v="5"/>
    <s v="High"/>
  </r>
  <r>
    <s v="C336"/>
    <d v="2024-07-19T13:01:20"/>
    <d v="2024-07-19T13:01:20"/>
    <s v="Ongoing"/>
    <n v="0"/>
    <n v="6745"/>
    <s v="Parents 30-40"/>
    <n v="15643"/>
    <n v="1656"/>
    <n v="46"/>
    <n v="9937"/>
    <n v="0.10586204692194592"/>
    <n v="2.7777777777777776E-2"/>
    <n v="8.0730676328502415"/>
    <n v="290.63043478260869"/>
    <n v="1.982060785767235"/>
    <n v="0.74328670805595032"/>
    <s v="CL336"/>
    <x v="4"/>
    <s v="Large"/>
    <n v="13369"/>
    <n v="1"/>
    <s v="Low"/>
  </r>
  <r>
    <s v="C337"/>
    <d v="2023-12-09T10:03:42"/>
    <d v="2024-07-12T22:01:07"/>
    <s v="Completed"/>
    <n v="216.49820601851388"/>
    <n v="5001"/>
    <s v="Adults 25-34"/>
    <n v="11873"/>
    <n v="1366"/>
    <n v="500"/>
    <n v="11279"/>
    <n v="0.11505095595047587"/>
    <n v="0.36603221083455345"/>
    <n v="9.8221083455344065"/>
    <n v="26.834"/>
    <n v="2.6828634273145373"/>
    <n v="0.84064992174107478"/>
    <s v="CL337"/>
    <x v="3"/>
    <s v="Small"/>
    <n v="13417"/>
    <n v="3"/>
    <s v="Medium"/>
  </r>
  <r>
    <s v="C338"/>
    <d v="2024-05-16T07:33:47"/>
    <d v="2024-05-16T07:33:47"/>
    <s v="Ongoing"/>
    <n v="0"/>
    <n v="7554"/>
    <s v="Parents 30-40"/>
    <n v="2782"/>
    <n v="1866"/>
    <n v="375"/>
    <n v="5636"/>
    <n v="0.67074047447879226"/>
    <n v="0.20096463022508038"/>
    <n v="5.866023579849946"/>
    <n v="29.189333333333334"/>
    <n v="1.4490336245697644"/>
    <n v="0.514891284487484"/>
    <s v="CL338"/>
    <x v="3"/>
    <s v="Large"/>
    <n v="10946"/>
    <n v="4"/>
    <s v="High"/>
  </r>
  <r>
    <s v="C339"/>
    <d v="2024-05-15T11:03:19"/>
    <d v="2024-05-15T11:03:19"/>
    <s v="Ongoing"/>
    <n v="0"/>
    <n v="9316"/>
    <s v="Youths 18-24"/>
    <n v="9474"/>
    <n v="912"/>
    <n v="215"/>
    <n v="3889"/>
    <n v="9.6263457884737169E-2"/>
    <n v="0.23574561403508773"/>
    <n v="3.3640350877192984"/>
    <n v="14.269767441860465"/>
    <n v="0.32932589094031772"/>
    <n v="1.2676010430247719"/>
    <s v="CL339"/>
    <x v="4"/>
    <s v="Large"/>
    <n v="3068"/>
    <n v="4"/>
    <s v="High"/>
  </r>
  <r>
    <s v="C340"/>
    <d v="2023-01-25T14:25:48"/>
    <d v="2024-11-23T06:48:02"/>
    <s v="Completed"/>
    <n v="667.68210648147942"/>
    <n v="4169"/>
    <s v="Youths 18-24"/>
    <n v="4758"/>
    <n v="702"/>
    <n v="100"/>
    <n v="13819"/>
    <n v="0.14754098360655737"/>
    <n v="0.14245014245014245"/>
    <n v="12.065527065527066"/>
    <n v="84.7"/>
    <n v="2.0316622691292876"/>
    <n v="1.6315230224321133"/>
    <s v="CL340"/>
    <x v="3"/>
    <s v="Small"/>
    <n v="8470"/>
    <n v="5"/>
    <s v="High"/>
  </r>
  <r>
    <s v="C341"/>
    <d v="2023-11-12T11:31:45"/>
    <d v="2023-11-12T11:31:45"/>
    <s v="Ongoing"/>
    <n v="0"/>
    <n v="9113"/>
    <s v="Adults 25-34"/>
    <n v="11694"/>
    <n v="1512"/>
    <n v="143"/>
    <n v="6299"/>
    <n v="0.12929707542329399"/>
    <n v="9.4576719576719578E-2"/>
    <n v="3.517195767195767"/>
    <n v="37.188811188811187"/>
    <n v="0.58356194447492593"/>
    <n v="1.1844678450545318"/>
    <s v="CL341"/>
    <x v="4"/>
    <s v="Large"/>
    <n v="5318"/>
    <n v="2"/>
    <s v="Medium"/>
  </r>
  <r>
    <s v="C342"/>
    <d v="2024-06-29T08:48:36"/>
    <d v="2024-06-29T08:48:36"/>
    <s v="Ongoing"/>
    <n v="0"/>
    <n v="1576"/>
    <s v="Professionals 35-50"/>
    <n v="7503"/>
    <n v="149"/>
    <n v="39"/>
    <n v="9983"/>
    <n v="1.9858723177395707E-2"/>
    <n v="0.26174496644295303"/>
    <n v="88.583892617449663"/>
    <n v="338.43589743589746"/>
    <n v="8.375"/>
    <n v="0.75634517766497467"/>
    <s v="CL342"/>
    <x v="2"/>
    <s v="Large"/>
    <n v="13199"/>
    <n v="5"/>
    <s v="High"/>
  </r>
  <r>
    <s v="C343"/>
    <d v="2023-12-02T14:46:49"/>
    <d v="2024-07-09T23:46:43"/>
    <s v="Completed"/>
    <n v="220.37493055555387"/>
    <n v="9631"/>
    <s v="Parents 30-40"/>
    <n v="1586"/>
    <n v="172"/>
    <n v="20"/>
    <n v="13202"/>
    <n v="0.10844892812105927"/>
    <n v="0.11627906976744186"/>
    <n v="98.633720930232556"/>
    <n v="848.25"/>
    <n v="1.761499325096044"/>
    <n v="0.77819039198349538"/>
    <s v="CL343"/>
    <x v="2"/>
    <s v="Small"/>
    <n v="16965"/>
    <n v="3"/>
    <s v="Medium"/>
  </r>
  <r>
    <s v="C344"/>
    <d v="2024-04-01T01:41:12"/>
    <d v="2024-04-01T01:41:12"/>
    <s v="Ongoing"/>
    <n v="0"/>
    <n v="4295"/>
    <s v="Parents 30-40"/>
    <n v="14284"/>
    <n v="1016"/>
    <n v="259"/>
    <n v="1216"/>
    <n v="7.1128535424250905E-2"/>
    <n v="0.25492125984251968"/>
    <n v="11.890748031496063"/>
    <n v="46.644787644787648"/>
    <n v="2.8128055878928988"/>
    <n v="0.10065391937753497"/>
    <s v="CL344"/>
    <x v="4"/>
    <s v="Large"/>
    <n v="12081"/>
    <n v="2"/>
    <s v="Medium"/>
  </r>
  <r>
    <s v="C345"/>
    <d v="2023-07-20T04:43:30"/>
    <d v="2023-07-20T04:43:30"/>
    <s v="Ongoing"/>
    <n v="0"/>
    <n v="3996"/>
    <s v="Professionals 35-50"/>
    <n v="8557"/>
    <n v="342"/>
    <n v="453"/>
    <n v="13436"/>
    <n v="3.9967278251723734E-2"/>
    <n v="1.3245614035087718"/>
    <n v="9.0555555555555554"/>
    <n v="6.8366445916114786"/>
    <n v="0.77502502502502502"/>
    <n v="4.3383919922505649"/>
    <s v="CL345"/>
    <x v="3"/>
    <s v="Medium"/>
    <n v="3097"/>
    <n v="2"/>
    <s v="Medium"/>
  </r>
  <r>
    <s v="C346"/>
    <d v="2023-06-11T13:57:21"/>
    <d v="2024-09-27T04:30:03"/>
    <s v="Completed"/>
    <n v="473.60604166666599"/>
    <n v="6961"/>
    <s v="Professionals 35-50"/>
    <n v="14510"/>
    <n v="673"/>
    <n v="211"/>
    <n v="10461"/>
    <n v="4.6381805651274984E-2"/>
    <n v="0.31352154531946508"/>
    <n v="10.649331352154531"/>
    <n v="33.96682464454976"/>
    <n v="1.0295934492170664"/>
    <n v="1.4596065299288405"/>
    <s v="CL346"/>
    <x v="1"/>
    <s v="Medium"/>
    <n v="7167"/>
    <n v="2"/>
    <s v="Medium"/>
  </r>
  <r>
    <s v="C347"/>
    <d v="2024-02-26T07:13:54"/>
    <d v="2024-02-26T07:13:54"/>
    <s v="Ongoing"/>
    <n v="0"/>
    <n v="8715"/>
    <s v="Parents 30-40"/>
    <n v="3025"/>
    <n v="320"/>
    <n v="61"/>
    <n v="14867"/>
    <n v="0.10578512396694215"/>
    <n v="0.19062499999999999"/>
    <n v="12.706250000000001"/>
    <n v="66.655737704918039"/>
    <n v="0.46655192197360873"/>
    <n v="3.6564190850959175"/>
    <s v="CL347"/>
    <x v="2"/>
    <s v="Medium"/>
    <n v="4066"/>
    <n v="4"/>
    <s v="High"/>
  </r>
  <r>
    <s v="C348"/>
    <d v="2023-10-28T13:31:50"/>
    <d v="2024-05-04T11:06:13"/>
    <s v="Completed"/>
    <n v="188.89887731481576"/>
    <n v="9459"/>
    <s v="Youths 18-24"/>
    <n v="13421"/>
    <n v="1306"/>
    <n v="35"/>
    <n v="4645"/>
    <n v="9.7310185530139329E-2"/>
    <n v="2.679938744257274E-2"/>
    <n v="6.6508422664624804"/>
    <n v="248.17142857142858"/>
    <n v="0.91827888783169465"/>
    <n v="0.53476859313838365"/>
    <s v="CL348"/>
    <x v="0"/>
    <s v="Medium"/>
    <n v="8686"/>
    <n v="2"/>
    <s v="Medium"/>
  </r>
  <r>
    <s v="C349"/>
    <d v="2024-10-07T14:42:40"/>
    <d v="2024-10-07T14:42:40"/>
    <s v="Ongoing"/>
    <n v="0"/>
    <n v="9733"/>
    <s v="Youths 18-24"/>
    <n v="12471"/>
    <n v="1989"/>
    <n v="247"/>
    <n v="8915"/>
    <n v="0.15949001683906663"/>
    <n v="0.12418300653594772"/>
    <n v="0.66163901458019103"/>
    <n v="5.3279352226720649"/>
    <n v="0.13521010993527174"/>
    <n v="6.7743161094224922"/>
    <s v="CL349"/>
    <x v="4"/>
    <s v="Large"/>
    <n v="1316"/>
    <n v="4"/>
    <s v="High"/>
  </r>
  <r>
    <s v="C350"/>
    <d v="2023-01-06T11:48:55"/>
    <d v="2023-04-14T23:39:03"/>
    <s v="Completed"/>
    <n v="98.493148148147156"/>
    <n v="4607"/>
    <s v="Professionals 35-50"/>
    <n v="3277"/>
    <n v="850"/>
    <n v="371"/>
    <n v="8642"/>
    <n v="0.2593835825450107"/>
    <n v="0.43647058823529411"/>
    <n v="14.087058823529413"/>
    <n v="32.274932614555254"/>
    <n v="2.5990883438246146"/>
    <n v="0.72173041590111908"/>
    <s v="CL350"/>
    <x v="4"/>
    <s v="Medium"/>
    <n v="11974"/>
    <n v="3"/>
    <s v="Medium"/>
  </r>
  <r>
    <s v="C351"/>
    <d v="2023-09-13T05:28:37"/>
    <d v="2024-05-30T23:18:28"/>
    <s v="Completed"/>
    <n v="260.74295138889283"/>
    <n v="5476"/>
    <s v="Youths 18-24"/>
    <n v="3156"/>
    <n v="1066"/>
    <n v="452"/>
    <n v="6664"/>
    <n v="0.33776932826362482"/>
    <n v="0.42401500938086306"/>
    <n v="2.1744840525328328"/>
    <n v="5.1283185840707963"/>
    <n v="0.42330168005843682"/>
    <n v="2.8748921484037964"/>
    <s v="CL351"/>
    <x v="0"/>
    <s v="Large"/>
    <n v="2318"/>
    <n v="3"/>
    <s v="Medium"/>
  </r>
  <r>
    <s v="C352"/>
    <d v="2024-12-13T10:48:01"/>
    <d v="2024-12-13T10:48:01"/>
    <s v="Ongoing"/>
    <n v="0"/>
    <n v="8972"/>
    <s v="Professionals 35-50"/>
    <n v="1766"/>
    <n v="1308"/>
    <n v="47"/>
    <n v="14809"/>
    <n v="0.74065685164212913"/>
    <n v="3.5932721712538224E-2"/>
    <n v="3.6123853211009176"/>
    <n v="100.53191489361703"/>
    <n v="0.52663843067320548"/>
    <n v="3.1341798941798942"/>
    <s v="CL352"/>
    <x v="2"/>
    <s v="Small"/>
    <n v="4725"/>
    <n v="1"/>
    <s v="Low"/>
  </r>
  <r>
    <s v="C353"/>
    <d v="2024-04-01T23:04:57"/>
    <d v="2024-04-01T23:04:57"/>
    <s v="Ongoing"/>
    <n v="0"/>
    <n v="4397"/>
    <s v="Professionals 35-50"/>
    <n v="2938"/>
    <n v="1361"/>
    <n v="478"/>
    <n v="13769"/>
    <n v="0.46324029952348539"/>
    <n v="0.35121234386480527"/>
    <n v="14.646583394562821"/>
    <n v="41.702928870292887"/>
    <n v="4.5335455992722311"/>
    <n v="0.6907294070432427"/>
    <s v="CL353"/>
    <x v="1"/>
    <s v="Medium"/>
    <n v="19934"/>
    <n v="2"/>
    <s v="Medium"/>
  </r>
  <r>
    <s v="C354"/>
    <d v="2023-02-21T19:30:11"/>
    <d v="2024-02-24T19:58:34"/>
    <s v="Completed"/>
    <n v="368.01971064815007"/>
    <n v="2868"/>
    <s v="Parents 30-40"/>
    <n v="17432"/>
    <n v="362"/>
    <n v="474"/>
    <n v="13009"/>
    <n v="2.0766406608536025E-2"/>
    <n v="1.3093922651933703"/>
    <n v="42.179558011049721"/>
    <n v="32.213080168776372"/>
    <n v="5.3239191073919105"/>
    <n v="0.85198768747134712"/>
    <s v="CL354"/>
    <x v="4"/>
    <s v="Medium"/>
    <n v="15269"/>
    <n v="2"/>
    <s v="Medium"/>
  </r>
  <r>
    <s v="C355"/>
    <d v="2024-04-05T04:20:19"/>
    <d v="2024-04-05T04:20:19"/>
    <s v="Ongoing"/>
    <n v="0"/>
    <n v="8520"/>
    <s v="Youths 18-24"/>
    <n v="3357"/>
    <n v="1033"/>
    <n v="162"/>
    <n v="8855"/>
    <n v="0.3077152219243372"/>
    <n v="0.15682478218780252"/>
    <n v="3.7967086156824781"/>
    <n v="24.209876543209877"/>
    <n v="0.4603286384976526"/>
    <n v="2.2577766445690974"/>
    <s v="CL355"/>
    <x v="2"/>
    <s v="Small"/>
    <n v="3922"/>
    <n v="1"/>
    <s v="Low"/>
  </r>
  <r>
    <s v="C356"/>
    <d v="2024-07-08T04:57:31"/>
    <d v="2024-07-08T04:57:31"/>
    <s v="Ongoing"/>
    <n v="0"/>
    <n v="7380"/>
    <s v="Professionals 35-50"/>
    <n v="2002"/>
    <n v="166"/>
    <n v="414"/>
    <n v="5894"/>
    <n v="8.2917082917082913E-2"/>
    <n v="2.4939759036144578"/>
    <n v="73.560240963855421"/>
    <n v="29.495169082125603"/>
    <n v="1.6546070460704607"/>
    <n v="0.48267955122430595"/>
    <s v="CL356"/>
    <x v="0"/>
    <s v="Small"/>
    <n v="12211"/>
    <n v="3"/>
    <s v="Medium"/>
  </r>
  <r>
    <s v="C357"/>
    <d v="2024-05-20T13:00:23"/>
    <d v="2024-05-20T13:00:23"/>
    <s v="Ongoing"/>
    <n v="0"/>
    <n v="1510"/>
    <s v="Youths 18-24"/>
    <n v="4585"/>
    <n v="513"/>
    <n v="317"/>
    <n v="5384"/>
    <n v="0.111886586695747"/>
    <n v="0.61793372319688111"/>
    <n v="19.775828460038987"/>
    <n v="32.003154574132495"/>
    <n v="6.7185430463576159"/>
    <n v="0.53070478068013804"/>
    <s v="CL357"/>
    <x v="4"/>
    <s v="Medium"/>
    <n v="10145"/>
    <n v="2"/>
    <s v="Medium"/>
  </r>
  <r>
    <s v="C358"/>
    <d v="2023-12-05T00:03:46"/>
    <d v="2023-12-05T00:03:46"/>
    <s v="Ongoing"/>
    <n v="0"/>
    <n v="8560"/>
    <s v="Youths 18-24"/>
    <n v="14714"/>
    <n v="1646"/>
    <n v="238"/>
    <n v="598"/>
    <n v="0.11186624983009379"/>
    <n v="0.14459295261239369"/>
    <n v="1.1773997569866343"/>
    <n v="8.1428571428571423"/>
    <n v="0.2264018691588785"/>
    <n v="0.30856553147574817"/>
    <s v="CL358"/>
    <x v="4"/>
    <s v="Medium"/>
    <n v="1938"/>
    <n v="4"/>
    <s v="High"/>
  </r>
  <r>
    <s v="C359"/>
    <d v="2024-01-12T22:44:07"/>
    <d v="2024-09-23T07:13:47"/>
    <s v="Completed"/>
    <n v="254.35393518518686"/>
    <n v="6195"/>
    <s v="Parents 30-40"/>
    <n v="18227"/>
    <n v="1864"/>
    <n v="327"/>
    <n v="10378"/>
    <n v="0.10226586931475284"/>
    <n v="0.17542918454935622"/>
    <n v="0.89967811158798283"/>
    <n v="5.1284403669724767"/>
    <n v="0.27070217917675543"/>
    <n v="6.1884317233154444"/>
    <s v="CL359"/>
    <x v="2"/>
    <s v="Medium"/>
    <n v="1677"/>
    <n v="2"/>
    <s v="Medium"/>
  </r>
  <r>
    <s v="C360"/>
    <d v="2024-05-22T10:12:16"/>
    <d v="2024-05-22T10:12:16"/>
    <s v="Ongoing"/>
    <n v="0"/>
    <n v="2566"/>
    <s v="Youths 18-24"/>
    <n v="9669"/>
    <n v="743"/>
    <n v="45"/>
    <n v="10709"/>
    <n v="7.6843520529527351E-2"/>
    <n v="6.0565275908479141E-2"/>
    <n v="6.6137281292059216"/>
    <n v="109.2"/>
    <n v="1.9150428682774747"/>
    <n v="2.1792836792836794"/>
    <s v="CL360"/>
    <x v="2"/>
    <s v="Medium"/>
    <n v="4914"/>
    <n v="4"/>
    <s v="High"/>
  </r>
  <r>
    <s v="C361"/>
    <d v="2023-08-29T20:28:01"/>
    <d v="2023-08-29T20:28:01"/>
    <s v="Ongoing"/>
    <n v="0"/>
    <n v="4815"/>
    <s v="Youths 18-24"/>
    <n v="1903"/>
    <n v="166"/>
    <n v="53"/>
    <n v="13918"/>
    <n v="8.7230688386757751E-2"/>
    <n v="0.31927710843373491"/>
    <n v="59.120481927710841"/>
    <n v="185.16981132075472"/>
    <n v="2.0382139148494289"/>
    <n v="1.4181781128999389"/>
    <s v="CL361"/>
    <x v="1"/>
    <s v="Large"/>
    <n v="9814"/>
    <n v="3"/>
    <s v="Medium"/>
  </r>
  <r>
    <s v="C362"/>
    <d v="2024-02-09T11:23:20"/>
    <d v="2024-12-10T06:30:18"/>
    <s v="Completed"/>
    <n v="304.79650462963036"/>
    <n v="9021"/>
    <s v="Adults 25-34"/>
    <n v="6008"/>
    <n v="1889"/>
    <n v="221"/>
    <n v="3353"/>
    <n v="0.31441411451398138"/>
    <n v="0.1169931180518793"/>
    <n v="9.6013763896241393"/>
    <n v="82.067873303167417"/>
    <n v="2.0105309832612792"/>
    <n v="0.18487070629100733"/>
    <s v="CL362"/>
    <x v="1"/>
    <s v="Small"/>
    <n v="18137"/>
    <n v="3"/>
    <s v="Medium"/>
  </r>
  <r>
    <s v="C363"/>
    <d v="2023-02-03T18:40:52"/>
    <d v="2024-06-19T11:42:32"/>
    <s v="Completed"/>
    <n v="501.70949074074451"/>
    <n v="3286"/>
    <s v="Youths 18-24"/>
    <n v="10575"/>
    <n v="564"/>
    <n v="421"/>
    <n v="10294"/>
    <n v="5.3333333333333337E-2"/>
    <n v="0.74645390070921991"/>
    <n v="5.9007092198581557"/>
    <n v="7.9049881235154391"/>
    <n v="1.0127814972611078"/>
    <n v="3.0931490384615383"/>
    <s v="CL363"/>
    <x v="2"/>
    <s v="Large"/>
    <n v="3328"/>
    <n v="5"/>
    <s v="High"/>
  </r>
  <r>
    <s v="C364"/>
    <d v="2024-05-04T20:01:21"/>
    <d v="2024-05-04T20:01:21"/>
    <s v="Ongoing"/>
    <n v="0"/>
    <n v="7235"/>
    <s v="Parents 30-40"/>
    <n v="4868"/>
    <n v="238"/>
    <n v="361"/>
    <n v="11746"/>
    <n v="4.8890714872637631E-2"/>
    <n v="1.5168067226890756"/>
    <n v="15.844537815126051"/>
    <n v="10.445983379501385"/>
    <n v="0.52121630960608156"/>
    <n v="3.1148236542031293"/>
    <s v="CL364"/>
    <x v="2"/>
    <s v="Large"/>
    <n v="3771"/>
    <n v="5"/>
    <s v="High"/>
  </r>
  <r>
    <s v="C365"/>
    <d v="2023-06-14T03:05:55"/>
    <d v="2023-08-02T03:14:15"/>
    <s v="Completed"/>
    <n v="49.005787037036498"/>
    <n v="1565"/>
    <s v="Adults 25-34"/>
    <n v="9947"/>
    <n v="410"/>
    <n v="295"/>
    <n v="13019"/>
    <n v="4.1218457826480343E-2"/>
    <n v="0.71951219512195119"/>
    <n v="20.08048780487805"/>
    <n v="27.908474576271185"/>
    <n v="5.2607028753993612"/>
    <n v="1.5813190817442002"/>
    <s v="CL365"/>
    <x v="1"/>
    <s v="Large"/>
    <n v="8233"/>
    <n v="1"/>
    <s v="Low"/>
  </r>
  <r>
    <s v="C366"/>
    <d v="2023-01-05T21:46:08"/>
    <d v="2023-02-04T06:08:28"/>
    <s v="Completed"/>
    <n v="29.34884259258979"/>
    <n v="9976"/>
    <s v="Parents 30-40"/>
    <n v="6521"/>
    <n v="797"/>
    <n v="151"/>
    <n v="1268"/>
    <n v="0.12222051832541021"/>
    <n v="0.18946047678795483"/>
    <n v="17.601003764115433"/>
    <n v="92.900662251655632"/>
    <n v="1.4061748195669608"/>
    <n v="9.0390647276874819E-2"/>
    <s v="CL366"/>
    <x v="2"/>
    <s v="Large"/>
    <n v="14028"/>
    <n v="2"/>
    <s v="Medium"/>
  </r>
  <r>
    <s v="C367"/>
    <d v="2023-04-30T05:02:32"/>
    <d v="2023-06-07T16:36:08"/>
    <s v="Completed"/>
    <n v="38.48166666666657"/>
    <n v="3929"/>
    <s v="Parents 30-40"/>
    <n v="10503"/>
    <n v="1336"/>
    <n v="402"/>
    <n v="1408"/>
    <n v="0.12720175188041513"/>
    <n v="0.30089820359281438"/>
    <n v="12.56062874251497"/>
    <n v="41.743781094527364"/>
    <n v="4.2710613387630438"/>
    <n v="8.3904415708241462E-2"/>
    <s v="CL367"/>
    <x v="4"/>
    <s v="Medium"/>
    <n v="16781"/>
    <n v="5"/>
    <s v="High"/>
  </r>
  <r>
    <s v="C368"/>
    <d v="2024-01-17T05:24:23"/>
    <d v="2024-07-11T08:29:35"/>
    <s v="Completed"/>
    <n v="176.12861111111124"/>
    <n v="5190"/>
    <s v="Adults 25-34"/>
    <n v="7637"/>
    <n v="593"/>
    <n v="125"/>
    <n v="8739"/>
    <n v="7.7648291213827422E-2"/>
    <n v="0.21079258010118043"/>
    <n v="20.300168634064082"/>
    <n v="96.304000000000002"/>
    <n v="2.3194605009633911"/>
    <n v="0.72595115467685667"/>
    <s v="CL368"/>
    <x v="2"/>
    <s v="Small"/>
    <n v="12038"/>
    <n v="2"/>
    <s v="Medium"/>
  </r>
  <r>
    <s v="C369"/>
    <d v="2024-08-27T03:50:31"/>
    <d v="2024-08-27T03:50:31"/>
    <s v="Ongoing"/>
    <n v="0"/>
    <n v="6241"/>
    <s v="Youths 18-24"/>
    <n v="16375"/>
    <n v="730"/>
    <n v="495"/>
    <n v="10107"/>
    <n v="4.4580152671755725E-2"/>
    <n v="0.67808219178082196"/>
    <n v="8.1753424657534239"/>
    <n v="12.056565656565656"/>
    <n v="0.95625701009453612"/>
    <n v="1.6935321715817695"/>
    <s v="CL369"/>
    <x v="0"/>
    <s v="Medium"/>
    <n v="5968"/>
    <n v="3"/>
    <s v="Medium"/>
  </r>
  <r>
    <s v="C370"/>
    <d v="2024-12-13T03:15:57"/>
    <d v="2024-12-13T03:15:57"/>
    <s v="Ongoing"/>
    <n v="0"/>
    <n v="9095"/>
    <s v="Parents 30-40"/>
    <n v="7439"/>
    <n v="1497"/>
    <n v="382"/>
    <n v="8071"/>
    <n v="0.20123672536631268"/>
    <n v="0.25517702070808285"/>
    <n v="6.110220440881764"/>
    <n v="23.945026178010473"/>
    <n v="1.0057174271577789"/>
    <n v="0.8823658029955177"/>
    <s v="CL370"/>
    <x v="1"/>
    <s v="Large"/>
    <n v="9147"/>
    <n v="4"/>
    <s v="High"/>
  </r>
  <r>
    <s v="C371"/>
    <d v="2024-06-03T08:08:31"/>
    <d v="2024-06-03T08:08:31"/>
    <s v="Ongoing"/>
    <n v="0"/>
    <n v="5490"/>
    <s v="Adults 25-34"/>
    <n v="9452"/>
    <n v="255"/>
    <n v="88"/>
    <n v="10451"/>
    <n v="2.6978417266187049E-2"/>
    <n v="0.34509803921568627"/>
    <n v="50.705882352941174"/>
    <n v="146.93181818181819"/>
    <n v="2.3551912568306013"/>
    <n v="0.80827532869296215"/>
    <s v="CL371"/>
    <x v="3"/>
    <s v="Medium"/>
    <n v="12930"/>
    <n v="3"/>
    <s v="Medium"/>
  </r>
  <r>
    <s v="C372"/>
    <d v="2024-11-28T20:58:04"/>
    <d v="2024-11-28T20:58:04"/>
    <s v="Ongoing"/>
    <n v="0"/>
    <n v="5399"/>
    <s v="Adults 25-34"/>
    <n v="16607"/>
    <n v="250"/>
    <n v="206"/>
    <n v="9934"/>
    <n v="1.5053892936713434E-2"/>
    <n v="0.82399999999999995"/>
    <n v="41.204000000000001"/>
    <n v="50.004854368932037"/>
    <n v="1.9079459159103538"/>
    <n v="0.96437239102999706"/>
    <s v="CL372"/>
    <x v="4"/>
    <s v="Small"/>
    <n v="10301"/>
    <n v="1"/>
    <s v="Low"/>
  </r>
  <r>
    <s v="C373"/>
    <d v="2024-06-05T19:55:08"/>
    <d v="2024-08-04T16:09:30"/>
    <s v="Completed"/>
    <n v="59.843310185184237"/>
    <n v="4498"/>
    <s v="Youths 18-24"/>
    <n v="7582"/>
    <n v="1318"/>
    <n v="394"/>
    <n v="10845"/>
    <n v="0.17383276180427329"/>
    <n v="0.29893778452200304"/>
    <n v="13.574355083459787"/>
    <n v="45.408629441624363"/>
    <n v="3.9775455758114719"/>
    <n v="0.60617070035213239"/>
    <s v="CL373"/>
    <x v="3"/>
    <s v="Small"/>
    <n v="17891"/>
    <n v="1"/>
    <s v="Low"/>
  </r>
  <r>
    <s v="C374"/>
    <d v="2023-10-07T02:12:07"/>
    <d v="2023-10-07T02:12:07"/>
    <s v="Ongoing"/>
    <n v="0"/>
    <n v="4162"/>
    <s v="Parents 30-40"/>
    <n v="14537"/>
    <n v="821"/>
    <n v="131"/>
    <n v="5747"/>
    <n v="5.6476577010387288E-2"/>
    <n v="0.15956151035322777"/>
    <n v="11.191230207064555"/>
    <n v="70.137404580152676"/>
    <n v="2.2075925036040367"/>
    <n v="0.6254897692642577"/>
    <s v="CL374"/>
    <x v="1"/>
    <s v="Large"/>
    <n v="9188"/>
    <n v="4"/>
    <s v="High"/>
  </r>
  <r>
    <s v="C375"/>
    <d v="2023-05-12T00:39:43"/>
    <d v="2023-05-12T00:39:43"/>
    <s v="Ongoing"/>
    <n v="0"/>
    <n v="5095"/>
    <s v="Youths 18-24"/>
    <n v="14914"/>
    <n v="1062"/>
    <n v="481"/>
    <n v="1336"/>
    <n v="7.120826069464932E-2"/>
    <n v="0.45291902071563089"/>
    <n v="12.891713747645952"/>
    <n v="28.463617463617464"/>
    <n v="2.687144259077527"/>
    <n v="9.7582353370827546E-2"/>
    <s v="CL375"/>
    <x v="1"/>
    <s v="Medium"/>
    <n v="13691"/>
    <n v="3"/>
    <s v="Medium"/>
  </r>
  <r>
    <s v="C376"/>
    <d v="2024-11-07T08:47:03"/>
    <d v="2024-11-07T08:47:03"/>
    <s v="Ongoing"/>
    <n v="0"/>
    <n v="3261"/>
    <s v="Parents 30-40"/>
    <n v="6505"/>
    <n v="1979"/>
    <n v="305"/>
    <n v="14852"/>
    <n v="0.30422751729438891"/>
    <n v="0.15411824153612935"/>
    <n v="7.7099545224861039"/>
    <n v="50.026229508196721"/>
    <n v="4.6789328426862928"/>
    <n v="0.97339100799580547"/>
    <s v="CL376"/>
    <x v="0"/>
    <s v="Medium"/>
    <n v="15258"/>
    <n v="3"/>
    <s v="Medium"/>
  </r>
  <r>
    <s v="C377"/>
    <d v="2024-12-30T03:50:58"/>
    <d v="2024-12-30T03:50:58"/>
    <s v="Ongoing"/>
    <n v="0"/>
    <n v="4344"/>
    <s v="Youths 18-24"/>
    <n v="7383"/>
    <n v="1189"/>
    <n v="216"/>
    <n v="4369"/>
    <n v="0.16104564540159827"/>
    <n v="0.18166526492851134"/>
    <n v="5.2153069806560133"/>
    <n v="28.708333333333332"/>
    <n v="1.4274861878453038"/>
    <n v="0.70456378003547815"/>
    <s v="CL377"/>
    <x v="0"/>
    <s v="Medium"/>
    <n v="6201"/>
    <n v="5"/>
    <s v="High"/>
  </r>
  <r>
    <s v="C378"/>
    <d v="2023-11-24T07:42:00"/>
    <d v="2023-11-24T07:42:00"/>
    <s v="Ongoing"/>
    <n v="0"/>
    <n v="1017"/>
    <s v="Adults 25-34"/>
    <n v="17171"/>
    <n v="1836"/>
    <n v="366"/>
    <n v="9876"/>
    <n v="0.10692446566886028"/>
    <n v="0.19934640522875818"/>
    <n v="8.5675381263616561"/>
    <n v="42.978142076502735"/>
    <n v="15.467059980334316"/>
    <n v="0.62784488239033698"/>
    <s v="CL378"/>
    <x v="1"/>
    <s v="Small"/>
    <n v="15730"/>
    <n v="1"/>
    <s v="Low"/>
  </r>
  <r>
    <s v="C379"/>
    <d v="2023-07-15T01:34:54"/>
    <d v="2023-09-12T22:37:10"/>
    <s v="Completed"/>
    <n v="59.876574074070959"/>
    <n v="1634"/>
    <s v="Parents 30-40"/>
    <n v="1209"/>
    <n v="450"/>
    <n v="79"/>
    <n v="13389"/>
    <n v="0.37220843672456577"/>
    <n v="0.17555555555555555"/>
    <n v="33.737777777777779"/>
    <n v="192.17721518987341"/>
    <n v="9.2913096695226436"/>
    <n v="0.88189961796864713"/>
    <s v="CL379"/>
    <x v="1"/>
    <s v="Small"/>
    <n v="15182"/>
    <n v="2"/>
    <s v="Medium"/>
  </r>
  <r>
    <s v="C380"/>
    <d v="2024-04-12T18:02:01"/>
    <d v="2024-04-12T18:02:01"/>
    <s v="Ongoing"/>
    <n v="0"/>
    <n v="7558"/>
    <s v="Parents 30-40"/>
    <n v="7491"/>
    <n v="1031"/>
    <n v="182"/>
    <n v="11937"/>
    <n v="0.13763182485649447"/>
    <n v="0.17652764306498545"/>
    <n v="4.0882638215324931"/>
    <n v="23.159340659340661"/>
    <n v="0.55768721884096317"/>
    <n v="2.8320284697508895"/>
    <s v="CL380"/>
    <x v="1"/>
    <s v="Medium"/>
    <n v="4215"/>
    <n v="1"/>
    <s v="Low"/>
  </r>
  <r>
    <s v="C381"/>
    <d v="2023-10-29T09:27:57"/>
    <d v="2023-10-29T09:27:57"/>
    <s v="Ongoing"/>
    <n v="0"/>
    <n v="8916"/>
    <s v="Adults 25-34"/>
    <n v="13679"/>
    <n v="1546"/>
    <n v="396"/>
    <n v="1575"/>
    <n v="0.1130199575992397"/>
    <n v="0.25614489003880986"/>
    <n v="4.3130659767141006"/>
    <n v="16.838383838383837"/>
    <n v="0.74786899955136832"/>
    <n v="0.23620275944811037"/>
    <s v="CL381"/>
    <x v="1"/>
    <s v="Large"/>
    <n v="6668"/>
    <n v="2"/>
    <s v="Medium"/>
  </r>
  <r>
    <s v="C382"/>
    <d v="2024-02-29T05:19:38"/>
    <d v="2024-02-29T05:19:38"/>
    <s v="Ongoing"/>
    <n v="0"/>
    <n v="3118"/>
    <s v="Parents 30-40"/>
    <n v="19648"/>
    <n v="689"/>
    <n v="96"/>
    <n v="891"/>
    <n v="3.5067182410423454E-2"/>
    <n v="0.13933236574746008"/>
    <n v="2.2278664731494922"/>
    <n v="15.989583333333334"/>
    <n v="0.49230275817831942"/>
    <n v="0.58045602605863189"/>
    <s v="CL382"/>
    <x v="4"/>
    <s v="Medium"/>
    <n v="1535"/>
    <n v="4"/>
    <s v="High"/>
  </r>
  <r>
    <s v="C383"/>
    <d v="2023-05-05T18:31:16"/>
    <d v="2023-06-24T18:45:45"/>
    <s v="Completed"/>
    <n v="50.010057870371384"/>
    <n v="4056"/>
    <s v="Adults 25-34"/>
    <n v="16216"/>
    <n v="414"/>
    <n v="349"/>
    <n v="2271"/>
    <n v="2.5530340404538727E-2"/>
    <n v="0.84299516908212557"/>
    <n v="35.937198067632849"/>
    <n v="42.630372492836678"/>
    <n v="3.668145956607495"/>
    <n v="0.15264148407043956"/>
    <s v="CL383"/>
    <x v="2"/>
    <s v="Small"/>
    <n v="14878"/>
    <n v="1"/>
    <s v="Low"/>
  </r>
  <r>
    <s v="C384"/>
    <d v="2024-12-03T01:17:06"/>
    <d v="2024-12-03T01:17:06"/>
    <s v="Ongoing"/>
    <n v="0"/>
    <n v="8601"/>
    <s v="Professionals 35-50"/>
    <n v="16515"/>
    <n v="1495"/>
    <n v="493"/>
    <n v="13041"/>
    <n v="9.0523766273085074E-2"/>
    <n v="0.32976588628762543"/>
    <n v="2.3605351170568563"/>
    <n v="7.1582150101419879"/>
    <n v="0.41030112777583999"/>
    <n v="3.6953811277982433"/>
    <s v="CL384"/>
    <x v="3"/>
    <s v="Small"/>
    <n v="3529"/>
    <n v="5"/>
    <s v="High"/>
  </r>
  <r>
    <s v="C385"/>
    <d v="2024-02-04T21:38:37"/>
    <d v="2024-02-04T21:38:37"/>
    <s v="Ongoing"/>
    <n v="0"/>
    <n v="3550"/>
    <s v="Youths 18-24"/>
    <n v="10253"/>
    <n v="443"/>
    <n v="120"/>
    <n v="1930"/>
    <n v="4.320686628303911E-2"/>
    <n v="0.27088036117381492"/>
    <n v="29.042889390519186"/>
    <n v="107.21666666666667"/>
    <n v="3.6242253521126759"/>
    <n v="0.15000777242344163"/>
    <s v="CL385"/>
    <x v="0"/>
    <s v="Small"/>
    <n v="12866"/>
    <n v="3"/>
    <s v="Medium"/>
  </r>
  <r>
    <s v="C386"/>
    <d v="2023-01-29T22:41:35"/>
    <d v="2024-03-21T09:35:37"/>
    <s v="Completed"/>
    <n v="416.45418981480907"/>
    <n v="4913"/>
    <s v="Professionals 35-50"/>
    <n v="5205"/>
    <n v="1922"/>
    <n v="261"/>
    <n v="863"/>
    <n v="0.3692603266090298"/>
    <n v="0.13579604578563995"/>
    <n v="4.8621227887617069"/>
    <n v="35.804597701149426"/>
    <n v="1.9020964787299002"/>
    <n v="9.2348849652220441E-2"/>
    <s v="CL386"/>
    <x v="3"/>
    <s v="Large"/>
    <n v="9345"/>
    <n v="1"/>
    <s v="Low"/>
  </r>
  <r>
    <s v="C387"/>
    <d v="2023-07-29T03:36:56"/>
    <d v="2023-07-29T03:36:56"/>
    <s v="Ongoing"/>
    <n v="0"/>
    <n v="3861"/>
    <s v="Adults 25-34"/>
    <n v="4229"/>
    <n v="226"/>
    <n v="255"/>
    <n v="12977"/>
    <n v="5.3440529676046344E-2"/>
    <n v="1.1283185840707965"/>
    <n v="55.818584070796462"/>
    <n v="49.470588235294116"/>
    <n v="3.2672882672882673"/>
    <n v="1.0286959968291716"/>
    <s v="CL387"/>
    <x v="1"/>
    <s v="Medium"/>
    <n v="12615"/>
    <n v="3"/>
    <s v="Medium"/>
  </r>
  <r>
    <s v="C388"/>
    <d v="2023-07-13T10:06:00"/>
    <d v="2023-12-24T18:19:13"/>
    <s v="Completed"/>
    <n v="164.34251157407562"/>
    <n v="8002"/>
    <s v="Adults 25-34"/>
    <n v="8337"/>
    <n v="1143"/>
    <n v="383"/>
    <n v="12814"/>
    <n v="0.1370996761424973"/>
    <n v="0.33508311461067369"/>
    <n v="3.3595800524934383"/>
    <n v="10.026109660574413"/>
    <n v="0.4798800299925019"/>
    <n v="3.3369791666666666"/>
    <s v="CL388"/>
    <x v="0"/>
    <s v="Small"/>
    <n v="3840"/>
    <n v="5"/>
    <s v="High"/>
  </r>
  <r>
    <s v="C389"/>
    <d v="2023-03-16T15:42:24"/>
    <d v="2023-05-08T01:47:13"/>
    <s v="Completed"/>
    <n v="52.420011574075033"/>
    <n v="9069"/>
    <s v="Parents 30-40"/>
    <n v="14103"/>
    <n v="1274"/>
    <n v="345"/>
    <n v="5596"/>
    <n v="9.0335389633411325E-2"/>
    <n v="0.27080062794348508"/>
    <n v="5.2558869701726847"/>
    <n v="19.408695652173915"/>
    <n v="0.73833939794905723"/>
    <n v="0.83572281959378736"/>
    <s v="CL389"/>
    <x v="3"/>
    <s v="Medium"/>
    <n v="6696"/>
    <n v="5"/>
    <s v="High"/>
  </r>
  <r>
    <s v="C390"/>
    <d v="2024-10-28T02:13:51"/>
    <d v="2024-10-28T02:13:51"/>
    <s v="Ongoing"/>
    <n v="0"/>
    <n v="2166"/>
    <s v="Youths 18-24"/>
    <n v="7121"/>
    <n v="1300"/>
    <n v="137"/>
    <n v="13691"/>
    <n v="0.1825586294059823"/>
    <n v="0.10538461538461538"/>
    <n v="1.0592307692307692"/>
    <n v="10.051094890510949"/>
    <n v="0.6357340720221607"/>
    <n v="9.9426289034132171"/>
    <s v="CL390"/>
    <x v="1"/>
    <s v="Small"/>
    <n v="1377"/>
    <n v="5"/>
    <s v="High"/>
  </r>
  <r>
    <s v="C391"/>
    <d v="2023-07-21T18:08:41"/>
    <d v="2023-07-21T18:08:41"/>
    <s v="Ongoing"/>
    <n v="0"/>
    <n v="1691"/>
    <s v="Parents 30-40"/>
    <n v="18582"/>
    <n v="1560"/>
    <n v="168"/>
    <n v="534"/>
    <n v="8.3952211817888284E-2"/>
    <n v="0.1076923076923077"/>
    <n v="4.1141025641025637"/>
    <n v="38.202380952380949"/>
    <n v="3.7953873447664104"/>
    <n v="8.3203490183857906E-2"/>
    <s v="CL391"/>
    <x v="3"/>
    <s v="Medium"/>
    <n v="6418"/>
    <n v="1"/>
    <s v="Low"/>
  </r>
  <r>
    <s v="C392"/>
    <d v="2023-08-26T02:14:50"/>
    <d v="2023-08-26T02:14:50"/>
    <s v="Ongoing"/>
    <n v="0"/>
    <n v="4990"/>
    <s v="Professionals 35-50"/>
    <n v="17792"/>
    <n v="1967"/>
    <n v="261"/>
    <n v="7750"/>
    <n v="0.11055530575539568"/>
    <n v="0.13268937468225725"/>
    <n v="8.7173360447381807"/>
    <n v="65.69731800766283"/>
    <n v="3.4362725450901803"/>
    <n v="0.45197410625765438"/>
    <s v="CL392"/>
    <x v="3"/>
    <s v="Medium"/>
    <n v="17147"/>
    <n v="2"/>
    <s v="Medium"/>
  </r>
  <r>
    <s v="C393"/>
    <d v="2024-07-27T12:24:27"/>
    <d v="2024-07-27T12:24:27"/>
    <s v="Ongoing"/>
    <n v="0"/>
    <n v="1196"/>
    <s v="Professionals 35-50"/>
    <n v="2329"/>
    <n v="268"/>
    <n v="69"/>
    <n v="4792"/>
    <n v="0.11507084585659082"/>
    <n v="0.2574626865671642"/>
    <n v="16.134328358208954"/>
    <n v="62.666666666666664"/>
    <n v="3.6153846153846154"/>
    <n v="1.1082331174838114"/>
    <s v="CL393"/>
    <x v="1"/>
    <s v="Medium"/>
    <n v="4324"/>
    <n v="5"/>
    <s v="High"/>
  </r>
  <r>
    <s v="C394"/>
    <d v="2023-11-17T13:25:32"/>
    <d v="2023-11-17T13:25:32"/>
    <s v="Ongoing"/>
    <n v="0"/>
    <n v="3077"/>
    <s v="Youths 18-24"/>
    <n v="14375"/>
    <n v="1427"/>
    <n v="469"/>
    <n v="5465"/>
    <n v="9.9269565217391303E-2"/>
    <n v="0.32866152768044848"/>
    <n v="6.8605466012613876"/>
    <n v="20.874200426439231"/>
    <n v="3.181670458238544"/>
    <n v="0.55822267620020427"/>
    <s v="CL394"/>
    <x v="3"/>
    <s v="Small"/>
    <n v="9790"/>
    <n v="5"/>
    <s v="High"/>
  </r>
  <r>
    <s v="C395"/>
    <d v="2024-09-19T23:56:59"/>
    <d v="2024-10-08T02:27:07"/>
    <s v="Completed"/>
    <n v="18.104259259263927"/>
    <n v="2867"/>
    <s v="Professionals 35-50"/>
    <n v="3783"/>
    <n v="1856"/>
    <n v="413"/>
    <n v="12037"/>
    <n v="0.49061591329632565"/>
    <n v="0.22252155172413793"/>
    <n v="9.5678879310344822"/>
    <n v="42.997578692493946"/>
    <n v="6.1939309382629926"/>
    <n v="0.67783534181777227"/>
    <s v="CL395"/>
    <x v="0"/>
    <s v="Large"/>
    <n v="17758"/>
    <n v="5"/>
    <s v="High"/>
  </r>
  <r>
    <s v="C396"/>
    <d v="2024-04-15T11:36:51"/>
    <d v="2024-04-15T11:36:51"/>
    <s v="Ongoing"/>
    <n v="0"/>
    <n v="7300"/>
    <s v="Professionals 35-50"/>
    <n v="6056"/>
    <n v="1513"/>
    <n v="399"/>
    <n v="4155"/>
    <n v="0.24983487450462352"/>
    <n v="0.26371447455386648"/>
    <n v="3.6378056840713815"/>
    <n v="13.794486215538846"/>
    <n v="0.75397260273972599"/>
    <n v="0.75490552325581395"/>
    <s v="CL396"/>
    <x v="4"/>
    <s v="Medium"/>
    <n v="5504"/>
    <n v="4"/>
    <s v="High"/>
  </r>
  <r>
    <s v="C397"/>
    <d v="2023-12-19T02:12:58"/>
    <d v="2023-12-19T02:12:58"/>
    <s v="Ongoing"/>
    <n v="0"/>
    <n v="8882"/>
    <s v="Adults 25-34"/>
    <n v="4404"/>
    <n v="796"/>
    <n v="337"/>
    <n v="1056"/>
    <n v="0.18074477747502271"/>
    <n v="0.42336683417085424"/>
    <n v="18.002512562814072"/>
    <n v="42.52225519287834"/>
    <n v="1.6133753659085792"/>
    <n v="7.369155617585485E-2"/>
    <s v="CL397"/>
    <x v="4"/>
    <s v="Large"/>
    <n v="14330"/>
    <n v="1"/>
    <s v="Low"/>
  </r>
  <r>
    <s v="C398"/>
    <d v="2023-08-23T17:22:02"/>
    <d v="2023-08-23T17:22:02"/>
    <s v="Ongoing"/>
    <n v="0"/>
    <n v="1927"/>
    <s v="Professionals 35-50"/>
    <n v="7775"/>
    <n v="469"/>
    <n v="58"/>
    <n v="10080"/>
    <n v="6.0321543408360129E-2"/>
    <n v="0.12366737739872068"/>
    <n v="28.882729211087419"/>
    <n v="233.55172413793105"/>
    <n v="7.0295796574987026"/>
    <n v="0.74413110881441014"/>
    <s v="CL398"/>
    <x v="1"/>
    <s v="Medium"/>
    <n v="13546"/>
    <n v="4"/>
    <s v="High"/>
  </r>
  <r>
    <s v="C399"/>
    <d v="2024-07-28T16:58:38"/>
    <d v="2024-07-28T16:58:38"/>
    <s v="Ongoing"/>
    <n v="0"/>
    <n v="3404"/>
    <s v="Adults 25-34"/>
    <n v="11748"/>
    <n v="1017"/>
    <n v="267"/>
    <n v="10034"/>
    <n v="8.6567926455566907E-2"/>
    <n v="0.26253687315634217"/>
    <n v="19.661750245821043"/>
    <n v="74.891385767790268"/>
    <n v="5.8742655699177435"/>
    <n v="0.50180036007201445"/>
    <s v="CL399"/>
    <x v="3"/>
    <s v="Medium"/>
    <n v="19996"/>
    <n v="3"/>
    <s v="Medium"/>
  </r>
  <r>
    <s v="C400"/>
    <d v="2024-07-02T06:37:05"/>
    <d v="2024-07-02T06:37:05"/>
    <s v="Ongoing"/>
    <n v="0"/>
    <n v="2759"/>
    <s v="Adults 25-34"/>
    <n v="5464"/>
    <n v="1929"/>
    <n v="258"/>
    <n v="4870"/>
    <n v="0.35303806734992682"/>
    <n v="0.13374805598755832"/>
    <n v="2.2306894764126493"/>
    <n v="16.678294573643409"/>
    <n v="1.5596230518303733"/>
    <n v="1.1317685335812224"/>
    <s v="CL400"/>
    <x v="3"/>
    <s v="Large"/>
    <n v="4303"/>
    <n v="5"/>
    <s v="High"/>
  </r>
  <r>
    <s v="C401"/>
    <d v="2023-09-07T00:25:33"/>
    <d v="2023-11-05T08:16:33"/>
    <s v="Completed"/>
    <n v="59.327083333329938"/>
    <n v="6840"/>
    <s v="Professionals 35-50"/>
    <n v="17853"/>
    <n v="433"/>
    <n v="87"/>
    <n v="6891"/>
    <n v="2.425362684142721E-2"/>
    <n v="0.20092378752886836"/>
    <n v="1.7598152424942264"/>
    <n v="8.7586206896551726"/>
    <n v="0.11140350877192982"/>
    <n v="9.043307086614174"/>
    <s v="CL401"/>
    <x v="2"/>
    <s v="Small"/>
    <n v="762"/>
    <n v="2"/>
    <s v="Medium"/>
  </r>
  <r>
    <s v="C402"/>
    <d v="2024-04-20T20:03:48"/>
    <d v="2024-12-12T03:38:28"/>
    <s v="Completed"/>
    <n v="235.3157407407416"/>
    <n v="1191"/>
    <s v="Youths 18-24"/>
    <n v="17041"/>
    <n v="134"/>
    <n v="407"/>
    <n v="10599"/>
    <n v="7.8633882988087562E-3"/>
    <n v="3.0373134328358211"/>
    <n v="60.559701492537314"/>
    <n v="19.938574938574938"/>
    <n v="6.8136020151133501"/>
    <n v="1.3060998151571164"/>
    <s v="CL402"/>
    <x v="3"/>
    <s v="Medium"/>
    <n v="8115"/>
    <n v="3"/>
    <s v="Medium"/>
  </r>
  <r>
    <s v="C403"/>
    <d v="2023-11-15T11:03:53"/>
    <d v="2023-11-15T11:03:53"/>
    <s v="Ongoing"/>
    <n v="0"/>
    <n v="5948"/>
    <s v="Parents 30-40"/>
    <n v="13974"/>
    <n v="1091"/>
    <n v="292"/>
    <n v="11148"/>
    <n v="7.807356519250036E-2"/>
    <n v="0.26764436296975253"/>
    <n v="7.3363886342804765"/>
    <n v="27.410958904109588"/>
    <n v="1.3456624075319434"/>
    <n v="1.3928035982008995"/>
    <s v="CL403"/>
    <x v="0"/>
    <s v="Small"/>
    <n v="8004"/>
    <n v="4"/>
    <s v="High"/>
  </r>
  <r>
    <s v="C404"/>
    <d v="2024-04-05T23:59:39"/>
    <d v="2024-09-18T08:25:49"/>
    <s v="Completed"/>
    <n v="165.35150462963065"/>
    <n v="4607"/>
    <s v="Youths 18-24"/>
    <n v="15724"/>
    <n v="1338"/>
    <n v="32"/>
    <n v="1319"/>
    <n v="8.5092851691681501E-2"/>
    <n v="2.391629297458894E-2"/>
    <n v="7.6420029895366222"/>
    <n v="319.53125"/>
    <n v="2.2194486650748861"/>
    <n v="0.12899755501222493"/>
    <s v="CL404"/>
    <x v="4"/>
    <s v="Small"/>
    <n v="10225"/>
    <n v="1"/>
    <s v="Low"/>
  </r>
  <r>
    <s v="C405"/>
    <d v="2023-09-11T14:37:11"/>
    <d v="2023-09-11T14:37:11"/>
    <s v="Ongoing"/>
    <n v="0"/>
    <n v="4102"/>
    <s v="Parents 30-40"/>
    <n v="7332"/>
    <n v="576"/>
    <n v="117"/>
    <n v="12765"/>
    <n v="7.855973813420622E-2"/>
    <n v="0.203125"/>
    <n v="23.901041666666668"/>
    <n v="117.66666666666667"/>
    <n v="3.3561677230619211"/>
    <n v="0.92721725866201787"/>
    <s v="CL405"/>
    <x v="0"/>
    <s v="Medium"/>
    <n v="13767"/>
    <n v="2"/>
    <s v="Medium"/>
  </r>
  <r>
    <s v="C406"/>
    <d v="2023-12-11T05:53:28"/>
    <d v="2023-12-11T05:53:28"/>
    <s v="Ongoing"/>
    <n v="0"/>
    <n v="6450"/>
    <s v="Adults 25-34"/>
    <n v="15723"/>
    <n v="247"/>
    <n v="481"/>
    <n v="14396"/>
    <n v="1.5709470202887491E-2"/>
    <n v="1.9473684210526316"/>
    <n v="50.890688259109311"/>
    <n v="26.133056133056133"/>
    <n v="1.9488372093023256"/>
    <n v="1.1452665075576771"/>
    <s v="CL406"/>
    <x v="0"/>
    <s v="Medium"/>
    <n v="12570"/>
    <n v="4"/>
    <s v="High"/>
  </r>
  <r>
    <s v="C407"/>
    <d v="2024-03-17T00:58:44"/>
    <d v="2024-03-17T00:58:44"/>
    <s v="Ongoing"/>
    <n v="0"/>
    <n v="7845"/>
    <s v="Youths 18-24"/>
    <n v="19020"/>
    <n v="1327"/>
    <n v="236"/>
    <n v="5248"/>
    <n v="6.9768664563617244E-2"/>
    <n v="0.17784476262245666"/>
    <n v="12.968349660889224"/>
    <n v="72.919491525423723"/>
    <n v="2.1936265137029953"/>
    <n v="0.3049567086989366"/>
    <s v="CL407"/>
    <x v="0"/>
    <s v="Small"/>
    <n v="17209"/>
    <n v="1"/>
    <s v="Low"/>
  </r>
  <r>
    <s v="C408"/>
    <d v="2024-10-24T23:57:27"/>
    <d v="2024-10-24T23:57:27"/>
    <s v="Ongoing"/>
    <n v="0"/>
    <n v="1916"/>
    <s v="Adults 25-34"/>
    <n v="8882"/>
    <n v="949"/>
    <n v="230"/>
    <n v="6242"/>
    <n v="0.10684530511146138"/>
    <n v="0.24236037934668073"/>
    <n v="5.2297154899894629"/>
    <n v="21.578260869565216"/>
    <n v="2.5902922755741127"/>
    <n v="1.2577070320370745"/>
    <s v="CL408"/>
    <x v="3"/>
    <s v="Small"/>
    <n v="4963"/>
    <n v="1"/>
    <s v="Low"/>
  </r>
  <r>
    <s v="C409"/>
    <d v="2024-01-13T05:25:23"/>
    <d v="2024-10-20T16:34:34"/>
    <s v="Completed"/>
    <n v="281.46471064814978"/>
    <n v="3824"/>
    <s v="Adults 25-34"/>
    <n v="19696"/>
    <n v="1245"/>
    <n v="468"/>
    <n v="4470"/>
    <n v="6.3210804224207967E-2"/>
    <n v="0.37590361445783133"/>
    <n v="13.327710843373493"/>
    <n v="35.455128205128204"/>
    <n v="4.3391736401673642"/>
    <n v="0.26939070692460676"/>
    <s v="CL409"/>
    <x v="3"/>
    <s v="Medium"/>
    <n v="16593"/>
    <n v="4"/>
    <s v="High"/>
  </r>
  <r>
    <s v="C410"/>
    <d v="2023-05-01T00:57:58"/>
    <d v="2024-06-10T19:44:14"/>
    <s v="Completed"/>
    <n v="406.78212962962425"/>
    <n v="6089"/>
    <s v="Professionals 35-50"/>
    <n v="2757"/>
    <n v="490"/>
    <n v="122"/>
    <n v="2677"/>
    <n v="0.17772941603191875"/>
    <n v="0.24897959183673468"/>
    <n v="24.685714285714287"/>
    <n v="99.147540983606561"/>
    <n v="1.9865330924618163"/>
    <n v="0.2213128306878307"/>
    <s v="CL410"/>
    <x v="1"/>
    <s v="Medium"/>
    <n v="12096"/>
    <n v="4"/>
    <s v="High"/>
  </r>
  <r>
    <s v="C411"/>
    <d v="2024-06-20T00:46:03"/>
    <d v="2024-06-20T00:46:03"/>
    <s v="Ongoing"/>
    <n v="0"/>
    <n v="8208"/>
    <s v="Professionals 35-50"/>
    <n v="11319"/>
    <n v="197"/>
    <n v="147"/>
    <n v="11781"/>
    <n v="1.7404364343139852E-2"/>
    <n v="0.74619289340101524"/>
    <n v="33.44670050761421"/>
    <n v="44.823129251700678"/>
    <n v="0.80275341130604283"/>
    <n v="1.7879799666110183"/>
    <s v="CL411"/>
    <x v="1"/>
    <s v="Small"/>
    <n v="6589"/>
    <n v="4"/>
    <s v="High"/>
  </r>
  <r>
    <s v="C412"/>
    <d v="2024-10-16T06:15:39"/>
    <d v="2024-10-16T06:15:39"/>
    <s v="Ongoing"/>
    <n v="0"/>
    <n v="2488"/>
    <s v="Professionals 35-50"/>
    <n v="9278"/>
    <n v="1339"/>
    <n v="219"/>
    <n v="2817"/>
    <n v="0.14431989652942445"/>
    <n v="0.16355489171023152"/>
    <n v="2.2150858849887975"/>
    <n v="13.543378995433789"/>
    <n v="1.1921221864951768"/>
    <n v="0.94976399190829397"/>
    <s v="CL412"/>
    <x v="4"/>
    <s v="Large"/>
    <n v="2966"/>
    <n v="5"/>
    <s v="High"/>
  </r>
  <r>
    <s v="C413"/>
    <d v="2023-04-07T23:03:06"/>
    <d v="2023-08-05T03:10:06"/>
    <s v="Completed"/>
    <n v="119.17152777777665"/>
    <n v="6774"/>
    <s v="Professionals 35-50"/>
    <n v="13678"/>
    <n v="1422"/>
    <n v="488"/>
    <n v="10430"/>
    <n v="0.10396256762684603"/>
    <n v="0.34317862165963431"/>
    <n v="2.5513361462728552"/>
    <n v="7.4344262295081966"/>
    <n v="0.53557720696781808"/>
    <n v="2.874862183020948"/>
    <s v="CL413"/>
    <x v="2"/>
    <s v="Medium"/>
    <n v="3628"/>
    <n v="1"/>
    <s v="Low"/>
  </r>
  <r>
    <s v="C414"/>
    <d v="2023-12-06T12:18:00"/>
    <d v="2024-01-16T01:38:10"/>
    <s v="Completed"/>
    <n v="40.555671296300716"/>
    <n v="1795"/>
    <s v="Adults 25-34"/>
    <n v="13476"/>
    <n v="1699"/>
    <n v="434"/>
    <n v="8932"/>
    <n v="0.12607598693974473"/>
    <n v="0.25544437904649792"/>
    <n v="2.6044732195409064"/>
    <n v="10.195852534562212"/>
    <n v="2.4651810584958218"/>
    <n v="2.0185310734463275"/>
    <s v="CL414"/>
    <x v="3"/>
    <s v="Medium"/>
    <n v="4425"/>
    <n v="2"/>
    <s v="Medium"/>
  </r>
  <r>
    <s v="C415"/>
    <d v="2024-04-15T06:26:24"/>
    <d v="2024-04-15T06:26:24"/>
    <s v="Ongoing"/>
    <n v="0"/>
    <n v="3347"/>
    <s v="Adults 25-34"/>
    <n v="19222"/>
    <n v="1141"/>
    <n v="171"/>
    <n v="8249"/>
    <n v="5.9359067734887111E-2"/>
    <n v="0.14986853637160386"/>
    <n v="13.85626643295355"/>
    <n v="92.456140350877192"/>
    <n v="4.7236331042724826"/>
    <n v="0.52175838077166348"/>
    <s v="CL415"/>
    <x v="4"/>
    <s v="Medium"/>
    <n v="15810"/>
    <n v="1"/>
    <s v="Low"/>
  </r>
  <r>
    <s v="C416"/>
    <d v="2023-08-12T20:55:09"/>
    <d v="2024-05-17T07:22:33"/>
    <s v="Completed"/>
    <n v="278.43569444444438"/>
    <n v="6590"/>
    <s v="Adults 25-34"/>
    <n v="10235"/>
    <n v="1404"/>
    <n v="228"/>
    <n v="7288"/>
    <n v="0.13717635564240352"/>
    <n v="0.1623931623931624"/>
    <n v="5.6068376068376065"/>
    <n v="34.526315789473685"/>
    <n v="1.1945371775417299"/>
    <n v="0.92581300813008127"/>
    <s v="CL416"/>
    <x v="0"/>
    <s v="Medium"/>
    <n v="7872"/>
    <n v="3"/>
    <s v="Medium"/>
  </r>
  <r>
    <s v="C417"/>
    <d v="2024-07-30T13:46:19"/>
    <d v="2024-07-30T13:46:19"/>
    <s v="Ongoing"/>
    <n v="0"/>
    <n v="2648"/>
    <s v="Parents 30-40"/>
    <n v="3559"/>
    <n v="699"/>
    <n v="246"/>
    <n v="14090"/>
    <n v="0.19640348412475414"/>
    <n v="0.35193133047210301"/>
    <n v="24.254649499284692"/>
    <n v="68.918699186991873"/>
    <n v="6.4025679758308156"/>
    <n v="0.83107231331839093"/>
    <s v="CL417"/>
    <x v="1"/>
    <s v="Large"/>
    <n v="16954"/>
    <n v="4"/>
    <s v="High"/>
  </r>
  <r>
    <s v="C418"/>
    <d v="2024-10-29T07:49:40"/>
    <d v="2024-10-29T07:49:40"/>
    <s v="Ongoing"/>
    <n v="0"/>
    <n v="7904"/>
    <s v="Youths 18-24"/>
    <n v="17575"/>
    <n v="1423"/>
    <n v="145"/>
    <n v="3301"/>
    <n v="8.0967283072546234E-2"/>
    <n v="0.10189739985945186"/>
    <n v="1.7990161630358397"/>
    <n v="17.655172413793103"/>
    <n v="0.32388663967611336"/>
    <n v="1.2894531250000001"/>
    <s v="CL418"/>
    <x v="4"/>
    <s v="Large"/>
    <n v="2560"/>
    <n v="1"/>
    <s v="Low"/>
  </r>
  <r>
    <s v="C419"/>
    <d v="2024-12-22T16:04:37"/>
    <d v="2024-12-22T16:04:37"/>
    <s v="Ongoing"/>
    <n v="0"/>
    <n v="9634"/>
    <s v="Adults 25-34"/>
    <n v="19247"/>
    <n v="982"/>
    <n v="95"/>
    <n v="9774"/>
    <n v="5.1020938328051123E-2"/>
    <n v="9.6741344195519344E-2"/>
    <n v="17.553971486761711"/>
    <n v="181.45263157894738"/>
    <n v="1.7892879385509652"/>
    <n v="0.56700313261399238"/>
    <s v="CL419"/>
    <x v="0"/>
    <s v="Large"/>
    <n v="17238"/>
    <n v="1"/>
    <s v="Low"/>
  </r>
  <r>
    <s v="C420"/>
    <d v="2024-03-06T23:54:56"/>
    <d v="2024-03-06T23:54:56"/>
    <s v="Ongoing"/>
    <n v="0"/>
    <n v="1942"/>
    <s v="Professionals 35-50"/>
    <n v="13041"/>
    <n v="1259"/>
    <n v="141"/>
    <n v="4847"/>
    <n v="9.6541676251821182E-2"/>
    <n v="0.11199364575059571"/>
    <n v="14.430500397140587"/>
    <n v="128.85106382978722"/>
    <n v="9.3553038105046351"/>
    <n v="0.26678775869660942"/>
    <s v="CL420"/>
    <x v="4"/>
    <s v="Large"/>
    <n v="18168"/>
    <n v="2"/>
    <s v="Medium"/>
  </r>
  <r>
    <s v="C421"/>
    <d v="2024-04-24T12:43:05"/>
    <d v="2024-04-24T12:43:05"/>
    <s v="Ongoing"/>
    <n v="0"/>
    <n v="2572"/>
    <s v="Professionals 35-50"/>
    <n v="5148"/>
    <n v="1664"/>
    <n v="346"/>
    <n v="587"/>
    <n v="0.32323232323232326"/>
    <n v="0.20793269230769232"/>
    <n v="1.2578125"/>
    <n v="6.0491329479768785"/>
    <n v="0.81376360808709181"/>
    <n v="0.28045867176301958"/>
    <s v="CL421"/>
    <x v="1"/>
    <s v="Small"/>
    <n v="2093"/>
    <n v="5"/>
    <s v="High"/>
  </r>
  <r>
    <s v="C422"/>
    <d v="2023-07-04T13:01:44"/>
    <d v="2024-12-16T17:08:42"/>
    <s v="Completed"/>
    <n v="531.17150462963036"/>
    <n v="4464"/>
    <s v="Parents 30-40"/>
    <n v="2953"/>
    <n v="267"/>
    <n v="215"/>
    <n v="3020"/>
    <n v="9.0416525567219783E-2"/>
    <n v="0.80524344569288386"/>
    <n v="67.970037453183522"/>
    <n v="84.409302325581393"/>
    <n v="4.0654121863799286"/>
    <n v="0.16640952171038131"/>
    <s v="CL422"/>
    <x v="3"/>
    <s v="Large"/>
    <n v="18148"/>
    <n v="1"/>
    <s v="Low"/>
  </r>
  <r>
    <s v="C423"/>
    <d v="2023-06-29T23:59:07"/>
    <d v="2024-12-28T19:42:42"/>
    <s v="Completed"/>
    <n v="547.8219328703708"/>
    <n v="9336"/>
    <s v="Professionals 35-50"/>
    <n v="8451"/>
    <n v="1570"/>
    <n v="425"/>
    <n v="12153"/>
    <n v="0.18577683114424329"/>
    <n v="0.27070063694267515"/>
    <n v="7.8261146496815286"/>
    <n v="28.910588235294117"/>
    <n v="1.3160882604970008"/>
    <n v="0.98909416456417354"/>
    <s v="CL423"/>
    <x v="3"/>
    <s v="Small"/>
    <n v="12287"/>
    <n v="1"/>
    <s v="Low"/>
  </r>
  <r>
    <s v="C424"/>
    <d v="2023-10-07T20:52:07"/>
    <d v="2023-10-07T20:52:07"/>
    <s v="Ongoing"/>
    <n v="0"/>
    <n v="1380"/>
    <s v="Parents 30-40"/>
    <n v="4780"/>
    <n v="912"/>
    <n v="326"/>
    <n v="4654"/>
    <n v="0.19079497907949791"/>
    <n v="0.35745614035087719"/>
    <n v="14.987938596491228"/>
    <n v="41.929447852760738"/>
    <n v="9.905072463768116"/>
    <n v="0.34047845489794426"/>
    <s v="CL424"/>
    <x v="3"/>
    <s v="Medium"/>
    <n v="13669"/>
    <n v="4"/>
    <s v="High"/>
  </r>
  <r>
    <s v="C425"/>
    <d v="2024-11-12T18:28:09"/>
    <d v="2024-11-12T18:28:09"/>
    <s v="Ongoing"/>
    <n v="0"/>
    <n v="1880"/>
    <s v="Adults 25-34"/>
    <n v="10981"/>
    <n v="697"/>
    <n v="211"/>
    <n v="14584"/>
    <n v="6.3473272015299148E-2"/>
    <n v="0.30272596843615496"/>
    <n v="17.680057388809182"/>
    <n v="58.402843601895732"/>
    <n v="6.5547872340425535"/>
    <n v="1.183478049176337"/>
    <s v="CL425"/>
    <x v="3"/>
    <s v="Medium"/>
    <n v="12323"/>
    <n v="2"/>
    <s v="Medium"/>
  </r>
  <r>
    <s v="C426"/>
    <d v="2023-09-11T06:56:29"/>
    <d v="2023-10-28T04:23:31"/>
    <s v="Completed"/>
    <n v="46.893773148149194"/>
    <n v="7268"/>
    <s v="Professionals 35-50"/>
    <n v="7972"/>
    <n v="237"/>
    <n v="317"/>
    <n v="6477"/>
    <n v="2.9729051680883092E-2"/>
    <n v="1.3375527426160339"/>
    <n v="83.877637130801688"/>
    <n v="62.709779179810724"/>
    <n v="2.7351403412217943"/>
    <n v="0.32582121837114542"/>
    <s v="CL426"/>
    <x v="2"/>
    <s v="Large"/>
    <n v="19879"/>
    <n v="5"/>
    <s v="High"/>
  </r>
  <r>
    <s v="C427"/>
    <d v="2024-12-25T13:08:55"/>
    <d v="2024-12-25T13:08:55"/>
    <s v="Ongoing"/>
    <n v="0"/>
    <n v="5779"/>
    <s v="Parents 30-40"/>
    <n v="10108"/>
    <n v="1520"/>
    <n v="320"/>
    <n v="10359"/>
    <n v="0.15037593984962405"/>
    <n v="0.21052631578947367"/>
    <n v="7.8348684210526311"/>
    <n v="37.215625000000003"/>
    <n v="2.0607371517563591"/>
    <n v="0.86984633470484507"/>
    <s v="CL427"/>
    <x v="4"/>
    <s v="Large"/>
    <n v="11909"/>
    <n v="5"/>
    <s v="High"/>
  </r>
  <r>
    <s v="C428"/>
    <d v="2024-05-05T18:33:05"/>
    <d v="2024-07-15T08:52:22"/>
    <s v="Completed"/>
    <n v="70.596724537033879"/>
    <n v="8027"/>
    <s v="Youths 18-24"/>
    <n v="11224"/>
    <n v="343"/>
    <n v="285"/>
    <n v="12267"/>
    <n v="3.0559515324305061E-2"/>
    <n v="0.83090379008746351"/>
    <n v="37.895043731778422"/>
    <n v="45.607017543859648"/>
    <n v="1.6192849134172169"/>
    <n v="0.94376057855054629"/>
    <s v="CL428"/>
    <x v="1"/>
    <s v="Large"/>
    <n v="12998"/>
    <n v="5"/>
    <s v="High"/>
  </r>
  <r>
    <s v="C429"/>
    <d v="2023-02-20T18:49:08"/>
    <d v="2024-01-21T12:52:42"/>
    <s v="Completed"/>
    <n v="334.75247685184877"/>
    <n v="1550"/>
    <s v="Professionals 35-50"/>
    <n v="19280"/>
    <n v="1234"/>
    <n v="301"/>
    <n v="9835"/>
    <n v="6.4004149377593356E-2"/>
    <n v="0.2439222042139384"/>
    <n v="6.8727714748784443"/>
    <n v="28.176079734219268"/>
    <n v="5.4716129032258065"/>
    <n v="1.1596509845537082"/>
    <s v="CL429"/>
    <x v="0"/>
    <s v="Medium"/>
    <n v="8481"/>
    <n v="5"/>
    <s v="High"/>
  </r>
  <r>
    <s v="C430"/>
    <d v="2023-05-12T10:07:28"/>
    <d v="2024-11-14T12:45:31"/>
    <s v="Completed"/>
    <n v="552.10975694443914"/>
    <n v="8114"/>
    <s v="Parents 30-40"/>
    <n v="6964"/>
    <n v="526"/>
    <n v="208"/>
    <n v="13836"/>
    <n v="7.5531303848363013E-2"/>
    <n v="0.39543726235741444"/>
    <n v="1.0722433460076046"/>
    <n v="2.7115384615384617"/>
    <n v="6.9509489770766583E-2"/>
    <n v="24.531914893617021"/>
    <s v="CL430"/>
    <x v="0"/>
    <s v="Small"/>
    <n v="564"/>
    <n v="2"/>
    <s v="Medium"/>
  </r>
  <r>
    <s v="C431"/>
    <d v="2023-01-21T05:12:50"/>
    <d v="2024-10-15T18:07:23"/>
    <s v="Completed"/>
    <n v="633.53788194444496"/>
    <n v="3919"/>
    <s v="Professionals 35-50"/>
    <n v="16035"/>
    <n v="925"/>
    <n v="97"/>
    <n v="14747"/>
    <n v="5.7686311194262548E-2"/>
    <n v="0.10486486486486486"/>
    <n v="2.4367567567567567"/>
    <n v="23.237113402061855"/>
    <n v="0.57514672110232201"/>
    <n v="6.5425909494232473"/>
    <s v="CL431"/>
    <x v="2"/>
    <s v="Medium"/>
    <n v="2254"/>
    <n v="3"/>
    <s v="Medium"/>
  </r>
  <r>
    <s v="C432"/>
    <d v="2024-04-13T12:44:32"/>
    <d v="2024-04-13T12:44:32"/>
    <s v="Ongoing"/>
    <n v="0"/>
    <n v="8655"/>
    <s v="Parents 30-40"/>
    <n v="4770"/>
    <n v="1268"/>
    <n v="142"/>
    <n v="774"/>
    <n v="0.2658280922431866"/>
    <n v="0.11198738170347003"/>
    <n v="8.7168769716088335"/>
    <n v="77.838028169014081"/>
    <n v="1.2770652801848643"/>
    <n v="7.0026237220664075E-2"/>
    <s v="CL432"/>
    <x v="0"/>
    <s v="Small"/>
    <n v="11053"/>
    <n v="3"/>
    <s v="Medium"/>
  </r>
  <r>
    <s v="C433"/>
    <d v="2023-12-21T00:04:03"/>
    <d v="2024-02-11T12:07:29"/>
    <s v="Completed"/>
    <n v="52.50238425925636"/>
    <n v="7806"/>
    <s v="Youths 18-24"/>
    <n v="4961"/>
    <n v="1295"/>
    <n v="294"/>
    <n v="14583"/>
    <n v="0.26103608143519452"/>
    <n v="0.22702702702702704"/>
    <n v="5.3111969111969115"/>
    <n v="23.394557823129251"/>
    <n v="0.88111708941839606"/>
    <n v="2.1202384414073858"/>
    <s v="CL433"/>
    <x v="2"/>
    <s v="Large"/>
    <n v="6878"/>
    <n v="1"/>
    <s v="Low"/>
  </r>
  <r>
    <s v="C434"/>
    <d v="2024-01-24T06:43:37"/>
    <d v="2024-01-24T06:43:37"/>
    <s v="Ongoing"/>
    <n v="0"/>
    <n v="7451"/>
    <s v="Professionals 35-50"/>
    <n v="7670"/>
    <n v="1880"/>
    <n v="118"/>
    <n v="7190"/>
    <n v="0.24511082138200782"/>
    <n v="6.2765957446808504E-2"/>
    <n v="8.4095744680851059"/>
    <n v="133.98305084745763"/>
    <n v="2.1218628372030599"/>
    <n v="0.45477545857052498"/>
    <s v="CL434"/>
    <x v="1"/>
    <s v="Medium"/>
    <n v="15810"/>
    <n v="5"/>
    <s v="High"/>
  </r>
  <r>
    <s v="C435"/>
    <d v="2023-08-06T14:28:37"/>
    <d v="2024-10-13T00:00:36"/>
    <s v="Completed"/>
    <n v="433.3972106481524"/>
    <n v="6639"/>
    <s v="Adults 25-34"/>
    <n v="6989"/>
    <n v="311"/>
    <n v="73"/>
    <n v="11310"/>
    <n v="4.4498497639147233E-2"/>
    <n v="0.2347266881028939"/>
    <n v="7.321543408360129"/>
    <n v="31.19178082191781"/>
    <n v="0.34297333935833713"/>
    <n v="4.9670619235836631"/>
    <s v="CL435"/>
    <x v="1"/>
    <s v="Small"/>
    <n v="2277"/>
    <n v="1"/>
    <s v="Low"/>
  </r>
  <r>
    <s v="C436"/>
    <d v="2024-06-12T12:38:52"/>
    <d v="2024-06-12T12:38:52"/>
    <s v="Ongoing"/>
    <n v="0"/>
    <n v="4870"/>
    <s v="Youths 18-24"/>
    <n v="7372"/>
    <n v="892"/>
    <n v="360"/>
    <n v="7410"/>
    <n v="0.12099837221920781"/>
    <n v="0.40358744394618834"/>
    <n v="12.414798206278027"/>
    <n v="30.761111111111113"/>
    <n v="2.2739219712525669"/>
    <n v="0.66913491060140873"/>
    <s v="CL436"/>
    <x v="1"/>
    <s v="Medium"/>
    <n v="11074"/>
    <n v="2"/>
    <s v="Medium"/>
  </r>
  <r>
    <s v="C437"/>
    <d v="2024-03-19T10:15:03"/>
    <d v="2024-03-19T10:15:03"/>
    <s v="Ongoing"/>
    <n v="0"/>
    <n v="1521"/>
    <s v="Parents 30-40"/>
    <n v="15203"/>
    <n v="603"/>
    <n v="255"/>
    <n v="2854"/>
    <n v="3.9663224363612443E-2"/>
    <n v="0.4228855721393035"/>
    <n v="25.384742951907132"/>
    <n v="60.02745098039216"/>
    <n v="10.063773833004602"/>
    <n v="0.18645064349643953"/>
    <s v="CL437"/>
    <x v="3"/>
    <s v="Large"/>
    <n v="15307"/>
    <n v="2"/>
    <s v="Medium"/>
  </r>
  <r>
    <s v="C438"/>
    <d v="2023-11-20T13:53:38"/>
    <d v="2024-07-09T15:22:10"/>
    <s v="Completed"/>
    <n v="232.06148148147622"/>
    <n v="1306"/>
    <s v="Adults 25-34"/>
    <n v="7355"/>
    <n v="1272"/>
    <n v="26"/>
    <n v="3853"/>
    <n v="0.17294357579877634"/>
    <n v="2.0440251572327043E-2"/>
    <n v="2.0534591194968552"/>
    <n v="100.46153846153847"/>
    <n v="2"/>
    <n v="1.4751148545176109"/>
    <s v="CL438"/>
    <x v="1"/>
    <s v="Medium"/>
    <n v="2612"/>
    <n v="2"/>
    <s v="Medium"/>
  </r>
  <r>
    <s v="C439"/>
    <d v="2024-09-20T11:23:20"/>
    <d v="2024-09-20T11:23:20"/>
    <s v="Ongoing"/>
    <n v="0"/>
    <n v="8706"/>
    <s v="Youths 18-24"/>
    <n v="19396"/>
    <n v="1444"/>
    <n v="372"/>
    <n v="4445"/>
    <n v="7.4448339863889462E-2"/>
    <n v="0.25761772853185594"/>
    <n v="7.7583102493074794"/>
    <n v="30.115591397849464"/>
    <n v="1.2868136917068689"/>
    <n v="0.39676872266357227"/>
    <s v="CL439"/>
    <x v="4"/>
    <s v="Medium"/>
    <n v="11203"/>
    <n v="2"/>
    <s v="Medium"/>
  </r>
  <r>
    <s v="C440"/>
    <d v="2024-02-04T01:04:05"/>
    <d v="2024-04-09T07:29:10"/>
    <s v="Completed"/>
    <n v="65.267418981486117"/>
    <n v="7073"/>
    <s v="Parents 30-40"/>
    <n v="8727"/>
    <n v="1663"/>
    <n v="40"/>
    <n v="7968"/>
    <n v="0.19055803827202933"/>
    <n v="2.4052916416115455E-2"/>
    <n v="9.1076368009621174"/>
    <n v="378.65"/>
    <n v="2.1413827230312457"/>
    <n v="0.52607949293542855"/>
    <s v="CL440"/>
    <x v="4"/>
    <s v="Small"/>
    <n v="15146"/>
    <n v="5"/>
    <s v="High"/>
  </r>
  <r>
    <s v="C441"/>
    <d v="2024-08-09T06:24:07"/>
    <d v="2024-08-09T06:24:07"/>
    <s v="Ongoing"/>
    <n v="0"/>
    <n v="4673"/>
    <s v="Parents 30-40"/>
    <n v="19276"/>
    <n v="1017"/>
    <n v="196"/>
    <n v="655"/>
    <n v="5.2759908694749946E-2"/>
    <n v="0.1927236971484759"/>
    <n v="1.2713864306784661"/>
    <n v="6.5969387755102042"/>
    <n v="0.27669591268992083"/>
    <n v="0.50657385924207265"/>
    <s v="CL441"/>
    <x v="1"/>
    <s v="Large"/>
    <n v="1293"/>
    <n v="1"/>
    <s v="Low"/>
  </r>
  <r>
    <s v="C442"/>
    <d v="2024-03-24T12:07:11"/>
    <d v="2024-07-31T16:53:35"/>
    <s v="Completed"/>
    <n v="129.19888888888818"/>
    <n v="4653"/>
    <s v="Parents 30-40"/>
    <n v="16758"/>
    <n v="996"/>
    <n v="262"/>
    <n v="1275"/>
    <n v="5.9434300035803793E-2"/>
    <n v="0.26305220883534136"/>
    <n v="1.072289156626506"/>
    <n v="4.0763358778625953"/>
    <n v="0.22952933591231464"/>
    <n v="1.1938202247191012"/>
    <s v="CL442"/>
    <x v="4"/>
    <s v="Small"/>
    <n v="1068"/>
    <n v="4"/>
    <s v="High"/>
  </r>
  <r>
    <s v="C443"/>
    <d v="2023-08-01T05:19:10"/>
    <d v="2023-11-11T09:24:26"/>
    <s v="Completed"/>
    <n v="102.17032407407532"/>
    <n v="6620"/>
    <s v="Youths 18-24"/>
    <n v="15455"/>
    <n v="982"/>
    <n v="76"/>
    <n v="2345"/>
    <n v="6.3539307667421552E-2"/>
    <n v="7.7393075356415472E-2"/>
    <n v="3.718940936863544"/>
    <n v="48.05263157894737"/>
    <n v="0.55166163141993962"/>
    <n v="0.64211391018619934"/>
    <s v="CL443"/>
    <x v="0"/>
    <s v="Medium"/>
    <n v="3652"/>
    <n v="2"/>
    <s v="Medium"/>
  </r>
  <r>
    <s v="C444"/>
    <d v="2023-02-04T02:05:58"/>
    <d v="2024-05-14T07:09:59"/>
    <s v="Completed"/>
    <n v="465.21112268518482"/>
    <n v="1105"/>
    <s v="Professionals 35-50"/>
    <n v="10272"/>
    <n v="1740"/>
    <n v="33"/>
    <n v="13700"/>
    <n v="0.16939252336448599"/>
    <n v="1.896551724137931E-2"/>
    <n v="8.1919540229885062"/>
    <n v="431.93939393939394"/>
    <n v="12.899547511312218"/>
    <n v="0.96113371685141014"/>
    <s v="CL444"/>
    <x v="2"/>
    <s v="Large"/>
    <n v="14254"/>
    <n v="5"/>
    <s v="High"/>
  </r>
  <r>
    <s v="C445"/>
    <d v="2024-08-28T10:27:23"/>
    <d v="2024-11-12T22:30:05"/>
    <s v="Completed"/>
    <n v="76.501875000001746"/>
    <n v="1155"/>
    <s v="Youths 18-24"/>
    <n v="6308"/>
    <n v="930"/>
    <n v="234"/>
    <n v="7894"/>
    <n v="0.14743183259353201"/>
    <n v="0.25161290322580643"/>
    <n v="12.316129032258065"/>
    <n v="48.948717948717949"/>
    <n v="9.9168831168831169"/>
    <n v="0.68919154880391131"/>
    <s v="CL445"/>
    <x v="3"/>
    <s v="Large"/>
    <n v="11454"/>
    <n v="5"/>
    <s v="High"/>
  </r>
  <r>
    <s v="C446"/>
    <d v="2024-07-05T07:20:04"/>
    <d v="2024-07-05T07:20:04"/>
    <s v="Ongoing"/>
    <n v="0"/>
    <n v="9362"/>
    <s v="Adults 25-34"/>
    <n v="15866"/>
    <n v="335"/>
    <n v="133"/>
    <n v="9491"/>
    <n v="2.1114332534980462E-2"/>
    <n v="0.39701492537313432"/>
    <n v="29.220895522388059"/>
    <n v="73.601503759398497"/>
    <n v="1.0456099124118778"/>
    <n v="0.96955766676882216"/>
    <s v="CL446"/>
    <x v="1"/>
    <s v="Large"/>
    <n v="9789"/>
    <n v="3"/>
    <s v="Medium"/>
  </r>
  <r>
    <s v="C447"/>
    <d v="2024-12-23T02:22:37"/>
    <d v="2024-12-23T02:22:37"/>
    <s v="Ongoing"/>
    <n v="0"/>
    <n v="2847"/>
    <s v="Youths 18-24"/>
    <n v="7767"/>
    <n v="462"/>
    <n v="323"/>
    <n v="6640"/>
    <n v="5.9482425646967943E-2"/>
    <n v="0.69913419913419916"/>
    <n v="26.666666666666668"/>
    <n v="38.142414860681114"/>
    <n v="4.3273621355813141"/>
    <n v="0.53896103896103897"/>
    <s v="CL447"/>
    <x v="0"/>
    <s v="Large"/>
    <n v="12320"/>
    <n v="5"/>
    <s v="High"/>
  </r>
  <r>
    <s v="C448"/>
    <d v="2023-03-24T02:11:39"/>
    <d v="2024-07-03T21:35:55"/>
    <s v="Completed"/>
    <n v="467.80851851851912"/>
    <n v="9669"/>
    <s v="Adults 25-34"/>
    <n v="16212"/>
    <n v="482"/>
    <n v="316"/>
    <n v="3472"/>
    <n v="2.9731063409819885E-2"/>
    <n v="0.65560165975103735"/>
    <n v="8.8443983402489632"/>
    <n v="13.490506329113924"/>
    <n v="0.44089357741234875"/>
    <n v="0.81444991789819376"/>
    <s v="CL448"/>
    <x v="0"/>
    <s v="Small"/>
    <n v="4263"/>
    <n v="2"/>
    <s v="Medium"/>
  </r>
  <r>
    <s v="C449"/>
    <d v="2023-04-05T14:27:02"/>
    <d v="2023-11-20T09:34:25"/>
    <s v="Completed"/>
    <n v="228.79679398147709"/>
    <n v="8935"/>
    <s v="Adults 25-34"/>
    <n v="7211"/>
    <n v="1739"/>
    <n v="119"/>
    <n v="13906"/>
    <n v="0.241159339897379"/>
    <n v="6.8430132259919493E-2"/>
    <n v="0.71132834962622193"/>
    <n v="10.394957983193278"/>
    <n v="0.13844432008953553"/>
    <n v="11.241713823767178"/>
    <s v="CL449"/>
    <x v="1"/>
    <s v="Small"/>
    <n v="1237"/>
    <n v="1"/>
    <s v="Low"/>
  </r>
  <r>
    <s v="C450"/>
    <d v="2023-09-30T23:05:08"/>
    <d v="2024-07-03T01:04:17"/>
    <s v="Completed"/>
    <n v="276.08274305555824"/>
    <n v="6769"/>
    <s v="Adults 25-34"/>
    <n v="10377"/>
    <n v="836"/>
    <n v="247"/>
    <n v="13953"/>
    <n v="8.0562783077960873E-2"/>
    <n v="0.29545454545454547"/>
    <n v="15.088516746411484"/>
    <n v="51.068825910931174"/>
    <n v="1.8634953464322648"/>
    <n v="1.1061518947201523"/>
    <s v="CL450"/>
    <x v="4"/>
    <s v="Large"/>
    <n v="12614"/>
    <n v="2"/>
    <s v="Medium"/>
  </r>
  <r>
    <s v="C451"/>
    <d v="2023-04-10T14:49:26"/>
    <d v="2023-04-10T14:49:26"/>
    <s v="Ongoing"/>
    <n v="0"/>
    <n v="3197"/>
    <s v="Parents 30-40"/>
    <n v="17617"/>
    <n v="844"/>
    <n v="491"/>
    <n v="9626"/>
    <n v="4.7908270420616447E-2"/>
    <n v="0.58175355450236965"/>
    <n v="12.548578199052132"/>
    <n v="21.570264765784113"/>
    <n v="3.3127932436659369"/>
    <n v="0.90888490227551699"/>
    <s v="CL451"/>
    <x v="0"/>
    <s v="Medium"/>
    <n v="10591"/>
    <n v="1"/>
    <s v="Low"/>
  </r>
  <r>
    <s v="C452"/>
    <d v="2024-07-02T06:49:08"/>
    <d v="2024-07-02T06:49:08"/>
    <s v="Ongoing"/>
    <n v="0"/>
    <n v="3690"/>
    <s v="Adults 25-34"/>
    <n v="1710"/>
    <n v="875"/>
    <n v="197"/>
    <n v="969"/>
    <n v="0.51169590643274854"/>
    <n v="0.22514285714285714"/>
    <n v="13.922285714285714"/>
    <n v="61.837563451776653"/>
    <n v="3.3013550135501357"/>
    <n v="7.9543588901658191E-2"/>
    <s v="CL452"/>
    <x v="3"/>
    <s v="Medium"/>
    <n v="12182"/>
    <n v="4"/>
    <s v="High"/>
  </r>
  <r>
    <s v="C453"/>
    <d v="2023-08-20T18:52:40"/>
    <d v="2023-12-06T11:09:16"/>
    <s v="Completed"/>
    <n v="107.67819444444467"/>
    <n v="9098"/>
    <s v="Adults 25-34"/>
    <n v="15596"/>
    <n v="1097"/>
    <n v="418"/>
    <n v="10166"/>
    <n v="7.0338548345729668E-2"/>
    <n v="0.38103919781221512"/>
    <n v="15.263445761166819"/>
    <n v="40.057416267942585"/>
    <n v="1.8404044845020884"/>
    <n v="0.6071428571428571"/>
    <s v="CL453"/>
    <x v="2"/>
    <s v="Large"/>
    <n v="16744"/>
    <n v="1"/>
    <s v="Low"/>
  </r>
  <r>
    <s v="C454"/>
    <d v="2024-11-05T03:54:54"/>
    <d v="2024-11-05T03:54:54"/>
    <s v="Ongoing"/>
    <n v="0"/>
    <n v="5380"/>
    <s v="Professionals 35-50"/>
    <n v="19743"/>
    <n v="1807"/>
    <n v="108"/>
    <n v="7842"/>
    <n v="9.1526110520184376E-2"/>
    <n v="5.9767570558937465E-2"/>
    <n v="0.98505810736026567"/>
    <n v="16.481481481481481"/>
    <n v="0.33085501858736061"/>
    <n v="4.4056179775280899"/>
    <s v="CL454"/>
    <x v="4"/>
    <s v="Small"/>
    <n v="1780"/>
    <n v="4"/>
    <s v="High"/>
  </r>
  <r>
    <s v="C455"/>
    <d v="2023-08-11T16:25:25"/>
    <d v="2023-08-11T16:25:25"/>
    <s v="Ongoing"/>
    <n v="0"/>
    <n v="4545"/>
    <s v="Adults 25-34"/>
    <n v="5818"/>
    <n v="1390"/>
    <n v="227"/>
    <n v="11523"/>
    <n v="0.23891371605362668"/>
    <n v="0.16330935251798562"/>
    <n v="12.496402877697841"/>
    <n v="76.519823788546262"/>
    <n v="3.8217821782178216"/>
    <n v="0.66338514680483596"/>
    <s v="CL455"/>
    <x v="4"/>
    <s v="Small"/>
    <n v="17370"/>
    <n v="5"/>
    <s v="High"/>
  </r>
  <r>
    <s v="C456"/>
    <d v="2023-04-07T04:16:52"/>
    <d v="2024-05-19T00:19:21"/>
    <s v="Completed"/>
    <n v="407.83505787036847"/>
    <n v="5719"/>
    <s v="Parents 30-40"/>
    <n v="1528"/>
    <n v="1896"/>
    <n v="281"/>
    <n v="3912"/>
    <n v="1.2408376963350785"/>
    <n v="0.14820675105485231"/>
    <n v="7.0421940928270041"/>
    <n v="47.516014234875442"/>
    <n v="2.3346738940374192"/>
    <n v="0.29298981426003595"/>
    <s v="CL456"/>
    <x v="0"/>
    <s v="Large"/>
    <n v="13352"/>
    <n v="4"/>
    <s v="High"/>
  </r>
  <r>
    <s v="C457"/>
    <d v="2024-02-26T10:51:37"/>
    <d v="2024-05-07T01:17:10"/>
    <s v="Completed"/>
    <n v="70.601076388884394"/>
    <n v="5000"/>
    <s v="Parents 30-40"/>
    <n v="16684"/>
    <n v="1395"/>
    <n v="414"/>
    <n v="9107"/>
    <n v="8.3613042435866702E-2"/>
    <n v="0.29677419354838708"/>
    <n v="7.268817204301075"/>
    <n v="24.492753623188406"/>
    <n v="2.028"/>
    <n v="0.8981262327416174"/>
    <s v="CL457"/>
    <x v="2"/>
    <s v="Small"/>
    <n v="10140"/>
    <n v="3"/>
    <s v="Medium"/>
  </r>
  <r>
    <s v="C458"/>
    <d v="2024-09-15T02:44:15"/>
    <d v="2024-09-15T02:44:15"/>
    <s v="Ongoing"/>
    <n v="0"/>
    <n v="5352"/>
    <s v="Parents 30-40"/>
    <n v="13353"/>
    <n v="1427"/>
    <n v="216"/>
    <n v="13510"/>
    <n v="0.10686737062832323"/>
    <n v="0.15136650315346881"/>
    <n v="5.4519971969166079"/>
    <n v="36.018518518518519"/>
    <n v="1.4536621823617339"/>
    <n v="1.736503856041131"/>
    <s v="CL458"/>
    <x v="4"/>
    <s v="Large"/>
    <n v="7780"/>
    <n v="5"/>
    <s v="High"/>
  </r>
  <r>
    <s v="C459"/>
    <d v="2023-04-26T03:21:58"/>
    <d v="2023-04-26T03:21:58"/>
    <s v="Ongoing"/>
    <n v="0"/>
    <n v="1904"/>
    <s v="Youths 18-24"/>
    <n v="12681"/>
    <n v="1433"/>
    <n v="499"/>
    <n v="11315"/>
    <n v="0.11300370633230818"/>
    <n v="0.34822051639916257"/>
    <n v="9.9441730635031398"/>
    <n v="28.557114228456914"/>
    <n v="7.4842436974789912"/>
    <n v="0.7940350877192982"/>
    <s v="CL459"/>
    <x v="2"/>
    <s v="Medium"/>
    <n v="14250"/>
    <n v="4"/>
    <s v="High"/>
  </r>
  <r>
    <s v="C460"/>
    <d v="2024-06-19T17:46:57"/>
    <d v="2024-06-19T17:46:57"/>
    <s v="Ongoing"/>
    <n v="0"/>
    <n v="4754"/>
    <s v="Youths 18-24"/>
    <n v="13740"/>
    <n v="1339"/>
    <n v="102"/>
    <n v="8743"/>
    <n v="9.7452692867540033E-2"/>
    <n v="7.6176250933532488E-2"/>
    <n v="6.5810306198655715"/>
    <n v="86.392156862745097"/>
    <n v="1.8535969709718132"/>
    <n v="0.99216976849750338"/>
    <s v="CL460"/>
    <x v="1"/>
    <s v="Medium"/>
    <n v="8812"/>
    <n v="4"/>
    <s v="High"/>
  </r>
  <r>
    <s v="C461"/>
    <d v="2023-06-16T07:00:50"/>
    <d v="2024-08-06T01:29:25"/>
    <s v="Completed"/>
    <n v="416.76984953703504"/>
    <n v="7742"/>
    <s v="Youths 18-24"/>
    <n v="11872"/>
    <n v="255"/>
    <n v="169"/>
    <n v="5483"/>
    <n v="2.147911051212938E-2"/>
    <n v="0.66274509803921566"/>
    <n v="59.505882352941178"/>
    <n v="89.786982248520715"/>
    <n v="1.9599586670111082"/>
    <n v="0.3613417688150784"/>
    <s v="CL461"/>
    <x v="3"/>
    <s v="Medium"/>
    <n v="15174"/>
    <n v="2"/>
    <s v="Medium"/>
  </r>
  <r>
    <s v="C462"/>
    <d v="2023-02-02T08:58:47"/>
    <d v="2024-10-10T22:47:54"/>
    <s v="Completed"/>
    <n v="616.5757754629667"/>
    <n v="8604"/>
    <s v="Professionals 35-50"/>
    <n v="4277"/>
    <n v="1010"/>
    <n v="381"/>
    <n v="13221"/>
    <n v="0.23614683189151275"/>
    <n v="0.37722772277227723"/>
    <n v="16.136633663366336"/>
    <n v="42.776902887139109"/>
    <n v="1.894235239423524"/>
    <n v="0.8112038286906369"/>
    <s v="CL462"/>
    <x v="2"/>
    <s v="Large"/>
    <n v="16298"/>
    <n v="1"/>
    <s v="Low"/>
  </r>
  <r>
    <s v="C463"/>
    <d v="2024-02-12T17:12:21"/>
    <d v="2024-02-12T17:12:21"/>
    <s v="Ongoing"/>
    <n v="0"/>
    <n v="5104"/>
    <s v="Parents 30-40"/>
    <n v="12723"/>
    <n v="167"/>
    <n v="37"/>
    <n v="7221"/>
    <n v="1.312583510178417E-2"/>
    <n v="0.22155688622754491"/>
    <n v="64.844311377245504"/>
    <n v="292.67567567567568"/>
    <n v="2.1216692789968654"/>
    <n v="0.66682057438359954"/>
    <s v="CL463"/>
    <x v="2"/>
    <s v="Large"/>
    <n v="10829"/>
    <n v="5"/>
    <s v="High"/>
  </r>
  <r>
    <s v="C464"/>
    <d v="2024-08-27T22:24:39"/>
    <d v="2024-08-27T22:24:39"/>
    <s v="Ongoing"/>
    <n v="0"/>
    <n v="4883"/>
    <s v="Adults 25-34"/>
    <n v="6129"/>
    <n v="848"/>
    <n v="298"/>
    <n v="4256"/>
    <n v="0.13835862294012075"/>
    <n v="0.35141509433962265"/>
    <n v="8.8761792452830193"/>
    <n v="25.258389261744966"/>
    <n v="1.5414704075363506"/>
    <n v="0.5654311146539126"/>
    <s v="CL464"/>
    <x v="0"/>
    <s v="Small"/>
    <n v="7527"/>
    <n v="5"/>
    <s v="High"/>
  </r>
  <r>
    <s v="C465"/>
    <d v="2024-01-16T03:16:37"/>
    <d v="2024-01-16T03:16:37"/>
    <s v="Ongoing"/>
    <n v="0"/>
    <n v="6978"/>
    <s v="Professionals 35-50"/>
    <n v="12166"/>
    <n v="1030"/>
    <n v="470"/>
    <n v="11755"/>
    <n v="8.4662173269768201E-2"/>
    <n v="0.4563106796116505"/>
    <n v="2.4747572815533982"/>
    <n v="5.4234042553191486"/>
    <n v="0.36529091430209232"/>
    <n v="4.6116123970184386"/>
    <s v="CL465"/>
    <x v="2"/>
    <s v="Large"/>
    <n v="2549"/>
    <n v="3"/>
    <s v="Medium"/>
  </r>
  <r>
    <s v="C466"/>
    <d v="2023-04-07T23:27:53"/>
    <d v="2024-05-15T11:18:01"/>
    <s v="Completed"/>
    <n v="403.49314814814716"/>
    <n v="6151"/>
    <s v="Professionals 35-50"/>
    <n v="16649"/>
    <n v="1376"/>
    <n v="482"/>
    <n v="10396"/>
    <n v="8.2647606462850617E-2"/>
    <n v="0.35029069767441862"/>
    <n v="1.9861918604651163"/>
    <n v="5.6701244813278011"/>
    <n v="0.44431799707364655"/>
    <n v="3.8038785217709479"/>
    <s v="CL466"/>
    <x v="2"/>
    <s v="Medium"/>
    <n v="2733"/>
    <n v="2"/>
    <s v="Medium"/>
  </r>
  <r>
    <s v="C467"/>
    <d v="2024-12-08T10:49:48"/>
    <d v="2024-12-08T10:49:48"/>
    <s v="Ongoing"/>
    <n v="0"/>
    <n v="8372"/>
    <s v="Youths 18-24"/>
    <n v="17962"/>
    <n v="750"/>
    <n v="38"/>
    <n v="4106"/>
    <n v="4.1754815722079945E-2"/>
    <n v="5.0666666666666665E-2"/>
    <n v="20.588000000000001"/>
    <n v="406.34210526315792"/>
    <n v="1.844362159579551"/>
    <n v="0.26591541998575224"/>
    <s v="CL467"/>
    <x v="0"/>
    <s v="Small"/>
    <n v="15441"/>
    <n v="5"/>
    <s v="High"/>
  </r>
  <r>
    <s v="C468"/>
    <d v="2024-07-14T19:58:18"/>
    <d v="2024-07-14T19:58:18"/>
    <s v="Ongoing"/>
    <n v="0"/>
    <n v="6912"/>
    <s v="Youths 18-24"/>
    <n v="6878"/>
    <n v="1814"/>
    <n v="240"/>
    <n v="9531"/>
    <n v="0.26373945914510033"/>
    <n v="0.13230429988974643"/>
    <n v="3.4079382579933846"/>
    <n v="25.758333333333333"/>
    <n v="0.89438657407407407"/>
    <n v="1.5417340666450987"/>
    <s v="CL468"/>
    <x v="3"/>
    <s v="Large"/>
    <n v="6182"/>
    <n v="2"/>
    <s v="Medium"/>
  </r>
  <r>
    <s v="C469"/>
    <d v="2024-06-22T13:50:38"/>
    <d v="2024-06-22T13:50:38"/>
    <s v="Ongoing"/>
    <n v="0"/>
    <n v="3578"/>
    <s v="Professionals 35-50"/>
    <n v="7549"/>
    <n v="819"/>
    <n v="67"/>
    <n v="11008"/>
    <n v="0.10849119088621009"/>
    <n v="8.1807081807081808E-2"/>
    <n v="2.9133089133089132"/>
    <n v="35.611940298507463"/>
    <n v="0.66685299049748459"/>
    <n v="4.6135792120704107"/>
    <s v="CL469"/>
    <x v="0"/>
    <s v="Medium"/>
    <n v="2386"/>
    <n v="3"/>
    <s v="Medium"/>
  </r>
  <r>
    <s v="C470"/>
    <d v="2024-03-14T17:59:52"/>
    <d v="2024-09-03T18:44:10"/>
    <s v="Completed"/>
    <n v="173.03076388889167"/>
    <n v="5057"/>
    <s v="Youths 18-24"/>
    <n v="4503"/>
    <n v="1827"/>
    <n v="369"/>
    <n v="14118"/>
    <n v="0.4057295136575616"/>
    <n v="0.2019704433497537"/>
    <n v="6.1702244116037219"/>
    <n v="30.550135501355015"/>
    <n v="2.2291872651769822"/>
    <n v="1.2523729264614565"/>
    <s v="CL470"/>
    <x v="2"/>
    <s v="Large"/>
    <n v="11273"/>
    <n v="4"/>
    <s v="High"/>
  </r>
  <r>
    <s v="C471"/>
    <d v="2023-04-12T01:54:36"/>
    <d v="2024-07-17T11:50:14"/>
    <s v="Completed"/>
    <n v="462.41363425926102"/>
    <n v="1289"/>
    <s v="Parents 30-40"/>
    <n v="12269"/>
    <n v="1648"/>
    <n v="254"/>
    <n v="13598"/>
    <n v="0.13432227565408753"/>
    <n v="0.154126213592233"/>
    <n v="1.004247572815534"/>
    <n v="6.515748031496063"/>
    <n v="1.2839410395655546"/>
    <n v="8.2163141993957698"/>
    <s v="CL471"/>
    <x v="0"/>
    <s v="Small"/>
    <n v="1655"/>
    <n v="5"/>
    <s v="High"/>
  </r>
  <r>
    <s v="C472"/>
    <d v="2024-10-08T07:26:47"/>
    <d v="2024-10-08T07:26:47"/>
    <s v="Ongoing"/>
    <n v="0"/>
    <n v="6846"/>
    <s v="Parents 30-40"/>
    <n v="9128"/>
    <n v="617"/>
    <n v="318"/>
    <n v="7949"/>
    <n v="6.7594215600350574E-2"/>
    <n v="0.51539708265802264"/>
    <n v="4.3095623987034033"/>
    <n v="8.3616352201257858"/>
    <n v="0.38840198656149577"/>
    <n v="2.9894697254606997"/>
    <s v="CL472"/>
    <x v="3"/>
    <s v="Large"/>
    <n v="2659"/>
    <n v="1"/>
    <s v="Low"/>
  </r>
  <r>
    <s v="C473"/>
    <d v="2023-06-14T23:39:16"/>
    <d v="2023-10-21T04:35:42"/>
    <s v="Completed"/>
    <n v="128.20585648147971"/>
    <n v="7737"/>
    <s v="Adults 25-34"/>
    <n v="14512"/>
    <n v="1572"/>
    <n v="40"/>
    <n v="10190"/>
    <n v="0.10832414553472988"/>
    <n v="2.5445292620865138E-2"/>
    <n v="5.9669211195928753"/>
    <n v="234.5"/>
    <n v="1.2123562104174745"/>
    <n v="1.0863539445628998"/>
    <s v="CL473"/>
    <x v="0"/>
    <s v="Medium"/>
    <n v="9380"/>
    <n v="1"/>
    <s v="Low"/>
  </r>
  <r>
    <s v="C474"/>
    <d v="2023-10-17T01:43:29"/>
    <d v="2024-01-31T22:43:57"/>
    <s v="Completed"/>
    <n v="106.87532407407707"/>
    <n v="1805"/>
    <s v="Youths 18-24"/>
    <n v="18683"/>
    <n v="220"/>
    <n v="51"/>
    <n v="12151"/>
    <n v="1.1775410801263181E-2"/>
    <n v="0.23181818181818181"/>
    <n v="78.627272727272725"/>
    <n v="339.1764705882353"/>
    <n v="9.5833795013850409"/>
    <n v="0.70245115042201411"/>
    <s v="CL474"/>
    <x v="0"/>
    <s v="Large"/>
    <n v="17298"/>
    <n v="3"/>
    <s v="Medium"/>
  </r>
  <r>
    <s v="C475"/>
    <d v="2024-07-08T12:51:46"/>
    <d v="2024-07-08T12:51:46"/>
    <s v="Ongoing"/>
    <n v="0"/>
    <n v="7852"/>
    <s v="Professionals 35-50"/>
    <n v="16513"/>
    <n v="1936"/>
    <n v="189"/>
    <n v="11106"/>
    <n v="0.11724096166656574"/>
    <n v="9.7623966942148754E-2"/>
    <n v="8.2128099173553721"/>
    <n v="84.126984126984127"/>
    <n v="2.0249617931737136"/>
    <n v="0.69849056603773585"/>
    <s v="CL475"/>
    <x v="1"/>
    <s v="Small"/>
    <n v="15900"/>
    <n v="2"/>
    <s v="Medium"/>
  </r>
  <r>
    <s v="C476"/>
    <d v="2024-11-18T08:10:09"/>
    <d v="2024-11-18T08:10:09"/>
    <s v="Ongoing"/>
    <n v="0"/>
    <n v="8187"/>
    <s v="Professionals 35-50"/>
    <n v="18559"/>
    <n v="1621"/>
    <n v="283"/>
    <n v="6199"/>
    <n v="8.734306805323562E-2"/>
    <n v="0.17458359037631091"/>
    <n v="11.814312152991981"/>
    <n v="67.671378091872796"/>
    <n v="2.33919628679614"/>
    <n v="0.32369066889457471"/>
    <s v="CL476"/>
    <x v="3"/>
    <s v="Medium"/>
    <n v="19151"/>
    <n v="1"/>
    <s v="Low"/>
  </r>
  <r>
    <s v="C477"/>
    <d v="2023-03-24T18:11:20"/>
    <d v="2024-10-14T22:08:16"/>
    <s v="Completed"/>
    <n v="570.16453703703883"/>
    <n v="8363"/>
    <s v="Parents 30-40"/>
    <n v="12024"/>
    <n v="1022"/>
    <n v="354"/>
    <n v="7903"/>
    <n v="8.4996673320026611E-2"/>
    <n v="0.34637964774951074"/>
    <n v="13.153620352250488"/>
    <n v="37.974576271186443"/>
    <n v="1.6074375224201842"/>
    <n v="0.58788960797441048"/>
    <s v="CL477"/>
    <x v="3"/>
    <s v="Small"/>
    <n v="13443"/>
    <n v="1"/>
    <s v="Low"/>
  </r>
  <r>
    <s v="C478"/>
    <d v="2023-06-15T09:07:24"/>
    <d v="2023-10-01T10:58:08"/>
    <s v="Completed"/>
    <n v="108.07689814814512"/>
    <n v="9725"/>
    <s v="Adults 25-34"/>
    <n v="3449"/>
    <n v="402"/>
    <n v="96"/>
    <n v="11124"/>
    <n v="0.11655552334009858"/>
    <n v="0.23880597014925373"/>
    <n v="36.4228855721393"/>
    <n v="152.52083333333334"/>
    <n v="1.5056041131105398"/>
    <n v="0.75973227701133728"/>
    <s v="CL478"/>
    <x v="0"/>
    <s v="Small"/>
    <n v="14642"/>
    <n v="4"/>
    <s v="High"/>
  </r>
  <r>
    <s v="C479"/>
    <d v="2023-03-25T08:06:41"/>
    <d v="2024-09-18T03:29:39"/>
    <s v="Completed"/>
    <n v="542.80761574073404"/>
    <n v="3631"/>
    <s v="Youths 18-24"/>
    <n v="2482"/>
    <n v="504"/>
    <n v="59"/>
    <n v="11296"/>
    <n v="0.20306204673650283"/>
    <n v="0.11706349206349206"/>
    <n v="27.253968253968253"/>
    <n v="232.81355932203391"/>
    <n v="3.7829798953456346"/>
    <n v="0.82236458940011647"/>
    <s v="CL479"/>
    <x v="1"/>
    <s v="Medium"/>
    <n v="13736"/>
    <n v="5"/>
    <s v="High"/>
  </r>
  <r>
    <s v="C480"/>
    <d v="2023-09-22T09:24:37"/>
    <d v="2024-03-04T10:42:57"/>
    <s v="Completed"/>
    <n v="164.05439814814599"/>
    <n v="7871"/>
    <s v="Adults 25-34"/>
    <n v="3443"/>
    <n v="1241"/>
    <n v="352"/>
    <n v="9718"/>
    <n v="0.36044147545744992"/>
    <n v="0.28364222401289285"/>
    <n v="12.882352941176471"/>
    <n v="45.417613636363633"/>
    <n v="2.0311269216109769"/>
    <n v="0.60786889347594919"/>
    <s v="CL480"/>
    <x v="3"/>
    <s v="Medium"/>
    <n v="15987"/>
    <n v="4"/>
    <s v="High"/>
  </r>
  <r>
    <s v="C481"/>
    <d v="2023-10-09T06:23:06"/>
    <d v="2024-04-17T17:05:07"/>
    <s v="Completed"/>
    <n v="191.44584490740817"/>
    <n v="7531"/>
    <s v="Professionals 35-50"/>
    <n v="7428"/>
    <n v="397"/>
    <n v="469"/>
    <n v="7956"/>
    <n v="5.3446418955304255E-2"/>
    <n v="1.1813602015113349"/>
    <n v="26.397984886649873"/>
    <n v="22.345415778251599"/>
    <n v="1.3915814632850882"/>
    <n v="0.75916030534351142"/>
    <s v="CL481"/>
    <x v="2"/>
    <s v="Medium"/>
    <n v="10480"/>
    <n v="4"/>
    <s v="High"/>
  </r>
  <r>
    <s v="C482"/>
    <d v="2024-04-02T01:28:31"/>
    <d v="2024-04-02T01:28:31"/>
    <s v="Ongoing"/>
    <n v="0"/>
    <n v="2399"/>
    <s v="Parents 30-40"/>
    <n v="2779"/>
    <n v="1066"/>
    <n v="271"/>
    <n v="6041"/>
    <n v="0.38359121986326017"/>
    <n v="0.25422138836772984"/>
    <n v="1.8789868667917449"/>
    <n v="7.391143911439114"/>
    <n v="0.83493122134222597"/>
    <n v="3.015976035946081"/>
    <s v="CL482"/>
    <x v="1"/>
    <s v="Small"/>
    <n v="2003"/>
    <n v="1"/>
    <s v="Low"/>
  </r>
  <r>
    <s v="C483"/>
    <d v="2024-03-27T14:47:04"/>
    <d v="2024-03-27T14:47:04"/>
    <s v="Ongoing"/>
    <n v="0"/>
    <n v="5029"/>
    <s v="Youths 18-24"/>
    <n v="18865"/>
    <n v="135"/>
    <n v="467"/>
    <n v="6024"/>
    <n v="7.1561091969255235E-3"/>
    <n v="3.4592592592592593"/>
    <n v="60.555555555555557"/>
    <n v="17.505353319057814"/>
    <n v="1.6255716842314576"/>
    <n v="0.73688073394495412"/>
    <s v="CL483"/>
    <x v="0"/>
    <s v="Large"/>
    <n v="8175"/>
    <n v="2"/>
    <s v="Medium"/>
  </r>
  <r>
    <s v="C484"/>
    <d v="2023-04-07T10:01:19"/>
    <d v="2023-06-18T04:03:31"/>
    <s v="Completed"/>
    <n v="71.751527777778392"/>
    <n v="4671"/>
    <s v="Parents 30-40"/>
    <n v="10275"/>
    <n v="1773"/>
    <n v="443"/>
    <n v="9537"/>
    <n v="0.17255474452554745"/>
    <n v="0.24985899605188946"/>
    <n v="6.0699379582628312"/>
    <n v="24.293453724604966"/>
    <n v="2.3040034253907087"/>
    <n v="0.88617357368518868"/>
    <s v="CL484"/>
    <x v="3"/>
    <s v="Large"/>
    <n v="10762"/>
    <n v="1"/>
    <s v="Low"/>
  </r>
  <r>
    <s v="C485"/>
    <d v="2024-10-28T20:48:51"/>
    <d v="2024-10-28T20:48:51"/>
    <s v="Ongoing"/>
    <n v="0"/>
    <n v="7815"/>
    <s v="Parents 30-40"/>
    <n v="12281"/>
    <n v="1603"/>
    <n v="15"/>
    <n v="6488"/>
    <n v="0.13052683006269847"/>
    <n v="9.3574547723019336E-3"/>
    <n v="2.4741110417966312"/>
    <n v="264.39999999999998"/>
    <n v="0.50748560460652592"/>
    <n v="1.6359051941502774"/>
    <s v="CL485"/>
    <x v="3"/>
    <s v="Small"/>
    <n v="3966"/>
    <n v="1"/>
    <s v="Low"/>
  </r>
  <r>
    <s v="C486"/>
    <d v="2023-10-02T07:35:10"/>
    <d v="2023-10-02T07:35:10"/>
    <s v="Ongoing"/>
    <n v="0"/>
    <n v="5754"/>
    <s v="Adults 25-34"/>
    <n v="8264"/>
    <n v="195"/>
    <n v="307"/>
    <n v="6075"/>
    <n v="2.3596321393998063E-2"/>
    <n v="1.5743589743589743"/>
    <n v="57.051282051282051"/>
    <n v="36.237785016286644"/>
    <n v="1.9334376086200904"/>
    <n v="0.54606741573033712"/>
    <s v="CL486"/>
    <x v="0"/>
    <s v="Medium"/>
    <n v="11125"/>
    <n v="4"/>
    <s v="High"/>
  </r>
  <r>
    <s v="C487"/>
    <d v="2024-03-29T05:38:25"/>
    <d v="2024-03-29T05:38:25"/>
    <s v="Ongoing"/>
    <n v="0"/>
    <n v="3008"/>
    <s v="Parents 30-40"/>
    <n v="14837"/>
    <n v="1018"/>
    <n v="395"/>
    <n v="8765"/>
    <n v="6.8612253150906521E-2"/>
    <n v="0.3880157170923379"/>
    <n v="13.055992141453832"/>
    <n v="33.648101265822788"/>
    <n v="4.4185505319148932"/>
    <n v="0.65946881348280795"/>
    <s v="CL487"/>
    <x v="1"/>
    <s v="Medium"/>
    <n v="13291"/>
    <n v="2"/>
    <s v="Medium"/>
  </r>
  <r>
    <s v="C488"/>
    <d v="2024-01-13T14:00:28"/>
    <d v="2024-03-05T20:46:42"/>
    <s v="Completed"/>
    <n v="52.282106481485243"/>
    <n v="2872"/>
    <s v="Professionals 35-50"/>
    <n v="10995"/>
    <n v="1082"/>
    <n v="226"/>
    <n v="1581"/>
    <n v="9.8408367439745334E-2"/>
    <n v="0.20887245841035121"/>
    <n v="10.577634011090574"/>
    <n v="50.641592920353979"/>
    <n v="3.9850278551532035"/>
    <n v="0.13813892529488861"/>
    <s v="CL488"/>
    <x v="1"/>
    <s v="Medium"/>
    <n v="11445"/>
    <n v="5"/>
    <s v="High"/>
  </r>
  <r>
    <s v="C489"/>
    <d v="2023-01-24T15:02:29"/>
    <d v="2024-01-09T00:51:14"/>
    <s v="Completed"/>
    <n v="349.40885416666424"/>
    <n v="4741"/>
    <s v="Professionals 35-50"/>
    <n v="18555"/>
    <n v="293"/>
    <n v="317"/>
    <n v="6126"/>
    <n v="1.5790891942872542E-2"/>
    <n v="1.0819112627986349"/>
    <n v="22.56655290102389"/>
    <n v="20.858044164037857"/>
    <n v="1.3946424804893482"/>
    <n v="0.926497277676951"/>
    <s v="CL489"/>
    <x v="4"/>
    <s v="Medium"/>
    <n v="6612"/>
    <n v="2"/>
    <s v="Medium"/>
  </r>
  <r>
    <s v="C490"/>
    <d v="2023-12-17T06:33:48"/>
    <d v="2023-12-17T06:33:48"/>
    <s v="Ongoing"/>
    <n v="0"/>
    <n v="6221"/>
    <s v="Adults 25-34"/>
    <n v="19917"/>
    <n v="952"/>
    <n v="413"/>
    <n v="3316"/>
    <n v="4.7798363207310339E-2"/>
    <n v="0.43382352941176472"/>
    <n v="20.134453781512605"/>
    <n v="46.411622276029057"/>
    <n v="3.0811766597010126"/>
    <n v="0.1729966611018364"/>
    <s v="CL490"/>
    <x v="1"/>
    <s v="Large"/>
    <n v="19168"/>
    <n v="2"/>
    <s v="Medium"/>
  </r>
  <r>
    <s v="C491"/>
    <d v="2023-07-13T10:06:03"/>
    <d v="2024-12-02T16:12:29"/>
    <s v="Completed"/>
    <n v="508.25446759259648"/>
    <n v="3942"/>
    <s v="Adults 25-34"/>
    <n v="4407"/>
    <n v="1168"/>
    <n v="277"/>
    <n v="14179"/>
    <n v="0.26503290220104381"/>
    <n v="0.23715753424657535"/>
    <n v="15.637842465753424"/>
    <n v="65.938628158844764"/>
    <n v="4.6334348046676812"/>
    <n v="0.77629345743224742"/>
    <s v="CL491"/>
    <x v="4"/>
    <s v="Medium"/>
    <n v="18265"/>
    <n v="2"/>
    <s v="Medium"/>
  </r>
  <r>
    <s v="C492"/>
    <d v="2024-08-12T15:00:56"/>
    <d v="2024-08-12T15:00:56"/>
    <s v="Ongoing"/>
    <n v="0"/>
    <n v="1556"/>
    <s v="Adults 25-34"/>
    <n v="10582"/>
    <n v="650"/>
    <n v="41"/>
    <n v="14081"/>
    <n v="6.1425061425061427E-2"/>
    <n v="6.3076923076923072E-2"/>
    <n v="27.995384615384616"/>
    <n v="443.82926829268291"/>
    <n v="11.694730077120823"/>
    <n v="0.77380886959388906"/>
    <s v="CL492"/>
    <x v="4"/>
    <s v="Large"/>
    <n v="18197"/>
    <n v="2"/>
    <s v="Medium"/>
  </r>
  <r>
    <s v="C493"/>
    <d v="2023-07-29T18:03:43"/>
    <d v="2024-05-03T22:49:18"/>
    <s v="Completed"/>
    <n v="279.19832175925694"/>
    <n v="6457"/>
    <s v="Professionals 35-50"/>
    <n v="11756"/>
    <n v="445"/>
    <n v="176"/>
    <n v="12819"/>
    <n v="3.7853011228308947E-2"/>
    <n v="0.39550561797752809"/>
    <n v="17.265168539325842"/>
    <n v="43.653409090909093"/>
    <n v="1.1898714573331268"/>
    <n v="1.6684888715345567"/>
    <s v="CL493"/>
    <x v="0"/>
    <s v="Small"/>
    <n v="7683"/>
    <n v="3"/>
    <s v="Medium"/>
  </r>
  <r>
    <s v="C494"/>
    <d v="2024-07-28T20:33:31"/>
    <d v="2024-07-28T20:33:31"/>
    <s v="Ongoing"/>
    <n v="0"/>
    <n v="1007"/>
    <s v="Professionals 35-50"/>
    <n v="18899"/>
    <n v="763"/>
    <n v="206"/>
    <n v="2310"/>
    <n v="4.0372506481824437E-2"/>
    <n v="0.26998689384010482"/>
    <n v="12.330275229357799"/>
    <n v="45.66990291262136"/>
    <n v="9.3426017874875864"/>
    <n v="0.24553571428571427"/>
    <s v="CL494"/>
    <x v="0"/>
    <s v="Small"/>
    <n v="9408"/>
    <n v="3"/>
    <s v="Medium"/>
  </r>
  <r>
    <s v="C495"/>
    <d v="2024-06-24T16:23:45"/>
    <d v="2024-08-29T13:00:29"/>
    <s v="Completed"/>
    <n v="65.858842592599103"/>
    <n v="6025"/>
    <s v="Parents 30-40"/>
    <n v="6060"/>
    <n v="1661"/>
    <n v="357"/>
    <n v="3817"/>
    <n v="0.2740924092409241"/>
    <n v="0.21493076459963878"/>
    <n v="5.9819385912101142"/>
    <n v="27.831932773109244"/>
    <n v="1.6491286307053943"/>
    <n v="0.38415861513687599"/>
    <s v="CL495"/>
    <x v="3"/>
    <s v="Large"/>
    <n v="9936"/>
    <n v="2"/>
    <s v="Medium"/>
  </r>
  <r>
    <s v="C496"/>
    <d v="2023-10-23T03:43:13"/>
    <d v="2023-10-23T03:43:13"/>
    <s v="Ongoing"/>
    <n v="0"/>
    <n v="8300"/>
    <s v="Parents 30-40"/>
    <n v="9577"/>
    <n v="1023"/>
    <n v="74"/>
    <n v="10778"/>
    <n v="0.10681841912916362"/>
    <n v="7.2336265884652987E-2"/>
    <n v="4.021505376344086"/>
    <n v="55.594594594594597"/>
    <n v="0.49566265060240966"/>
    <n v="2.6198347107438016"/>
    <s v="CL496"/>
    <x v="3"/>
    <s v="Large"/>
    <n v="4114"/>
    <n v="1"/>
    <s v="Low"/>
  </r>
  <r>
    <s v="C497"/>
    <d v="2023-05-07T10:49:31"/>
    <d v="2023-12-31T12:07:00"/>
    <s v="Completed"/>
    <n v="238.05380787036847"/>
    <n v="3253"/>
    <s v="Adults 25-34"/>
    <n v="17667"/>
    <n v="1885"/>
    <n v="171"/>
    <n v="1123"/>
    <n v="0.10669610007358352"/>
    <n v="9.0716180371352789E-2"/>
    <n v="10.508753315649868"/>
    <n v="115.84210526315789"/>
    <n v="6.0894558868736555"/>
    <n v="5.6691402897672778E-2"/>
    <s v="CL497"/>
    <x v="3"/>
    <s v="Large"/>
    <n v="19809"/>
    <n v="3"/>
    <s v="Medium"/>
  </r>
  <r>
    <s v="C498"/>
    <d v="2023-10-24T19:37:18"/>
    <d v="2024-03-30T00:13:12"/>
    <s v="Completed"/>
    <n v="157.19159722221957"/>
    <n v="1009"/>
    <s v="Parents 30-40"/>
    <n v="5575"/>
    <n v="1821"/>
    <n v="471"/>
    <n v="5890"/>
    <n v="0.32663677130044844"/>
    <n v="0.25864909390444812"/>
    <n v="3.4695222405271831"/>
    <n v="13.414012738853502"/>
    <n v="6.2616451932606543"/>
    <n v="0.93225704336815451"/>
    <s v="CL498"/>
    <x v="4"/>
    <s v="Medium"/>
    <n v="6318"/>
    <n v="3"/>
    <s v="Medium"/>
  </r>
  <r>
    <s v="C499"/>
    <d v="2024-08-31T13:50:53"/>
    <d v="2024-08-31T13:50:53"/>
    <s v="Ongoing"/>
    <n v="0"/>
    <n v="6814"/>
    <s v="Adults 25-34"/>
    <n v="10040"/>
    <n v="1601"/>
    <n v="329"/>
    <n v="13398"/>
    <n v="0.15946215139442232"/>
    <n v="0.20549656464709556"/>
    <n v="9.872579637726421"/>
    <n v="48.042553191489361"/>
    <n v="2.3196360434399765"/>
    <n v="0.84765279007971661"/>
    <s v="CL499"/>
    <x v="0"/>
    <s v="Medium"/>
    <n v="15806"/>
    <n v="2"/>
    <s v="Medium"/>
  </r>
  <r>
    <s v="C500"/>
    <d v="2023-06-30T23:10:25"/>
    <d v="2024-12-11T21:33:45"/>
    <s v="Completed"/>
    <n v="529.93287037037226"/>
    <n v="6018"/>
    <s v="Parents 30-40"/>
    <n v="14252"/>
    <n v="159"/>
    <n v="244"/>
    <n v="6141"/>
    <n v="1.1156328936289643E-2"/>
    <n v="1.5345911949685536"/>
    <n v="113.57232704402516"/>
    <n v="74.008196721311478"/>
    <n v="3.0006646726487207"/>
    <n v="0.34007088271126373"/>
    <s v="CL500"/>
    <x v="2"/>
    <s v="Small"/>
    <n v="18058"/>
    <n v="2"/>
    <s v="Medium"/>
  </r>
  <r>
    <s v="C501"/>
    <d v="2023-08-08T12:16:29"/>
    <d v="2023-08-08T12:16:29"/>
    <s v="Ongoing"/>
    <n v="0"/>
    <n v="1891"/>
    <s v="Youths 18-24"/>
    <n v="2885"/>
    <n v="191"/>
    <n v="374"/>
    <n v="12103"/>
    <n v="6.6204506065857885E-2"/>
    <n v="1.9581151832460733"/>
    <n v="88.8848167539267"/>
    <n v="45.393048128342244"/>
    <n v="8.9777895293495504"/>
    <n v="0.71290569594156805"/>
    <s v="CL501"/>
    <x v="1"/>
    <s v="Large"/>
    <n v="16977"/>
    <n v="2"/>
    <s v="Medium"/>
  </r>
  <r>
    <s v="C502"/>
    <d v="2024-05-06T17:35:00"/>
    <d v="2024-05-11T04:44:51"/>
    <s v="Completed"/>
    <n v="4.4651736111118225"/>
    <n v="8866"/>
    <s v="Professionals 35-50"/>
    <n v="18338"/>
    <n v="1112"/>
    <n v="135"/>
    <n v="14936"/>
    <n v="6.0639110044715894E-2"/>
    <n v="0.12140287769784172"/>
    <n v="17.855215827338128"/>
    <n v="147.07407407407408"/>
    <n v="2.2394540942928041"/>
    <n v="0.75225384034248299"/>
    <s v="CL502"/>
    <x v="3"/>
    <s v="Large"/>
    <n v="19855"/>
    <n v="1"/>
    <s v="Low"/>
  </r>
  <r>
    <s v="C503"/>
    <d v="2023-09-01T00:57:00"/>
    <d v="2024-08-18T22:34:47"/>
    <s v="Completed"/>
    <n v="352.90123842592584"/>
    <n v="7334"/>
    <s v="Youths 18-24"/>
    <n v="13655"/>
    <n v="923"/>
    <n v="141"/>
    <n v="2130"/>
    <n v="6.7594287806664224E-2"/>
    <n v="0.15276273022751896"/>
    <n v="8.1148429035752976"/>
    <n v="53.120567375886523"/>
    <n v="1.0212707935642213"/>
    <n v="0.28437917222963954"/>
    <s v="CL503"/>
    <x v="3"/>
    <s v="Large"/>
    <n v="7490"/>
    <n v="1"/>
    <s v="Low"/>
  </r>
  <r>
    <s v="C504"/>
    <d v="2023-01-15T10:35:11"/>
    <d v="2024-09-02T06:45:54"/>
    <s v="Completed"/>
    <n v="595.84077546296612"/>
    <n v="6194"/>
    <s v="Professionals 35-50"/>
    <n v="16206"/>
    <n v="656"/>
    <n v="333"/>
    <n v="2214"/>
    <n v="4.0478834999382943E-2"/>
    <n v="0.50762195121951215"/>
    <n v="23.434451219512194"/>
    <n v="46.165165165165163"/>
    <n v="2.4819179851469162"/>
    <n v="0.14401873414427893"/>
    <s v="CL504"/>
    <x v="2"/>
    <s v="Small"/>
    <n v="15373"/>
    <n v="4"/>
    <s v="High"/>
  </r>
  <r>
    <s v="C505"/>
    <d v="2023-06-14T12:34:49"/>
    <d v="2023-06-14T12:34:49"/>
    <s v="Ongoing"/>
    <n v="0"/>
    <n v="5752"/>
    <s v="Youths 18-24"/>
    <n v="7246"/>
    <n v="1473"/>
    <n v="457"/>
    <n v="12270"/>
    <n v="0.20328457079768147"/>
    <n v="0.31025118805159541"/>
    <n v="3.9375424304141209"/>
    <n v="12.691466083150985"/>
    <n v="1.0083449235048678"/>
    <n v="2.1155172413793104"/>
    <s v="CL505"/>
    <x v="4"/>
    <s v="Large"/>
    <n v="5800"/>
    <n v="5"/>
    <s v="High"/>
  </r>
  <r>
    <s v="C506"/>
    <d v="2024-12-01T04:24:45"/>
    <d v="2024-12-01T04:24:45"/>
    <s v="Ongoing"/>
    <n v="0"/>
    <n v="7455"/>
    <s v="Adults 25-34"/>
    <n v="11448"/>
    <n v="1985"/>
    <n v="468"/>
    <n v="12153"/>
    <n v="0.1733927323549965"/>
    <n v="0.23576826196473552"/>
    <n v="1.8201511335012595"/>
    <n v="7.7200854700854702"/>
    <n v="0.48464118041582832"/>
    <n v="3.3636866869637418"/>
    <s v="CL506"/>
    <x v="0"/>
    <s v="Small"/>
    <n v="3613"/>
    <n v="4"/>
    <s v="High"/>
  </r>
  <r>
    <s v="C507"/>
    <d v="2024-12-02T21:40:58"/>
    <d v="2024-12-02T21:40:58"/>
    <s v="Ongoing"/>
    <n v="0"/>
    <n v="6534"/>
    <s v="Parents 30-40"/>
    <n v="5437"/>
    <n v="1983"/>
    <n v="254"/>
    <n v="5708"/>
    <n v="0.36472319293728162"/>
    <n v="0.12808875441250631"/>
    <n v="8.0741301059001511"/>
    <n v="63.035433070866141"/>
    <n v="2.450413223140496"/>
    <n v="0.3565049028792705"/>
    <s v="CL507"/>
    <x v="1"/>
    <s v="Small"/>
    <n v="16011"/>
    <n v="3"/>
    <s v="Medium"/>
  </r>
  <r>
    <s v="C508"/>
    <d v="2023-08-28T14:10:34"/>
    <d v="2023-08-28T14:10:34"/>
    <s v="Ongoing"/>
    <n v="0"/>
    <n v="6970"/>
    <s v="Professionals 35-50"/>
    <n v="2589"/>
    <n v="647"/>
    <n v="394"/>
    <n v="13861"/>
    <n v="0.24990343762070297"/>
    <n v="0.60896445131375576"/>
    <n v="6.3493044822256568"/>
    <n v="10.426395939086294"/>
    <n v="0.58938307030129122"/>
    <n v="3.3741480038948395"/>
    <s v="CL508"/>
    <x v="3"/>
    <s v="Small"/>
    <n v="4108"/>
    <n v="3"/>
    <s v="Medium"/>
  </r>
  <r>
    <s v="C509"/>
    <d v="2024-01-06T06:23:08"/>
    <d v="2024-11-23T13:58:13"/>
    <s v="Completed"/>
    <n v="322.31603009258833"/>
    <n v="6373"/>
    <s v="Professionals 35-50"/>
    <n v="17272"/>
    <n v="242"/>
    <n v="132"/>
    <n v="3430"/>
    <n v="1.4011116257526633E-2"/>
    <n v="0.54545454545454541"/>
    <n v="46.607438016528924"/>
    <n v="85.446969696969703"/>
    <n v="1.769810136513416"/>
    <n v="0.30410497384519902"/>
    <s v="CL509"/>
    <x v="3"/>
    <s v="Medium"/>
    <n v="11279"/>
    <n v="1"/>
    <s v="Low"/>
  </r>
  <r>
    <s v="C510"/>
    <d v="2023-07-23T14:49:50"/>
    <d v="2023-07-23T14:49:50"/>
    <s v="Ongoing"/>
    <n v="0"/>
    <n v="2513"/>
    <s v="Professionals 35-50"/>
    <n v="7506"/>
    <n v="1882"/>
    <n v="116"/>
    <n v="8025"/>
    <n v="0.25073274713562482"/>
    <n v="6.1636556854410204E-2"/>
    <n v="0.75823591923485656"/>
    <n v="12.301724137931034"/>
    <n v="0.5678471945881417"/>
    <n v="5.6236860546601264"/>
    <s v="CL510"/>
    <x v="1"/>
    <s v="Small"/>
    <n v="1427"/>
    <n v="2"/>
    <s v="Medium"/>
  </r>
  <r>
    <s v="C511"/>
    <d v="2023-03-03T00:17:18"/>
    <d v="2024-08-25T16:17:13"/>
    <s v="Completed"/>
    <n v="541.6666087962949"/>
    <n v="4832"/>
    <s v="Parents 30-40"/>
    <n v="5363"/>
    <n v="648"/>
    <n v="80"/>
    <n v="3512"/>
    <n v="0.12082789483498042"/>
    <n v="0.12345679012345678"/>
    <n v="13.049382716049383"/>
    <n v="105.7"/>
    <n v="1.75"/>
    <n v="0.41532639545884581"/>
    <s v="CL511"/>
    <x v="1"/>
    <s v="Medium"/>
    <n v="8456"/>
    <n v="1"/>
    <s v="Low"/>
  </r>
  <r>
    <s v="C512"/>
    <d v="2024-05-28T18:03:43"/>
    <d v="2024-11-10T02:23:49"/>
    <s v="Completed"/>
    <n v="165.34729166666511"/>
    <n v="1911"/>
    <s v="Professionals 35-50"/>
    <n v="17644"/>
    <n v="1070"/>
    <n v="57"/>
    <n v="10082"/>
    <n v="6.0643844933121742E-2"/>
    <n v="5.3271028037383178E-2"/>
    <n v="1.4233644859813084"/>
    <n v="26.719298245614034"/>
    <n v="0.79696493982208272"/>
    <n v="6.6198292843072881"/>
    <s v="CL512"/>
    <x v="0"/>
    <s v="Large"/>
    <n v="1523"/>
    <n v="4"/>
    <s v="High"/>
  </r>
  <r>
    <s v="C513"/>
    <d v="2024-10-15T20:47:39"/>
    <d v="2024-10-15T20:47:39"/>
    <s v="Ongoing"/>
    <n v="0"/>
    <n v="8268"/>
    <s v="Youths 18-24"/>
    <n v="3055"/>
    <n v="1896"/>
    <n v="370"/>
    <n v="3497"/>
    <n v="0.62062193126022913"/>
    <n v="0.19514767932489452"/>
    <n v="7.208333333333333"/>
    <n v="36.93783783783784"/>
    <n v="1.6529995162070634"/>
    <n v="0.25587180800468279"/>
    <s v="CL513"/>
    <x v="0"/>
    <s v="Medium"/>
    <n v="13667"/>
    <n v="3"/>
    <s v="Medium"/>
  </r>
  <r>
    <s v="C514"/>
    <d v="2023-01-30T15:53:39"/>
    <d v="2023-07-11T23:47:07"/>
    <s v="Completed"/>
    <n v="162.32879629629315"/>
    <n v="9236"/>
    <s v="Adults 25-34"/>
    <n v="10051"/>
    <n v="470"/>
    <n v="229"/>
    <n v="12573"/>
    <n v="4.6761516267038103E-2"/>
    <n v="0.48723404255319147"/>
    <n v="7.0404255319148934"/>
    <n v="14.449781659388647"/>
    <n v="0.35827197921178"/>
    <n v="3.799637352674524"/>
    <s v="CL514"/>
    <x v="3"/>
    <s v="Medium"/>
    <n v="3309"/>
    <n v="1"/>
    <s v="Low"/>
  </r>
  <r>
    <s v="C515"/>
    <d v="2024-10-18T10:03:20"/>
    <d v="2024-10-18T10:03:20"/>
    <s v="Ongoing"/>
    <n v="0"/>
    <n v="9065"/>
    <s v="Adults 25-34"/>
    <n v="19115"/>
    <n v="980"/>
    <n v="133"/>
    <n v="1826"/>
    <n v="5.1268637195919432E-2"/>
    <n v="0.1357142857142857"/>
    <n v="7.8948979591836732"/>
    <n v="58.172932330827066"/>
    <n v="0.85350248207391066"/>
    <n v="0.23600878893628022"/>
    <s v="CL515"/>
    <x v="0"/>
    <s v="Large"/>
    <n v="7737"/>
    <n v="1"/>
    <s v="Low"/>
  </r>
  <r>
    <s v="C516"/>
    <d v="2024-10-05T07:54:50"/>
    <d v="2024-10-05T07:54:50"/>
    <s v="Ongoing"/>
    <n v="0"/>
    <n v="1556"/>
    <s v="Adults 25-34"/>
    <n v="7051"/>
    <n v="223"/>
    <n v="390"/>
    <n v="11104"/>
    <n v="3.1626719614239115E-2"/>
    <n v="1.7488789237668161"/>
    <n v="2.6188340807174888"/>
    <n v="1.4974358974358974"/>
    <n v="0.37532133676092544"/>
    <n v="19.013698630136986"/>
    <s v="CL516"/>
    <x v="0"/>
    <s v="Large"/>
    <n v="584"/>
    <n v="3"/>
    <s v="Medium"/>
  </r>
  <r>
    <s v="C517"/>
    <d v="2023-11-25T12:30:24"/>
    <d v="2024-03-31T17:23:32"/>
    <s v="Completed"/>
    <n v="127.20356481481576"/>
    <n v="7546"/>
    <s v="Adults 25-34"/>
    <n v="9956"/>
    <n v="1173"/>
    <n v="368"/>
    <n v="11728"/>
    <n v="0.11781840096424266"/>
    <n v="0.31372549019607843"/>
    <n v="1.4407502131287298"/>
    <n v="4.5923913043478262"/>
    <n v="0.22395971375563212"/>
    <n v="6.9396449704142009"/>
    <s v="CL517"/>
    <x v="0"/>
    <s v="Medium"/>
    <n v="1690"/>
    <n v="3"/>
    <s v="Medium"/>
  </r>
  <r>
    <s v="C518"/>
    <d v="2023-05-15T21:31:21"/>
    <d v="2024-12-10T20:56:50"/>
    <s v="Completed"/>
    <n v="574.97603009259183"/>
    <n v="6616"/>
    <s v="Youths 18-24"/>
    <n v="13223"/>
    <n v="1132"/>
    <n v="11"/>
    <n v="11315"/>
    <n v="8.5608409589351883E-2"/>
    <n v="9.7173144876325085E-3"/>
    <n v="17.492049469964666"/>
    <n v="1800.090909090909"/>
    <n v="2.9928960096735189"/>
    <n v="0.57143578607141055"/>
    <s v="CL518"/>
    <x v="1"/>
    <s v="Medium"/>
    <n v="19801"/>
    <n v="2"/>
    <s v="Medium"/>
  </r>
  <r>
    <s v="C519"/>
    <d v="2023-07-18T15:42:50"/>
    <d v="2024-08-05T06:48:03"/>
    <s v="Completed"/>
    <n v="383.62862268518802"/>
    <n v="5493"/>
    <s v="Professionals 35-50"/>
    <n v="11235"/>
    <n v="1520"/>
    <n v="158"/>
    <n v="9999"/>
    <n v="0.13529149977748109"/>
    <n v="0.10394736842105264"/>
    <n v="4.7710526315789474"/>
    <n v="45.898734177215189"/>
    <n v="1.3202257418532677"/>
    <n v="1.378792057363486"/>
    <s v="CL519"/>
    <x v="3"/>
    <s v="Medium"/>
    <n v="7252"/>
    <n v="5"/>
    <s v="High"/>
  </r>
  <r>
    <s v="C520"/>
    <d v="2024-02-19T04:56:54"/>
    <d v="2024-02-19T04:56:54"/>
    <s v="Ongoing"/>
    <n v="0"/>
    <n v="3216"/>
    <s v="Youths 18-24"/>
    <n v="8239"/>
    <n v="1538"/>
    <n v="233"/>
    <n v="867"/>
    <n v="0.18667313994416798"/>
    <n v="0.15149544863459039"/>
    <n v="4.1677503250975292"/>
    <n v="27.510729613733904"/>
    <n v="1.9931592039800996"/>
    <n v="0.13525741029641186"/>
    <s v="CL520"/>
    <x v="2"/>
    <s v="Small"/>
    <n v="6410"/>
    <n v="3"/>
    <s v="Medium"/>
  </r>
  <r>
    <s v="C521"/>
    <d v="2023-07-30T09:45:25"/>
    <d v="2024-03-01T02:10:03"/>
    <s v="Completed"/>
    <n v="214.68377314814279"/>
    <n v="9794"/>
    <s v="Professionals 35-50"/>
    <n v="13890"/>
    <n v="1113"/>
    <n v="465"/>
    <n v="11345"/>
    <n v="8.0129589632829373E-2"/>
    <n v="0.41778975741239893"/>
    <n v="14.177897574123989"/>
    <n v="33.935483870967744"/>
    <n v="1.6111905248111089"/>
    <n v="0.71894803548795949"/>
    <s v="CL521"/>
    <x v="3"/>
    <s v="Large"/>
    <n v="15780"/>
    <n v="3"/>
    <s v="Medium"/>
  </r>
  <r>
    <s v="C522"/>
    <d v="2024-12-09T00:36:06"/>
    <d v="2024-12-09T00:36:06"/>
    <s v="Ongoing"/>
    <n v="0"/>
    <n v="5499"/>
    <s v="Parents 30-40"/>
    <n v="16506"/>
    <n v="173"/>
    <n v="330"/>
    <n v="8733"/>
    <n v="1.048103719859445E-2"/>
    <n v="1.9075144508670521"/>
    <n v="115.3699421965318"/>
    <n v="60.481818181818184"/>
    <n v="3.6295690125477358"/>
    <n v="0.43754697129114684"/>
    <s v="CL522"/>
    <x v="0"/>
    <s v="Medium"/>
    <n v="19959"/>
    <n v="4"/>
    <s v="High"/>
  </r>
  <r>
    <s v="C523"/>
    <d v="2024-03-17T14:59:56"/>
    <d v="2024-03-17T14:59:56"/>
    <s v="Ongoing"/>
    <n v="0"/>
    <n v="2164"/>
    <s v="Adults 25-34"/>
    <n v="12419"/>
    <n v="1359"/>
    <n v="88"/>
    <n v="10414"/>
    <n v="0.10942910057170464"/>
    <n v="6.4753495217071383E-2"/>
    <n v="14.548197203826343"/>
    <n v="224.67045454545453"/>
    <n v="9.1363216266173755"/>
    <n v="0.52673107076020431"/>
    <s v="CL523"/>
    <x v="1"/>
    <s v="Small"/>
    <n v="19771"/>
    <n v="2"/>
    <s v="Medium"/>
  </r>
  <r>
    <s v="C524"/>
    <d v="2023-02-11T13:25:55"/>
    <d v="2024-03-22T18:27:12"/>
    <s v="Completed"/>
    <n v="405.20922453703679"/>
    <n v="3896"/>
    <s v="Youths 18-24"/>
    <n v="1233"/>
    <n v="1270"/>
    <n v="120"/>
    <n v="9344"/>
    <n v="1.0300081103000811"/>
    <n v="9.4488188976377951E-2"/>
    <n v="3.3188976377952755"/>
    <n v="35.125"/>
    <n v="1.0818788501026695"/>
    <n v="2.216844602609727"/>
    <s v="CL524"/>
    <x v="2"/>
    <s v="Large"/>
    <n v="4215"/>
    <n v="2"/>
    <s v="Medium"/>
  </r>
  <r>
    <s v="C525"/>
    <d v="2023-02-09T23:22:02"/>
    <d v="2023-12-31T05:34:18"/>
    <s v="Completed"/>
    <n v="324.25851851851621"/>
    <n v="9933"/>
    <s v="Adults 25-34"/>
    <n v="14301"/>
    <n v="1650"/>
    <n v="342"/>
    <n v="7523"/>
    <n v="0.11537654709460878"/>
    <n v="0.20727272727272728"/>
    <n v="4.4139393939393941"/>
    <n v="21.295321637426902"/>
    <n v="0.73321252391019831"/>
    <n v="1.0329534532472882"/>
    <s v="CL525"/>
    <x v="3"/>
    <s v="Small"/>
    <n v="7283"/>
    <n v="4"/>
    <s v="High"/>
  </r>
  <r>
    <s v="C526"/>
    <d v="2023-03-12T02:40:53"/>
    <d v="2023-10-24T16:57:28"/>
    <s v="Completed"/>
    <n v="226.59484953703213"/>
    <n v="1670"/>
    <s v="Youths 18-24"/>
    <n v="1767"/>
    <n v="644"/>
    <n v="370"/>
    <n v="1353"/>
    <n v="0.36445953593661573"/>
    <n v="0.57453416149068326"/>
    <n v="25.579192546583851"/>
    <n v="44.52162162162162"/>
    <n v="9.8640718562874259"/>
    <n v="8.2134401748315419E-2"/>
    <s v="CL526"/>
    <x v="3"/>
    <s v="Small"/>
    <n v="16473"/>
    <n v="5"/>
    <s v="High"/>
  </r>
  <r>
    <s v="C527"/>
    <d v="2023-12-03T02:30:47"/>
    <d v="2024-01-25T12:30:45"/>
    <s v="Completed"/>
    <n v="53.416643518517958"/>
    <n v="9979"/>
    <s v="Professionals 35-50"/>
    <n v="16244"/>
    <n v="1096"/>
    <n v="303"/>
    <n v="12810"/>
    <n v="6.7471066239842406E-2"/>
    <n v="0.27645985401459855"/>
    <n v="11.803832116788321"/>
    <n v="42.696369636963695"/>
    <n v="1.2964224872231687"/>
    <n v="0.9901831954858159"/>
    <s v="CL527"/>
    <x v="1"/>
    <s v="Small"/>
    <n v="12937"/>
    <n v="2"/>
    <s v="Medium"/>
  </r>
  <r>
    <s v="C528"/>
    <d v="2023-05-25T18:58:49"/>
    <d v="2024-09-15T10:20:53"/>
    <s v="Completed"/>
    <n v="478.64032407406921"/>
    <n v="2811"/>
    <s v="Adults 25-34"/>
    <n v="1148"/>
    <n v="1807"/>
    <n v="242"/>
    <n v="2033"/>
    <n v="1.5740418118466899"/>
    <n v="0.13392363032650803"/>
    <n v="4.244050913115661"/>
    <n v="31.690082644628099"/>
    <n v="2.728210601209534"/>
    <n v="0.26509323249445821"/>
    <s v="CL528"/>
    <x v="2"/>
    <s v="Medium"/>
    <n v="7669"/>
    <n v="1"/>
    <s v="Low"/>
  </r>
  <r>
    <s v="C529"/>
    <d v="2024-12-28T02:56:32"/>
    <d v="2024-12-28T02:56:32"/>
    <s v="Ongoing"/>
    <n v="0"/>
    <n v="2283"/>
    <s v="Adults 25-34"/>
    <n v="13584"/>
    <n v="993"/>
    <n v="473"/>
    <n v="4072"/>
    <n v="7.3100706713780925E-2"/>
    <n v="0.47633434038267874"/>
    <n v="13.577039274924472"/>
    <n v="28.503171247357294"/>
    <n v="5.9053876478317999"/>
    <n v="0.30203233941551699"/>
    <s v="CL529"/>
    <x v="2"/>
    <s v="Small"/>
    <n v="13482"/>
    <n v="4"/>
    <s v="High"/>
  </r>
  <r>
    <s v="C530"/>
    <d v="2024-09-13T12:07:45"/>
    <d v="2024-09-13T12:07:45"/>
    <s v="Ongoing"/>
    <n v="0"/>
    <n v="9062"/>
    <s v="Professionals 35-50"/>
    <n v="13546"/>
    <n v="1206"/>
    <n v="218"/>
    <n v="3249"/>
    <n v="8.9029971947438363E-2"/>
    <n v="0.18076285240464346"/>
    <n v="4.9601990049751246"/>
    <n v="27.440366972477065"/>
    <n v="0.6601191789891856"/>
    <n v="0.54312938816449352"/>
    <s v="CL530"/>
    <x v="4"/>
    <s v="Large"/>
    <n v="5982"/>
    <n v="3"/>
    <s v="Medium"/>
  </r>
  <r>
    <s v="C531"/>
    <d v="2023-10-07T02:17:27"/>
    <d v="2023-10-07T02:17:27"/>
    <s v="Ongoing"/>
    <n v="0"/>
    <n v="3642"/>
    <s v="Youths 18-24"/>
    <n v="11976"/>
    <n v="998"/>
    <n v="185"/>
    <n v="7102"/>
    <n v="8.3333333333333329E-2"/>
    <n v="0.18537074148296592"/>
    <n v="2.0210420841683367"/>
    <n v="10.902702702702703"/>
    <n v="0.55381658429434377"/>
    <n v="3.521070897372335"/>
    <s v="CL531"/>
    <x v="3"/>
    <s v="Medium"/>
    <n v="2017"/>
    <n v="2"/>
    <s v="Medium"/>
  </r>
  <r>
    <s v="C532"/>
    <d v="2023-10-01T09:52:39"/>
    <d v="2024-10-01T01:15:49"/>
    <s v="Completed"/>
    <n v="365.64108796296205"/>
    <n v="3768"/>
    <s v="Adults 25-34"/>
    <n v="19218"/>
    <n v="945"/>
    <n v="125"/>
    <n v="6328"/>
    <n v="4.9172650640024976E-2"/>
    <n v="0.13227513227513227"/>
    <n v="16.785185185185185"/>
    <n v="126.896"/>
    <n v="4.2096602972399149"/>
    <n v="0.39894086496028242"/>
    <s v="CL532"/>
    <x v="2"/>
    <s v="Medium"/>
    <n v="15862"/>
    <n v="5"/>
    <s v="High"/>
  </r>
  <r>
    <s v="C533"/>
    <d v="2024-10-18T04:35:01"/>
    <d v="2024-10-18T04:35:01"/>
    <s v="Ongoing"/>
    <n v="0"/>
    <n v="3181"/>
    <s v="Professionals 35-50"/>
    <n v="2696"/>
    <n v="1525"/>
    <n v="381"/>
    <n v="9831"/>
    <n v="0.56565281899109787"/>
    <n v="0.2498360655737705"/>
    <n v="10.229508196721312"/>
    <n v="40.944881889763778"/>
    <n v="4.9041182018233256"/>
    <n v="0.63019230769230772"/>
    <s v="CL533"/>
    <x v="1"/>
    <s v="Medium"/>
    <n v="15600"/>
    <n v="2"/>
    <s v="Medium"/>
  </r>
  <r>
    <s v="C534"/>
    <d v="2023-10-10T04:40:32"/>
    <d v="2024-12-13T07:21:05"/>
    <s v="Completed"/>
    <n v="430.11149305555591"/>
    <n v="5738"/>
    <s v="Professionals 35-50"/>
    <n v="16044"/>
    <n v="279"/>
    <n v="397"/>
    <n v="4760"/>
    <n v="1.7389678384442782E-2"/>
    <n v="1.4229390681003584"/>
    <n v="8.4551971326164868"/>
    <n v="5.9420654911838788"/>
    <n v="0.41111885674451026"/>
    <n v="2.0178041543026706"/>
    <s v="CL534"/>
    <x v="3"/>
    <s v="Small"/>
    <n v="2359"/>
    <n v="5"/>
    <s v="High"/>
  </r>
  <r>
    <s v="C535"/>
    <d v="2024-05-18T02:06:34"/>
    <d v="2024-05-18T02:06:34"/>
    <s v="Ongoing"/>
    <n v="0"/>
    <n v="7622"/>
    <s v="Professionals 35-50"/>
    <n v="6194"/>
    <n v="1895"/>
    <n v="77"/>
    <n v="7355"/>
    <n v="0.30594123345172747"/>
    <n v="4.0633245382585753E-2"/>
    <n v="1.4284960422163588"/>
    <n v="35.155844155844157"/>
    <n v="0.35515612700078719"/>
    <n v="2.7170299224233467"/>
    <s v="CL535"/>
    <x v="4"/>
    <s v="Large"/>
    <n v="2707"/>
    <n v="3"/>
    <s v="Medium"/>
  </r>
  <r>
    <s v="C536"/>
    <d v="2023-08-24T03:00:40"/>
    <d v="2023-08-24T03:00:40"/>
    <s v="Ongoing"/>
    <n v="0"/>
    <n v="5576"/>
    <s v="Youths 18-24"/>
    <n v="15309"/>
    <n v="1379"/>
    <n v="254"/>
    <n v="11173"/>
    <n v="9.0077732053040691E-2"/>
    <n v="0.18419144307469182"/>
    <n v="1.0848440899202321"/>
    <n v="5.8897637795275593"/>
    <n v="0.26829268292682928"/>
    <n v="7.4685828877005349"/>
    <s v="CL536"/>
    <x v="3"/>
    <s v="Large"/>
    <n v="1496"/>
    <n v="5"/>
    <s v="High"/>
  </r>
  <r>
    <s v="C537"/>
    <d v="2023-03-03T13:15:04"/>
    <d v="2024-12-13T23:12:54"/>
    <s v="Completed"/>
    <n v="651.41516203703941"/>
    <n v="5204"/>
    <s v="Youths 18-24"/>
    <n v="3141"/>
    <n v="1917"/>
    <n v="179"/>
    <n v="9250"/>
    <n v="0.61031518624641834"/>
    <n v="9.3375065206051128E-2"/>
    <n v="7.4517475221700575"/>
    <n v="79.80446927374301"/>
    <n v="2.7450038431975403"/>
    <n v="0.6475323766188309"/>
    <s v="CL537"/>
    <x v="0"/>
    <s v="Medium"/>
    <n v="14285"/>
    <n v="2"/>
    <s v="Medium"/>
  </r>
  <r>
    <s v="C538"/>
    <d v="2023-09-28T01:45:01"/>
    <d v="2023-11-21T03:40:41"/>
    <s v="Completed"/>
    <n v="54.080324074071541"/>
    <n v="5636"/>
    <s v="Youths 18-24"/>
    <n v="5778"/>
    <n v="790"/>
    <n v="16"/>
    <n v="6214"/>
    <n v="0.13672551055728627"/>
    <n v="2.0253164556962026E-2"/>
    <n v="15.10759493670886"/>
    <n v="745.9375"/>
    <n v="2.11763662171753"/>
    <n v="0.52065354000837871"/>
    <s v="CL538"/>
    <x v="2"/>
    <s v="Large"/>
    <n v="11935"/>
    <n v="1"/>
    <s v="Low"/>
  </r>
  <r>
    <s v="C539"/>
    <d v="2023-04-12T18:40:35"/>
    <d v="2024-04-25T15:14:13"/>
    <s v="Completed"/>
    <n v="378.85668981481285"/>
    <n v="9920"/>
    <s v="Professionals 35-50"/>
    <n v="19592"/>
    <n v="524"/>
    <n v="387"/>
    <n v="13045"/>
    <n v="2.6745610453246221E-2"/>
    <n v="0.73854961832061072"/>
    <n v="30.080152671755727"/>
    <n v="40.728682170542633"/>
    <n v="1.5889112903225806"/>
    <n v="0.82762339804593321"/>
    <s v="CL539"/>
    <x v="4"/>
    <s v="Medium"/>
    <n v="15762"/>
    <n v="3"/>
    <s v="Medium"/>
  </r>
  <r>
    <s v="C540"/>
    <d v="2024-12-06T05:05:40"/>
    <d v="2024-12-06T05:05:40"/>
    <s v="Ongoing"/>
    <n v="0"/>
    <n v="9317"/>
    <s v="Professionals 35-50"/>
    <n v="17601"/>
    <n v="1092"/>
    <n v="496"/>
    <n v="14046"/>
    <n v="6.2041929435827509E-2"/>
    <n v="0.45421245421245421"/>
    <n v="17.983516483516482"/>
    <n v="39.592741935483872"/>
    <n v="2.107760008586455"/>
    <n v="0.71524595172624506"/>
    <s v="CL540"/>
    <x v="1"/>
    <s v="Large"/>
    <n v="19638"/>
    <n v="5"/>
    <s v="High"/>
  </r>
  <r>
    <s v="C541"/>
    <d v="2024-10-15T18:36:37"/>
    <d v="2024-10-15T18:36:37"/>
    <s v="Ongoing"/>
    <n v="0"/>
    <n v="3062"/>
    <s v="Parents 30-40"/>
    <n v="6712"/>
    <n v="1320"/>
    <n v="330"/>
    <n v="13475"/>
    <n v="0.19666269368295591"/>
    <n v="0.25"/>
    <n v="9.4931818181818191"/>
    <n v="37.972727272727276"/>
    <n v="4.0924232527759639"/>
    <n v="1.0753331737291516"/>
    <s v="CL541"/>
    <x v="1"/>
    <s v="Medium"/>
    <n v="12531"/>
    <n v="4"/>
    <s v="High"/>
  </r>
  <r>
    <s v="C542"/>
    <d v="2024-08-16T15:37:50"/>
    <d v="2024-09-19T03:01:32"/>
    <s v="Completed"/>
    <n v="33.474791666667443"/>
    <n v="3059"/>
    <s v="Youths 18-24"/>
    <n v="3335"/>
    <n v="357"/>
    <n v="249"/>
    <n v="4202"/>
    <n v="0.10704647676161919"/>
    <n v="0.69747899159663862"/>
    <n v="25.016806722689076"/>
    <n v="35.867469879518069"/>
    <n v="2.9195815626021577"/>
    <n v="0.47049602508117794"/>
    <s v="CL542"/>
    <x v="1"/>
    <s v="Medium"/>
    <n v="8931"/>
    <n v="3"/>
    <s v="Medium"/>
  </r>
  <r>
    <s v="C543"/>
    <d v="2024-01-12T20:10:46"/>
    <d v="2024-01-12T20:10:46"/>
    <s v="Ongoing"/>
    <n v="0"/>
    <n v="8266"/>
    <s v="Parents 30-40"/>
    <n v="13618"/>
    <n v="434"/>
    <n v="57"/>
    <n v="8020"/>
    <n v="3.1869584373623146E-2"/>
    <n v="0.1313364055299539"/>
    <n v="4.3364055299539173"/>
    <n v="33.017543859649123"/>
    <n v="0.22767965158480521"/>
    <n v="4.2614240170031881"/>
    <s v="CL543"/>
    <x v="4"/>
    <s v="Small"/>
    <n v="1882"/>
    <n v="2"/>
    <s v="Medium"/>
  </r>
  <r>
    <s v="C544"/>
    <d v="2024-07-11T19:20:17"/>
    <d v="2024-09-16T06:22:36"/>
    <s v="Completed"/>
    <n v="66.459942129629781"/>
    <n v="1895"/>
    <s v="Youths 18-24"/>
    <n v="6617"/>
    <n v="1361"/>
    <n v="173"/>
    <n v="2052"/>
    <n v="0.20568233338370864"/>
    <n v="0.12711241734019105"/>
    <n v="1.3497428361498898"/>
    <n v="10.61849710982659"/>
    <n v="0.96939313984168862"/>
    <n v="1.1170386499727818"/>
    <s v="CL544"/>
    <x v="0"/>
    <s v="Medium"/>
    <n v="1837"/>
    <n v="4"/>
    <s v="High"/>
  </r>
  <r>
    <s v="C545"/>
    <d v="2023-06-14T21:26:18"/>
    <d v="2023-06-14T21:26:18"/>
    <s v="Ongoing"/>
    <n v="0"/>
    <n v="9107"/>
    <s v="Adults 25-34"/>
    <n v="2621"/>
    <n v="1580"/>
    <n v="263"/>
    <n v="6738"/>
    <n v="0.60282334986646313"/>
    <n v="0.16645569620253164"/>
    <n v="10.20506329113924"/>
    <n v="61.307984790874528"/>
    <n v="1.7705062040188866"/>
    <n v="0.41788638055073185"/>
    <s v="CL545"/>
    <x v="1"/>
    <s v="Small"/>
    <n v="16124"/>
    <n v="1"/>
    <s v="Low"/>
  </r>
  <r>
    <s v="C546"/>
    <d v="2023-11-18T00:37:57"/>
    <d v="2024-04-23T14:00:24"/>
    <s v="Completed"/>
    <n v="157.55725694444845"/>
    <n v="6165"/>
    <s v="Adults 25-34"/>
    <n v="19647"/>
    <n v="1867"/>
    <n v="26"/>
    <n v="12993"/>
    <n v="9.5027230620450959E-2"/>
    <n v="1.3926084627745045E-2"/>
    <n v="4.5115158007498657"/>
    <n v="323.96153846153845"/>
    <n v="1.3662611516626115"/>
    <n v="1.5425620325299774"/>
    <s v="CL546"/>
    <x v="3"/>
    <s v="Medium"/>
    <n v="8423"/>
    <n v="3"/>
    <s v="Medium"/>
  </r>
  <r>
    <s v="C547"/>
    <d v="2024-07-30T10:37:02"/>
    <d v="2024-07-30T10:37:02"/>
    <s v="Ongoing"/>
    <n v="0"/>
    <n v="2096"/>
    <s v="Parents 30-40"/>
    <n v="9340"/>
    <n v="638"/>
    <n v="300"/>
    <n v="9466"/>
    <n v="6.8308351177730195E-2"/>
    <n v="0.47021943573667713"/>
    <n v="5"/>
    <n v="10.633333333333333"/>
    <n v="1.5219465648854962"/>
    <n v="2.9673981191222571"/>
    <s v="CL547"/>
    <x v="0"/>
    <s v="Medium"/>
    <n v="3190"/>
    <n v="3"/>
    <s v="Medium"/>
  </r>
  <r>
    <s v="C548"/>
    <d v="2024-12-05T05:10:45"/>
    <d v="2024-12-05T05:10:45"/>
    <s v="Ongoing"/>
    <n v="0"/>
    <n v="2509"/>
    <s v="Parents 30-40"/>
    <n v="2156"/>
    <n v="541"/>
    <n v="255"/>
    <n v="14349"/>
    <n v="0.25092764378478666"/>
    <n v="0.4713493530499076"/>
    <n v="17.536044362292053"/>
    <n v="37.20392156862745"/>
    <n v="3.7811877241929057"/>
    <n v="1.5124907768525351"/>
    <s v="CL548"/>
    <x v="0"/>
    <s v="Small"/>
    <n v="9487"/>
    <n v="5"/>
    <s v="High"/>
  </r>
  <r>
    <s v="C549"/>
    <d v="2023-04-12T14:15:30"/>
    <d v="2024-06-18T14:40:47"/>
    <s v="Completed"/>
    <n v="433.01755787037109"/>
    <n v="5331"/>
    <s v="Parents 30-40"/>
    <n v="12152"/>
    <n v="1520"/>
    <n v="469"/>
    <n v="10246"/>
    <n v="0.12508229098090851"/>
    <n v="0.30855263157894736"/>
    <n v="6.6138157894736844"/>
    <n v="21.434968017057571"/>
    <n v="1.8857625211029825"/>
    <n v="1.0191982492788223"/>
    <s v="CL549"/>
    <x v="4"/>
    <s v="Small"/>
    <n v="10053"/>
    <n v="5"/>
    <s v="High"/>
  </r>
  <r>
    <s v="C550"/>
    <d v="2023-12-03T09:55:06"/>
    <d v="2024-03-13T03:50:39"/>
    <s v="Completed"/>
    <n v="100.74690972222015"/>
    <n v="2960"/>
    <s v="Youths 18-24"/>
    <n v="13113"/>
    <n v="1125"/>
    <n v="111"/>
    <n v="1306"/>
    <n v="8.5792724776938917E-2"/>
    <n v="9.8666666666666666E-2"/>
    <n v="0.74311111111111106"/>
    <n v="7.5315315315315319"/>
    <n v="0.28243243243243243"/>
    <n v="1.562200956937799"/>
    <s v="CL550"/>
    <x v="3"/>
    <s v="Medium"/>
    <n v="836"/>
    <n v="3"/>
    <s v="Medium"/>
  </r>
  <r>
    <s v="C551"/>
    <d v="2023-08-30T19:37:22"/>
    <d v="2024-12-20T08:40:26"/>
    <s v="Completed"/>
    <n v="477.54379629629693"/>
    <n v="6829"/>
    <s v="Youths 18-24"/>
    <n v="4928"/>
    <n v="143"/>
    <n v="208"/>
    <n v="7724"/>
    <n v="2.9017857142857144E-2"/>
    <n v="1.4545454545454546"/>
    <n v="116.25874125874125"/>
    <n v="79.927884615384613"/>
    <n v="2.4344706399179969"/>
    <n v="0.46460150375939852"/>
    <s v="CL551"/>
    <x v="3"/>
    <s v="Medium"/>
    <n v="16625"/>
    <n v="1"/>
    <s v="Low"/>
  </r>
  <r>
    <s v="C552"/>
    <d v="2023-06-02T02:27:36"/>
    <d v="2024-05-09T11:46:34"/>
    <s v="Completed"/>
    <n v="342.38817129629751"/>
    <n v="2433"/>
    <s v="Adults 25-34"/>
    <n v="8028"/>
    <n v="1993"/>
    <n v="187"/>
    <n v="8897"/>
    <n v="0.24825610363726955"/>
    <n v="9.3828399397892628E-2"/>
    <n v="6.7270446562970401"/>
    <n v="71.695187165775394"/>
    <n v="5.5104808877928484"/>
    <n v="0.66360856269113155"/>
    <s v="CL552"/>
    <x v="0"/>
    <s v="Medium"/>
    <n v="13407"/>
    <n v="5"/>
    <s v="High"/>
  </r>
  <r>
    <s v="C553"/>
    <d v="2023-06-12T21:01:23"/>
    <d v="2024-02-12T09:36:31"/>
    <s v="Completed"/>
    <n v="244.52439814814716"/>
    <n v="1716"/>
    <s v="Professionals 35-50"/>
    <n v="14025"/>
    <n v="698"/>
    <n v="493"/>
    <n v="5012"/>
    <n v="4.9768270944741531E-2"/>
    <n v="0.70630372492836679"/>
    <n v="21.095988538681947"/>
    <n v="29.86815415821501"/>
    <n v="8.5810023310023311"/>
    <n v="0.34037351443123937"/>
    <s v="CL553"/>
    <x v="3"/>
    <s v="Small"/>
    <n v="14725"/>
    <n v="1"/>
    <s v="Low"/>
  </r>
  <r>
    <s v="C554"/>
    <d v="2023-06-27T23:09:26"/>
    <d v="2023-06-27T23:09:26"/>
    <s v="Ongoing"/>
    <n v="0"/>
    <n v="9411"/>
    <s v="Parents 30-40"/>
    <n v="9125"/>
    <n v="504"/>
    <n v="58"/>
    <n v="1006"/>
    <n v="5.5232876712328766E-2"/>
    <n v="0.11507936507936507"/>
    <n v="25.863095238095237"/>
    <n v="224.74137931034483"/>
    <n v="1.3850812878546381"/>
    <n v="7.7176831607211352E-2"/>
    <s v="CL554"/>
    <x v="3"/>
    <s v="Small"/>
    <n v="13035"/>
    <n v="3"/>
    <s v="Medium"/>
  </r>
  <r>
    <s v="C555"/>
    <d v="2024-02-19T05:59:52"/>
    <d v="2024-02-19T05:59:52"/>
    <s v="Ongoing"/>
    <n v="0"/>
    <n v="3323"/>
    <s v="Professionals 35-50"/>
    <n v="10585"/>
    <n v="1923"/>
    <n v="176"/>
    <n v="5306"/>
    <n v="0.18167217760982524"/>
    <n v="9.1523660946437851E-2"/>
    <n v="6.3099323972958921"/>
    <n v="68.943181818181813"/>
    <n v="3.6515197111044237"/>
    <n v="0.43728366573265204"/>
    <s v="CL555"/>
    <x v="1"/>
    <s v="Medium"/>
    <n v="12134"/>
    <n v="1"/>
    <s v="Low"/>
  </r>
  <r>
    <s v="C556"/>
    <d v="2023-02-03T08:10:12"/>
    <d v="2024-12-02T19:00:47"/>
    <s v="Completed"/>
    <n v="668.45179398148321"/>
    <n v="4870"/>
    <s v="Professionals 35-50"/>
    <n v="10362"/>
    <n v="1226"/>
    <n v="50"/>
    <n v="7622"/>
    <n v="0.11831692723412468"/>
    <n v="4.0783034257748776E-2"/>
    <n v="3.1786296900489397"/>
    <n v="77.94"/>
    <n v="0.80020533880903488"/>
    <n v="1.955863484731845"/>
    <s v="CL556"/>
    <x v="2"/>
    <s v="Medium"/>
    <n v="3897"/>
    <n v="2"/>
    <s v="Medium"/>
  </r>
  <r>
    <s v="C557"/>
    <d v="2023-09-28T13:57:36"/>
    <d v="2023-09-28T13:57:36"/>
    <s v="Ongoing"/>
    <n v="0"/>
    <n v="3022"/>
    <s v="Adults 25-34"/>
    <n v="1335"/>
    <n v="637"/>
    <n v="98"/>
    <n v="2334"/>
    <n v="0.47715355805243448"/>
    <n v="0.15384615384615385"/>
    <n v="31.125588697017267"/>
    <n v="202.31632653061226"/>
    <n v="6.5608868299139642"/>
    <n v="0.11771826297473142"/>
    <s v="CL557"/>
    <x v="2"/>
    <s v="Medium"/>
    <n v="19827"/>
    <n v="2"/>
    <s v="Medium"/>
  </r>
  <r>
    <s v="C558"/>
    <d v="2024-01-17T20:51:09"/>
    <d v="2024-01-17T20:51:09"/>
    <s v="Ongoing"/>
    <n v="0"/>
    <n v="1049"/>
    <s v="Youths 18-24"/>
    <n v="16422"/>
    <n v="1935"/>
    <n v="179"/>
    <n v="13367"/>
    <n v="0.11782974059188893"/>
    <n v="9.2506459948320408E-2"/>
    <n v="7.7829457364341081"/>
    <n v="84.134078212290504"/>
    <n v="14.356530028598666"/>
    <n v="0.88758300132802126"/>
    <s v="CL558"/>
    <x v="3"/>
    <s v="Medium"/>
    <n v="15060"/>
    <n v="2"/>
    <s v="Medium"/>
  </r>
  <r>
    <s v="C559"/>
    <d v="2023-06-08T09:48:18"/>
    <d v="2023-09-08T02:42:20"/>
    <s v="Completed"/>
    <n v="91.704189814816345"/>
    <n v="5089"/>
    <s v="Adults 25-34"/>
    <n v="11083"/>
    <n v="1696"/>
    <n v="372"/>
    <n v="8010"/>
    <n v="0.15302715871154018"/>
    <n v="0.21933962264150944"/>
    <n v="8.7676886792452837"/>
    <n v="39.973118279569896"/>
    <n v="2.9219886028689328"/>
    <n v="0.53866845998655011"/>
    <s v="CL559"/>
    <x v="2"/>
    <s v="Small"/>
    <n v="14870"/>
    <n v="3"/>
    <s v="Medium"/>
  </r>
  <r>
    <s v="C560"/>
    <d v="2023-09-13T00:02:18"/>
    <d v="2023-09-13T00:02:18"/>
    <s v="Ongoing"/>
    <n v="0"/>
    <n v="6595"/>
    <s v="Professionals 35-50"/>
    <n v="12870"/>
    <n v="1601"/>
    <n v="407"/>
    <n v="7441"/>
    <n v="0.1243978243978244"/>
    <n v="0.25421611492816987"/>
    <n v="8.6495940037476569"/>
    <n v="34.024570024570025"/>
    <n v="2.0997725549658832"/>
    <n v="0.53733391103408434"/>
    <s v="CL560"/>
    <x v="1"/>
    <s v="Large"/>
    <n v="13848"/>
    <n v="3"/>
    <s v="Medium"/>
  </r>
  <r>
    <s v="C561"/>
    <d v="2023-05-18T02:24:55"/>
    <d v="2024-05-29T11:16:15"/>
    <s v="Completed"/>
    <n v="377.36898148147884"/>
    <n v="9006"/>
    <s v="Adults 25-34"/>
    <n v="10653"/>
    <n v="1464"/>
    <n v="424"/>
    <n v="1455"/>
    <n v="0.13742607716136299"/>
    <n v="0.2896174863387978"/>
    <n v="10.05464480874317"/>
    <n v="34.716981132075475"/>
    <n v="1.6344659116144793"/>
    <n v="9.8845108695652176E-2"/>
    <s v="CL561"/>
    <x v="1"/>
    <s v="Large"/>
    <n v="14720"/>
    <n v="1"/>
    <s v="Low"/>
  </r>
  <r>
    <s v="C562"/>
    <d v="2023-03-27T09:41:05"/>
    <d v="2024-04-19T10:40:43"/>
    <s v="Completed"/>
    <n v="389.04141203704057"/>
    <n v="1730"/>
    <s v="Youths 18-24"/>
    <n v="7181"/>
    <n v="1407"/>
    <n v="168"/>
    <n v="14568"/>
    <n v="0.19593371396741402"/>
    <n v="0.11940298507462686"/>
    <n v="4.6417910447761193"/>
    <n v="38.875"/>
    <n v="3.7751445086705204"/>
    <n v="2.2305925585668351"/>
    <s v="CL562"/>
    <x v="0"/>
    <s v="Medium"/>
    <n v="6531"/>
    <n v="2"/>
    <s v="Medium"/>
  </r>
  <r>
    <s v="C563"/>
    <d v="2024-08-14T04:18:20"/>
    <d v="2024-08-14T04:18:20"/>
    <s v="Ongoing"/>
    <n v="0"/>
    <n v="1055"/>
    <s v="Parents 30-40"/>
    <n v="6320"/>
    <n v="111"/>
    <n v="393"/>
    <n v="14538"/>
    <n v="1.7563291139240506E-2"/>
    <n v="3.5405405405405403"/>
    <n v="32.765765765765764"/>
    <n v="9.2544529262086517"/>
    <n v="3.4473933649289101"/>
    <n v="3.9972504811657958"/>
    <s v="CL563"/>
    <x v="3"/>
    <s v="Medium"/>
    <n v="3637"/>
    <n v="5"/>
    <s v="High"/>
  </r>
  <r>
    <s v="C564"/>
    <d v="2024-02-06T09:08:12"/>
    <d v="2024-11-06T09:34:48"/>
    <s v="Completed"/>
    <n v="274.01847222222568"/>
    <n v="7912"/>
    <s v="Youths 18-24"/>
    <n v="15781"/>
    <n v="183"/>
    <n v="316"/>
    <n v="11625"/>
    <n v="1.1596223306507825E-2"/>
    <n v="1.7267759562841529"/>
    <n v="71.333333333333329"/>
    <n v="41.310126582278478"/>
    <n v="1.6498988877654197"/>
    <n v="0.89053163781216482"/>
    <s v="CL564"/>
    <x v="2"/>
    <s v="Large"/>
    <n v="13054"/>
    <n v="1"/>
    <s v="Low"/>
  </r>
  <r>
    <s v="C565"/>
    <d v="2023-05-26T01:20:12"/>
    <d v="2024-12-12T22:50:13"/>
    <s v="Completed"/>
    <n v="566.89584490740526"/>
    <n v="6719"/>
    <s v="Youths 18-24"/>
    <n v="4626"/>
    <n v="215"/>
    <n v="162"/>
    <n v="8259"/>
    <n v="4.6476437527021186E-2"/>
    <n v="0.75348837209302322"/>
    <n v="24.15813953488372"/>
    <n v="32.061728395061728"/>
    <n v="0.77303170114600384"/>
    <n v="1.5901039661147478"/>
    <s v="CL565"/>
    <x v="3"/>
    <s v="Medium"/>
    <n v="5194"/>
    <n v="2"/>
    <s v="Medium"/>
  </r>
  <r>
    <s v="C566"/>
    <d v="2023-08-21T09:54:39"/>
    <d v="2023-10-15T12:44:06"/>
    <s v="Completed"/>
    <n v="55.11767361110833"/>
    <n v="5182"/>
    <s v="Youths 18-24"/>
    <n v="12914"/>
    <n v="1418"/>
    <n v="381"/>
    <n v="4933"/>
    <n v="0.10980331423261576"/>
    <n v="0.26868829337094502"/>
    <n v="5.2150916784203103"/>
    <n v="19.409448818897637"/>
    <n v="1.4270551910459282"/>
    <n v="0.66707234617985123"/>
    <s v="CL566"/>
    <x v="3"/>
    <s v="Small"/>
    <n v="7395"/>
    <n v="5"/>
    <s v="High"/>
  </r>
  <r>
    <s v="C567"/>
    <d v="2024-03-23T17:18:01"/>
    <d v="2024-03-23T17:18:01"/>
    <s v="Ongoing"/>
    <n v="0"/>
    <n v="3516"/>
    <s v="Professionals 35-50"/>
    <n v="16843"/>
    <n v="608"/>
    <n v="339"/>
    <n v="2494"/>
    <n v="3.6098082289378379E-2"/>
    <n v="0.55756578947368418"/>
    <n v="28.518092105263158"/>
    <n v="51.147492625368734"/>
    <n v="4.9314562002275313"/>
    <n v="0.1438375915566065"/>
    <s v="CL567"/>
    <x v="0"/>
    <s v="Medium"/>
    <n v="17339"/>
    <n v="5"/>
    <s v="High"/>
  </r>
  <r>
    <s v="C568"/>
    <d v="2024-04-07T22:10:21"/>
    <d v="2024-04-07T22:10:21"/>
    <s v="Ongoing"/>
    <n v="0"/>
    <n v="6372"/>
    <s v="Youths 18-24"/>
    <n v="12384"/>
    <n v="965"/>
    <n v="42"/>
    <n v="2002"/>
    <n v="7.7923126614987084E-2"/>
    <n v="4.3523316062176166E-2"/>
    <n v="0.58341968911917097"/>
    <n v="13.404761904761905"/>
    <n v="8.8355304456999378E-2"/>
    <n v="3.5559502664298401"/>
    <s v="CL568"/>
    <x v="2"/>
    <s v="Large"/>
    <n v="563"/>
    <n v="1"/>
    <s v="Low"/>
  </r>
  <r>
    <s v="C569"/>
    <d v="2024-01-08T02:52:00"/>
    <d v="2024-02-08T10:15:11"/>
    <s v="Completed"/>
    <n v="31.307766203710344"/>
    <n v="8759"/>
    <s v="Adults 25-34"/>
    <n v="5348"/>
    <n v="1137"/>
    <n v="103"/>
    <n v="4824"/>
    <n v="0.21260284218399403"/>
    <n v="9.0589270008795075E-2"/>
    <n v="12.685136323658751"/>
    <n v="140.02912621359224"/>
    <n v="1.6466491608631122"/>
    <n v="0.33446578381751368"/>
    <s v="CL569"/>
    <x v="4"/>
    <s v="Medium"/>
    <n v="14423"/>
    <n v="3"/>
    <s v="Medium"/>
  </r>
  <r>
    <s v="C570"/>
    <d v="2024-05-03T19:38:17"/>
    <d v="2024-05-03T19:38:17"/>
    <s v="Ongoing"/>
    <n v="0"/>
    <n v="5911"/>
    <s v="Youths 18-24"/>
    <n v="10240"/>
    <n v="1067"/>
    <n v="310"/>
    <n v="6101"/>
    <n v="0.10419921875"/>
    <n v="0.29053420805998126"/>
    <n v="6.321462043111528"/>
    <n v="21.758064516129032"/>
    <n v="1.1410928776856708"/>
    <n v="0.90452186805040768"/>
    <s v="CL570"/>
    <x v="4"/>
    <s v="Medium"/>
    <n v="6745"/>
    <n v="4"/>
    <s v="High"/>
  </r>
  <r>
    <s v="C571"/>
    <d v="2024-07-27T21:27:49"/>
    <d v="2024-12-08T06:58:21"/>
    <s v="Completed"/>
    <n v="133.3962037037054"/>
    <n v="5884"/>
    <s v="Parents 30-40"/>
    <n v="4671"/>
    <n v="1110"/>
    <n v="393"/>
    <n v="13907"/>
    <n v="0.23763648041104687"/>
    <n v="0.35405405405405405"/>
    <n v="14.27027027027027"/>
    <n v="40.305343511450381"/>
    <n v="2.6920462270564243"/>
    <n v="0.87796717171717176"/>
    <s v="CL571"/>
    <x v="3"/>
    <s v="Large"/>
    <n v="15840"/>
    <n v="4"/>
    <s v="High"/>
  </r>
  <r>
    <s v="C572"/>
    <d v="2024-06-28T18:46:25"/>
    <d v="2024-06-28T18:46:25"/>
    <s v="Ongoing"/>
    <n v="0"/>
    <n v="6028"/>
    <s v="Youths 18-24"/>
    <n v="19515"/>
    <n v="293"/>
    <n v="492"/>
    <n v="4463"/>
    <n v="1.5014091724314629E-2"/>
    <n v="1.6791808873720135"/>
    <n v="48.74744027303754"/>
    <n v="29.030487804878049"/>
    <n v="2.3694426011944261"/>
    <n v="0.31246936918014423"/>
    <s v="CL572"/>
    <x v="4"/>
    <s v="Large"/>
    <n v="14283"/>
    <n v="1"/>
    <s v="Low"/>
  </r>
  <r>
    <s v="C573"/>
    <d v="2023-02-20T17:29:43"/>
    <d v="2024-04-06T20:54:08"/>
    <s v="Completed"/>
    <n v="411.14195601851679"/>
    <n v="7823"/>
    <s v="Adults 25-34"/>
    <n v="16355"/>
    <n v="1088"/>
    <n v="259"/>
    <n v="10949"/>
    <n v="6.6523998777132373E-2"/>
    <n v="0.23805147058823528"/>
    <n v="14.760110294117647"/>
    <n v="62.003861003861005"/>
    <n v="2.0527930461459798"/>
    <n v="0.68179836851609688"/>
    <s v="CL573"/>
    <x v="3"/>
    <s v="Medium"/>
    <n v="16059"/>
    <n v="1"/>
    <s v="Low"/>
  </r>
  <r>
    <s v="C574"/>
    <d v="2024-01-11T09:15:54"/>
    <d v="2024-01-11T09:15:54"/>
    <s v="Ongoing"/>
    <n v="0"/>
    <n v="9620"/>
    <s v="Youths 18-24"/>
    <n v="15376"/>
    <n v="986"/>
    <n v="344"/>
    <n v="2613"/>
    <n v="6.4125910509885531E-2"/>
    <n v="0.34888438133874239"/>
    <n v="6.0182555780933065"/>
    <n v="17.25"/>
    <n v="0.61683991683991679"/>
    <n v="0.44034378159757331"/>
    <s v="CL574"/>
    <x v="3"/>
    <s v="Large"/>
    <n v="5934"/>
    <n v="4"/>
    <s v="High"/>
  </r>
  <r>
    <s v="C575"/>
    <d v="2023-12-02T02:53:29"/>
    <d v="2024-10-06T21:31:26"/>
    <s v="Completed"/>
    <n v="309.77635416667181"/>
    <n v="2862"/>
    <s v="Professionals 35-50"/>
    <n v="8407"/>
    <n v="1426"/>
    <n v="333"/>
    <n v="6039"/>
    <n v="0.1696205542999881"/>
    <n v="0.23352033660589061"/>
    <n v="6.0385694249649369"/>
    <n v="25.858858858858859"/>
    <n v="3.008735150244584"/>
    <n v="0.7013122749970967"/>
    <s v="CL575"/>
    <x v="4"/>
    <s v="Small"/>
    <n v="8611"/>
    <n v="2"/>
    <s v="Medium"/>
  </r>
  <r>
    <s v="C576"/>
    <d v="2024-06-27T10:42:58"/>
    <d v="2024-09-27T15:53:15"/>
    <s v="Completed"/>
    <n v="92.215474537035334"/>
    <n v="6573"/>
    <s v="Professionals 35-50"/>
    <n v="16776"/>
    <n v="558"/>
    <n v="111"/>
    <n v="10002"/>
    <n v="3.3261802575107295E-2"/>
    <n v="0.19892473118279569"/>
    <n v="5.1738351254480284"/>
    <n v="26.009009009009009"/>
    <n v="0.43922105583447435"/>
    <n v="3.4644960166262555"/>
    <s v="CL576"/>
    <x v="3"/>
    <s v="Large"/>
    <n v="2887"/>
    <n v="3"/>
    <s v="Medium"/>
  </r>
  <r>
    <s v="C577"/>
    <d v="2024-06-21T15:55:38"/>
    <d v="2024-06-21T15:55:38"/>
    <s v="Ongoing"/>
    <n v="0"/>
    <n v="7310"/>
    <s v="Professionals 35-50"/>
    <n v="15687"/>
    <n v="408"/>
    <n v="397"/>
    <n v="6762"/>
    <n v="2.6008797093134441E-2"/>
    <n v="0.97303921568627449"/>
    <n v="35.786764705882355"/>
    <n v="36.778337531486144"/>
    <n v="1.9974008207934337"/>
    <n v="0.46311896445448941"/>
    <s v="CL577"/>
    <x v="2"/>
    <s v="Medium"/>
    <n v="14601"/>
    <n v="1"/>
    <s v="Low"/>
  </r>
  <r>
    <s v="C578"/>
    <d v="2023-07-25T00:57:26"/>
    <d v="2023-11-20T02:44:44"/>
    <s v="Completed"/>
    <n v="118.07451388888876"/>
    <n v="5283"/>
    <s v="Professionals 35-50"/>
    <n v="15245"/>
    <n v="579"/>
    <n v="430"/>
    <n v="5301"/>
    <n v="3.7979665464086584E-2"/>
    <n v="0.7426597582037997"/>
    <n v="1.1157167530224525"/>
    <n v="1.5023255813953489"/>
    <n v="0.12227900813931478"/>
    <n v="8.2058823529411757"/>
    <s v="CL578"/>
    <x v="4"/>
    <s v="Large"/>
    <n v="646"/>
    <n v="1"/>
    <s v="Low"/>
  </r>
  <r>
    <s v="C579"/>
    <d v="2024-02-18T00:08:15"/>
    <d v="2024-11-01T12:39:48"/>
    <s v="Completed"/>
    <n v="257.52190972222161"/>
    <n v="9442"/>
    <s v="Youths 18-24"/>
    <n v="8395"/>
    <n v="975"/>
    <n v="339"/>
    <n v="13899"/>
    <n v="0.11614055985705778"/>
    <n v="0.34769230769230769"/>
    <n v="18.553846153846155"/>
    <n v="53.362831858407077"/>
    <n v="1.9159076466850244"/>
    <n v="0.76832504145936986"/>
    <s v="CL579"/>
    <x v="3"/>
    <s v="Small"/>
    <n v="18090"/>
    <n v="5"/>
    <s v="High"/>
  </r>
  <r>
    <s v="C580"/>
    <d v="2023-04-17T01:24:33"/>
    <d v="2023-04-30T08:41:03"/>
    <s v="Completed"/>
    <n v="13.303124999998545"/>
    <n v="9040"/>
    <s v="Youths 18-24"/>
    <n v="3584"/>
    <n v="784"/>
    <n v="61"/>
    <n v="9019"/>
    <n v="0.21875"/>
    <n v="7.7806122448979595E-2"/>
    <n v="3.8303571428571428"/>
    <n v="49.229508196721312"/>
    <n v="0.33219026548672564"/>
    <n v="3.0033300033300034"/>
    <s v="CL580"/>
    <x v="3"/>
    <s v="Large"/>
    <n v="3003"/>
    <n v="5"/>
    <s v="High"/>
  </r>
  <r>
    <s v="C581"/>
    <d v="2024-04-07T13:59:17"/>
    <d v="2024-07-31T09:11:34"/>
    <s v="Completed"/>
    <n v="114.80019675925723"/>
    <n v="4073"/>
    <s v="Professionals 35-50"/>
    <n v="15962"/>
    <n v="1887"/>
    <n v="493"/>
    <n v="4609"/>
    <n v="0.11821826838742013"/>
    <n v="0.26126126126126126"/>
    <n v="5.4721780604133547"/>
    <n v="20.945233265720081"/>
    <n v="2.5352320157132335"/>
    <n v="0.44634902188650011"/>
    <s v="CL581"/>
    <x v="2"/>
    <s v="Large"/>
    <n v="10326"/>
    <n v="1"/>
    <s v="Low"/>
  </r>
  <r>
    <s v="C582"/>
    <d v="2024-09-03T20:09:37"/>
    <d v="2024-09-03T20:09:37"/>
    <s v="Ongoing"/>
    <n v="0"/>
    <n v="9583"/>
    <s v="Parents 30-40"/>
    <n v="3353"/>
    <n v="935"/>
    <n v="300"/>
    <n v="2459"/>
    <n v="0.2788547569340889"/>
    <n v="0.32085561497326204"/>
    <n v="9.8406417112299458"/>
    <n v="30.67"/>
    <n v="0.96013774392152773"/>
    <n v="0.26725355939571788"/>
    <s v="CL582"/>
    <x v="0"/>
    <s v="Large"/>
    <n v="9201"/>
    <n v="3"/>
    <s v="Medium"/>
  </r>
  <r>
    <s v="C583"/>
    <d v="2023-03-19T22:17:14"/>
    <d v="2023-07-21T15:50:16"/>
    <s v="Completed"/>
    <n v="123.73127314814337"/>
    <n v="8426"/>
    <s v="Youths 18-24"/>
    <n v="1845"/>
    <n v="1544"/>
    <n v="328"/>
    <n v="950"/>
    <n v="0.83685636856368562"/>
    <n v="0.21243523316062177"/>
    <n v="2.2072538860103625"/>
    <n v="10.390243902439025"/>
    <n v="0.40446237835271776"/>
    <n v="0.27875586854460094"/>
    <s v="CL583"/>
    <x v="1"/>
    <s v="Small"/>
    <n v="3408"/>
    <n v="4"/>
    <s v="High"/>
  </r>
  <r>
    <s v="C584"/>
    <d v="2024-11-25T01:18:00"/>
    <d v="2024-11-25T01:18:00"/>
    <s v="Ongoing"/>
    <n v="0"/>
    <n v="9699"/>
    <s v="Professionals 35-50"/>
    <n v="9319"/>
    <n v="786"/>
    <n v="349"/>
    <n v="11036"/>
    <n v="8.4343813713917803E-2"/>
    <n v="0.44402035623409669"/>
    <n v="8.8727735368956751"/>
    <n v="19.982808022922637"/>
    <n v="0.71904320032993096"/>
    <n v="1.5824490966446803"/>
    <s v="CL584"/>
    <x v="4"/>
    <s v="Large"/>
    <n v="6974"/>
    <n v="2"/>
    <s v="Medium"/>
  </r>
  <r>
    <s v="C585"/>
    <d v="2023-05-20T01:24:00"/>
    <d v="2023-05-20T01:24:00"/>
    <s v="Ongoing"/>
    <n v="0"/>
    <n v="5417"/>
    <s v="Parents 30-40"/>
    <n v="17919"/>
    <n v="420"/>
    <n v="133"/>
    <n v="2462"/>
    <n v="2.343880796919471E-2"/>
    <n v="0.31666666666666665"/>
    <n v="32.450000000000003"/>
    <n v="102.47368421052632"/>
    <n v="2.5159682481078089"/>
    <n v="0.18064421454251964"/>
    <s v="CL585"/>
    <x v="3"/>
    <s v="Medium"/>
    <n v="13629"/>
    <n v="3"/>
    <s v="Medium"/>
  </r>
  <r>
    <s v="C586"/>
    <d v="2024-01-01T15:16:40"/>
    <d v="2024-01-01T15:16:40"/>
    <s v="Ongoing"/>
    <n v="0"/>
    <n v="1222"/>
    <s v="Professionals 35-50"/>
    <n v="17020"/>
    <n v="1621"/>
    <n v="20"/>
    <n v="10175"/>
    <n v="9.5240893066980026E-2"/>
    <n v="1.2338062924120914E-2"/>
    <n v="1.0715607649599013"/>
    <n v="86.85"/>
    <n v="1.4214402618657938"/>
    <n v="5.8578008059873348"/>
    <s v="CL586"/>
    <x v="3"/>
    <s v="Medium"/>
    <n v="1737"/>
    <n v="3"/>
    <s v="Medium"/>
  </r>
  <r>
    <s v="C587"/>
    <d v="2024-10-26T13:12:18"/>
    <d v="2024-10-26T13:12:18"/>
    <s v="Ongoing"/>
    <n v="0"/>
    <n v="6035"/>
    <s v="Parents 30-40"/>
    <n v="15339"/>
    <n v="1950"/>
    <n v="226"/>
    <n v="10595"/>
    <n v="0.12712693135145706"/>
    <n v="0.1158974358974359"/>
    <n v="8.3446153846153841"/>
    <n v="72"/>
    <n v="2.696271748135874"/>
    <n v="0.65111848574237952"/>
    <s v="CL587"/>
    <x v="4"/>
    <s v="Small"/>
    <n v="16272"/>
    <n v="2"/>
    <s v="Medium"/>
  </r>
  <r>
    <s v="C588"/>
    <d v="2024-08-28T16:57:48"/>
    <d v="2024-08-28T16:57:48"/>
    <s v="Ongoing"/>
    <n v="0"/>
    <n v="2321"/>
    <s v="Professionals 35-50"/>
    <n v="2571"/>
    <n v="262"/>
    <n v="90"/>
    <n v="10419"/>
    <n v="0.10190587320108907"/>
    <n v="0.34351145038167941"/>
    <n v="12.33969465648855"/>
    <n v="35.922222222222224"/>
    <n v="1.3929340801378716"/>
    <n v="3.2227033714815962"/>
    <s v="CL588"/>
    <x v="2"/>
    <s v="Large"/>
    <n v="3233"/>
    <n v="3"/>
    <s v="Medium"/>
  </r>
  <r>
    <s v="C589"/>
    <d v="2024-04-10T13:50:16"/>
    <d v="2024-04-10T13:50:16"/>
    <s v="Ongoing"/>
    <n v="0"/>
    <n v="6611"/>
    <s v="Adults 25-34"/>
    <n v="17371"/>
    <n v="1170"/>
    <n v="198"/>
    <n v="12821"/>
    <n v="6.7353635369293646E-2"/>
    <n v="0.16923076923076924"/>
    <n v="10.64017094017094"/>
    <n v="62.873737373737377"/>
    <n v="1.8830736651036153"/>
    <n v="1.0298819182263637"/>
    <s v="CL589"/>
    <x v="0"/>
    <s v="Large"/>
    <n v="12449"/>
    <n v="4"/>
    <s v="High"/>
  </r>
  <r>
    <s v="C590"/>
    <d v="2024-05-29T16:20:12"/>
    <d v="2024-05-29T16:20:12"/>
    <s v="Ongoing"/>
    <n v="0"/>
    <n v="5341"/>
    <s v="Adults 25-34"/>
    <n v="9278"/>
    <n v="357"/>
    <n v="239"/>
    <n v="1571"/>
    <n v="3.847812028454408E-2"/>
    <n v="0.66946778711484589"/>
    <n v="34.20448179271709"/>
    <n v="51.09205020920502"/>
    <n v="2.2862759782812208"/>
    <n v="0.12865449185160921"/>
    <s v="CL590"/>
    <x v="1"/>
    <s v="Large"/>
    <n v="12211"/>
    <n v="1"/>
    <s v="Low"/>
  </r>
  <r>
    <s v="C591"/>
    <d v="2023-07-14T15:19:31"/>
    <d v="2024-02-11T05:14:16"/>
    <s v="Completed"/>
    <n v="211.57968749999418"/>
    <n v="7341"/>
    <s v="Parents 30-40"/>
    <n v="8905"/>
    <n v="1252"/>
    <n v="244"/>
    <n v="5372"/>
    <n v="0.14059517125210555"/>
    <n v="0.19488817891373802"/>
    <n v="5.4225239616613417"/>
    <n v="27.82377049180328"/>
    <n v="0.92480588475684511"/>
    <n v="0.79128001178376783"/>
    <s v="CL591"/>
    <x v="3"/>
    <s v="Medium"/>
    <n v="6789"/>
    <n v="2"/>
    <s v="Medium"/>
  </r>
  <r>
    <s v="C592"/>
    <d v="2023-11-27T20:04:40"/>
    <d v="2024-02-03T02:51:32"/>
    <s v="Completed"/>
    <n v="67.282546296293731"/>
    <n v="8952"/>
    <s v="Adults 25-34"/>
    <n v="3856"/>
    <n v="510"/>
    <n v="464"/>
    <n v="2715"/>
    <n v="0.13226141078838174"/>
    <n v="0.90980392156862744"/>
    <n v="1.0607843137254902"/>
    <n v="1.165948275862069"/>
    <n v="6.0433422698838252E-2"/>
    <n v="5.0184842883548981"/>
    <s v="CL592"/>
    <x v="4"/>
    <s v="Small"/>
    <n v="541"/>
    <n v="1"/>
    <s v="Low"/>
  </r>
  <r>
    <s v="C593"/>
    <d v="2024-01-31T14:27:07"/>
    <d v="2024-01-31T14:27:07"/>
    <s v="Ongoing"/>
    <n v="0"/>
    <n v="7200"/>
    <s v="Adults 25-34"/>
    <n v="1778"/>
    <n v="1026"/>
    <n v="18"/>
    <n v="12874"/>
    <n v="0.57705286839145109"/>
    <n v="1.7543859649122806E-2"/>
    <n v="6.7105263157894735"/>
    <n v="382.5"/>
    <n v="0.95625000000000004"/>
    <n v="1.8698620188816266"/>
    <s v="CL593"/>
    <x v="3"/>
    <s v="Medium"/>
    <n v="6885"/>
    <n v="1"/>
    <s v="Low"/>
  </r>
  <r>
    <s v="C594"/>
    <d v="2023-08-12T09:01:26"/>
    <d v="2023-08-12T09:01:26"/>
    <s v="Ongoing"/>
    <n v="0"/>
    <n v="9147"/>
    <s v="Professionals 35-50"/>
    <n v="14663"/>
    <n v="1885"/>
    <n v="470"/>
    <n v="3151"/>
    <n v="0.12855486598922458"/>
    <n v="0.24933687002652519"/>
    <n v="3.8604774535809017"/>
    <n v="15.482978723404255"/>
    <n v="0.79556138624685691"/>
    <n v="0.43300810773670467"/>
    <s v="CL594"/>
    <x v="3"/>
    <s v="Small"/>
    <n v="7277"/>
    <n v="4"/>
    <s v="High"/>
  </r>
  <r>
    <s v="C595"/>
    <d v="2023-11-13T08:56:02"/>
    <d v="2023-11-13T08:56:02"/>
    <s v="Ongoing"/>
    <n v="0"/>
    <n v="3820"/>
    <s v="Professionals 35-50"/>
    <n v="14775"/>
    <n v="1290"/>
    <n v="354"/>
    <n v="13233"/>
    <n v="8.7309644670050757E-2"/>
    <n v="0.2744186046511628"/>
    <n v="5.8139534883720927"/>
    <n v="21.1864406779661"/>
    <n v="1.963350785340314"/>
    <n v="1.7644"/>
    <s v="CL595"/>
    <x v="4"/>
    <s v="Small"/>
    <n v="7500"/>
    <n v="2"/>
    <s v="Medium"/>
  </r>
  <r>
    <s v="C596"/>
    <d v="2023-08-12T19:38:28"/>
    <d v="2024-07-13T22:37:32"/>
    <s v="Completed"/>
    <n v="336.12435185185313"/>
    <n v="8557"/>
    <s v="Parents 30-40"/>
    <n v="13787"/>
    <n v="1584"/>
    <n v="488"/>
    <n v="3668"/>
    <n v="0.11489083919634438"/>
    <n v="0.30808080808080807"/>
    <n v="1.5928030303030303"/>
    <n v="5.1700819672131146"/>
    <n v="0.29484632464648824"/>
    <n v="1.4538248117320649"/>
    <s v="CL596"/>
    <x v="3"/>
    <s v="Medium"/>
    <n v="2523"/>
    <n v="2"/>
    <s v="Medium"/>
  </r>
  <r>
    <s v="C597"/>
    <d v="2024-06-18T21:10:05"/>
    <d v="2024-06-18T21:10:05"/>
    <s v="Ongoing"/>
    <n v="0"/>
    <n v="5549"/>
    <s v="Adults 25-34"/>
    <n v="11706"/>
    <n v="1540"/>
    <n v="428"/>
    <n v="7920"/>
    <n v="0.1315564667691782"/>
    <n v="0.2779220779220779"/>
    <n v="1.0597402597402596"/>
    <n v="3.8130841121495327"/>
    <n v="0.29410704631465129"/>
    <n v="4.8529411764705879"/>
    <s v="CL597"/>
    <x v="0"/>
    <s v="Large"/>
    <n v="1632"/>
    <n v="4"/>
    <s v="High"/>
  </r>
  <r>
    <s v="C598"/>
    <d v="2023-06-22T07:36:30"/>
    <d v="2023-10-23T01:36:32"/>
    <s v="Completed"/>
    <n v="122.75002314814628"/>
    <n v="5849"/>
    <s v="Professionals 35-50"/>
    <n v="8173"/>
    <n v="697"/>
    <n v="190"/>
    <n v="6174"/>
    <n v="8.5280802642848402E-2"/>
    <n v="0.27259684361549497"/>
    <n v="11.715925394548064"/>
    <n v="42.978947368421053"/>
    <n v="1.3961360916395966"/>
    <n v="0.75606171932402644"/>
    <s v="CL598"/>
    <x v="3"/>
    <s v="Small"/>
    <n v="8166"/>
    <n v="5"/>
    <s v="High"/>
  </r>
  <r>
    <s v="C599"/>
    <d v="2023-11-02T11:16:39"/>
    <d v="2024-12-22T08:36:20"/>
    <s v="Completed"/>
    <n v="415.88866898148262"/>
    <n v="8440"/>
    <s v="Professionals 35-50"/>
    <n v="1695"/>
    <n v="140"/>
    <n v="159"/>
    <n v="12798"/>
    <n v="8.2595870206489674E-2"/>
    <n v="1.1357142857142857"/>
    <n v="62.5"/>
    <n v="55.031446540880502"/>
    <n v="1.0367298578199051"/>
    <n v="1.4626285714285714"/>
    <s v="CL599"/>
    <x v="4"/>
    <s v="Medium"/>
    <n v="8750"/>
    <n v="4"/>
    <s v="High"/>
  </r>
  <r>
    <s v="C600"/>
    <d v="2023-08-25T17:48:22"/>
    <d v="2024-01-15T21:56:59"/>
    <s v="Completed"/>
    <n v="143.17265046296234"/>
    <n v="9218"/>
    <s v="Professionals 35-50"/>
    <n v="11089"/>
    <n v="216"/>
    <n v="454"/>
    <n v="3216"/>
    <n v="1.9478762737848317E-2"/>
    <n v="2.1018518518518516"/>
    <n v="75.337962962962962"/>
    <n v="35.843612334801762"/>
    <n v="1.7653504013885875"/>
    <n v="0.19762797271554108"/>
    <s v="CL600"/>
    <x v="0"/>
    <s v="Medium"/>
    <n v="16273"/>
    <n v="3"/>
    <s v="Medium"/>
  </r>
  <r>
    <s v="C601"/>
    <d v="2024-06-27T21:38:48"/>
    <d v="2024-06-27T21:38:48"/>
    <s v="Ongoing"/>
    <n v="0"/>
    <n v="6582"/>
    <s v="Adults 25-34"/>
    <n v="15153"/>
    <n v="534"/>
    <n v="433"/>
    <n v="2216"/>
    <n v="3.5240546426450206E-2"/>
    <n v="0.81086142322097376"/>
    <n v="27.825842696629213"/>
    <n v="34.316397228637413"/>
    <n v="2.2575205104831357"/>
    <n v="0.1491352042533145"/>
    <s v="CL601"/>
    <x v="3"/>
    <s v="Small"/>
    <n v="14859"/>
    <n v="5"/>
    <s v="High"/>
  </r>
  <r>
    <s v="C602"/>
    <d v="2024-10-03T06:55:30"/>
    <d v="2024-10-03T06:55:30"/>
    <s v="Ongoing"/>
    <n v="0"/>
    <n v="5966"/>
    <s v="Youths 18-24"/>
    <n v="16872"/>
    <n v="902"/>
    <n v="436"/>
    <n v="14571"/>
    <n v="5.3461356092935043E-2"/>
    <n v="0.48337028824833705"/>
    <n v="2.4423503325942351"/>
    <n v="5.0527522935779814"/>
    <n v="0.36925913509889374"/>
    <n v="6.6141625056740807"/>
    <s v="CL602"/>
    <x v="0"/>
    <s v="Large"/>
    <n v="2203"/>
    <n v="3"/>
    <s v="Medium"/>
  </r>
  <r>
    <s v="C603"/>
    <d v="2023-05-05T08:22:54"/>
    <d v="2023-08-16T13:35:27"/>
    <s v="Completed"/>
    <n v="103.21704861110629"/>
    <n v="5132"/>
    <s v="Youths 18-24"/>
    <n v="15519"/>
    <n v="1736"/>
    <n v="327"/>
    <n v="10331"/>
    <n v="0.11186287776274244"/>
    <n v="0.18836405529953917"/>
    <n v="2.0996543778801842"/>
    <n v="11.146788990825687"/>
    <n v="0.71024941543257991"/>
    <n v="2.8342935528120714"/>
    <s v="CL603"/>
    <x v="0"/>
    <s v="Large"/>
    <n v="3645"/>
    <n v="5"/>
    <s v="High"/>
  </r>
  <r>
    <s v="C604"/>
    <d v="2023-06-14T03:45:07"/>
    <d v="2023-06-14T03:45:07"/>
    <s v="Ongoing"/>
    <n v="0"/>
    <n v="3046"/>
    <s v="Youths 18-24"/>
    <n v="15525"/>
    <n v="963"/>
    <n v="135"/>
    <n v="4311"/>
    <n v="6.2028985507246379E-2"/>
    <n v="0.14018691588785046"/>
    <n v="10.383177570093459"/>
    <n v="74.066666666666663"/>
    <n v="3.282665791201576"/>
    <n v="0.43114311431143115"/>
    <s v="CL604"/>
    <x v="2"/>
    <s v="Small"/>
    <n v="9999"/>
    <n v="1"/>
    <s v="Low"/>
  </r>
  <r>
    <s v="C605"/>
    <d v="2024-03-30T08:24:25"/>
    <d v="2024-03-30T08:24:25"/>
    <s v="Ongoing"/>
    <n v="0"/>
    <n v="5205"/>
    <s v="Adults 25-34"/>
    <n v="10580"/>
    <n v="959"/>
    <n v="85"/>
    <n v="3492"/>
    <n v="9.0642722117202271E-2"/>
    <n v="8.8633993743482797E-2"/>
    <n v="10.759124087591241"/>
    <n v="121.38823529411765"/>
    <n v="1.9823246878001921"/>
    <n v="0.33843768172126382"/>
    <s v="CL605"/>
    <x v="3"/>
    <s v="Medium"/>
    <n v="10318"/>
    <n v="2"/>
    <s v="Medium"/>
  </r>
  <r>
    <s v="C606"/>
    <d v="2023-08-04T20:10:40"/>
    <d v="2024-10-10T02:13:47"/>
    <s v="Completed"/>
    <n v="432.25216435184848"/>
    <n v="8226"/>
    <s v="Parents 30-40"/>
    <n v="9634"/>
    <n v="804"/>
    <n v="194"/>
    <n v="7009"/>
    <n v="8.3454432219223579E-2"/>
    <n v="0.24129353233830847"/>
    <n v="8.2226368159203975"/>
    <n v="34.077319587628864"/>
    <n v="0.80367128616581573"/>
    <n v="1.0602026924822265"/>
    <s v="CL606"/>
    <x v="0"/>
    <s v="Medium"/>
    <n v="6611"/>
    <n v="3"/>
    <s v="Medium"/>
  </r>
  <r>
    <s v="C607"/>
    <d v="2024-01-29T05:47:20"/>
    <d v="2024-01-29T05:47:20"/>
    <s v="Ongoing"/>
    <n v="0"/>
    <n v="7622"/>
    <s v="Parents 30-40"/>
    <n v="16257"/>
    <n v="1727"/>
    <n v="292"/>
    <n v="10639"/>
    <n v="0.10623116196100141"/>
    <n v="0.16907932831499711"/>
    <n v="9.2576722640416911"/>
    <n v="54.753424657534246"/>
    <n v="2.097612175282078"/>
    <n v="0.66543657743307483"/>
    <s v="CL607"/>
    <x v="0"/>
    <s v="Medium"/>
    <n v="15988"/>
    <n v="2"/>
    <s v="Medium"/>
  </r>
  <r>
    <s v="C608"/>
    <d v="2024-04-02T18:27:00"/>
    <d v="2024-08-28T14:23:02"/>
    <s v="Completed"/>
    <n v="147.83057870370249"/>
    <n v="9749"/>
    <s v="Professionals 35-50"/>
    <n v="18878"/>
    <n v="1062"/>
    <n v="457"/>
    <n v="8204"/>
    <n v="5.6255959317724334E-2"/>
    <n v="0.4303201506591337"/>
    <n v="18.603578154425612"/>
    <n v="43.23194748358862"/>
    <n v="2.0265668273669095"/>
    <n v="0.41524522953889759"/>
    <s v="CL608"/>
    <x v="0"/>
    <s v="Medium"/>
    <n v="19757"/>
    <n v="1"/>
    <s v="Low"/>
  </r>
  <r>
    <s v="C609"/>
    <d v="2024-07-25T07:29:26"/>
    <d v="2024-07-25T07:29:26"/>
    <s v="Ongoing"/>
    <n v="0"/>
    <n v="2401"/>
    <s v="Adults 25-34"/>
    <n v="5137"/>
    <n v="940"/>
    <n v="71"/>
    <n v="879"/>
    <n v="0.18298617870352346"/>
    <n v="7.5531914893617019E-2"/>
    <n v="8.3542553191489368"/>
    <n v="110.6056338028169"/>
    <n v="3.2707205331112035"/>
    <n v="0.11193174582961925"/>
    <s v="CL609"/>
    <x v="2"/>
    <s v="Medium"/>
    <n v="7853"/>
    <n v="5"/>
    <s v="High"/>
  </r>
  <r>
    <s v="C610"/>
    <d v="2024-12-29T01:10:50"/>
    <d v="2024-12-29T01:10:50"/>
    <s v="Ongoing"/>
    <n v="0"/>
    <n v="5487"/>
    <s v="Adults 25-34"/>
    <n v="18627"/>
    <n v="244"/>
    <n v="290"/>
    <n v="1622"/>
    <n v="1.3099264508509153E-2"/>
    <n v="1.1885245901639345"/>
    <n v="32.340163934426229"/>
    <n v="27.210344827586209"/>
    <n v="1.4381264807727356"/>
    <n v="0.20555062729692053"/>
    <s v="CL610"/>
    <x v="1"/>
    <s v="Small"/>
    <n v="7891"/>
    <n v="3"/>
    <s v="Medium"/>
  </r>
  <r>
    <s v="C611"/>
    <d v="2023-12-11T06:23:28"/>
    <d v="2023-12-11T06:23:28"/>
    <s v="Ongoing"/>
    <n v="0"/>
    <n v="5710"/>
    <s v="Professionals 35-50"/>
    <n v="3098"/>
    <n v="1334"/>
    <n v="435"/>
    <n v="9959"/>
    <n v="0.43060038734667527"/>
    <n v="0.32608695652173914"/>
    <n v="2"/>
    <n v="6.1333333333333337"/>
    <n v="0.46725043782837128"/>
    <n v="3.7327586206896552"/>
    <s v="CL611"/>
    <x v="1"/>
    <s v="Medium"/>
    <n v="2668"/>
    <n v="3"/>
    <s v="Medium"/>
  </r>
  <r>
    <s v="C612"/>
    <d v="2023-07-09T01:52:14"/>
    <d v="2023-07-09T01:52:14"/>
    <s v="Ongoing"/>
    <n v="0"/>
    <n v="4232"/>
    <s v="Youths 18-24"/>
    <n v="11975"/>
    <n v="490"/>
    <n v="11"/>
    <n v="10602"/>
    <n v="4.091858037578288E-2"/>
    <n v="2.2448979591836733E-2"/>
    <n v="27.979591836734695"/>
    <n v="1246.3636363636363"/>
    <n v="3.2396030245746692"/>
    <n v="0.77330415754923409"/>
    <s v="CL612"/>
    <x v="2"/>
    <s v="Medium"/>
    <n v="13710"/>
    <n v="4"/>
    <s v="High"/>
  </r>
  <r>
    <s v="C613"/>
    <d v="2024-11-12T05:07:30"/>
    <d v="2024-11-16T17:23:03"/>
    <s v="Completed"/>
    <n v="4.5107986111106584"/>
    <n v="1448"/>
    <s v="Professionals 35-50"/>
    <n v="16614"/>
    <n v="1419"/>
    <n v="128"/>
    <n v="3042"/>
    <n v="8.5409895269050198E-2"/>
    <n v="9.020436927413672E-2"/>
    <n v="4.3340380549682873"/>
    <n v="48.046875"/>
    <n v="4.2472375690607738"/>
    <n v="0.49463414634146341"/>
    <s v="CL613"/>
    <x v="0"/>
    <s v="Medium"/>
    <n v="6150"/>
    <n v="1"/>
    <s v="Low"/>
  </r>
  <r>
    <s v="C614"/>
    <d v="2023-10-08T21:31:42"/>
    <d v="2024-08-17T01:37:52"/>
    <s v="Completed"/>
    <n v="313.17094907406863"/>
    <n v="4238"/>
    <s v="Youths 18-24"/>
    <n v="2581"/>
    <n v="151"/>
    <n v="255"/>
    <n v="3083"/>
    <n v="5.8504455637349864E-2"/>
    <n v="1.6887417218543046"/>
    <n v="23.099337748344372"/>
    <n v="13.678431372549019"/>
    <n v="0.82302973100519117"/>
    <n v="0.88388761467889909"/>
    <s v="CL614"/>
    <x v="2"/>
    <s v="Small"/>
    <n v="3488"/>
    <n v="1"/>
    <s v="Low"/>
  </r>
  <r>
    <s v="C615"/>
    <d v="2023-05-01T10:29:08"/>
    <d v="2023-09-26T06:04:02"/>
    <s v="Completed"/>
    <n v="147.81590277778014"/>
    <n v="9952"/>
    <s v="Professionals 35-50"/>
    <n v="10528"/>
    <n v="1311"/>
    <n v="265"/>
    <n v="6504"/>
    <n v="0.12452507598784195"/>
    <n v="0.20213577421815407"/>
    <n v="2.1838291380625479"/>
    <n v="10.80377358490566"/>
    <n v="0.28768086816720256"/>
    <n v="2.2717429269996505"/>
    <s v="CL615"/>
    <x v="1"/>
    <s v="Small"/>
    <n v="2863"/>
    <n v="5"/>
    <s v="High"/>
  </r>
  <r>
    <s v="C616"/>
    <d v="2024-04-04T05:07:54"/>
    <d v="2024-11-03T01:42:52"/>
    <s v="Completed"/>
    <n v="212.85761574074422"/>
    <n v="1118"/>
    <s v="Adults 25-34"/>
    <n v="7452"/>
    <n v="734"/>
    <n v="268"/>
    <n v="8431"/>
    <n v="9.8497047772410085E-2"/>
    <n v="0.36512261580381472"/>
    <n v="13.987738419618529"/>
    <n v="38.309701492537314"/>
    <n v="9.1833631484794278"/>
    <n v="0.82117463718710426"/>
    <s v="CL616"/>
    <x v="2"/>
    <s v="Medium"/>
    <n v="10267"/>
    <n v="4"/>
    <s v="High"/>
  </r>
  <r>
    <s v="C617"/>
    <d v="2023-05-27T08:10:52"/>
    <d v="2024-10-20T13:34:07"/>
    <s v="Completed"/>
    <n v="512.22447916666715"/>
    <n v="1737"/>
    <s v="Adults 25-34"/>
    <n v="16818"/>
    <n v="1597"/>
    <n v="13"/>
    <n v="10555"/>
    <n v="9.495778332738733E-2"/>
    <n v="8.1402629931120844E-3"/>
    <n v="3.6687539135879774"/>
    <n v="450.69230769230768"/>
    <n v="3.3730569948186528"/>
    <n v="1.8015019627922855"/>
    <s v="CL617"/>
    <x v="0"/>
    <s v="Medium"/>
    <n v="5859"/>
    <n v="3"/>
    <s v="Medium"/>
  </r>
  <r>
    <s v="C618"/>
    <d v="2023-12-25T04:54:43"/>
    <d v="2023-12-25T04:54:43"/>
    <s v="Ongoing"/>
    <n v="0"/>
    <n v="4514"/>
    <s v="Parents 30-40"/>
    <n v="1374"/>
    <n v="572"/>
    <n v="50"/>
    <n v="12101"/>
    <n v="0.41630276564774382"/>
    <n v="8.7412587412587409E-2"/>
    <n v="10.947552447552448"/>
    <n v="125.24"/>
    <n v="1.3872396987151085"/>
    <n v="1.9324496965825615"/>
    <s v="CL618"/>
    <x v="1"/>
    <s v="Large"/>
    <n v="6262"/>
    <n v="3"/>
    <s v="Medium"/>
  </r>
  <r>
    <s v="C619"/>
    <d v="2023-08-13T01:25:40"/>
    <d v="2024-05-09T08:49:00"/>
    <s v="Completed"/>
    <n v="270.30787037036498"/>
    <n v="3316"/>
    <s v="Youths 18-24"/>
    <n v="14031"/>
    <n v="826"/>
    <n v="84"/>
    <n v="10293"/>
    <n v="5.8869645784334686E-2"/>
    <n v="0.10169491525423729"/>
    <n v="4.8656174334140436"/>
    <n v="47.845238095238095"/>
    <n v="1.2120024125452353"/>
    <n v="2.5610848469768599"/>
    <s v="CL619"/>
    <x v="2"/>
    <s v="Large"/>
    <n v="4019"/>
    <n v="1"/>
    <s v="Low"/>
  </r>
  <r>
    <s v="C620"/>
    <d v="2024-12-21T08:26:17"/>
    <d v="2024-12-21T08:26:17"/>
    <s v="Ongoing"/>
    <n v="0"/>
    <n v="3863"/>
    <s v="Adults 25-34"/>
    <n v="12284"/>
    <n v="1697"/>
    <n v="176"/>
    <n v="1949"/>
    <n v="0.13814718332790621"/>
    <n v="0.10371243370654096"/>
    <n v="3.375957572186211"/>
    <n v="32.551136363636367"/>
    <n v="1.4830442661144188"/>
    <n v="0.3401989876069122"/>
    <s v="CL620"/>
    <x v="4"/>
    <s v="Medium"/>
    <n v="5729"/>
    <n v="2"/>
    <s v="Medium"/>
  </r>
  <r>
    <s v="C621"/>
    <d v="2024-03-26T09:34:49"/>
    <d v="2024-06-08T09:01:33"/>
    <s v="Completed"/>
    <n v="73.976898148146574"/>
    <n v="8223"/>
    <s v="Professionals 35-50"/>
    <n v="8536"/>
    <n v="707"/>
    <n v="280"/>
    <n v="6483"/>
    <n v="8.2825679475164005E-2"/>
    <n v="0.39603960396039606"/>
    <n v="6.4879773691654883"/>
    <n v="16.382142857142856"/>
    <n v="0.55782561109084272"/>
    <n v="1.4133420536298233"/>
    <s v="CL621"/>
    <x v="0"/>
    <s v="Large"/>
    <n v="4587"/>
    <n v="1"/>
    <s v="Low"/>
  </r>
  <r>
    <s v="C622"/>
    <d v="2024-10-22T12:39:39"/>
    <d v="2024-10-22T12:39:39"/>
    <s v="Ongoing"/>
    <n v="0"/>
    <n v="3455"/>
    <s v="Professionals 35-50"/>
    <n v="6994"/>
    <n v="861"/>
    <n v="416"/>
    <n v="7617"/>
    <n v="0.12310551901629968"/>
    <n v="0.4831591173054588"/>
    <n v="7.2973286875725902"/>
    <n v="15.103365384615385"/>
    <n v="1.8185238784370477"/>
    <n v="1.2123189559127805"/>
    <s v="CL622"/>
    <x v="3"/>
    <s v="Large"/>
    <n v="6283"/>
    <n v="5"/>
    <s v="High"/>
  </r>
  <r>
    <s v="C623"/>
    <d v="2023-04-26T19:19:06"/>
    <d v="2024-10-11T11:31:09"/>
    <s v="Completed"/>
    <n v="533.67503472222597"/>
    <n v="7372"/>
    <s v="Adults 25-34"/>
    <n v="18710"/>
    <n v="1879"/>
    <n v="258"/>
    <n v="11581"/>
    <n v="0.10042757883484768"/>
    <n v="0.1373070782331027"/>
    <n v="2.0324640766365087"/>
    <n v="14.802325581395349"/>
    <n v="0.51804123711340211"/>
    <n v="3.032469232783451"/>
    <s v="CL623"/>
    <x v="4"/>
    <s v="Large"/>
    <n v="3819"/>
    <n v="3"/>
    <s v="Medium"/>
  </r>
  <r>
    <s v="C624"/>
    <d v="2024-09-07T15:31:52"/>
    <d v="2024-09-07T15:31:52"/>
    <s v="Ongoing"/>
    <n v="0"/>
    <n v="8750"/>
    <s v="Youths 18-24"/>
    <n v="9198"/>
    <n v="1554"/>
    <n v="292"/>
    <n v="9370"/>
    <n v="0.16894977168949771"/>
    <n v="0.18790218790218791"/>
    <n v="7.2290862290862288"/>
    <n v="38.472602739726028"/>
    <n v="1.2838857142857143"/>
    <n v="0.83407512907245862"/>
    <s v="CL624"/>
    <x v="2"/>
    <s v="Small"/>
    <n v="11234"/>
    <n v="3"/>
    <s v="Medium"/>
  </r>
  <r>
    <s v="C625"/>
    <d v="2023-11-03T01:36:01"/>
    <d v="2024-05-28T04:29:54"/>
    <s v="Completed"/>
    <n v="207.1207523148114"/>
    <n v="7464"/>
    <s v="Adults 25-34"/>
    <n v="6649"/>
    <n v="819"/>
    <n v="467"/>
    <n v="1788"/>
    <n v="0.12317641750639194"/>
    <n v="0.57020757020757018"/>
    <n v="1.2857142857142858"/>
    <n v="2.2548179871520344"/>
    <n v="0.14107717041800644"/>
    <n v="1.6980056980056981"/>
    <s v="CL625"/>
    <x v="0"/>
    <s v="Small"/>
    <n v="1053"/>
    <n v="1"/>
    <s v="Low"/>
  </r>
  <r>
    <s v="C626"/>
    <d v="2024-05-07T23:52:40"/>
    <d v="2024-11-28T13:46:57"/>
    <s v="Completed"/>
    <n v="204.57936342592438"/>
    <n v="7154"/>
    <s v="Youths 18-24"/>
    <n v="11541"/>
    <n v="199"/>
    <n v="243"/>
    <n v="14648"/>
    <n v="1.7242873234555065E-2"/>
    <n v="1.221105527638191"/>
    <n v="77.326633165829151"/>
    <n v="63.325102880658434"/>
    <n v="2.1509644953871958"/>
    <n v="0.95191057967247206"/>
    <s v="CL626"/>
    <x v="2"/>
    <s v="Medium"/>
    <n v="15388"/>
    <n v="2"/>
    <s v="Medium"/>
  </r>
  <r>
    <s v="C627"/>
    <d v="2024-02-29T11:43:18"/>
    <d v="2024-10-22T20:33:06"/>
    <s v="Completed"/>
    <n v="236.3679166666625"/>
    <n v="7409"/>
    <s v="Professionals 35-50"/>
    <n v="1632"/>
    <n v="1084"/>
    <n v="18"/>
    <n v="5816"/>
    <n v="0.66421568627450978"/>
    <n v="1.6605166051660517E-2"/>
    <n v="2.3800738007380073"/>
    <n v="143.33333333333334"/>
    <n v="0.34822513159670671"/>
    <n v="2.2542635658914727"/>
    <s v="CL627"/>
    <x v="3"/>
    <s v="Large"/>
    <n v="2580"/>
    <n v="3"/>
    <s v="Medium"/>
  </r>
  <r>
    <s v="C628"/>
    <d v="2024-10-23T11:58:49"/>
    <d v="2024-11-19T19:19:09"/>
    <s v="Completed"/>
    <n v="27.305787037039408"/>
    <n v="6631"/>
    <s v="Parents 30-40"/>
    <n v="11985"/>
    <n v="1716"/>
    <n v="211"/>
    <n v="7694"/>
    <n v="0.14317897371714644"/>
    <n v="0.12296037296037296"/>
    <n v="3.5979020979020979"/>
    <n v="29.260663507109005"/>
    <n v="0.93108128487407626"/>
    <n v="1.2461937155814706"/>
    <s v="CL628"/>
    <x v="2"/>
    <s v="Medium"/>
    <n v="6174"/>
    <n v="5"/>
    <s v="High"/>
  </r>
  <r>
    <s v="C629"/>
    <d v="2023-10-11T15:55:15"/>
    <d v="2023-10-11T15:55:15"/>
    <s v="Ongoing"/>
    <n v="0"/>
    <n v="2302"/>
    <s v="Adults 25-34"/>
    <n v="15286"/>
    <n v="1019"/>
    <n v="240"/>
    <n v="12785"/>
    <n v="6.6662305377469575E-2"/>
    <n v="0.23552502453385674"/>
    <n v="6.5456329735034346"/>
    <n v="27.791666666666668"/>
    <n v="2.89748045178106"/>
    <n v="1.916791604197901"/>
    <s v="CL629"/>
    <x v="0"/>
    <s v="Medium"/>
    <n v="6670"/>
    <n v="1"/>
    <s v="Low"/>
  </r>
  <r>
    <s v="C630"/>
    <d v="2024-09-12T06:29:04"/>
    <d v="2024-09-12T06:29:04"/>
    <s v="Ongoing"/>
    <n v="0"/>
    <n v="7892"/>
    <s v="Adults 25-34"/>
    <n v="19913"/>
    <n v="1953"/>
    <n v="316"/>
    <n v="7952"/>
    <n v="9.8076633355094658E-2"/>
    <n v="0.16180235535074244"/>
    <n v="2.1029185867895546"/>
    <n v="12.996835443037975"/>
    <n v="0.52040040547389765"/>
    <n v="1.9362064767470173"/>
    <s v="CL630"/>
    <x v="0"/>
    <s v="Small"/>
    <n v="4107"/>
    <n v="3"/>
    <s v="Medium"/>
  </r>
  <r>
    <s v="C631"/>
    <d v="2023-02-11T12:45:31"/>
    <d v="2023-05-15T05:15:22"/>
    <s v="Completed"/>
    <n v="92.687395833338087"/>
    <n v="6504"/>
    <s v="Adults 25-34"/>
    <n v="13143"/>
    <n v="123"/>
    <n v="289"/>
    <n v="14878"/>
    <n v="9.3585939283268652E-3"/>
    <n v="2.3495934959349594"/>
    <n v="31.617886178861788"/>
    <n v="13.456747404844291"/>
    <n v="0.59793972939729401"/>
    <n v="3.825662123939316"/>
    <s v="CL631"/>
    <x v="1"/>
    <s v="Medium"/>
    <n v="3889"/>
    <n v="5"/>
    <s v="High"/>
  </r>
  <r>
    <s v="C632"/>
    <d v="2024-03-29T16:11:07"/>
    <d v="2024-03-29T16:11:07"/>
    <s v="Ongoing"/>
    <n v="0"/>
    <n v="6100"/>
    <s v="Parents 30-40"/>
    <n v="18295"/>
    <n v="323"/>
    <n v="273"/>
    <n v="4942"/>
    <n v="1.7655097021044001E-2"/>
    <n v="0.84520123839009287"/>
    <n v="16.58204334365325"/>
    <n v="19.61904761904762"/>
    <n v="0.87803278688524589"/>
    <n v="0.9227035100821509"/>
    <s v="CL632"/>
    <x v="2"/>
    <s v="Small"/>
    <n v="5356"/>
    <n v="1"/>
    <s v="Low"/>
  </r>
  <r>
    <s v="C633"/>
    <d v="2024-05-08T11:19:08"/>
    <d v="2024-11-28T09:50:57"/>
    <s v="Completed"/>
    <n v="203.93876157407067"/>
    <n v="4832"/>
    <s v="Parents 30-40"/>
    <n v="12251"/>
    <n v="594"/>
    <n v="83"/>
    <n v="12636"/>
    <n v="4.8485837890784422E-2"/>
    <n v="0.13973063973063973"/>
    <n v="26.441077441077439"/>
    <n v="189.22891566265059"/>
    <n v="3.2504139072847682"/>
    <n v="0.80453329937603468"/>
    <s v="CL633"/>
    <x v="2"/>
    <s v="Medium"/>
    <n v="15706"/>
    <n v="4"/>
    <s v="High"/>
  </r>
  <r>
    <s v="C634"/>
    <d v="2024-04-30T04:01:12"/>
    <d v="2024-08-22T00:29:53"/>
    <s v="Completed"/>
    <n v="113.85325231480965"/>
    <n v="8609"/>
    <s v="Professionals 35-50"/>
    <n v="13038"/>
    <n v="801"/>
    <n v="138"/>
    <n v="2189"/>
    <n v="6.1435803037275659E-2"/>
    <n v="0.17228464419475656"/>
    <n v="19.774032459425719"/>
    <n v="114.77536231884058"/>
    <n v="1.8398187942850506"/>
    <n v="0.13820316939200708"/>
    <s v="CL634"/>
    <x v="0"/>
    <s v="Medium"/>
    <n v="15839"/>
    <n v="3"/>
    <s v="Medium"/>
  </r>
  <r>
    <s v="C635"/>
    <d v="2024-12-17T05:59:21"/>
    <d v="2024-12-17T05:59:21"/>
    <s v="Ongoing"/>
    <n v="0"/>
    <n v="8067"/>
    <s v="Parents 30-40"/>
    <n v="4671"/>
    <n v="854"/>
    <n v="321"/>
    <n v="5924"/>
    <n v="0.18283022907300364"/>
    <n v="0.3758782201405152"/>
    <n v="10.511709601873536"/>
    <n v="27.965732087227416"/>
    <n v="1.1128052559811579"/>
    <n v="0.65990865545282384"/>
    <s v="CL635"/>
    <x v="4"/>
    <s v="Small"/>
    <n v="8977"/>
    <n v="1"/>
    <s v="Low"/>
  </r>
  <r>
    <s v="C636"/>
    <d v="2023-03-03T15:19:38"/>
    <d v="2023-09-25T07:01:27"/>
    <s v="Completed"/>
    <n v="205.65403935185168"/>
    <n v="2138"/>
    <s v="Professionals 35-50"/>
    <n v="15079"/>
    <n v="274"/>
    <n v="35"/>
    <n v="14780"/>
    <n v="1.8170966244445919E-2"/>
    <n v="0.12773722627737227"/>
    <n v="3.4781021897810218"/>
    <n v="27.228571428571428"/>
    <n v="0.44574368568755846"/>
    <n v="15.508919202518364"/>
    <s v="CL636"/>
    <x v="4"/>
    <s v="Large"/>
    <n v="953"/>
    <n v="3"/>
    <s v="Medium"/>
  </r>
  <r>
    <s v="C637"/>
    <d v="2024-02-13T21:42:10"/>
    <d v="2024-02-13T21:42:10"/>
    <s v="Ongoing"/>
    <n v="0"/>
    <n v="2613"/>
    <s v="Adults 25-34"/>
    <n v="18949"/>
    <n v="940"/>
    <n v="108"/>
    <n v="1552"/>
    <n v="4.9606839411050714E-2"/>
    <n v="0.1148936170212766"/>
    <n v="3.5808510638297872"/>
    <n v="31.166666666666668"/>
    <n v="1.2881745120551091"/>
    <n v="0.46108140225787286"/>
    <s v="CL637"/>
    <x v="1"/>
    <s v="Small"/>
    <n v="3366"/>
    <n v="3"/>
    <s v="Medium"/>
  </r>
  <r>
    <s v="C638"/>
    <d v="2024-05-20T03:34:08"/>
    <d v="2024-05-20T03:34:08"/>
    <s v="Ongoing"/>
    <n v="0"/>
    <n v="6906"/>
    <s v="Youths 18-24"/>
    <n v="3366"/>
    <n v="1015"/>
    <n v="118"/>
    <n v="4617"/>
    <n v="0.30154486036838979"/>
    <n v="0.11625615763546798"/>
    <n v="16.829556650246307"/>
    <n v="144.76271186440678"/>
    <n v="2.4735013032145958"/>
    <n v="0.27028451001053738"/>
    <s v="CL638"/>
    <x v="2"/>
    <s v="Large"/>
    <n v="17082"/>
    <n v="1"/>
    <s v="Low"/>
  </r>
  <r>
    <s v="C639"/>
    <d v="2024-08-18T23:40:37"/>
    <d v="2024-08-18T23:40:37"/>
    <s v="Ongoing"/>
    <n v="0"/>
    <n v="3396"/>
    <s v="Parents 30-40"/>
    <n v="16030"/>
    <n v="483"/>
    <n v="485"/>
    <n v="13098"/>
    <n v="3.0131004366812226E-2"/>
    <n v="1.0041407867494825"/>
    <n v="17.697722567287784"/>
    <n v="17.624742268041238"/>
    <n v="2.5170789163722027"/>
    <n v="1.5322882545624708"/>
    <s v="CL639"/>
    <x v="1"/>
    <s v="Large"/>
    <n v="8548"/>
    <n v="3"/>
    <s v="Medium"/>
  </r>
  <r>
    <s v="C640"/>
    <d v="2023-08-29T13:07:56"/>
    <d v="2024-03-19T06:01:07"/>
    <s v="Completed"/>
    <n v="202.70359953703883"/>
    <n v="8545"/>
    <s v="Professionals 35-50"/>
    <n v="9692"/>
    <n v="528"/>
    <n v="184"/>
    <n v="923"/>
    <n v="5.4477919933966161E-2"/>
    <n v="0.34848484848484851"/>
    <n v="6.6685606060606064"/>
    <n v="19.135869565217391"/>
    <n v="0.41205383265067291"/>
    <n v="0.26214143709173532"/>
    <s v="CL640"/>
    <x v="3"/>
    <s v="Large"/>
    <n v="3521"/>
    <n v="4"/>
    <s v="High"/>
  </r>
  <r>
    <s v="C641"/>
    <d v="2023-01-23T16:44:28"/>
    <d v="2024-08-13T12:54:33"/>
    <s v="Completed"/>
    <n v="567.84033564815036"/>
    <n v="6924"/>
    <s v="Adults 25-34"/>
    <n v="7910"/>
    <n v="1909"/>
    <n v="485"/>
    <n v="11302"/>
    <n v="0.24134007585335018"/>
    <n v="0.25405971712938713"/>
    <n v="1.5055002619172342"/>
    <n v="5.9257731958762889"/>
    <n v="0.41507798960138648"/>
    <n v="3.9324982602644396"/>
    <s v="CL641"/>
    <x v="3"/>
    <s v="Medium"/>
    <n v="2874"/>
    <n v="3"/>
    <s v="Medium"/>
  </r>
  <r>
    <s v="C642"/>
    <d v="2023-05-15T12:56:31"/>
    <d v="2024-07-30T08:05:52"/>
    <s v="Completed"/>
    <n v="441.79815972222423"/>
    <n v="2357"/>
    <s v="Youths 18-24"/>
    <n v="19708"/>
    <n v="897"/>
    <n v="164"/>
    <n v="12837"/>
    <n v="4.5514511873350927E-2"/>
    <n v="0.18283166109253066"/>
    <n v="4.4013377926421402"/>
    <n v="24.073170731707318"/>
    <n v="1.6750106067034365"/>
    <n v="3.2515197568389058"/>
    <s v="CL642"/>
    <x v="1"/>
    <s v="Large"/>
    <n v="3948"/>
    <n v="1"/>
    <s v="Low"/>
  </r>
  <r>
    <s v="C643"/>
    <d v="2023-11-14T10:04:03"/>
    <d v="2023-11-14T10:04:03"/>
    <s v="Ongoing"/>
    <n v="0"/>
    <n v="8227"/>
    <s v="Professionals 35-50"/>
    <n v="10124"/>
    <n v="332"/>
    <n v="201"/>
    <n v="7359"/>
    <n v="3.2793362307388385E-2"/>
    <n v="0.60542168674698793"/>
    <n v="46.5210843373494"/>
    <n v="76.840796019900495"/>
    <n v="1.8773550504436611"/>
    <n v="0.47646487536419552"/>
    <s v="CL643"/>
    <x v="2"/>
    <s v="Small"/>
    <n v="15445"/>
    <n v="1"/>
    <s v="Low"/>
  </r>
  <r>
    <s v="C644"/>
    <d v="2024-06-06T17:24:53"/>
    <d v="2024-06-06T17:24:53"/>
    <s v="Ongoing"/>
    <n v="0"/>
    <n v="8174"/>
    <s v="Adults 25-34"/>
    <n v="19485"/>
    <n v="497"/>
    <n v="223"/>
    <n v="1358"/>
    <n v="2.550680010264306E-2"/>
    <n v="0.44869215291750503"/>
    <n v="11.106639839034205"/>
    <n v="24.753363228699552"/>
    <n v="0.67531196476633226"/>
    <n v="0.24601449275362319"/>
    <s v="CL644"/>
    <x v="4"/>
    <s v="Small"/>
    <n v="5520"/>
    <n v="1"/>
    <s v="Low"/>
  </r>
  <r>
    <s v="C645"/>
    <d v="2024-09-02T03:03:50"/>
    <d v="2024-10-17T13:51:37"/>
    <s v="Completed"/>
    <n v="45.44984953704261"/>
    <n v="2124"/>
    <s v="Parents 30-40"/>
    <n v="5139"/>
    <n v="892"/>
    <n v="76"/>
    <n v="13413"/>
    <n v="0.17357462541350457"/>
    <n v="8.520179372197309E-2"/>
    <n v="17.036995515695068"/>
    <n v="199.96052631578948"/>
    <n v="7.1548964218455744"/>
    <n v="0.88260840955451736"/>
    <s v="CL645"/>
    <x v="1"/>
    <s v="Medium"/>
    <n v="15197"/>
    <n v="2"/>
    <s v="Medium"/>
  </r>
  <r>
    <s v="C646"/>
    <d v="2024-11-11T23:30:29"/>
    <d v="2024-11-11T23:30:29"/>
    <s v="Ongoing"/>
    <n v="0"/>
    <n v="6981"/>
    <s v="Parents 30-40"/>
    <n v="5584"/>
    <n v="770"/>
    <n v="19"/>
    <n v="9526"/>
    <n v="0.13789398280802292"/>
    <n v="2.4675324675324677E-2"/>
    <n v="17.758441558441557"/>
    <n v="719.68421052631584"/>
    <n v="1.958745165449076"/>
    <n v="0.69665057773877437"/>
    <s v="CL646"/>
    <x v="2"/>
    <s v="Large"/>
    <n v="13674"/>
    <n v="4"/>
    <s v="High"/>
  </r>
  <r>
    <s v="C647"/>
    <d v="2024-07-05T08:01:37"/>
    <d v="2024-07-05T08:01:37"/>
    <s v="Ongoing"/>
    <n v="0"/>
    <n v="8235"/>
    <s v="Youths 18-24"/>
    <n v="11682"/>
    <n v="1785"/>
    <n v="125"/>
    <n v="12942"/>
    <n v="0.15279917822290703"/>
    <n v="7.0028011204481794E-2"/>
    <n v="7.8605042016806719"/>
    <n v="112.248"/>
    <n v="1.7038251366120218"/>
    <n v="0.92238614496472093"/>
    <s v="CL647"/>
    <x v="1"/>
    <s v="Large"/>
    <n v="14031"/>
    <n v="5"/>
    <s v="High"/>
  </r>
  <r>
    <s v="C648"/>
    <d v="2023-10-08T20:42:17"/>
    <d v="2024-11-23T11:58:47"/>
    <s v="Completed"/>
    <n v="411.6364583333343"/>
    <n v="5892"/>
    <s v="Youths 18-24"/>
    <n v="7137"/>
    <n v="315"/>
    <n v="304"/>
    <n v="3718"/>
    <n v="4.4136191677175286E-2"/>
    <n v="0.96507936507936509"/>
    <n v="24.736507936507937"/>
    <n v="25.631578947368421"/>
    <n v="1.3224711473183979"/>
    <n v="0.4771560574948665"/>
    <s v="CL648"/>
    <x v="4"/>
    <s v="Small"/>
    <n v="7792"/>
    <n v="1"/>
    <s v="Low"/>
  </r>
  <r>
    <s v="C649"/>
    <d v="2023-07-21T20:04:39"/>
    <d v="2024-08-22T00:26:30"/>
    <s v="Completed"/>
    <n v="397.18184027777897"/>
    <n v="1079"/>
    <s v="Parents 30-40"/>
    <n v="2308"/>
    <n v="325"/>
    <n v="344"/>
    <n v="9275"/>
    <n v="0.14081455805892548"/>
    <n v="1.0584615384615386"/>
    <n v="44.307692307692307"/>
    <n v="41.860465116279073"/>
    <n v="13.345690454124188"/>
    <n v="0.64409722222222221"/>
    <s v="CL649"/>
    <x v="1"/>
    <s v="Large"/>
    <n v="14400"/>
    <n v="5"/>
    <s v="High"/>
  </r>
  <r>
    <s v="C650"/>
    <d v="2023-12-11T16:27:34"/>
    <d v="2024-01-12T13:43:04"/>
    <s v="Completed"/>
    <n v="31.885763888887595"/>
    <n v="6643"/>
    <s v="Professionals 35-50"/>
    <n v="3312"/>
    <n v="669"/>
    <n v="20"/>
    <n v="7590"/>
    <n v="0.20199275362318841"/>
    <n v="2.9895366218236172E-2"/>
    <n v="29.696562032884902"/>
    <n v="993.35"/>
    <n v="2.9906668673791961"/>
    <n v="0.38204056978909751"/>
    <s v="CL650"/>
    <x v="2"/>
    <s v="Large"/>
    <n v="19867"/>
    <n v="3"/>
    <s v="Medium"/>
  </r>
  <r>
    <s v="C651"/>
    <d v="2024-05-03T21:19:38"/>
    <d v="2024-05-03T21:19:38"/>
    <s v="Ongoing"/>
    <n v="0"/>
    <n v="9987"/>
    <s v="Adults 25-34"/>
    <n v="1660"/>
    <n v="1096"/>
    <n v="441"/>
    <n v="14386"/>
    <n v="0.66024096385542164"/>
    <n v="0.40237226277372262"/>
    <n v="7.038321167883212"/>
    <n v="17.49206349206349"/>
    <n v="0.77240412536297187"/>
    <n v="1.864920922997148"/>
    <s v="CL651"/>
    <x v="1"/>
    <s v="Medium"/>
    <n v="7714"/>
    <n v="3"/>
    <s v="Medium"/>
  </r>
  <r>
    <s v="C652"/>
    <d v="2023-11-17T12:40:14"/>
    <d v="2024-03-19T16:23:10"/>
    <s v="Completed"/>
    <n v="123.15481481481402"/>
    <n v="1372"/>
    <s v="Youths 18-24"/>
    <n v="16664"/>
    <n v="1147"/>
    <n v="96"/>
    <n v="9286"/>
    <n v="6.8831012962073931E-2"/>
    <n v="8.3696599825632087E-2"/>
    <n v="11.238012205754142"/>
    <n v="134.27083333333334"/>
    <n v="9.3950437317784257"/>
    <n v="0.7204034134988363"/>
    <s v="CL652"/>
    <x v="4"/>
    <s v="Large"/>
    <n v="12890"/>
    <n v="2"/>
    <s v="Medium"/>
  </r>
  <r>
    <s v="C653"/>
    <d v="2024-11-28T22:10:17"/>
    <d v="2024-11-28T22:10:17"/>
    <s v="Ongoing"/>
    <n v="0"/>
    <n v="3055"/>
    <s v="Youths 18-24"/>
    <n v="15695"/>
    <n v="1642"/>
    <n v="389"/>
    <n v="8444"/>
    <n v="0.10461930551130934"/>
    <n v="0.23690621193666261"/>
    <n v="9.3179049939098668"/>
    <n v="39.331619537275067"/>
    <n v="5.0081833060556464"/>
    <n v="0.55189542483660126"/>
    <s v="CL653"/>
    <x v="1"/>
    <s v="Medium"/>
    <n v="15300"/>
    <n v="5"/>
    <s v="High"/>
  </r>
  <r>
    <s v="C654"/>
    <d v="2023-12-21T20:49:59"/>
    <d v="2023-12-21T20:49:59"/>
    <s v="Ongoing"/>
    <n v="0"/>
    <n v="4058"/>
    <s v="Professionals 35-50"/>
    <n v="8560"/>
    <n v="873"/>
    <n v="494"/>
    <n v="2025"/>
    <n v="0.10198598130841122"/>
    <n v="0.56586483390607101"/>
    <n v="6.1924398625429555"/>
    <n v="10.943319838056681"/>
    <n v="1.3321833415475604"/>
    <n v="0.37458379578246392"/>
    <s v="CL654"/>
    <x v="4"/>
    <s v="Small"/>
    <n v="5406"/>
    <n v="2"/>
    <s v="Medium"/>
  </r>
  <r>
    <s v="C655"/>
    <d v="2023-12-08T21:50:38"/>
    <d v="2023-12-08T21:50:38"/>
    <s v="Ongoing"/>
    <n v="0"/>
    <n v="8909"/>
    <s v="Adults 25-34"/>
    <n v="15272"/>
    <n v="1312"/>
    <n v="330"/>
    <n v="8979"/>
    <n v="8.590885280251441E-2"/>
    <n v="0.25152439024390244"/>
    <n v="11.02515243902439"/>
    <n v="43.833333333333336"/>
    <n v="1.6236390167246604"/>
    <n v="0.62073971655720706"/>
    <s v="CL655"/>
    <x v="3"/>
    <s v="Small"/>
    <n v="14465"/>
    <n v="1"/>
    <s v="Low"/>
  </r>
  <r>
    <s v="C656"/>
    <d v="2024-04-03T03:52:03"/>
    <d v="2024-04-03T03:52:03"/>
    <s v="Ongoing"/>
    <n v="0"/>
    <n v="8145"/>
    <s v="Professionals 35-50"/>
    <n v="9993"/>
    <n v="348"/>
    <n v="26"/>
    <n v="10235"/>
    <n v="3.4824377063944763E-2"/>
    <n v="7.4712643678160925E-2"/>
    <n v="15.683908045977011"/>
    <n v="209.92307692307693"/>
    <n v="0.67010435850214856"/>
    <n v="1.875229021619641"/>
    <s v="CL656"/>
    <x v="4"/>
    <s v="Medium"/>
    <n v="5458"/>
    <n v="1"/>
    <s v="Low"/>
  </r>
  <r>
    <s v="C657"/>
    <d v="2024-08-17T20:57:37"/>
    <d v="2024-08-17T20:57:37"/>
    <s v="Ongoing"/>
    <n v="0"/>
    <n v="2951"/>
    <s v="Professionals 35-50"/>
    <n v="19091"/>
    <n v="722"/>
    <n v="269"/>
    <n v="6835"/>
    <n v="3.7818867529202244E-2"/>
    <n v="0.37257617728531855"/>
    <n v="6.4168975069252081"/>
    <n v="17.223048327137548"/>
    <n v="1.5699762792273806"/>
    <n v="1.475285991797971"/>
    <s v="CL657"/>
    <x v="1"/>
    <s v="Large"/>
    <n v="4633"/>
    <n v="2"/>
    <s v="Medium"/>
  </r>
  <r>
    <s v="C658"/>
    <d v="2023-02-09T07:27:15"/>
    <d v="2024-07-02T12:33:30"/>
    <s v="Completed"/>
    <n v="509.21267361111677"/>
    <n v="8982"/>
    <s v="Youths 18-24"/>
    <n v="10727"/>
    <n v="117"/>
    <n v="111"/>
    <n v="8341"/>
    <n v="1.0907056959075231E-2"/>
    <n v="0.94871794871794868"/>
    <n v="28.111111111111111"/>
    <n v="29.63063063063063"/>
    <n v="0.3661767980405255"/>
    <n v="2.5360291882031012"/>
    <s v="CL658"/>
    <x v="0"/>
    <s v="Large"/>
    <n v="3289"/>
    <n v="1"/>
    <s v="Low"/>
  </r>
  <r>
    <s v="C659"/>
    <d v="2023-11-29T18:14:46"/>
    <d v="2024-01-19T14:24:32"/>
    <s v="Completed"/>
    <n v="50.8401157407352"/>
    <n v="2652"/>
    <s v="Adults 25-34"/>
    <n v="16422"/>
    <n v="1214"/>
    <n v="165"/>
    <n v="5194"/>
    <n v="7.3925222262818169E-2"/>
    <n v="0.13591433278418452"/>
    <n v="12.831136738056014"/>
    <n v="94.406060606060606"/>
    <n v="5.8736802413272997"/>
    <n v="0.33344032868973489"/>
    <s v="CL659"/>
    <x v="1"/>
    <s v="Medium"/>
    <n v="15577"/>
    <n v="1"/>
    <s v="Low"/>
  </r>
  <r>
    <s v="C660"/>
    <d v="2024-02-21T22:53:31"/>
    <d v="2024-07-21T08:39:49"/>
    <s v="Completed"/>
    <n v="150.40715277777781"/>
    <n v="2920"/>
    <s v="Adults 25-34"/>
    <n v="8596"/>
    <n v="632"/>
    <n v="206"/>
    <n v="7613"/>
    <n v="7.352256863657515E-2"/>
    <n v="0.32594936708860761"/>
    <n v="3.2041139240506329"/>
    <n v="9.8300970873786415"/>
    <n v="0.69349315068493156"/>
    <n v="3.7595061728395063"/>
    <s v="CL660"/>
    <x v="3"/>
    <s v="Large"/>
    <n v="2025"/>
    <n v="3"/>
    <s v="Medium"/>
  </r>
  <r>
    <s v="C661"/>
    <d v="2024-10-13T14:40:59"/>
    <d v="2024-10-13T14:40:59"/>
    <s v="Ongoing"/>
    <n v="0"/>
    <n v="4158"/>
    <s v="Youths 18-24"/>
    <n v="16914"/>
    <n v="1935"/>
    <n v="431"/>
    <n v="1374"/>
    <n v="0.11440227030862007"/>
    <n v="0.22273901808785529"/>
    <n v="4.4661498708010337"/>
    <n v="20.051044083526683"/>
    <n v="2.0784030784030785"/>
    <n v="0.15899097431150197"/>
    <s v="CL661"/>
    <x v="3"/>
    <s v="Large"/>
    <n v="8642"/>
    <n v="3"/>
    <s v="Medium"/>
  </r>
  <r>
    <s v="C662"/>
    <d v="2023-01-10T04:06:28"/>
    <d v="2023-07-25T00:46:27"/>
    <s v="Completed"/>
    <n v="195.86109953703999"/>
    <n v="2767"/>
    <s v="Youths 18-24"/>
    <n v="4069"/>
    <n v="141"/>
    <n v="361"/>
    <n v="1489"/>
    <n v="3.4652248709756694E-2"/>
    <n v="2.5602836879432624"/>
    <n v="60.645390070921984"/>
    <n v="23.686980609418281"/>
    <n v="3.0903505601734729"/>
    <n v="0.17413168050520406"/>
    <s v="CL662"/>
    <x v="2"/>
    <s v="Small"/>
    <n v="8551"/>
    <n v="5"/>
    <s v="High"/>
  </r>
  <r>
    <s v="C663"/>
    <d v="2023-02-06T13:01:51"/>
    <d v="2024-01-01T00:39:35"/>
    <s v="Completed"/>
    <n v="328.48453703703854"/>
    <n v="8998"/>
    <s v="Youths 18-24"/>
    <n v="2560"/>
    <n v="1756"/>
    <n v="59"/>
    <n v="5639"/>
    <n v="0.68593749999999998"/>
    <n v="3.3599088838268794E-2"/>
    <n v="7.8268792710706148"/>
    <n v="232.94915254237287"/>
    <n v="1.5274505445654589"/>
    <n v="0.41028812572759021"/>
    <s v="CL663"/>
    <x v="1"/>
    <s v="Small"/>
    <n v="13744"/>
    <n v="1"/>
    <s v="Low"/>
  </r>
  <r>
    <s v="C664"/>
    <d v="2023-11-23T10:43:51"/>
    <d v="2024-06-04T15:08:11"/>
    <s v="Completed"/>
    <n v="194.18356481481169"/>
    <n v="2575"/>
    <s v="Parents 30-40"/>
    <n v="5277"/>
    <n v="834"/>
    <n v="143"/>
    <n v="3636"/>
    <n v="0.15804434337691869"/>
    <n v="0.17146282973621102"/>
    <n v="4.224220623501199"/>
    <n v="24.636363636363637"/>
    <n v="1.3681553398058253"/>
    <n v="1.0320749361339767"/>
    <s v="CL664"/>
    <x v="2"/>
    <s v="Small"/>
    <n v="3523"/>
    <n v="1"/>
    <s v="Low"/>
  </r>
  <r>
    <s v="C665"/>
    <d v="2024-02-14T22:51:45"/>
    <d v="2024-02-14T22:51:45"/>
    <s v="Ongoing"/>
    <n v="0"/>
    <n v="4274"/>
    <s v="Youths 18-24"/>
    <n v="15615"/>
    <n v="919"/>
    <n v="338"/>
    <n v="7405"/>
    <n v="5.8853666346461733E-2"/>
    <n v="0.36779107725788901"/>
    <n v="18.041349292709466"/>
    <n v="49.053254437869825"/>
    <n v="3.8792700046794573"/>
    <n v="0.44662243667068757"/>
    <s v="CL665"/>
    <x v="1"/>
    <s v="Small"/>
    <n v="16580"/>
    <n v="3"/>
    <s v="Medium"/>
  </r>
  <r>
    <s v="C666"/>
    <d v="2023-02-19T20:57:10"/>
    <d v="2023-09-24T15:06:55"/>
    <s v="Completed"/>
    <n v="216.75677083333721"/>
    <n v="2391"/>
    <s v="Parents 30-40"/>
    <n v="11904"/>
    <n v="252"/>
    <n v="198"/>
    <n v="10748"/>
    <n v="2.1169354838709676E-2"/>
    <n v="0.7857142857142857"/>
    <n v="68.984126984126988"/>
    <n v="87.797979797979792"/>
    <n v="7.2705980761187785"/>
    <n v="0.61826967326277038"/>
    <s v="CL666"/>
    <x v="1"/>
    <s v="Large"/>
    <n v="17384"/>
    <n v="3"/>
    <s v="Medium"/>
  </r>
  <r>
    <s v="C667"/>
    <d v="2024-04-07T05:35:47"/>
    <d v="2024-04-07T05:35:47"/>
    <s v="Ongoing"/>
    <n v="0"/>
    <n v="1262"/>
    <s v="Youths 18-24"/>
    <n v="9374"/>
    <n v="1399"/>
    <n v="94"/>
    <n v="6520"/>
    <n v="0.14924258587582676"/>
    <n v="6.7190850607576846E-2"/>
    <n v="8.9099356683345246"/>
    <n v="132.60638297872342"/>
    <n v="9.8771790808240887"/>
    <n v="0.52306458082631369"/>
    <s v="CL667"/>
    <x v="0"/>
    <s v="Medium"/>
    <n v="12465"/>
    <n v="5"/>
    <s v="High"/>
  </r>
  <r>
    <s v="C668"/>
    <d v="2024-10-26T07:01:33"/>
    <d v="2024-10-26T07:01:33"/>
    <s v="Ongoing"/>
    <n v="0"/>
    <n v="1697"/>
    <s v="Professionals 35-50"/>
    <n v="12907"/>
    <n v="128"/>
    <n v="126"/>
    <n v="7134"/>
    <n v="9.9170992484698232E-3"/>
    <n v="0.984375"/>
    <n v="14.8125"/>
    <n v="15.047619047619047"/>
    <n v="1.1172657631113729"/>
    <n v="3.7626582278481013"/>
    <s v="CL668"/>
    <x v="3"/>
    <s v="Large"/>
    <n v="1896"/>
    <n v="1"/>
    <s v="Low"/>
  </r>
  <r>
    <s v="C669"/>
    <d v="2024-08-07T22:44:02"/>
    <d v="2024-08-07T22:44:02"/>
    <s v="Ongoing"/>
    <n v="0"/>
    <n v="9299"/>
    <s v="Parents 30-40"/>
    <n v="4550"/>
    <n v="240"/>
    <n v="397"/>
    <n v="14570"/>
    <n v="5.2747252747252747E-2"/>
    <n v="1.6541666666666666"/>
    <n v="65.95"/>
    <n v="39.869017632241814"/>
    <n v="1.7021185073663836"/>
    <n v="0.92052059641142281"/>
    <s v="CL669"/>
    <x v="2"/>
    <s v="Medium"/>
    <n v="15828"/>
    <n v="4"/>
    <s v="High"/>
  </r>
  <r>
    <s v="C670"/>
    <d v="2023-02-18T20:27:51"/>
    <d v="2024-06-28T09:18:59"/>
    <s v="Completed"/>
    <n v="495.53550925925811"/>
    <n v="7324"/>
    <s v="Youths 18-24"/>
    <n v="14931"/>
    <n v="220"/>
    <n v="324"/>
    <n v="3720"/>
    <n v="1.473444511419195E-2"/>
    <n v="1.4727272727272727"/>
    <n v="15.504545454545454"/>
    <n v="10.527777777777779"/>
    <n v="0.46572910977607862"/>
    <n v="1.0905892700087951"/>
    <s v="CL670"/>
    <x v="1"/>
    <s v="Large"/>
    <n v="3411"/>
    <n v="2"/>
    <s v="Medium"/>
  </r>
  <r>
    <s v="C671"/>
    <d v="2023-11-25T06:48:44"/>
    <d v="2023-11-25T06:48:44"/>
    <s v="Ongoing"/>
    <n v="0"/>
    <n v="1790"/>
    <s v="Parents 30-40"/>
    <n v="3097"/>
    <n v="982"/>
    <n v="338"/>
    <n v="7020"/>
    <n v="0.31708104617371652"/>
    <n v="0.34419551934826886"/>
    <n v="5.1904276985743385"/>
    <n v="15.079881656804734"/>
    <n v="2.8474860335195529"/>
    <n v="1.3772807533843436"/>
    <s v="CL671"/>
    <x v="0"/>
    <s v="Medium"/>
    <n v="5097"/>
    <n v="4"/>
    <s v="High"/>
  </r>
  <r>
    <s v="C672"/>
    <d v="2023-04-26T06:04:14"/>
    <d v="2023-12-24T19:33:59"/>
    <s v="Completed"/>
    <n v="242.56232638888469"/>
    <n v="9736"/>
    <s v="Youths 18-24"/>
    <n v="16245"/>
    <n v="941"/>
    <n v="10"/>
    <n v="12711"/>
    <n v="5.7925515543244079E-2"/>
    <n v="1.0626992561105207E-2"/>
    <n v="3.6482465462274178"/>
    <n v="343.3"/>
    <n v="0.35260887428101889"/>
    <n v="3.7025924847072531"/>
    <s v="CL672"/>
    <x v="2"/>
    <s v="Small"/>
    <n v="3433"/>
    <n v="5"/>
    <s v="High"/>
  </r>
  <r>
    <s v="C673"/>
    <d v="2023-11-12T02:25:55"/>
    <d v="2023-11-12T02:25:55"/>
    <s v="Ongoing"/>
    <n v="0"/>
    <n v="3314"/>
    <s v="Youths 18-24"/>
    <n v="9644"/>
    <n v="236"/>
    <n v="278"/>
    <n v="6668"/>
    <n v="2.4471173786810452E-2"/>
    <n v="1.1779661016949152"/>
    <n v="69.322033898305079"/>
    <n v="58.848920863309353"/>
    <n v="4.9366324683162341"/>
    <n v="0.40757946210268947"/>
    <s v="CL673"/>
    <x v="2"/>
    <s v="Large"/>
    <n v="16360"/>
    <n v="1"/>
    <s v="Low"/>
  </r>
  <r>
    <s v="C674"/>
    <d v="2023-12-18T03:33:10"/>
    <d v="2024-04-11T09:30:07"/>
    <s v="Completed"/>
    <n v="115.24788194444409"/>
    <n v="7163"/>
    <s v="Professionals 35-50"/>
    <n v="4096"/>
    <n v="663"/>
    <n v="78"/>
    <n v="12654"/>
    <n v="0.161865234375"/>
    <n v="0.11764705882352941"/>
    <n v="10.242835595776771"/>
    <n v="87.064102564102569"/>
    <n v="0.94806645260365774"/>
    <n v="1.8633485495508761"/>
    <s v="CL674"/>
    <x v="4"/>
    <s v="Large"/>
    <n v="6791"/>
    <n v="2"/>
    <s v="Medium"/>
  </r>
  <r>
    <s v="C675"/>
    <d v="2024-01-11T18:53:10"/>
    <d v="2024-01-11T18:53:10"/>
    <s v="Ongoing"/>
    <n v="0"/>
    <n v="5802"/>
    <s v="Parents 30-40"/>
    <n v="2608"/>
    <n v="1767"/>
    <n v="437"/>
    <n v="4558"/>
    <n v="0.67753067484662577"/>
    <n v="0.24731182795698925"/>
    <n v="1.4233163554046406"/>
    <n v="5.7551487414187639"/>
    <n v="0.43347121682178558"/>
    <n v="1.8123260437375746"/>
    <s v="CL675"/>
    <x v="0"/>
    <s v="Medium"/>
    <n v="2515"/>
    <n v="5"/>
    <s v="High"/>
  </r>
  <r>
    <s v="C676"/>
    <d v="2024-08-31T17:35:45"/>
    <d v="2024-08-31T17:35:45"/>
    <s v="Ongoing"/>
    <n v="0"/>
    <n v="1628"/>
    <s v="Adults 25-34"/>
    <n v="3105"/>
    <n v="1257"/>
    <n v="344"/>
    <n v="7507"/>
    <n v="0.40483091787439612"/>
    <n v="0.27366746221161498"/>
    <n v="13.98170246618934"/>
    <n v="51.090116279069768"/>
    <n v="10.795454545454545"/>
    <n v="0.42714082503556189"/>
    <s v="CL676"/>
    <x v="0"/>
    <s v="Medium"/>
    <n v="17575"/>
    <n v="3"/>
    <s v="Medium"/>
  </r>
  <r>
    <s v="C677"/>
    <d v="2023-12-06T18:19:49"/>
    <d v="2024-02-01T12:37:01"/>
    <s v="Completed"/>
    <n v="56.761944444442634"/>
    <n v="8358"/>
    <s v="Youths 18-24"/>
    <n v="14995"/>
    <n v="439"/>
    <n v="253"/>
    <n v="7736"/>
    <n v="2.9276425475158387E-2"/>
    <n v="0.57630979498861046"/>
    <n v="19.068337129840547"/>
    <n v="33.086956521739133"/>
    <n v="1.0015553960277579"/>
    <n v="0.92414287420857721"/>
    <s v="CL677"/>
    <x v="4"/>
    <s v="Medium"/>
    <n v="8371"/>
    <n v="1"/>
    <s v="Low"/>
  </r>
  <r>
    <s v="C678"/>
    <d v="2023-05-09T16:00:55"/>
    <d v="2023-12-18T13:34:45"/>
    <s v="Completed"/>
    <n v="222.89849537036935"/>
    <n v="8659"/>
    <s v="Professionals 35-50"/>
    <n v="1631"/>
    <n v="1324"/>
    <n v="233"/>
    <n v="6064"/>
    <n v="0.81177191906805646"/>
    <n v="0.17598187311178248"/>
    <n v="3.1895770392749245"/>
    <n v="18.124463519313306"/>
    <n v="0.48770065827462755"/>
    <n v="1.4359460099455363"/>
    <s v="CL678"/>
    <x v="1"/>
    <s v="Small"/>
    <n v="4223"/>
    <n v="4"/>
    <s v="High"/>
  </r>
  <r>
    <s v="C679"/>
    <d v="2023-09-30T20:22:47"/>
    <d v="2024-02-21T12:55:36"/>
    <s v="Completed"/>
    <n v="143.68945601852465"/>
    <n v="7480"/>
    <s v="Youths 18-24"/>
    <n v="10728"/>
    <n v="1375"/>
    <n v="246"/>
    <n v="11959"/>
    <n v="0.12816927665920955"/>
    <n v="0.17890909090909091"/>
    <n v="1.1127272727272728"/>
    <n v="6.2195121951219514"/>
    <n v="0.20454545454545456"/>
    <n v="7.8163398692810455"/>
    <s v="CL679"/>
    <x v="4"/>
    <s v="Medium"/>
    <n v="1530"/>
    <n v="1"/>
    <s v="Low"/>
  </r>
  <r>
    <s v="C680"/>
    <d v="2023-07-27T14:35:21"/>
    <d v="2023-12-20T02:38:40"/>
    <s v="Completed"/>
    <n v="145.50230324074073"/>
    <n v="1491"/>
    <s v="Parents 30-40"/>
    <n v="11824"/>
    <n v="1215"/>
    <n v="256"/>
    <n v="9867"/>
    <n v="0.10275710419485791"/>
    <n v="0.21069958847736625"/>
    <n v="10.020576131687243"/>
    <n v="47.55859375"/>
    <n v="8.1656606304493629"/>
    <n v="0.81043121149897335"/>
    <s v="CL680"/>
    <x v="4"/>
    <s v="Small"/>
    <n v="12175"/>
    <n v="2"/>
    <s v="Medium"/>
  </r>
  <r>
    <s v="C681"/>
    <d v="2023-12-06T08:00:57"/>
    <d v="2024-03-02T15:45:38"/>
    <s v="Completed"/>
    <n v="87.322696759263636"/>
    <n v="4670"/>
    <s v="Adults 25-34"/>
    <n v="8798"/>
    <n v="1686"/>
    <n v="366"/>
    <n v="11810"/>
    <n v="0.19163446237781315"/>
    <n v="0.21708185053380782"/>
    <n v="4.1909845788849349"/>
    <n v="19.306010928961747"/>
    <n v="1.5130620985010708"/>
    <n v="1.6713840928389472"/>
    <s v="CL681"/>
    <x v="0"/>
    <s v="Medium"/>
    <n v="7066"/>
    <n v="4"/>
    <s v="High"/>
  </r>
  <r>
    <s v="C682"/>
    <d v="2023-06-23T14:45:44"/>
    <d v="2023-06-23T14:45:44"/>
    <s v="Ongoing"/>
    <n v="0"/>
    <n v="6450"/>
    <s v="Youths 18-24"/>
    <n v="18006"/>
    <n v="1633"/>
    <n v="313"/>
    <n v="8800"/>
    <n v="9.0691991558369434E-2"/>
    <n v="0.19167176974892836"/>
    <n v="11.718922229026331"/>
    <n v="61.140575079872207"/>
    <n v="2.9669767441860464"/>
    <n v="0.4598421905209803"/>
    <s v="CL682"/>
    <x v="4"/>
    <s v="Small"/>
    <n v="19137"/>
    <n v="1"/>
    <s v="Low"/>
  </r>
  <r>
    <s v="C683"/>
    <d v="2023-02-25T00:42:45"/>
    <d v="2023-07-04T20:00:17"/>
    <s v="Completed"/>
    <n v="129.80384259259154"/>
    <n v="6178"/>
    <s v="Parents 30-40"/>
    <n v="17614"/>
    <n v="1523"/>
    <n v="238"/>
    <n v="8179"/>
    <n v="8.6465311683887811E-2"/>
    <n v="0.15627051871306633"/>
    <n v="10.87655942219304"/>
    <n v="69.600840336134453"/>
    <n v="2.6812884428617676"/>
    <n v="0.49375188650769697"/>
    <s v="CL683"/>
    <x v="2"/>
    <s v="Large"/>
    <n v="16565"/>
    <n v="3"/>
    <s v="Medium"/>
  </r>
  <r>
    <s v="C684"/>
    <d v="2024-10-29T02:07:13"/>
    <d v="2024-10-29T02:07:13"/>
    <s v="Ongoing"/>
    <n v="0"/>
    <n v="3260"/>
    <s v="Youths 18-24"/>
    <n v="12439"/>
    <n v="945"/>
    <n v="377"/>
    <n v="5869"/>
    <n v="7.597073719752391E-2"/>
    <n v="0.39894179894179893"/>
    <n v="13.136507936507936"/>
    <n v="32.928381962864719"/>
    <n v="3.8079754601226994"/>
    <n v="0.47277267601095535"/>
    <s v="CL684"/>
    <x v="1"/>
    <s v="Large"/>
    <n v="12414"/>
    <n v="4"/>
    <s v="High"/>
  </r>
  <r>
    <s v="C685"/>
    <d v="2024-03-13T04:53:37"/>
    <d v="2024-04-21T19:55:12"/>
    <s v="Completed"/>
    <n v="39.626099537039408"/>
    <n v="5464"/>
    <s v="Adults 25-34"/>
    <n v="14467"/>
    <n v="1066"/>
    <n v="247"/>
    <n v="2982"/>
    <n v="7.3684938135066005E-2"/>
    <n v="0.23170731707317074"/>
    <n v="16.72138836772983"/>
    <n v="72.165991902834008"/>
    <n v="3.2622620790629577"/>
    <n v="0.16729312762973353"/>
    <s v="CL685"/>
    <x v="1"/>
    <s v="Small"/>
    <n v="17825"/>
    <n v="1"/>
    <s v="Low"/>
  </r>
  <r>
    <s v="C686"/>
    <d v="2023-02-19T00:01:20"/>
    <d v="2024-07-29T22:43:15"/>
    <s v="Completed"/>
    <n v="526.94577546296205"/>
    <n v="1362"/>
    <s v="Parents 30-40"/>
    <n v="9670"/>
    <n v="1451"/>
    <n v="328"/>
    <n v="11493"/>
    <n v="0.15005170630816961"/>
    <n v="0.22605099931082012"/>
    <n v="9.2322536181943491"/>
    <n v="40.841463414634148"/>
    <n v="9.83553597650514"/>
    <n v="0.85794266945356823"/>
    <s v="CL686"/>
    <x v="4"/>
    <s v="Large"/>
    <n v="13396"/>
    <n v="3"/>
    <s v="Medium"/>
  </r>
  <r>
    <s v="C687"/>
    <d v="2024-10-04T09:33:26"/>
    <d v="2024-10-04T09:33:26"/>
    <s v="Ongoing"/>
    <n v="0"/>
    <n v="7228"/>
    <s v="Parents 30-40"/>
    <n v="10270"/>
    <n v="1480"/>
    <n v="278"/>
    <n v="7131"/>
    <n v="0.14410905550146055"/>
    <n v="0.18783783783783783"/>
    <n v="9.205405405405406"/>
    <n v="49.007194244604314"/>
    <n v="1.8848920863309353"/>
    <n v="0.52341456253669993"/>
    <s v="CL687"/>
    <x v="0"/>
    <s v="Large"/>
    <n v="13624"/>
    <n v="4"/>
    <s v="High"/>
  </r>
  <r>
    <s v="C688"/>
    <d v="2023-12-02T03:06:58"/>
    <d v="2024-08-30T16:27:20"/>
    <s v="Completed"/>
    <n v="272.55581018517842"/>
    <n v="9587"/>
    <s v="Youths 18-24"/>
    <n v="4632"/>
    <n v="511"/>
    <n v="114"/>
    <n v="3733"/>
    <n v="0.11031951640759931"/>
    <n v="0.22309197651663404"/>
    <n v="25.810176125244617"/>
    <n v="115.69298245614036"/>
    <n v="1.3757171169291749"/>
    <n v="0.28303889604973842"/>
    <s v="CL688"/>
    <x v="3"/>
    <s v="Small"/>
    <n v="13189"/>
    <n v="3"/>
    <s v="Medium"/>
  </r>
  <r>
    <s v="C689"/>
    <d v="2023-08-20T11:04:07"/>
    <d v="2023-10-12T04:25:23"/>
    <s v="Completed"/>
    <n v="52.723101851850515"/>
    <n v="1854"/>
    <s v="Parents 30-40"/>
    <n v="1018"/>
    <n v="294"/>
    <n v="133"/>
    <n v="4729"/>
    <n v="0.28880157170923382"/>
    <n v="0.45238095238095238"/>
    <n v="42.411564625850339"/>
    <n v="93.751879699248121"/>
    <n v="6.7254584681769147"/>
    <n v="0.37926056620418636"/>
    <s v="CL689"/>
    <x v="2"/>
    <s v="Medium"/>
    <n v="12469"/>
    <n v="5"/>
    <s v="High"/>
  </r>
  <r>
    <s v="C690"/>
    <d v="2023-12-31T08:15:25"/>
    <d v="2024-01-01T05:36:20"/>
    <s v="Completed"/>
    <n v="0.88952546296059154"/>
    <n v="5357"/>
    <s v="Youths 18-24"/>
    <n v="5312"/>
    <n v="979"/>
    <n v="288"/>
    <n v="4443"/>
    <n v="0.18429969879518071"/>
    <n v="0.29417773237997957"/>
    <n v="1.1664964249233911"/>
    <n v="3.9652777777777777"/>
    <n v="0.21317901810714954"/>
    <n v="3.8905429071803854"/>
    <s v="CL690"/>
    <x v="1"/>
    <s v="Large"/>
    <n v="1142"/>
    <n v="5"/>
    <s v="High"/>
  </r>
  <r>
    <s v="C691"/>
    <d v="2023-06-14T04:48:29"/>
    <d v="2024-01-10T00:32:11"/>
    <s v="Completed"/>
    <n v="209.82201388888643"/>
    <n v="8764"/>
    <s v="Professionals 35-50"/>
    <n v="11988"/>
    <n v="1047"/>
    <n v="371"/>
    <n v="1352"/>
    <n v="8.733733733733734E-2"/>
    <n v="0.35434574976122252"/>
    <n v="18.566380133715377"/>
    <n v="52.39622641509434"/>
    <n v="2.2180511182108624"/>
    <n v="6.9550902824219357E-2"/>
    <s v="CL691"/>
    <x v="2"/>
    <s v="Small"/>
    <n v="19439"/>
    <n v="3"/>
    <s v="Medium"/>
  </r>
  <r>
    <s v="C692"/>
    <d v="2024-10-06T09:42:39"/>
    <d v="2024-10-06T09:42:39"/>
    <s v="Ongoing"/>
    <n v="0"/>
    <n v="8259"/>
    <s v="Adults 25-34"/>
    <n v="9755"/>
    <n v="684"/>
    <n v="330"/>
    <n v="3098"/>
    <n v="7.0117888262429526E-2"/>
    <n v="0.48245614035087719"/>
    <n v="6.2821637426900585"/>
    <n v="13.021212121212121"/>
    <n v="0.52028090567865359"/>
    <n v="0.7209681172911333"/>
    <s v="CL692"/>
    <x v="3"/>
    <s v="Medium"/>
    <n v="4297"/>
    <n v="3"/>
    <s v="Medium"/>
  </r>
  <r>
    <s v="C693"/>
    <d v="2024-01-04T16:37:20"/>
    <d v="2024-01-04T16:37:20"/>
    <s v="Ongoing"/>
    <n v="0"/>
    <n v="7416"/>
    <s v="Professionals 35-50"/>
    <n v="5082"/>
    <n v="1046"/>
    <n v="48"/>
    <n v="10866"/>
    <n v="0.20582447855175129"/>
    <n v="4.5889101338432124E-2"/>
    <n v="8.4292543021032511"/>
    <n v="183.6875"/>
    <n v="1.1889158576051779"/>
    <n v="1.2323919700578427"/>
    <s v="CL693"/>
    <x v="1"/>
    <s v="Medium"/>
    <n v="8817"/>
    <n v="2"/>
    <s v="Medium"/>
  </r>
  <r>
    <s v="C694"/>
    <d v="2023-09-13T17:15:04"/>
    <d v="2024-10-10T03:12:04"/>
    <s v="Completed"/>
    <n v="392.41458333333139"/>
    <n v="4937"/>
    <s v="Youths 18-24"/>
    <n v="11097"/>
    <n v="603"/>
    <n v="372"/>
    <n v="12621"/>
    <n v="5.4339010543390104E-2"/>
    <n v="0.61691542288557211"/>
    <n v="32.703150912106139"/>
    <n v="53.01075268817204"/>
    <n v="3.9943285395989467"/>
    <n v="0.64001014198782957"/>
    <s v="CL694"/>
    <x v="2"/>
    <s v="Small"/>
    <n v="19720"/>
    <n v="1"/>
    <s v="Low"/>
  </r>
  <r>
    <s v="C695"/>
    <d v="2024-11-05T13:04:42"/>
    <d v="2024-11-05T13:04:42"/>
    <s v="Ongoing"/>
    <n v="0"/>
    <n v="3159"/>
    <s v="Youths 18-24"/>
    <n v="3107"/>
    <n v="1737"/>
    <n v="446"/>
    <n v="4609"/>
    <n v="0.55906018667524948"/>
    <n v="0.25676453655728265"/>
    <n v="8.4127806563039726"/>
    <n v="32.764573991031391"/>
    <n v="4.6258309591642925"/>
    <n v="0.31540409224662969"/>
    <s v="CL695"/>
    <x v="4"/>
    <s v="Large"/>
    <n v="14613"/>
    <n v="5"/>
    <s v="High"/>
  </r>
  <r>
    <s v="C696"/>
    <d v="2024-03-03T12:56:11"/>
    <d v="2024-03-03T12:56:11"/>
    <s v="Ongoing"/>
    <n v="0"/>
    <n v="4571"/>
    <s v="Parents 30-40"/>
    <n v="15724"/>
    <n v="657"/>
    <n v="180"/>
    <n v="5933"/>
    <n v="4.1783261256677688E-2"/>
    <n v="0.27397260273972601"/>
    <n v="3.3683409436834095"/>
    <n v="12.294444444444444"/>
    <n v="0.48413913804419162"/>
    <n v="2.6809760506100315"/>
    <s v="CL696"/>
    <x v="4"/>
    <s v="Small"/>
    <n v="2213"/>
    <n v="1"/>
    <s v="Low"/>
  </r>
  <r>
    <s v="C697"/>
    <d v="2024-06-10T13:18:03"/>
    <d v="2024-06-10T13:18:03"/>
    <s v="Ongoing"/>
    <n v="0"/>
    <n v="6307"/>
    <s v="Professionals 35-50"/>
    <n v="14327"/>
    <n v="278"/>
    <n v="279"/>
    <n v="5502"/>
    <n v="1.9403922663502479E-2"/>
    <n v="1.0035971223021583"/>
    <n v="40.115107913669064"/>
    <n v="39.971326164874554"/>
    <n v="1.7681940700808625"/>
    <n v="0.49336441893830701"/>
    <s v="CL697"/>
    <x v="3"/>
    <s v="Medium"/>
    <n v="11152"/>
    <n v="5"/>
    <s v="High"/>
  </r>
  <r>
    <s v="C698"/>
    <d v="2023-05-27T15:19:02"/>
    <d v="2023-07-23T03:13:33"/>
    <s v="Completed"/>
    <n v="56.496192129634437"/>
    <n v="7326"/>
    <s v="Adults 25-34"/>
    <n v="11294"/>
    <n v="511"/>
    <n v="290"/>
    <n v="14384"/>
    <n v="4.5245262971489286E-2"/>
    <n v="0.56751467710371817"/>
    <n v="29.095890410958905"/>
    <n v="51.268965517241377"/>
    <n v="2.0294840294840295"/>
    <n v="0.96744686575195049"/>
    <s v="CL698"/>
    <x v="0"/>
    <s v="Large"/>
    <n v="14868"/>
    <n v="1"/>
    <s v="Low"/>
  </r>
  <r>
    <s v="C699"/>
    <d v="2024-11-13T14:31:24"/>
    <d v="2024-11-13T14:31:24"/>
    <s v="Ongoing"/>
    <n v="0"/>
    <n v="9000"/>
    <s v="Youths 18-24"/>
    <n v="16012"/>
    <n v="1292"/>
    <n v="288"/>
    <n v="6285"/>
    <n v="8.0689482887834119E-2"/>
    <n v="0.22291021671826625"/>
    <n v="2.4636222910216716"/>
    <n v="11.052083333333334"/>
    <n v="0.35366666666666668"/>
    <n v="1.9745523091423185"/>
    <s v="CL699"/>
    <x v="1"/>
    <s v="Medium"/>
    <n v="3183"/>
    <n v="5"/>
    <s v="High"/>
  </r>
  <r>
    <s v="C700"/>
    <d v="2024-06-01T17:57:19"/>
    <d v="2024-06-01T17:57:19"/>
    <s v="Ongoing"/>
    <n v="0"/>
    <n v="8089"/>
    <s v="Professionals 35-50"/>
    <n v="17500"/>
    <n v="698"/>
    <n v="152"/>
    <n v="12106"/>
    <n v="3.9885714285714288E-2"/>
    <n v="0.2177650429799427"/>
    <n v="19.167621776504298"/>
    <n v="88.01973684210526"/>
    <n v="1.6539745333168501"/>
    <n v="0.90485088571642125"/>
    <s v="CL700"/>
    <x v="0"/>
    <s v="Small"/>
    <n v="13379"/>
    <n v="2"/>
    <s v="Medium"/>
  </r>
  <r>
    <s v="C701"/>
    <d v="2023-04-13T21:59:24"/>
    <d v="2023-10-04T04:44:51"/>
    <s v="Completed"/>
    <n v="173.28156250000029"/>
    <n v="5617"/>
    <s v="Youths 18-24"/>
    <n v="14434"/>
    <n v="967"/>
    <n v="22"/>
    <n v="11854"/>
    <n v="6.6994596092559242E-2"/>
    <n v="2.2750775594622543E-2"/>
    <n v="9.8769389865563593"/>
    <n v="434.13636363636363"/>
    <n v="1.7003738650525191"/>
    <n v="1.2411265836038112"/>
    <s v="CL701"/>
    <x v="3"/>
    <s v="Large"/>
    <n v="9551"/>
    <n v="4"/>
    <s v="High"/>
  </r>
  <r>
    <s v="C702"/>
    <d v="2023-03-06T05:28:41"/>
    <d v="2023-07-15T02:49:36"/>
    <s v="Completed"/>
    <n v="130.88952546296059"/>
    <n v="5105"/>
    <s v="Adults 25-34"/>
    <n v="18772"/>
    <n v="569"/>
    <n v="340"/>
    <n v="8898"/>
    <n v="3.0311101640741529E-2"/>
    <n v="0.5975395430579965"/>
    <n v="33.45518453427065"/>
    <n v="55.988235294117644"/>
    <n v="3.7288932419196867"/>
    <n v="0.46743013238075226"/>
    <s v="CL702"/>
    <x v="2"/>
    <s v="Medium"/>
    <n v="19036"/>
    <n v="2"/>
    <s v="Medium"/>
  </r>
  <r>
    <s v="C703"/>
    <d v="2024-01-04T11:17:28"/>
    <d v="2024-01-04T11:17:28"/>
    <s v="Ongoing"/>
    <n v="0"/>
    <n v="8598"/>
    <s v="Youths 18-24"/>
    <n v="17247"/>
    <n v="156"/>
    <n v="459"/>
    <n v="1539"/>
    <n v="9.0450513132718739E-3"/>
    <n v="2.9423076923076925"/>
    <n v="97.320512820512818"/>
    <n v="33.076252723311548"/>
    <n v="1.7657594789485926"/>
    <n v="0.10137004347253327"/>
    <s v="CL703"/>
    <x v="2"/>
    <s v="Small"/>
    <n v="15182"/>
    <n v="5"/>
    <s v="High"/>
  </r>
  <r>
    <s v="C704"/>
    <d v="2024-11-11T19:49:04"/>
    <d v="2024-11-11T19:49:04"/>
    <s v="Ongoing"/>
    <n v="0"/>
    <n v="2892"/>
    <s v="Professionals 35-50"/>
    <n v="16599"/>
    <n v="1594"/>
    <n v="273"/>
    <n v="627"/>
    <n v="9.6029881318151697E-2"/>
    <n v="0.17126725219573399"/>
    <n v="3.8074027603513176"/>
    <n v="22.23076923076923"/>
    <n v="2.0985477178423237"/>
    <n v="0.10331191300049432"/>
    <s v="CL704"/>
    <x v="1"/>
    <s v="Large"/>
    <n v="6069"/>
    <n v="3"/>
    <s v="Medium"/>
  </r>
  <r>
    <s v="C705"/>
    <d v="2023-07-11T16:17:11"/>
    <d v="2023-07-11T16:17:11"/>
    <s v="Ongoing"/>
    <n v="0"/>
    <n v="9146"/>
    <s v="Parents 30-40"/>
    <n v="6780"/>
    <n v="835"/>
    <n v="472"/>
    <n v="10945"/>
    <n v="0.12315634218289086"/>
    <n v="0.56526946107784426"/>
    <n v="3.8419161676646705"/>
    <n v="6.7966101694915251"/>
    <n v="0.35075442816531816"/>
    <n v="3.4117830423940148"/>
    <s v="CL705"/>
    <x v="4"/>
    <s v="Medium"/>
    <n v="3208"/>
    <n v="3"/>
    <s v="Medium"/>
  </r>
  <r>
    <s v="C706"/>
    <d v="2023-12-15T18:00:40"/>
    <d v="2023-12-15T18:00:40"/>
    <s v="Ongoing"/>
    <n v="0"/>
    <n v="3715"/>
    <s v="Youths 18-24"/>
    <n v="12632"/>
    <n v="327"/>
    <n v="464"/>
    <n v="10299"/>
    <n v="2.5886637112096263E-2"/>
    <n v="1.418960244648318"/>
    <n v="53.908256880733944"/>
    <n v="37.991379310344826"/>
    <n v="4.7450874831763121"/>
    <n v="0.58424098025867932"/>
    <s v="CL706"/>
    <x v="4"/>
    <s v="Large"/>
    <n v="17628"/>
    <n v="4"/>
    <s v="High"/>
  </r>
  <r>
    <s v="C707"/>
    <d v="2023-09-10T07:02:39"/>
    <d v="2024-09-27T02:55:00"/>
    <s v="Completed"/>
    <n v="382.82802083333809"/>
    <n v="9598"/>
    <s v="Parents 30-40"/>
    <n v="15400"/>
    <n v="1972"/>
    <n v="12"/>
    <n v="14647"/>
    <n v="0.12805194805194806"/>
    <n v="6.0851926977687626E-3"/>
    <n v="5.508113590263692"/>
    <n v="905.16666666666663"/>
    <n v="1.131694102938112"/>
    <n v="1.3484625299208248"/>
    <s v="CL707"/>
    <x v="4"/>
    <s v="Medium"/>
    <n v="10862"/>
    <n v="4"/>
    <s v="High"/>
  </r>
  <r>
    <s v="C708"/>
    <d v="2024-03-27T06:28:18"/>
    <d v="2024-03-27T06:28:18"/>
    <s v="Ongoing"/>
    <n v="0"/>
    <n v="4389"/>
    <s v="Professionals 35-50"/>
    <n v="16678"/>
    <n v="577"/>
    <n v="400"/>
    <n v="4876"/>
    <n v="3.459647439740976E-2"/>
    <n v="0.69324090121317161"/>
    <n v="32.59098786828423"/>
    <n v="47.012500000000003"/>
    <n v="4.2845750740487585"/>
    <n v="0.25929274129220953"/>
    <s v="CL708"/>
    <x v="3"/>
    <s v="Small"/>
    <n v="18805"/>
    <n v="2"/>
    <s v="Medium"/>
  </r>
  <r>
    <s v="C709"/>
    <d v="2024-02-17T11:14:38"/>
    <d v="2024-02-17T11:14:38"/>
    <s v="Ongoing"/>
    <n v="0"/>
    <n v="6187"/>
    <s v="Professionals 35-50"/>
    <n v="6308"/>
    <n v="497"/>
    <n v="101"/>
    <n v="8217"/>
    <n v="7.8788839568801519E-2"/>
    <n v="0.20321931589537223"/>
    <n v="34.072434607645874"/>
    <n v="167.66336633663366"/>
    <n v="2.7370292548892841"/>
    <n v="0.48523680170072042"/>
    <s v="CL709"/>
    <x v="4"/>
    <s v="Large"/>
    <n v="16934"/>
    <n v="5"/>
    <s v="High"/>
  </r>
  <r>
    <s v="C710"/>
    <d v="2023-05-13T20:33:24"/>
    <d v="2024-02-19T20:56:54"/>
    <s v="Completed"/>
    <n v="282.01631944444671"/>
    <n v="6326"/>
    <s v="Adults 25-34"/>
    <n v="2071"/>
    <n v="1530"/>
    <n v="294"/>
    <n v="3346"/>
    <n v="0.73877353935296963"/>
    <n v="0.19215686274509805"/>
    <n v="8.2450980392156854"/>
    <n v="42.908163265306122"/>
    <n v="1.9941511223521973"/>
    <n v="0.26523979389615537"/>
    <s v="CL710"/>
    <x v="4"/>
    <s v="Small"/>
    <n v="12615"/>
    <n v="5"/>
    <s v="High"/>
  </r>
  <r>
    <s v="C711"/>
    <d v="2024-01-24T15:43:20"/>
    <d v="2024-01-24T15:43:20"/>
    <s v="Ongoing"/>
    <n v="0"/>
    <n v="2412"/>
    <s v="Professionals 35-50"/>
    <n v="11786"/>
    <n v="198"/>
    <n v="287"/>
    <n v="5387"/>
    <n v="1.6799592737145767E-2"/>
    <n v="1.4494949494949494"/>
    <n v="18.106060606060606"/>
    <n v="12.491289198606271"/>
    <n v="1.486318407960199"/>
    <n v="1.5026499302649929"/>
    <s v="CL711"/>
    <x v="1"/>
    <s v="Large"/>
    <n v="3585"/>
    <n v="2"/>
    <s v="Medium"/>
  </r>
  <r>
    <s v="C712"/>
    <d v="2023-02-09T16:44:04"/>
    <d v="2023-05-14T06:02:05"/>
    <s v="Completed"/>
    <n v="93.554178240745387"/>
    <n v="9996"/>
    <s v="Youths 18-24"/>
    <n v="19759"/>
    <n v="369"/>
    <n v="402"/>
    <n v="11500"/>
    <n v="1.8675034161647858E-2"/>
    <n v="1.089430894308943"/>
    <n v="13.05420054200542"/>
    <n v="11.982587064676617"/>
    <n v="0.48189275710284113"/>
    <n v="2.3873780361220676"/>
    <s v="CL712"/>
    <x v="1"/>
    <s v="Medium"/>
    <n v="4817"/>
    <n v="5"/>
    <s v="High"/>
  </r>
  <r>
    <s v="C713"/>
    <d v="2023-12-27T23:07:44"/>
    <d v="2024-11-30T09:41:37"/>
    <s v="Completed"/>
    <n v="338.44019675925665"/>
    <n v="7633"/>
    <s v="Professionals 35-50"/>
    <n v="14862"/>
    <n v="1281"/>
    <n v="209"/>
    <n v="10771"/>
    <n v="8.6192975373435607E-2"/>
    <n v="0.16315378610460576"/>
    <n v="8.9297423887587826"/>
    <n v="54.732057416267942"/>
    <n v="1.4986243940783441"/>
    <n v="0.94160328700061191"/>
    <s v="CL713"/>
    <x v="2"/>
    <s v="Large"/>
    <n v="11439"/>
    <n v="1"/>
    <s v="Low"/>
  </r>
  <r>
    <s v="C714"/>
    <d v="2024-03-04T12:49:22"/>
    <d v="2024-03-04T12:49:22"/>
    <s v="Ongoing"/>
    <n v="0"/>
    <n v="7451"/>
    <s v="Parents 30-40"/>
    <n v="13503"/>
    <n v="657"/>
    <n v="62"/>
    <n v="14047"/>
    <n v="4.8655854254610088E-2"/>
    <n v="9.4368340943683404E-2"/>
    <n v="13.394216133942161"/>
    <n v="141.93548387096774"/>
    <n v="1.1810495235538854"/>
    <n v="1.5962499999999999"/>
    <s v="CL714"/>
    <x v="3"/>
    <s v="Medium"/>
    <n v="8800"/>
    <n v="2"/>
    <s v="Medium"/>
  </r>
  <r>
    <s v="C715"/>
    <d v="2024-01-04T10:18:02"/>
    <d v="2024-01-04T10:18:02"/>
    <s v="Ongoing"/>
    <n v="0"/>
    <n v="1972"/>
    <s v="Professionals 35-50"/>
    <n v="5508"/>
    <n v="1409"/>
    <n v="93"/>
    <n v="6101"/>
    <n v="0.2558097312999274"/>
    <n v="6.6004258339247696E-2"/>
    <n v="7.9552874378992193"/>
    <n v="120.52688172043011"/>
    <n v="5.6840770791075048"/>
    <n v="0.54429476313676506"/>
    <s v="CL715"/>
    <x v="0"/>
    <s v="Small"/>
    <n v="11209"/>
    <n v="2"/>
    <s v="Medium"/>
  </r>
  <r>
    <s v="C716"/>
    <d v="2023-01-25T21:29:35"/>
    <d v="2023-04-12T17:35:28"/>
    <s v="Completed"/>
    <n v="76.83741898147855"/>
    <n v="8420"/>
    <s v="Parents 30-40"/>
    <n v="14711"/>
    <n v="272"/>
    <n v="182"/>
    <n v="4666"/>
    <n v="1.8489565631160356E-2"/>
    <n v="0.66911764705882348"/>
    <n v="3.6764705882352939"/>
    <n v="5.4945054945054945"/>
    <n v="0.11876484560570071"/>
    <n v="4.6660000000000004"/>
    <s v="CL716"/>
    <x v="4"/>
    <s v="Large"/>
    <n v="1000"/>
    <n v="3"/>
    <s v="Medium"/>
  </r>
  <r>
    <s v="C717"/>
    <d v="2023-07-13T01:18:02"/>
    <d v="2024-08-04T19:55:01"/>
    <s v="Completed"/>
    <n v="388.77568287037138"/>
    <n v="4537"/>
    <s v="Professionals 35-50"/>
    <n v="9556"/>
    <n v="1776"/>
    <n v="149"/>
    <n v="10015"/>
    <n v="0.18585182084554205"/>
    <n v="8.38963963963964E-2"/>
    <n v="7.4014639639639643"/>
    <n v="88.22147651006712"/>
    <n v="2.8972889574608773"/>
    <n v="0.7618866489159376"/>
    <s v="CL717"/>
    <x v="0"/>
    <s v="Large"/>
    <n v="13145"/>
    <n v="1"/>
    <s v="Low"/>
  </r>
  <r>
    <s v="C718"/>
    <d v="2023-09-04T02:55:31"/>
    <d v="2024-06-20T18:15:04"/>
    <s v="Completed"/>
    <n v="290.63857638889021"/>
    <n v="3532"/>
    <s v="Youths 18-24"/>
    <n v="7355"/>
    <n v="1006"/>
    <n v="142"/>
    <n v="3821"/>
    <n v="0.13677770224337185"/>
    <n v="0.14115308151093439"/>
    <n v="17.133200795228628"/>
    <n v="121.38028169014085"/>
    <n v="4.87995469988675"/>
    <n v="0.22168716639591551"/>
    <s v="CL718"/>
    <x v="3"/>
    <s v="Medium"/>
    <n v="17236"/>
    <n v="3"/>
    <s v="Medium"/>
  </r>
  <r>
    <s v="C719"/>
    <d v="2023-02-16T13:12:57"/>
    <d v="2023-03-10T08:33:45"/>
    <s v="Completed"/>
    <n v="21.806111111116479"/>
    <n v="5910"/>
    <s v="Youths 18-24"/>
    <n v="16581"/>
    <n v="398"/>
    <n v="83"/>
    <n v="2701"/>
    <n v="2.400337735962849E-2"/>
    <n v="0.20854271356783918"/>
    <n v="46.422110552763819"/>
    <n v="222.60240963855421"/>
    <n v="3.1262267343485619"/>
    <n v="0.14618965143970555"/>
    <s v="CL719"/>
    <x v="2"/>
    <s v="Large"/>
    <n v="18476"/>
    <n v="2"/>
    <s v="Medium"/>
  </r>
  <r>
    <s v="C720"/>
    <d v="2023-08-09T05:38:32"/>
    <d v="2023-08-11T08:55:00"/>
    <s v="Completed"/>
    <n v="2.1364351851880201"/>
    <n v="5599"/>
    <s v="Professionals 35-50"/>
    <n v="17537"/>
    <n v="1317"/>
    <n v="441"/>
    <n v="10160"/>
    <n v="7.5098363460112907E-2"/>
    <n v="0.33485193621867881"/>
    <n v="14.133637053910402"/>
    <n v="42.208616780045354"/>
    <n v="3.3245222361135918"/>
    <n v="0.54582572257440631"/>
    <s v="CL720"/>
    <x v="3"/>
    <s v="Large"/>
    <n v="18614"/>
    <n v="1"/>
    <s v="Low"/>
  </r>
  <r>
    <s v="C721"/>
    <d v="2024-02-07T21:27:47"/>
    <d v="2024-02-07T21:27:47"/>
    <s v="Ongoing"/>
    <n v="0"/>
    <n v="9042"/>
    <s v="Parents 30-40"/>
    <n v="1805"/>
    <n v="1146"/>
    <n v="289"/>
    <n v="10121"/>
    <n v="0.63490304709141276"/>
    <n v="0.25218150087260033"/>
    <n v="14.533158813263526"/>
    <n v="57.629757785467127"/>
    <n v="1.8419597434195973"/>
    <n v="0.60768537976583603"/>
    <s v="CL721"/>
    <x v="1"/>
    <s v="Medium"/>
    <n v="16655"/>
    <n v="5"/>
    <s v="High"/>
  </r>
  <r>
    <s v="C722"/>
    <d v="2024-05-13T02:58:58"/>
    <d v="2024-05-13T02:58:58"/>
    <s v="Ongoing"/>
    <n v="0"/>
    <n v="8493"/>
    <s v="Youths 18-24"/>
    <n v="15575"/>
    <n v="1609"/>
    <n v="389"/>
    <n v="12655"/>
    <n v="0.10330658105939004"/>
    <n v="0.24176507147296458"/>
    <n v="9.7818520820385331"/>
    <n v="40.460154241645242"/>
    <n v="1.853173201460026"/>
    <n v="0.80405362475379627"/>
    <s v="CL722"/>
    <x v="1"/>
    <s v="Small"/>
    <n v="15739"/>
    <n v="4"/>
    <s v="High"/>
  </r>
  <r>
    <s v="C723"/>
    <d v="2023-01-01T16:10:36"/>
    <d v="2023-03-16T00:22:44"/>
    <s v="Completed"/>
    <n v="73.341759259259561"/>
    <n v="9388"/>
    <s v="Parents 30-40"/>
    <n v="11119"/>
    <n v="1948"/>
    <n v="263"/>
    <n v="10322"/>
    <n v="0.17519561111610757"/>
    <n v="0.13501026694045173"/>
    <n v="1.6940451745379876"/>
    <n v="12.547528517110266"/>
    <n v="0.35151256923732427"/>
    <n v="3.1278787878787879"/>
    <s v="CL723"/>
    <x v="3"/>
    <s v="Medium"/>
    <n v="3300"/>
    <n v="4"/>
    <s v="High"/>
  </r>
  <r>
    <s v="C724"/>
    <d v="2024-10-20T23:33:17"/>
    <d v="2024-10-20T23:33:17"/>
    <s v="Ongoing"/>
    <n v="0"/>
    <n v="6935"/>
    <s v="Youths 18-24"/>
    <n v="6774"/>
    <n v="1310"/>
    <n v="212"/>
    <n v="3982"/>
    <n v="0.19338647770888692"/>
    <n v="0.16183206106870229"/>
    <n v="4.8900763358778629"/>
    <n v="30.216981132075471"/>
    <n v="0.92372025955299208"/>
    <n v="0.62160474555104595"/>
    <s v="CL724"/>
    <x v="4"/>
    <s v="Large"/>
    <n v="6406"/>
    <n v="1"/>
    <s v="Low"/>
  </r>
  <r>
    <s v="C725"/>
    <d v="2024-10-24T05:21:21"/>
    <d v="2024-10-24T05:21:21"/>
    <s v="Ongoing"/>
    <n v="0"/>
    <n v="4948"/>
    <s v="Adults 25-34"/>
    <n v="7561"/>
    <n v="806"/>
    <n v="358"/>
    <n v="5940"/>
    <n v="0.10659965613014151"/>
    <n v="0.44416873449131511"/>
    <n v="16.725806451612904"/>
    <n v="37.656424581005588"/>
    <n v="2.7245351657235246"/>
    <n v="0.44062013203768269"/>
    <s v="CL725"/>
    <x v="2"/>
    <s v="Medium"/>
    <n v="13481"/>
    <n v="4"/>
    <s v="High"/>
  </r>
  <r>
    <s v="C726"/>
    <d v="2023-10-23T16:34:39"/>
    <d v="2024-09-22T17:43:14"/>
    <s v="Completed"/>
    <n v="335.04762731481605"/>
    <n v="7517"/>
    <s v="Professionals 35-50"/>
    <n v="1160"/>
    <n v="1168"/>
    <n v="387"/>
    <n v="6489"/>
    <n v="1.0068965517241379"/>
    <n v="0.33133561643835618"/>
    <n v="6.5282534246575343"/>
    <n v="19.702842377260982"/>
    <n v="1.0143674338166822"/>
    <n v="0.85101639344262292"/>
    <s v="CL726"/>
    <x v="3"/>
    <s v="Small"/>
    <n v="7625"/>
    <n v="1"/>
    <s v="Low"/>
  </r>
  <r>
    <s v="C727"/>
    <d v="2024-01-08T20:04:49"/>
    <d v="2024-01-08T20:04:49"/>
    <s v="Ongoing"/>
    <n v="0"/>
    <n v="1455"/>
    <s v="Youths 18-24"/>
    <n v="14762"/>
    <n v="814"/>
    <n v="345"/>
    <n v="13529"/>
    <n v="5.5141579731743669E-2"/>
    <n v="0.42383292383292381"/>
    <n v="11.862407862407862"/>
    <n v="27.98840579710145"/>
    <n v="6.6364261168384884"/>
    <n v="1.4010977630488815"/>
    <s v="CL727"/>
    <x v="4"/>
    <s v="Large"/>
    <n v="9656"/>
    <n v="4"/>
    <s v="High"/>
  </r>
  <r>
    <s v="C728"/>
    <d v="2024-07-11T12:19:50"/>
    <d v="2024-07-11T12:19:50"/>
    <s v="Ongoing"/>
    <n v="0"/>
    <n v="2717"/>
    <s v="Adults 25-34"/>
    <n v="19561"/>
    <n v="1088"/>
    <n v="218"/>
    <n v="6821"/>
    <n v="5.5620878278206637E-2"/>
    <n v="0.20036764705882354"/>
    <n v="1.96875"/>
    <n v="9.8256880733944953"/>
    <n v="0.78836952521163051"/>
    <n v="3.1844070961718018"/>
    <s v="CL728"/>
    <x v="2"/>
    <s v="Large"/>
    <n v="2142"/>
    <n v="2"/>
    <s v="Medium"/>
  </r>
  <r>
    <s v="C729"/>
    <d v="2024-10-25T01:14:40"/>
    <d v="2024-10-25T01:14:40"/>
    <s v="Ongoing"/>
    <n v="0"/>
    <n v="6471"/>
    <s v="Parents 30-40"/>
    <n v="1410"/>
    <n v="677"/>
    <n v="492"/>
    <n v="11091"/>
    <n v="0.48014184397163123"/>
    <n v="0.72673559822747413"/>
    <n v="17.028064992614475"/>
    <n v="23.430894308943088"/>
    <n v="1.7814866326688301"/>
    <n v="0.96209229701596111"/>
    <s v="CL729"/>
    <x v="4"/>
    <s v="Small"/>
    <n v="11528"/>
    <n v="2"/>
    <s v="Medium"/>
  </r>
  <r>
    <s v="C730"/>
    <d v="2024-10-31T13:43:56"/>
    <d v="2024-10-31T13:43:56"/>
    <s v="Ongoing"/>
    <n v="0"/>
    <n v="1027"/>
    <s v="Parents 30-40"/>
    <n v="12982"/>
    <n v="1567"/>
    <n v="136"/>
    <n v="9644"/>
    <n v="0.12070559235865044"/>
    <n v="8.6790044671346517E-2"/>
    <n v="8.8340778557753676"/>
    <n v="101.78676470588235"/>
    <n v="13.47906523855891"/>
    <n v="0.69666979700931875"/>
    <s v="CL730"/>
    <x v="4"/>
    <s v="Small"/>
    <n v="13843"/>
    <n v="1"/>
    <s v="Low"/>
  </r>
  <r>
    <s v="C731"/>
    <d v="2023-07-06T14:57:09"/>
    <d v="2024-06-13T22:25:25"/>
    <s v="Completed"/>
    <n v="343.3112962962914"/>
    <n v="1879"/>
    <s v="Youths 18-24"/>
    <n v="19039"/>
    <n v="289"/>
    <n v="370"/>
    <n v="878"/>
    <n v="1.5179368664320606E-2"/>
    <n v="1.2802768166089966"/>
    <n v="47.615916955017298"/>
    <n v="37.191891891891892"/>
    <n v="7.3235763704097927"/>
    <n v="6.3803502652423516E-2"/>
    <s v="CL731"/>
    <x v="3"/>
    <s v="Large"/>
    <n v="13761"/>
    <n v="1"/>
    <s v="Low"/>
  </r>
  <r>
    <s v="C732"/>
    <d v="2024-11-22T17:45:54"/>
    <d v="2024-11-22T17:45:54"/>
    <s v="Ongoing"/>
    <n v="0"/>
    <n v="9478"/>
    <s v="Youths 18-24"/>
    <n v="11023"/>
    <n v="969"/>
    <n v="291"/>
    <n v="14817"/>
    <n v="8.7907103329402159E-2"/>
    <n v="0.30030959752321984"/>
    <n v="12.532507739938081"/>
    <n v="41.731958762886599"/>
    <n v="1.2812829710909475"/>
    <n v="1.2201086956521738"/>
    <s v="CL732"/>
    <x v="0"/>
    <s v="Small"/>
    <n v="12144"/>
    <n v="1"/>
    <s v="Low"/>
  </r>
  <r>
    <s v="C733"/>
    <d v="2023-01-12T21:12:04"/>
    <d v="2024-01-15T12:26:40"/>
    <s v="Completed"/>
    <n v="367.63513888888701"/>
    <n v="9181"/>
    <s v="Professionals 35-50"/>
    <n v="4306"/>
    <n v="1740"/>
    <n v="137"/>
    <n v="14774"/>
    <n v="0.40408732001857872"/>
    <n v="7.8735632183908041E-2"/>
    <n v="2.6511494252873562"/>
    <n v="33.67153284671533"/>
    <n v="0.50245071342990955"/>
    <n v="3.2026880554953392"/>
    <s v="CL733"/>
    <x v="0"/>
    <s v="Medium"/>
    <n v="4613"/>
    <n v="4"/>
    <s v="High"/>
  </r>
  <r>
    <s v="C734"/>
    <d v="2024-04-19T00:58:00"/>
    <d v="2024-12-13T03:38:46"/>
    <s v="Completed"/>
    <n v="238.11164351851767"/>
    <n v="4307"/>
    <s v="Adults 25-34"/>
    <n v="16540"/>
    <n v="242"/>
    <n v="308"/>
    <n v="5913"/>
    <n v="1.4631197097944377E-2"/>
    <n v="1.2727272727272727"/>
    <n v="5.7066115702479339"/>
    <n v="4.4837662337662341"/>
    <n v="0.32064081727420479"/>
    <n v="4.281679942070963"/>
    <s v="CL734"/>
    <x v="4"/>
    <s v="Small"/>
    <n v="1381"/>
    <n v="3"/>
    <s v="Medium"/>
  </r>
  <r>
    <s v="C735"/>
    <d v="2024-05-31T08:34:17"/>
    <d v="2024-05-31T08:34:17"/>
    <s v="Ongoing"/>
    <n v="0"/>
    <n v="6325"/>
    <s v="Parents 30-40"/>
    <n v="3594"/>
    <n v="1557"/>
    <n v="342"/>
    <n v="7503"/>
    <n v="0.43322203672787979"/>
    <n v="0.21965317919075145"/>
    <n v="11.12010276172126"/>
    <n v="50.625730994152043"/>
    <n v="2.7373913043478262"/>
    <n v="0.43334873512764238"/>
    <s v="CL735"/>
    <x v="4"/>
    <s v="Medium"/>
    <n v="17314"/>
    <n v="2"/>
    <s v="Medium"/>
  </r>
  <r>
    <s v="C736"/>
    <d v="2024-05-31T09:55:39"/>
    <d v="2024-05-31T09:55:39"/>
    <s v="Ongoing"/>
    <n v="0"/>
    <n v="4288"/>
    <s v="Youths 18-24"/>
    <n v="2295"/>
    <n v="467"/>
    <n v="275"/>
    <n v="644"/>
    <n v="0.20348583877995643"/>
    <n v="0.58886509635974305"/>
    <n v="19.717344753747323"/>
    <n v="33.483636363636364"/>
    <n v="2.1473880597014925"/>
    <n v="6.9939183318853168E-2"/>
    <s v="CL736"/>
    <x v="2"/>
    <s v="Large"/>
    <n v="9208"/>
    <n v="5"/>
    <s v="High"/>
  </r>
  <r>
    <s v="C737"/>
    <d v="2024-04-02T19:34:08"/>
    <d v="2024-07-10T03:52:26"/>
    <s v="Completed"/>
    <n v="98.34604166666395"/>
    <n v="6410"/>
    <s v="Professionals 35-50"/>
    <n v="6037"/>
    <n v="211"/>
    <n v="430"/>
    <n v="4685"/>
    <n v="3.4951134669537851E-2"/>
    <n v="2.0379146919431279"/>
    <n v="92.530805687203795"/>
    <n v="45.404651162790699"/>
    <n v="3.0458658346333851"/>
    <n v="0.23996107355050195"/>
    <s v="CL737"/>
    <x v="4"/>
    <s v="Large"/>
    <n v="19524"/>
    <n v="1"/>
    <s v="Low"/>
  </r>
  <r>
    <s v="C738"/>
    <d v="2024-01-17T21:18:31"/>
    <d v="2024-01-17T21:18:31"/>
    <s v="Ongoing"/>
    <n v="0"/>
    <n v="2625"/>
    <s v="Youths 18-24"/>
    <n v="6690"/>
    <n v="878"/>
    <n v="296"/>
    <n v="7530"/>
    <n v="0.13124065769805679"/>
    <n v="0.33712984054669703"/>
    <n v="2.5296127562642368"/>
    <n v="7.5033783783783781"/>
    <n v="0.84609523809523812"/>
    <n v="3.3903647005853221"/>
    <s v="CL738"/>
    <x v="2"/>
    <s v="Medium"/>
    <n v="2221"/>
    <n v="5"/>
    <s v="High"/>
  </r>
  <r>
    <s v="C739"/>
    <d v="2023-01-16T13:27:41"/>
    <d v="2023-10-05T20:35:05"/>
    <s v="Completed"/>
    <n v="262.29680555555387"/>
    <n v="8421"/>
    <s v="Youths 18-24"/>
    <n v="17116"/>
    <n v="262"/>
    <n v="406"/>
    <n v="7866"/>
    <n v="1.5307314793175975E-2"/>
    <n v="1.5496183206106871"/>
    <n v="2.553435114503817"/>
    <n v="1.6477832512315271"/>
    <n v="7.9444246526540793E-2"/>
    <n v="11.757847533632287"/>
    <s v="CL739"/>
    <x v="0"/>
    <s v="Medium"/>
    <n v="669"/>
    <n v="3"/>
    <s v="Medium"/>
  </r>
  <r>
    <s v="C740"/>
    <d v="2024-11-12T21:49:25"/>
    <d v="2024-11-12T21:49:25"/>
    <s v="Ongoing"/>
    <n v="0"/>
    <n v="9552"/>
    <s v="Youths 18-24"/>
    <n v="2229"/>
    <n v="1795"/>
    <n v="23"/>
    <n v="5587"/>
    <n v="0.80529385374607443"/>
    <n v="1.2813370473537604E-2"/>
    <n v="7.176601671309192"/>
    <n v="560.08695652173913"/>
    <n v="1.3486180904522613"/>
    <n v="0.43370594628163328"/>
    <s v="CL740"/>
    <x v="4"/>
    <s v="Medium"/>
    <n v="12882"/>
    <n v="2"/>
    <s v="Medium"/>
  </r>
  <r>
    <s v="C741"/>
    <d v="2023-04-05T12:02:42"/>
    <d v="2023-04-05T12:02:42"/>
    <s v="Ongoing"/>
    <n v="0"/>
    <n v="8101"/>
    <s v="Professionals 35-50"/>
    <n v="19797"/>
    <n v="1442"/>
    <n v="74"/>
    <n v="2469"/>
    <n v="7.2839319088750826E-2"/>
    <n v="5.1317614424410539E-2"/>
    <n v="0.41262135922330095"/>
    <n v="8.0405405405405403"/>
    <n v="7.3447722503394638E-2"/>
    <n v="4.1495798319327735"/>
    <s v="CL741"/>
    <x v="3"/>
    <s v="Small"/>
    <n v="595"/>
    <n v="4"/>
    <s v="High"/>
  </r>
  <r>
    <s v="C742"/>
    <d v="2024-10-02T13:15:59"/>
    <d v="2024-10-02T13:15:59"/>
    <s v="Ongoing"/>
    <n v="0"/>
    <n v="4022"/>
    <s v="Professionals 35-50"/>
    <n v="11278"/>
    <n v="737"/>
    <n v="196"/>
    <n v="9338"/>
    <n v="6.5348466040078032E-2"/>
    <n v="0.26594301221166894"/>
    <n v="6.9185888738127543"/>
    <n v="26.01530612244898"/>
    <n v="1.2677772252610642"/>
    <n v="1.8313394783290842"/>
    <s v="CL742"/>
    <x v="2"/>
    <s v="Large"/>
    <n v="5099"/>
    <n v="2"/>
    <s v="Medium"/>
  </r>
  <r>
    <s v="C743"/>
    <d v="2023-09-01T21:51:08"/>
    <d v="2023-09-20T10:20:19"/>
    <s v="Completed"/>
    <n v="18.520266203704523"/>
    <n v="1039"/>
    <s v="Parents 30-40"/>
    <n v="5018"/>
    <n v="1687"/>
    <n v="453"/>
    <n v="2824"/>
    <n v="0.33618971701873257"/>
    <n v="0.26852400711321872"/>
    <n v="9.7344398340248954"/>
    <n v="36.251655629139073"/>
    <n v="15.8055822906641"/>
    <n v="0.17196443794909269"/>
    <s v="CL743"/>
    <x v="4"/>
    <s v="Medium"/>
    <n v="16422"/>
    <n v="2"/>
    <s v="Medium"/>
  </r>
  <r>
    <s v="C744"/>
    <d v="2023-07-06T12:59:10"/>
    <d v="2023-07-06T12:59:10"/>
    <s v="Ongoing"/>
    <n v="0"/>
    <n v="8392"/>
    <s v="Professionals 35-50"/>
    <n v="14090"/>
    <n v="1917"/>
    <n v="396"/>
    <n v="13498"/>
    <n v="0.13605393896380411"/>
    <n v="0.20657276995305165"/>
    <n v="1.412623891497131"/>
    <n v="6.8383838383838382"/>
    <n v="0.32268827454718779"/>
    <n v="4.9844903988183162"/>
    <s v="CL744"/>
    <x v="2"/>
    <s v="Medium"/>
    <n v="2708"/>
    <n v="1"/>
    <s v="Low"/>
  </r>
  <r>
    <s v="C745"/>
    <d v="2023-05-09T20:48:56"/>
    <d v="2023-07-22T19:11:23"/>
    <s v="Completed"/>
    <n v="73.932256944441178"/>
    <n v="8151"/>
    <s v="Adults 25-34"/>
    <n v="19429"/>
    <n v="647"/>
    <n v="265"/>
    <n v="12771"/>
    <n v="3.330073601317618E-2"/>
    <n v="0.4095826893353941"/>
    <n v="19.07727975270479"/>
    <n v="46.577358490566034"/>
    <n v="1.5142927248190405"/>
    <n v="1.0346755245888357"/>
    <s v="CL745"/>
    <x v="1"/>
    <s v="Small"/>
    <n v="12343"/>
    <n v="5"/>
    <s v="High"/>
  </r>
  <r>
    <s v="C746"/>
    <d v="2023-05-05T02:03:04"/>
    <d v="2024-10-07T14:49:10"/>
    <s v="Completed"/>
    <n v="521.53201388889283"/>
    <n v="7455"/>
    <s v="Professionals 35-50"/>
    <n v="12945"/>
    <n v="351"/>
    <n v="105"/>
    <n v="5885"/>
    <n v="2.7114716106604868E-2"/>
    <n v="0.29914529914529914"/>
    <n v="55.56980056980057"/>
    <n v="185.76190476190476"/>
    <n v="2.6163648558014754"/>
    <n v="0.30171750833119715"/>
    <s v="CL746"/>
    <x v="0"/>
    <s v="Medium"/>
    <n v="19505"/>
    <n v="3"/>
    <s v="Medium"/>
  </r>
  <r>
    <s v="C747"/>
    <d v="2023-01-06T12:13:45"/>
    <d v="2023-11-01T06:52:03"/>
    <s v="Completed"/>
    <n v="298.77659722222597"/>
    <n v="9609"/>
    <s v="Parents 30-40"/>
    <n v="6481"/>
    <n v="348"/>
    <n v="486"/>
    <n v="14478"/>
    <n v="5.3695417373862062E-2"/>
    <n v="1.396551724137931"/>
    <n v="37.178160919540232"/>
    <n v="26.621399176954732"/>
    <n v="1.3464460401706733"/>
    <n v="1.1190292162621733"/>
    <s v="CL747"/>
    <x v="2"/>
    <s v="Small"/>
    <n v="12938"/>
    <n v="1"/>
    <s v="Low"/>
  </r>
  <r>
    <s v="C748"/>
    <d v="2024-04-23T20:13:19"/>
    <d v="2024-10-18T22:35:05"/>
    <s v="Completed"/>
    <n v="178.09844907407387"/>
    <n v="4558"/>
    <s v="Parents 30-40"/>
    <n v="7100"/>
    <n v="1444"/>
    <n v="199"/>
    <n v="14217"/>
    <n v="0.20338028169014086"/>
    <n v="0.13781163434903046"/>
    <n v="1.479224376731302"/>
    <n v="10.733668341708542"/>
    <n v="0.46862659060991663"/>
    <n v="6.6558988764044944"/>
    <s v="CL748"/>
    <x v="1"/>
    <s v="Medium"/>
    <n v="2136"/>
    <n v="1"/>
    <s v="Low"/>
  </r>
  <r>
    <s v="C749"/>
    <d v="2024-07-26T20:17:44"/>
    <d v="2024-12-24T08:16:00"/>
    <s v="Completed"/>
    <n v="150.49879629629868"/>
    <n v="5386"/>
    <s v="Professionals 35-50"/>
    <n v="10309"/>
    <n v="1229"/>
    <n v="425"/>
    <n v="10709"/>
    <n v="0.11921621883790863"/>
    <n v="0.34580960130187144"/>
    <n v="8.9576891781936538"/>
    <n v="25.903529411764705"/>
    <n v="2.0440029706646863"/>
    <n v="0.97274956853483519"/>
    <s v="CL749"/>
    <x v="0"/>
    <s v="Small"/>
    <n v="11009"/>
    <n v="1"/>
    <s v="Low"/>
  </r>
  <r>
    <s v="C750"/>
    <d v="2023-07-04T10:26:03"/>
    <d v="2023-07-04T10:26:03"/>
    <s v="Ongoing"/>
    <n v="0"/>
    <n v="3103"/>
    <s v="Professionals 35-50"/>
    <n v="18273"/>
    <n v="546"/>
    <n v="275"/>
    <n v="1566"/>
    <n v="2.9880151042521754E-2"/>
    <n v="0.50366300366300365"/>
    <n v="19.010989010989011"/>
    <n v="37.745454545454542"/>
    <n v="3.3451498549790526"/>
    <n v="0.1508670520231214"/>
    <s v="CL750"/>
    <x v="1"/>
    <s v="Medium"/>
    <n v="10380"/>
    <n v="1"/>
    <s v="Low"/>
  </r>
  <r>
    <s v="C751"/>
    <d v="2024-11-20T05:43:37"/>
    <d v="2024-11-20T05:43:37"/>
    <s v="Ongoing"/>
    <n v="0"/>
    <n v="4545"/>
    <s v="Adults 25-34"/>
    <n v="10032"/>
    <n v="860"/>
    <n v="18"/>
    <n v="835"/>
    <n v="8.5725677830940983E-2"/>
    <n v="2.0930232558139535E-2"/>
    <n v="15.059302325581395"/>
    <n v="719.5"/>
    <n v="2.8495049504950494"/>
    <n v="6.4473785808045705E-2"/>
    <s v="CL751"/>
    <x v="2"/>
    <s v="Small"/>
    <n v="12951"/>
    <n v="2"/>
    <s v="Medium"/>
  </r>
  <r>
    <s v="C752"/>
    <d v="2023-08-18T19:12:25"/>
    <d v="2023-08-18T19:12:25"/>
    <s v="Ongoing"/>
    <n v="0"/>
    <n v="9270"/>
    <s v="Youths 18-24"/>
    <n v="15787"/>
    <n v="776"/>
    <n v="46"/>
    <n v="14831"/>
    <n v="4.9154367517577756E-2"/>
    <n v="5.9278350515463915E-2"/>
    <n v="7.6121134020618557"/>
    <n v="128.41304347826087"/>
    <n v="0.63721682847896444"/>
    <n v="2.5107499576773318"/>
    <s v="CL752"/>
    <x v="1"/>
    <s v="Small"/>
    <n v="5907"/>
    <n v="2"/>
    <s v="Medium"/>
  </r>
  <r>
    <s v="C753"/>
    <d v="2024-07-31T14:25:24"/>
    <d v="2024-07-31T14:25:24"/>
    <s v="Ongoing"/>
    <n v="0"/>
    <n v="2438"/>
    <s v="Youths 18-24"/>
    <n v="9859"/>
    <n v="1663"/>
    <n v="259"/>
    <n v="14199"/>
    <n v="0.16867836494573485"/>
    <n v="0.15574263379434755"/>
    <n v="9.3722188815393874"/>
    <n v="60.177606177606179"/>
    <n v="6.3929450369155045"/>
    <n v="0.91100988066213273"/>
    <s v="CL753"/>
    <x v="2"/>
    <s v="Medium"/>
    <n v="15586"/>
    <n v="2"/>
    <s v="Medium"/>
  </r>
  <r>
    <s v="C754"/>
    <d v="2024-03-23T16:16:44"/>
    <d v="2024-03-23T16:16:44"/>
    <s v="Ongoing"/>
    <n v="0"/>
    <n v="8114"/>
    <s v="Parents 30-40"/>
    <n v="16208"/>
    <n v="1553"/>
    <n v="156"/>
    <n v="14315"/>
    <n v="9.5816880552813427E-2"/>
    <n v="0.10045074050225371"/>
    <n v="9.7121699935608508"/>
    <n v="96.685897435897431"/>
    <n v="1.8588858762632487"/>
    <n v="0.94908174766293174"/>
    <s v="CL754"/>
    <x v="3"/>
    <s v="Medium"/>
    <n v="15083"/>
    <n v="3"/>
    <s v="Medium"/>
  </r>
  <r>
    <s v="C755"/>
    <d v="2023-06-19T00:48:13"/>
    <d v="2024-09-07T05:48:33"/>
    <s v="Completed"/>
    <n v="446.20856481481314"/>
    <n v="1188"/>
    <s v="Professionals 35-50"/>
    <n v="18533"/>
    <n v="1320"/>
    <n v="248"/>
    <n v="14820"/>
    <n v="7.1224302595370423E-2"/>
    <n v="0.18787878787878787"/>
    <n v="5.6196969696969701"/>
    <n v="29.911290322580644"/>
    <n v="6.2441077441077439"/>
    <n v="1.9978430843893233"/>
    <s v="CL755"/>
    <x v="0"/>
    <s v="Medium"/>
    <n v="7418"/>
    <n v="3"/>
    <s v="Medium"/>
  </r>
  <r>
    <s v="C756"/>
    <d v="2024-02-12T17:29:08"/>
    <d v="2024-04-22T16:53:15"/>
    <s v="Completed"/>
    <n v="69.975081018514175"/>
    <n v="5791"/>
    <s v="Parents 30-40"/>
    <n v="19127"/>
    <n v="1081"/>
    <n v="225"/>
    <n v="8466"/>
    <n v="5.6516965546086685E-2"/>
    <n v="0.20814061054579094"/>
    <n v="8.899167437557816"/>
    <n v="42.755555555555553"/>
    <n v="1.6611984113279226"/>
    <n v="0.88004158004158006"/>
    <s v="CL756"/>
    <x v="3"/>
    <s v="Small"/>
    <n v="9620"/>
    <n v="3"/>
    <s v="Medium"/>
  </r>
  <r>
    <s v="C757"/>
    <d v="2024-06-19T10:49:02"/>
    <d v="2024-06-19T10:49:02"/>
    <s v="Ongoing"/>
    <n v="0"/>
    <n v="7263"/>
    <s v="Professionals 35-50"/>
    <n v="8530"/>
    <n v="522"/>
    <n v="272"/>
    <n v="11915"/>
    <n v="6.1195779601406798E-2"/>
    <n v="0.52107279693486586"/>
    <n v="22.766283524904214"/>
    <n v="43.691176470588232"/>
    <n v="1.6362384689522236"/>
    <n v="1.0026085493099965"/>
    <s v="CL757"/>
    <x v="1"/>
    <s v="Medium"/>
    <n v="11884"/>
    <n v="2"/>
    <s v="Medium"/>
  </r>
  <r>
    <s v="C758"/>
    <d v="2023-12-24T12:49:02"/>
    <d v="2024-02-27T16:00:32"/>
    <s v="Completed"/>
    <n v="65.132986111108039"/>
    <n v="5017"/>
    <s v="Parents 30-40"/>
    <n v="15635"/>
    <n v="1397"/>
    <n v="366"/>
    <n v="13136"/>
    <n v="8.9350815478094023E-2"/>
    <n v="0.26198997852541162"/>
    <n v="6.9277022190408015"/>
    <n v="26.442622950819672"/>
    <n v="1.9290412597169624"/>
    <n v="1.3573052283529654"/>
    <s v="CL758"/>
    <x v="2"/>
    <s v="Medium"/>
    <n v="9678"/>
    <n v="1"/>
    <s v="Low"/>
  </r>
  <r>
    <s v="C759"/>
    <d v="2023-11-16T18:34:55"/>
    <d v="2023-11-16T18:34:55"/>
    <s v="Ongoing"/>
    <n v="0"/>
    <n v="2502"/>
    <s v="Youths 18-24"/>
    <n v="17562"/>
    <n v="1719"/>
    <n v="140"/>
    <n v="9226"/>
    <n v="9.7881790228903309E-2"/>
    <n v="8.1442699243746364E-2"/>
    <n v="0.5578824898196626"/>
    <n v="6.85"/>
    <n v="0.38329336530775382"/>
    <n v="9.6204379562043787"/>
    <s v="CL759"/>
    <x v="0"/>
    <s v="Large"/>
    <n v="959"/>
    <n v="2"/>
    <s v="Medium"/>
  </r>
  <r>
    <s v="C760"/>
    <d v="2024-02-26T21:53:41"/>
    <d v="2024-03-18T11:34:42"/>
    <s v="Completed"/>
    <n v="20.570150462961465"/>
    <n v="4579"/>
    <s v="Adults 25-34"/>
    <n v="8534"/>
    <n v="1139"/>
    <n v="426"/>
    <n v="13303"/>
    <n v="0.13346613545816732"/>
    <n v="0.3740122914837577"/>
    <n v="15.025460930640913"/>
    <n v="40.173708920187792"/>
    <n v="3.7374972701463203"/>
    <n v="0.77731681664134622"/>
    <s v="CL760"/>
    <x v="4"/>
    <s v="Small"/>
    <n v="17114"/>
    <n v="3"/>
    <s v="Medium"/>
  </r>
  <r>
    <s v="C761"/>
    <d v="2024-05-13T05:42:24"/>
    <d v="2024-07-05T23:31:37"/>
    <s v="Completed"/>
    <n v="53.742511574069795"/>
    <n v="2259"/>
    <s v="Parents 30-40"/>
    <n v="1800"/>
    <n v="1881"/>
    <n v="262"/>
    <n v="9770"/>
    <n v="1.0449999999999999"/>
    <n v="0.13928761297182349"/>
    <n v="0.59223817118553956"/>
    <n v="4.2519083969465647"/>
    <n v="0.49313855688357683"/>
    <n v="8.7701974865350092"/>
    <s v="CL761"/>
    <x v="1"/>
    <s v="Small"/>
    <n v="1114"/>
    <n v="3"/>
    <s v="Medium"/>
  </r>
  <r>
    <s v="C762"/>
    <d v="2023-11-04T21:06:57"/>
    <d v="2024-02-12T20:52:04"/>
    <s v="Completed"/>
    <n v="99.989664351851388"/>
    <n v="5334"/>
    <s v="Professionals 35-50"/>
    <n v="12839"/>
    <n v="1308"/>
    <n v="345"/>
    <n v="4790"/>
    <n v="0.10187709323156009"/>
    <n v="0.26376146788990823"/>
    <n v="13.288226299694189"/>
    <n v="50.379710144927536"/>
    <n v="3.258530183727034"/>
    <n v="0.27558828605949026"/>
    <s v="CL762"/>
    <x v="4"/>
    <s v="Medium"/>
    <n v="17381"/>
    <n v="4"/>
    <s v="High"/>
  </r>
  <r>
    <s v="C763"/>
    <d v="2024-03-06T16:17:23"/>
    <d v="2024-11-20T04:21:57"/>
    <s v="Completed"/>
    <n v="258.50317129630275"/>
    <n v="1691"/>
    <s v="Adults 25-34"/>
    <n v="1018"/>
    <n v="697"/>
    <n v="494"/>
    <n v="9882"/>
    <n v="0.68467583497053042"/>
    <n v="0.70875179340028693"/>
    <n v="17.081779053084649"/>
    <n v="24.101214574898787"/>
    <n v="7.0408042578356005"/>
    <n v="0.83000167982529816"/>
    <s v="CL763"/>
    <x v="0"/>
    <s v="Large"/>
    <n v="11906"/>
    <n v="4"/>
    <s v="High"/>
  </r>
  <r>
    <s v="C764"/>
    <d v="2023-05-12T22:34:50"/>
    <d v="2024-12-04T07:18:39"/>
    <s v="Completed"/>
    <n v="571.36376157407358"/>
    <n v="2210"/>
    <s v="Youths 18-24"/>
    <n v="5042"/>
    <n v="1033"/>
    <n v="410"/>
    <n v="6174"/>
    <n v="0.20487901626338753"/>
    <n v="0.39690222652468538"/>
    <n v="4.6815101645692163"/>
    <n v="11.795121951219512"/>
    <n v="2.1882352941176473"/>
    <n v="1.2766749379652604"/>
    <s v="CL764"/>
    <x v="3"/>
    <s v="Medium"/>
    <n v="4836"/>
    <n v="2"/>
    <s v="Medium"/>
  </r>
  <r>
    <s v="C765"/>
    <d v="2024-07-11T20:54:05"/>
    <d v="2024-07-11T20:54:05"/>
    <s v="Ongoing"/>
    <n v="0"/>
    <n v="6586"/>
    <s v="Youths 18-24"/>
    <n v="12894"/>
    <n v="769"/>
    <n v="421"/>
    <n v="1317"/>
    <n v="5.9640142702031954E-2"/>
    <n v="0.54746423927178156"/>
    <n v="13.621586475942783"/>
    <n v="24.8812351543943"/>
    <n v="1.5904949893713938"/>
    <n v="0.12572792362768495"/>
    <s v="CL765"/>
    <x v="1"/>
    <s v="Medium"/>
    <n v="10475"/>
    <n v="5"/>
    <s v="High"/>
  </r>
  <r>
    <s v="C766"/>
    <d v="2024-11-05T02:39:15"/>
    <d v="2024-11-05T02:39:15"/>
    <s v="Ongoing"/>
    <n v="0"/>
    <n v="9224"/>
    <s v="Parents 30-40"/>
    <n v="10871"/>
    <n v="1685"/>
    <n v="413"/>
    <n v="13833"/>
    <n v="0.15499954006071198"/>
    <n v="0.24510385756676559"/>
    <n v="2.9305637982195845"/>
    <n v="11.956416464891042"/>
    <n v="0.53534258456201211"/>
    <n v="2.8013365735115432"/>
    <s v="CL766"/>
    <x v="4"/>
    <s v="Small"/>
    <n v="4938"/>
    <n v="4"/>
    <s v="High"/>
  </r>
  <r>
    <s v="C767"/>
    <d v="2023-07-18T19:59:50"/>
    <d v="2023-07-18T19:59:50"/>
    <s v="Ongoing"/>
    <n v="0"/>
    <n v="4922"/>
    <s v="Professionals 35-50"/>
    <n v="13324"/>
    <n v="334"/>
    <n v="166"/>
    <n v="2799"/>
    <n v="2.5067547283098169E-2"/>
    <n v="0.49700598802395207"/>
    <n v="35.281437125748504"/>
    <n v="70.98795180722891"/>
    <n v="2.3941487200325069"/>
    <n v="0.23752545824847252"/>
    <s v="CL767"/>
    <x v="2"/>
    <s v="Small"/>
    <n v="11784"/>
    <n v="4"/>
    <s v="High"/>
  </r>
  <r>
    <s v="C768"/>
    <d v="2024-08-14T21:16:01"/>
    <d v="2024-08-14T21:16:01"/>
    <s v="Ongoing"/>
    <n v="0"/>
    <n v="9281"/>
    <s v="Adults 25-34"/>
    <n v="13046"/>
    <n v="938"/>
    <n v="280"/>
    <n v="5085"/>
    <n v="7.1899432776329916E-2"/>
    <n v="0.29850746268656714"/>
    <n v="16"/>
    <n v="53.6"/>
    <n v="1.6170671263872427"/>
    <n v="0.33881929637526653"/>
    <s v="CL768"/>
    <x v="1"/>
    <s v="Large"/>
    <n v="15008"/>
    <n v="2"/>
    <s v="Medium"/>
  </r>
  <r>
    <s v="C769"/>
    <d v="2024-03-20T23:34:20"/>
    <d v="2024-03-20T23:34:20"/>
    <s v="Ongoing"/>
    <n v="0"/>
    <n v="2525"/>
    <s v="Professionals 35-50"/>
    <n v="14391"/>
    <n v="1961"/>
    <n v="117"/>
    <n v="13842"/>
    <n v="0.1362657216315753"/>
    <n v="5.9663437021927591E-2"/>
    <n v="9.077001529831719"/>
    <n v="152.13675213675214"/>
    <n v="7.0495049504950495"/>
    <n v="0.77764044943820221"/>
    <s v="CL769"/>
    <x v="3"/>
    <s v="Small"/>
    <n v="17800"/>
    <n v="1"/>
    <s v="Low"/>
  </r>
  <r>
    <s v="C770"/>
    <d v="2023-10-31T08:26:20"/>
    <d v="2024-06-15T21:49:04"/>
    <s v="Completed"/>
    <n v="228.55745370370278"/>
    <n v="5083"/>
    <s v="Youths 18-24"/>
    <n v="18060"/>
    <n v="1546"/>
    <n v="461"/>
    <n v="10956"/>
    <n v="8.5603543743078631E-2"/>
    <n v="0.29818887451487708"/>
    <n v="10.714747736093143"/>
    <n v="35.932754880694141"/>
    <n v="3.2589022230965967"/>
    <n v="0.66139450648958653"/>
    <s v="CL770"/>
    <x v="3"/>
    <s v="Medium"/>
    <n v="16565"/>
    <n v="1"/>
    <s v="Low"/>
  </r>
  <r>
    <s v="C771"/>
    <d v="2024-10-08T09:29:56"/>
    <d v="2024-10-08T09:29:56"/>
    <s v="Ongoing"/>
    <n v="0"/>
    <n v="9996"/>
    <s v="Professionals 35-50"/>
    <n v="16217"/>
    <n v="1914"/>
    <n v="23"/>
    <n v="6322"/>
    <n v="0.11802429549238454"/>
    <n v="1.2016718913270637E-2"/>
    <n v="5.0940438871473352"/>
    <n v="423.91304347826087"/>
    <n v="0.97539015606242496"/>
    <n v="0.6484102564102564"/>
    <s v="CL771"/>
    <x v="3"/>
    <s v="Small"/>
    <n v="9750"/>
    <n v="1"/>
    <s v="Low"/>
  </r>
  <r>
    <s v="C772"/>
    <d v="2024-09-26T05:38:19"/>
    <d v="2024-09-26T05:38:19"/>
    <s v="Ongoing"/>
    <n v="0"/>
    <n v="2415"/>
    <s v="Youths 18-24"/>
    <n v="7124"/>
    <n v="365"/>
    <n v="423"/>
    <n v="3241"/>
    <n v="5.1235261089275688E-2"/>
    <n v="1.1589041095890411"/>
    <n v="54.213698630136989"/>
    <n v="46.780141843971634"/>
    <n v="8.1937888198757758"/>
    <n v="0.16378613300990499"/>
    <s v="CL772"/>
    <x v="0"/>
    <s v="Small"/>
    <n v="19788"/>
    <n v="1"/>
    <s v="Low"/>
  </r>
  <r>
    <s v="C773"/>
    <d v="2024-07-06T01:16:21"/>
    <d v="2024-07-06T01:16:21"/>
    <s v="Ongoing"/>
    <n v="0"/>
    <n v="4211"/>
    <s v="Professionals 35-50"/>
    <n v="11558"/>
    <n v="1148"/>
    <n v="321"/>
    <n v="13258"/>
    <n v="9.932514275826268E-2"/>
    <n v="0.27961672473867594"/>
    <n v="11.785714285714286"/>
    <n v="42.149532710280376"/>
    <n v="3.2130135359772027"/>
    <n v="0.97989652623798962"/>
    <s v="CL773"/>
    <x v="3"/>
    <s v="Small"/>
    <n v="13530"/>
    <n v="1"/>
    <s v="Low"/>
  </r>
  <r>
    <s v="C774"/>
    <d v="2023-04-04T10:28:24"/>
    <d v="2023-04-04T10:28:24"/>
    <s v="Ongoing"/>
    <n v="0"/>
    <n v="3983"/>
    <s v="Professionals 35-50"/>
    <n v="9622"/>
    <n v="1277"/>
    <n v="153"/>
    <n v="1426"/>
    <n v="0.13271669091664934"/>
    <n v="0.11981205951448708"/>
    <n v="1.0704776820673454"/>
    <n v="8.9346405228758172"/>
    <n v="0.34320863670600049"/>
    <n v="1.0431602048280908"/>
    <s v="CL774"/>
    <x v="0"/>
    <s v="Medium"/>
    <n v="1367"/>
    <n v="2"/>
    <s v="Medium"/>
  </r>
  <r>
    <s v="C775"/>
    <d v="2024-03-04T10:21:04"/>
    <d v="2024-03-04T10:21:04"/>
    <s v="Ongoing"/>
    <n v="0"/>
    <n v="1995"/>
    <s v="Parents 30-40"/>
    <n v="4722"/>
    <n v="1911"/>
    <n v="492"/>
    <n v="11330"/>
    <n v="0.40470139771283353"/>
    <n v="0.25745682888540034"/>
    <n v="5.0816326530612246"/>
    <n v="19.737804878048781"/>
    <n v="4.8676691729323309"/>
    <n v="1.1667181546699619"/>
    <s v="CL775"/>
    <x v="1"/>
    <s v="Medium"/>
    <n v="9711"/>
    <n v="5"/>
    <s v="High"/>
  </r>
  <r>
    <s v="C776"/>
    <d v="2023-02-10T16:25:56"/>
    <d v="2024-07-13T13:44:09"/>
    <s v="Completed"/>
    <n v="518.88765046295885"/>
    <n v="8311"/>
    <s v="Parents 30-40"/>
    <n v="19106"/>
    <n v="1609"/>
    <n v="238"/>
    <n v="4546"/>
    <n v="8.4214382916361352E-2"/>
    <n v="0.14791796146674954"/>
    <n v="5.8763206960845249"/>
    <n v="39.726890756302524"/>
    <n v="1.1376488990494524"/>
    <n v="0.48080380750925439"/>
    <s v="CL776"/>
    <x v="1"/>
    <s v="Large"/>
    <n v="9455"/>
    <n v="1"/>
    <s v="Low"/>
  </r>
  <r>
    <s v="C777"/>
    <d v="2024-06-27T09:46:11"/>
    <d v="2024-06-27T09:46:11"/>
    <s v="Ongoing"/>
    <n v="0"/>
    <n v="7943"/>
    <s v="Professionals 35-50"/>
    <n v="9942"/>
    <n v="1627"/>
    <n v="404"/>
    <n v="2965"/>
    <n v="0.16364916515791592"/>
    <n v="0.24830977258758452"/>
    <n v="1.5783650891210816"/>
    <n v="6.3564356435643568"/>
    <n v="0.32330353770615639"/>
    <n v="1.154595015576324"/>
    <s v="CL777"/>
    <x v="0"/>
    <s v="Medium"/>
    <n v="2568"/>
    <n v="3"/>
    <s v="Medium"/>
  </r>
  <r>
    <s v="C778"/>
    <d v="2023-06-09T14:17:56"/>
    <d v="2023-12-29T19:47:02"/>
    <s v="Completed"/>
    <n v="203.22854166666366"/>
    <n v="8837"/>
    <s v="Youths 18-24"/>
    <n v="6698"/>
    <n v="1016"/>
    <n v="37"/>
    <n v="11493"/>
    <n v="0.15168707076739324"/>
    <n v="3.6417322834645667E-2"/>
    <n v="17.402559055118111"/>
    <n v="477.86486486486484"/>
    <n v="2.0007921240239899"/>
    <n v="0.65001979526044906"/>
    <s v="CL778"/>
    <x v="0"/>
    <s v="Medium"/>
    <n v="17681"/>
    <n v="2"/>
    <s v="Medium"/>
  </r>
  <r>
    <s v="C779"/>
    <d v="2024-07-08T01:46:12"/>
    <d v="2024-07-08T01:46:12"/>
    <s v="Ongoing"/>
    <n v="0"/>
    <n v="6309"/>
    <s v="Adults 25-34"/>
    <n v="7611"/>
    <n v="563"/>
    <n v="254"/>
    <n v="1013"/>
    <n v="7.3971882801208783E-2"/>
    <n v="0.45115452930728239"/>
    <n v="32.724689165186504"/>
    <n v="72.535433070866148"/>
    <n v="2.9202726264067205"/>
    <n v="5.4982631350412509E-2"/>
    <s v="CL779"/>
    <x v="0"/>
    <s v="Large"/>
    <n v="18424"/>
    <n v="5"/>
    <s v="High"/>
  </r>
  <r>
    <s v="C780"/>
    <d v="2024-04-15T21:44:04"/>
    <d v="2024-04-15T21:44:04"/>
    <s v="Ongoing"/>
    <n v="0"/>
    <n v="8067"/>
    <s v="Professionals 35-50"/>
    <n v="16797"/>
    <n v="1986"/>
    <n v="476"/>
    <n v="2563"/>
    <n v="0.11823539917842472"/>
    <n v="0.23967774420946628"/>
    <n v="2.5297079556898288"/>
    <n v="10.554621848739496"/>
    <n v="0.62278418247179868"/>
    <n v="0.51015127388535031"/>
    <s v="CL780"/>
    <x v="1"/>
    <s v="Medium"/>
    <n v="5024"/>
    <n v="2"/>
    <s v="Medium"/>
  </r>
  <r>
    <s v="C781"/>
    <d v="2024-08-23T22:01:16"/>
    <d v="2024-08-23T22:01:16"/>
    <s v="Ongoing"/>
    <n v="0"/>
    <n v="9459"/>
    <s v="Parents 30-40"/>
    <n v="18157"/>
    <n v="1223"/>
    <n v="104"/>
    <n v="7974"/>
    <n v="6.735694222613868E-2"/>
    <n v="8.5036794766966475E-2"/>
    <n v="10.523303352412102"/>
    <n v="123.75"/>
    <n v="1.3606089438629876"/>
    <n v="0.61958041958041954"/>
    <s v="CL781"/>
    <x v="0"/>
    <s v="Small"/>
    <n v="12870"/>
    <n v="4"/>
    <s v="High"/>
  </r>
  <r>
    <s v="C782"/>
    <d v="2024-07-27T09:39:29"/>
    <d v="2024-07-27T09:39:29"/>
    <s v="Ongoing"/>
    <n v="0"/>
    <n v="7628"/>
    <s v="Adults 25-34"/>
    <n v="10393"/>
    <n v="844"/>
    <n v="175"/>
    <n v="2555"/>
    <n v="8.1208505725007221E-2"/>
    <n v="0.20734597156398105"/>
    <n v="13.84478672985782"/>
    <n v="66.771428571428572"/>
    <n v="1.5318563188253802"/>
    <n v="0.2186563970902867"/>
    <s v="CL782"/>
    <x v="1"/>
    <s v="Medium"/>
    <n v="11685"/>
    <n v="4"/>
    <s v="High"/>
  </r>
  <r>
    <s v="C783"/>
    <d v="2023-12-14T20:15:26"/>
    <d v="2024-05-24T17:45:04"/>
    <s v="Completed"/>
    <n v="161.89557870370481"/>
    <n v="9802"/>
    <s v="Parents 30-40"/>
    <n v="13033"/>
    <n v="841"/>
    <n v="366"/>
    <n v="7009"/>
    <n v="6.4528504565334155E-2"/>
    <n v="0.43519619500594531"/>
    <n v="3.1343638525564805"/>
    <n v="7.2021857923497263"/>
    <n v="0.26892470924301165"/>
    <n v="2.6589529590288317"/>
    <s v="CL783"/>
    <x v="1"/>
    <s v="Medium"/>
    <n v="2636"/>
    <n v="5"/>
    <s v="High"/>
  </r>
  <r>
    <s v="C784"/>
    <d v="2024-04-24T13:37:09"/>
    <d v="2024-10-30T06:07:28"/>
    <s v="Completed"/>
    <n v="188.68771990740788"/>
    <n v="4965"/>
    <s v="Professionals 35-50"/>
    <n v="18756"/>
    <n v="206"/>
    <n v="454"/>
    <n v="13776"/>
    <n v="1.0983152058008105E-2"/>
    <n v="2.203883495145631"/>
    <n v="13.407766990291263"/>
    <n v="6.0837004405286343"/>
    <n v="0.55629405840886204"/>
    <n v="4.9876900796524257"/>
    <s v="CL784"/>
    <x v="0"/>
    <s v="Large"/>
    <n v="2762"/>
    <n v="1"/>
    <s v="Low"/>
  </r>
  <r>
    <s v="C785"/>
    <d v="2023-02-06T22:35:40"/>
    <d v="2023-04-24T20:33:57"/>
    <s v="Completed"/>
    <n v="76.915474537032424"/>
    <n v="7872"/>
    <s v="Youths 18-24"/>
    <n v="2891"/>
    <n v="1414"/>
    <n v="452"/>
    <n v="1476"/>
    <n v="0.48910411622276029"/>
    <n v="0.31966053748231965"/>
    <n v="5.1124469589816126"/>
    <n v="15.993362831858407"/>
    <n v="0.91831808943089432"/>
    <n v="0.20417761792779085"/>
    <s v="CL785"/>
    <x v="1"/>
    <s v="Medium"/>
    <n v="7229"/>
    <n v="1"/>
    <s v="Low"/>
  </r>
  <r>
    <s v="C786"/>
    <d v="2023-08-20T06:01:14"/>
    <d v="2024-09-01T16:29:30"/>
    <s v="Completed"/>
    <n v="378.43629629629868"/>
    <n v="5220"/>
    <s v="Youths 18-24"/>
    <n v="17814"/>
    <n v="801"/>
    <n v="495"/>
    <n v="10585"/>
    <n v="4.4964634557089926E-2"/>
    <n v="0.6179775280898876"/>
    <n v="3.0037453183520597"/>
    <n v="4.8606060606060604"/>
    <n v="0.46091954022988507"/>
    <n v="4.3994181213632588"/>
    <s v="CL786"/>
    <x v="3"/>
    <s v="Small"/>
    <n v="2406"/>
    <n v="4"/>
    <s v="High"/>
  </r>
  <r>
    <s v="C787"/>
    <d v="2024-06-16T05:29:20"/>
    <d v="2024-06-16T05:29:20"/>
    <s v="Ongoing"/>
    <n v="0"/>
    <n v="5667"/>
    <s v="Professionals 35-50"/>
    <n v="13432"/>
    <n v="1149"/>
    <n v="252"/>
    <n v="1106"/>
    <n v="8.5541989279332931E-2"/>
    <n v="0.21932114882506529"/>
    <n v="8.1409921671018282"/>
    <n v="37.11904761904762"/>
    <n v="1.6506087877183695"/>
    <n v="0.11823818687192644"/>
    <s v="CL787"/>
    <x v="4"/>
    <s v="Medium"/>
    <n v="9354"/>
    <n v="2"/>
    <s v="Medium"/>
  </r>
  <r>
    <s v="C788"/>
    <d v="2024-12-01T23:22:03"/>
    <d v="2024-12-01T23:22:03"/>
    <s v="Ongoing"/>
    <n v="0"/>
    <n v="6614"/>
    <s v="Youths 18-24"/>
    <n v="3254"/>
    <n v="1157"/>
    <n v="299"/>
    <n v="10075"/>
    <n v="0.35556238475722191"/>
    <n v="0.25842696629213485"/>
    <n v="7.5738980121002593"/>
    <n v="29.307692307692307"/>
    <n v="1.3249168430601754"/>
    <n v="1.1497204153828597"/>
    <s v="CL788"/>
    <x v="2"/>
    <s v="Small"/>
    <n v="8763"/>
    <n v="2"/>
    <s v="Medium"/>
  </r>
  <r>
    <s v="C789"/>
    <d v="2023-03-22T20:12:36"/>
    <d v="2024-12-13T22:12:30"/>
    <s v="Completed"/>
    <n v="632.08326388888236"/>
    <n v="8057"/>
    <s v="Parents 30-40"/>
    <n v="12128"/>
    <n v="329"/>
    <n v="343"/>
    <n v="5807"/>
    <n v="2.7127308707124011E-2"/>
    <n v="1.0425531914893618"/>
    <n v="57.835866261398174"/>
    <n v="55.475218658892125"/>
    <n v="2.361673079309917"/>
    <n v="0.30518183729241116"/>
    <s v="CL789"/>
    <x v="0"/>
    <s v="Large"/>
    <n v="19028"/>
    <n v="4"/>
    <s v="High"/>
  </r>
  <r>
    <s v="C790"/>
    <d v="2024-05-01T07:52:34"/>
    <d v="2024-05-01T07:52:34"/>
    <s v="Ongoing"/>
    <n v="0"/>
    <n v="1422"/>
    <s v="Professionals 35-50"/>
    <n v="12370"/>
    <n v="1487"/>
    <n v="137"/>
    <n v="7719"/>
    <n v="0.12021018593371059"/>
    <n v="9.213180901143242E-2"/>
    <n v="9.7975790181573643"/>
    <n v="106.34306569343066"/>
    <n v="10.245428973277075"/>
    <n v="0.52982359805065549"/>
    <s v="CL790"/>
    <x v="2"/>
    <s v="Large"/>
    <n v="14569"/>
    <n v="5"/>
    <s v="High"/>
  </r>
  <r>
    <s v="C791"/>
    <d v="2023-12-05T06:16:16"/>
    <d v="2023-12-05T06:16:16"/>
    <s v="Ongoing"/>
    <n v="0"/>
    <n v="8120"/>
    <s v="Youths 18-24"/>
    <n v="17773"/>
    <n v="746"/>
    <n v="473"/>
    <n v="11279"/>
    <n v="4.1973780453496874E-2"/>
    <n v="0.63404825737265413"/>
    <n v="26.428954423592494"/>
    <n v="41.682875264270614"/>
    <n v="2.42807881773399"/>
    <n v="0.57207344288902418"/>
    <s v="CL791"/>
    <x v="3"/>
    <s v="Large"/>
    <n v="19716"/>
    <n v="4"/>
    <s v="High"/>
  </r>
  <r>
    <s v="C792"/>
    <d v="2023-05-31T23:38:58"/>
    <d v="2024-04-26T20:57:37"/>
    <s v="Completed"/>
    <n v="330.88795138888963"/>
    <n v="2437"/>
    <s v="Parents 30-40"/>
    <n v="11767"/>
    <n v="905"/>
    <n v="280"/>
    <n v="2463"/>
    <n v="7.6910002549502851E-2"/>
    <n v="0.30939226519337015"/>
    <n v="16.904972375690608"/>
    <n v="54.639285714285712"/>
    <n v="6.2778005744768155"/>
    <n v="0.16099091443885222"/>
    <s v="CL792"/>
    <x v="1"/>
    <s v="Small"/>
    <n v="15299"/>
    <n v="2"/>
    <s v="Medium"/>
  </r>
  <r>
    <s v="C793"/>
    <d v="2024-03-24T13:12:41"/>
    <d v="2024-03-24T13:12:41"/>
    <s v="Ongoing"/>
    <n v="0"/>
    <n v="2662"/>
    <s v="Parents 30-40"/>
    <n v="16650"/>
    <n v="441"/>
    <n v="421"/>
    <n v="14531"/>
    <n v="2.6486486486486487E-2"/>
    <n v="0.95464852607709749"/>
    <n v="5.4829931972789119"/>
    <n v="5.7434679334916865"/>
    <n v="0.90833959429000755"/>
    <n v="6.0095119933829615"/>
    <s v="CL793"/>
    <x v="3"/>
    <s v="Small"/>
    <n v="2418"/>
    <n v="3"/>
    <s v="Medium"/>
  </r>
  <r>
    <s v="C794"/>
    <d v="2023-12-04T03:02:49"/>
    <d v="2024-01-27T06:19:18"/>
    <s v="Completed"/>
    <n v="54.136446759257524"/>
    <n v="4575"/>
    <s v="Youths 18-24"/>
    <n v="17772"/>
    <n v="1247"/>
    <n v="152"/>
    <n v="4923"/>
    <n v="7.0166554130092276E-2"/>
    <n v="0.1218925421010425"/>
    <n v="9.3247794707297516"/>
    <n v="76.5"/>
    <n v="2.5416393442622951"/>
    <n v="0.42337461300309598"/>
    <s v="CL794"/>
    <x v="2"/>
    <s v="Medium"/>
    <n v="11628"/>
    <n v="4"/>
    <s v="High"/>
  </r>
  <r>
    <s v="C795"/>
    <d v="2024-04-01T11:41:19"/>
    <d v="2024-09-28T09:06:45"/>
    <s v="Completed"/>
    <n v="179.89266203703301"/>
    <n v="3436"/>
    <s v="Parents 30-40"/>
    <n v="18395"/>
    <n v="1024"/>
    <n v="335"/>
    <n v="730"/>
    <n v="5.5667300896982873E-2"/>
    <n v="0.3271484375"/>
    <n v="15.509765625"/>
    <n v="47.408955223880596"/>
    <n v="4.622235157159488"/>
    <n v="4.5963984384838182E-2"/>
    <s v="CL795"/>
    <x v="0"/>
    <s v="Medium"/>
    <n v="15882"/>
    <n v="5"/>
    <s v="High"/>
  </r>
  <r>
    <s v="C796"/>
    <d v="2024-07-18T23:22:14"/>
    <d v="2024-11-22T12:52:34"/>
    <s v="Completed"/>
    <n v="126.56273148147739"/>
    <n v="7488"/>
    <s v="Professionals 35-50"/>
    <n v="19638"/>
    <n v="949"/>
    <n v="257"/>
    <n v="3898"/>
    <n v="4.8324676647316427E-2"/>
    <n v="0.27081138040042152"/>
    <n v="7.6638566912539519"/>
    <n v="28.299610894941633"/>
    <n v="0.97128739316239321"/>
    <n v="0.53595490169118654"/>
    <s v="CL796"/>
    <x v="2"/>
    <s v="Medium"/>
    <n v="7273"/>
    <n v="5"/>
    <s v="High"/>
  </r>
  <r>
    <s v="C797"/>
    <d v="2024-09-04T18:20:01"/>
    <d v="2024-09-04T18:20:01"/>
    <s v="Ongoing"/>
    <n v="0"/>
    <n v="5420"/>
    <s v="Parents 30-40"/>
    <n v="14836"/>
    <n v="1489"/>
    <n v="128"/>
    <n v="2652"/>
    <n v="0.1003639795093017"/>
    <n v="8.5963734049697788E-2"/>
    <n v="7.6413700470114172"/>
    <n v="88.890625"/>
    <n v="2.0992619926199261"/>
    <n v="0.23308138512919668"/>
    <s v="CL797"/>
    <x v="3"/>
    <s v="Large"/>
    <n v="11378"/>
    <n v="2"/>
    <s v="Medium"/>
  </r>
  <r>
    <s v="C798"/>
    <d v="2023-04-15T07:02:22"/>
    <d v="2024-09-14T12:40:39"/>
    <s v="Completed"/>
    <n v="518.23491898147768"/>
    <n v="5205"/>
    <s v="Adults 25-34"/>
    <n v="8729"/>
    <n v="1610"/>
    <n v="262"/>
    <n v="12640"/>
    <n v="0.18444266238973536"/>
    <n v="0.16273291925465838"/>
    <n v="0.67018633540372674"/>
    <n v="4.1183206106870225"/>
    <n v="0.20730067243035544"/>
    <n v="11.714550509731232"/>
    <s v="CL798"/>
    <x v="1"/>
    <s v="Large"/>
    <n v="1079"/>
    <n v="5"/>
    <s v="High"/>
  </r>
  <r>
    <s v="C799"/>
    <d v="2024-07-13T13:53:47"/>
    <d v="2024-07-13T13:53:47"/>
    <s v="Ongoing"/>
    <n v="0"/>
    <n v="4503"/>
    <s v="Youths 18-24"/>
    <n v="4715"/>
    <n v="787"/>
    <n v="404"/>
    <n v="4310"/>
    <n v="0.16691410392364794"/>
    <n v="0.51334180432020327"/>
    <n v="18.339263024142312"/>
    <n v="35.725247524752476"/>
    <n v="3.2051965356429046"/>
    <n v="0.29862121527056051"/>
    <s v="CL799"/>
    <x v="4"/>
    <s v="Medium"/>
    <n v="14433"/>
    <n v="2"/>
    <s v="Medium"/>
  </r>
  <r>
    <s v="C800"/>
    <d v="2024-04-04T06:28:56"/>
    <d v="2024-12-11T21:35:29"/>
    <s v="Completed"/>
    <n v="251.62954861111211"/>
    <n v="7469"/>
    <s v="Parents 30-40"/>
    <n v="1109"/>
    <n v="1201"/>
    <n v="27"/>
    <n v="3123"/>
    <n v="1.0829576194770063"/>
    <n v="2.2481265611990008E-2"/>
    <n v="0.86677768526228138"/>
    <n v="38.555555555555557"/>
    <n v="0.13937608782969607"/>
    <n v="3"/>
    <s v="CL800"/>
    <x v="4"/>
    <s v="Small"/>
    <n v="1041"/>
    <n v="4"/>
    <s v="High"/>
  </r>
  <r>
    <s v="C801"/>
    <d v="2023-02-21T09:13:03"/>
    <d v="2023-10-31T06:25:10"/>
    <s v="Completed"/>
    <n v="251.8834143518543"/>
    <n v="6079"/>
    <s v="Adults 25-34"/>
    <n v="16477"/>
    <n v="1200"/>
    <n v="59"/>
    <n v="13578"/>
    <n v="7.2828791648965219E-2"/>
    <n v="4.9166666666666664E-2"/>
    <n v="0.71833333333333338"/>
    <n v="14.610169491525424"/>
    <n v="0.14179963809837146"/>
    <n v="15.751740139211137"/>
    <s v="CL801"/>
    <x v="4"/>
    <s v="Medium"/>
    <n v="862"/>
    <n v="4"/>
    <s v="High"/>
  </r>
  <r>
    <s v="C802"/>
    <d v="2023-07-06T16:19:31"/>
    <d v="2023-12-30T12:28:58"/>
    <s v="Completed"/>
    <n v="176.83989583333459"/>
    <n v="8865"/>
    <s v="Adults 25-34"/>
    <n v="3596"/>
    <n v="298"/>
    <n v="233"/>
    <n v="7514"/>
    <n v="8.2869855394883202E-2"/>
    <n v="0.78187919463087252"/>
    <n v="51.040268456375841"/>
    <n v="65.278969957081543"/>
    <n v="1.7157360406091371"/>
    <n v="0.49401709401709404"/>
    <s v="CL802"/>
    <x v="0"/>
    <s v="Medium"/>
    <n v="15210"/>
    <n v="5"/>
    <s v="High"/>
  </r>
  <r>
    <s v="C803"/>
    <d v="2023-05-02T11:13:01"/>
    <d v="2024-11-11T13:31:05"/>
    <s v="Completed"/>
    <n v="559.09587962963269"/>
    <n v="8374"/>
    <s v="Parents 30-40"/>
    <n v="3083"/>
    <n v="241"/>
    <n v="144"/>
    <n v="5130"/>
    <n v="7.817061303924748E-2"/>
    <n v="0.59751037344398339"/>
    <n v="16.053941908713693"/>
    <n v="26.868055555555557"/>
    <n v="0.46202531645569622"/>
    <n v="1.3259240113724478"/>
    <s v="CL803"/>
    <x v="4"/>
    <s v="Small"/>
    <n v="3869"/>
    <n v="3"/>
    <s v="Medium"/>
  </r>
  <r>
    <s v="C804"/>
    <d v="2023-11-22T03:29:38"/>
    <d v="2024-05-11T14:58:54"/>
    <s v="Completed"/>
    <n v="171.47865740740963"/>
    <n v="2446"/>
    <s v="Adults 25-34"/>
    <n v="12298"/>
    <n v="997"/>
    <n v="465"/>
    <n v="5714"/>
    <n v="8.1070092697999668E-2"/>
    <n v="0.46639919759277831"/>
    <n v="11.320962888665997"/>
    <n v="24.273118279569893"/>
    <n v="4.6144726083401473"/>
    <n v="0.50624612385930712"/>
    <s v="CL804"/>
    <x v="1"/>
    <s v="Medium"/>
    <n v="11287"/>
    <n v="2"/>
    <s v="Medium"/>
  </r>
  <r>
    <s v="C805"/>
    <d v="2023-05-30T01:53:25"/>
    <d v="2024-11-17T22:43:27"/>
    <s v="Completed"/>
    <n v="537.86807870370103"/>
    <n v="9720"/>
    <s v="Youths 18-24"/>
    <n v="4741"/>
    <n v="1159"/>
    <n v="305"/>
    <n v="14129"/>
    <n v="0.24446319341910988"/>
    <n v="0.26315789473684209"/>
    <n v="11.455565142364106"/>
    <n v="43.531147540983604"/>
    <n v="1.3659465020576131"/>
    <n v="1.0641711229946524"/>
    <s v="CL805"/>
    <x v="4"/>
    <s v="Medium"/>
    <n v="13277"/>
    <n v="3"/>
    <s v="Medium"/>
  </r>
  <r>
    <s v="C806"/>
    <d v="2024-01-02T01:26:31"/>
    <d v="2024-01-02T01:26:31"/>
    <s v="Ongoing"/>
    <n v="0"/>
    <n v="1064"/>
    <s v="Parents 30-40"/>
    <n v="11322"/>
    <n v="392"/>
    <n v="140"/>
    <n v="2794"/>
    <n v="3.4622858152269918E-2"/>
    <n v="0.35714285714285715"/>
    <n v="33.969387755102041"/>
    <n v="95.114285714285714"/>
    <n v="12.515037593984962"/>
    <n v="0.20982276960048063"/>
    <s v="CL806"/>
    <x v="2"/>
    <s v="Large"/>
    <n v="13316"/>
    <n v="4"/>
    <s v="High"/>
  </r>
  <r>
    <s v="C807"/>
    <d v="2024-12-22T06:16:02"/>
    <d v="2024-12-22T06:16:02"/>
    <s v="Ongoing"/>
    <n v="0"/>
    <n v="6178"/>
    <s v="Youths 18-24"/>
    <n v="5643"/>
    <n v="170"/>
    <n v="96"/>
    <n v="8733"/>
    <n v="3.0125819599503809E-2"/>
    <n v="0.56470588235294117"/>
    <n v="92.382352941176464"/>
    <n v="163.59375"/>
    <n v="2.5420848170929102"/>
    <n v="0.55606494746895896"/>
    <s v="CL807"/>
    <x v="2"/>
    <s v="Medium"/>
    <n v="15705"/>
    <n v="2"/>
    <s v="Medium"/>
  </r>
  <r>
    <s v="C808"/>
    <d v="2024-03-13T13:24:56"/>
    <d v="2024-08-26T00:42:06"/>
    <s v="Completed"/>
    <n v="165.47025462963211"/>
    <n v="5155"/>
    <s v="Youths 18-24"/>
    <n v="12094"/>
    <n v="1732"/>
    <n v="221"/>
    <n v="5140"/>
    <n v="0.14321150983958988"/>
    <n v="0.12759815242494227"/>
    <n v="4.7961893764434178"/>
    <n v="37.588235294117645"/>
    <n v="1.6114451988360814"/>
    <n v="0.61875526664259062"/>
    <s v="CL808"/>
    <x v="2"/>
    <s v="Large"/>
    <n v="8307"/>
    <n v="4"/>
    <s v="High"/>
  </r>
  <r>
    <s v="C809"/>
    <d v="2024-06-25T01:11:11"/>
    <d v="2024-06-25T01:11:11"/>
    <s v="Ongoing"/>
    <n v="0"/>
    <n v="9868"/>
    <s v="Parents 30-40"/>
    <n v="10236"/>
    <n v="615"/>
    <n v="259"/>
    <n v="10027"/>
    <n v="6.00820633059789E-2"/>
    <n v="0.42113821138211383"/>
    <n v="21.048780487804876"/>
    <n v="49.980694980694977"/>
    <n v="1.3118159708147548"/>
    <n v="0.77458478176902279"/>
    <s v="CL809"/>
    <x v="2"/>
    <s v="Large"/>
    <n v="12945"/>
    <n v="4"/>
    <s v="High"/>
  </r>
  <r>
    <s v="C810"/>
    <d v="2024-04-09T17:00:21"/>
    <d v="2024-04-09T17:00:21"/>
    <s v="Ongoing"/>
    <n v="0"/>
    <n v="2773"/>
    <s v="Professionals 35-50"/>
    <n v="5470"/>
    <n v="898"/>
    <n v="437"/>
    <n v="12152"/>
    <n v="0.16416819012797074"/>
    <n v="0.48663697104677062"/>
    <n v="16.971046770601337"/>
    <n v="34.874141876430208"/>
    <n v="5.4958528669311217"/>
    <n v="0.79737532808398948"/>
    <s v="CL810"/>
    <x v="1"/>
    <s v="Medium"/>
    <n v="15240"/>
    <n v="1"/>
    <s v="Low"/>
  </r>
  <r>
    <s v="C811"/>
    <d v="2023-06-18T06:06:29"/>
    <d v="2023-10-19T06:07:57"/>
    <s v="Completed"/>
    <n v="123.00101851852378"/>
    <n v="7398"/>
    <s v="Parents 30-40"/>
    <n v="12880"/>
    <n v="690"/>
    <n v="145"/>
    <n v="6839"/>
    <n v="5.3571428571428568E-2"/>
    <n v="0.21014492753623187"/>
    <n v="28.331884057971013"/>
    <n v="134.8206896551724"/>
    <n v="2.642470938091376"/>
    <n v="0.34983886643818096"/>
    <s v="CL811"/>
    <x v="4"/>
    <s v="Small"/>
    <n v="19549"/>
    <n v="3"/>
    <s v="Medium"/>
  </r>
  <r>
    <s v="C812"/>
    <d v="2024-01-07T04:52:47"/>
    <d v="2024-10-29T13:59:46"/>
    <s v="Completed"/>
    <n v="296.37984953703562"/>
    <n v="1099"/>
    <s v="Professionals 35-50"/>
    <n v="7030"/>
    <n v="906"/>
    <n v="96"/>
    <n v="2884"/>
    <n v="0.12887624466571834"/>
    <n v="0.10596026490066225"/>
    <n v="18.32560706401766"/>
    <n v="172.94791666666666"/>
    <n v="15.1073703366697"/>
    <n v="0.1737035475516473"/>
    <s v="CL812"/>
    <x v="0"/>
    <s v="Small"/>
    <n v="16603"/>
    <n v="1"/>
    <s v="Low"/>
  </r>
  <r>
    <s v="C813"/>
    <d v="2023-03-28T08:02:42"/>
    <d v="2024-04-08T08:01:22"/>
    <s v="Completed"/>
    <n v="376.99907407407591"/>
    <n v="1023"/>
    <s v="Parents 30-40"/>
    <n v="17806"/>
    <n v="366"/>
    <n v="289"/>
    <n v="14413"/>
    <n v="2.0554869145231944E-2"/>
    <n v="0.7896174863387978"/>
    <n v="15.366120218579235"/>
    <n v="19.460207612456749"/>
    <n v="5.4975562072336261"/>
    <n v="2.5627667140825037"/>
    <s v="CL813"/>
    <x v="3"/>
    <s v="Small"/>
    <n v="5624"/>
    <n v="3"/>
    <s v="Medium"/>
  </r>
  <r>
    <s v="C814"/>
    <d v="2024-05-23T08:35:05"/>
    <d v="2024-05-23T08:35:05"/>
    <s v="Ongoing"/>
    <n v="0"/>
    <n v="1318"/>
    <s v="Professionals 35-50"/>
    <n v="19522"/>
    <n v="107"/>
    <n v="318"/>
    <n v="11875"/>
    <n v="5.480995799610696E-3"/>
    <n v="2.97196261682243"/>
    <n v="173.73831775700936"/>
    <n v="58.459119496855344"/>
    <n v="14.104704097116844"/>
    <n v="0.63878429263044645"/>
    <s v="CL814"/>
    <x v="0"/>
    <s v="Medium"/>
    <n v="18590"/>
    <n v="5"/>
    <s v="High"/>
  </r>
  <r>
    <s v="C815"/>
    <d v="2024-09-20T18:49:52"/>
    <d v="2024-09-20T18:49:52"/>
    <s v="Ongoing"/>
    <n v="0"/>
    <n v="7967"/>
    <s v="Youths 18-24"/>
    <n v="1240"/>
    <n v="1053"/>
    <n v="36"/>
    <n v="8953"/>
    <n v="0.84919354838709682"/>
    <n v="3.4188034188034191E-2"/>
    <n v="16.920227920227919"/>
    <n v="494.91666666666669"/>
    <n v="2.2363499435170078"/>
    <n v="0.50249761463770559"/>
    <s v="CL815"/>
    <x v="2"/>
    <s v="Small"/>
    <n v="17817"/>
    <n v="5"/>
    <s v="High"/>
  </r>
  <r>
    <s v="C816"/>
    <d v="2023-03-25T19:23:35"/>
    <d v="2023-11-15T11:59:36"/>
    <s v="Completed"/>
    <n v="234.69167824074248"/>
    <n v="1747"/>
    <s v="Professionals 35-50"/>
    <n v="18546"/>
    <n v="929"/>
    <n v="498"/>
    <n v="9343"/>
    <n v="5.0091663970667527E-2"/>
    <n v="0.53606027987082883"/>
    <n v="4.3186221743810549"/>
    <n v="8.0562248995983943"/>
    <n v="2.2965082999427588"/>
    <n v="2.3287637088733799"/>
    <s v="CL816"/>
    <x v="3"/>
    <s v="Small"/>
    <n v="4012"/>
    <n v="3"/>
    <s v="Medium"/>
  </r>
  <r>
    <s v="C817"/>
    <d v="2024-10-10T23:04:05"/>
    <d v="2024-10-10T23:04:05"/>
    <s v="Ongoing"/>
    <n v="0"/>
    <n v="4745"/>
    <s v="Adults 25-34"/>
    <n v="11601"/>
    <n v="1000"/>
    <n v="133"/>
    <n v="1194"/>
    <n v="8.619946556331351E-2"/>
    <n v="0.13300000000000001"/>
    <n v="16.713000000000001"/>
    <n v="125.66165413533835"/>
    <n v="3.5222339304531087"/>
    <n v="7.1441392927661107E-2"/>
    <s v="CL817"/>
    <x v="3"/>
    <s v="Small"/>
    <n v="16713"/>
    <n v="5"/>
    <s v="High"/>
  </r>
  <r>
    <s v="C818"/>
    <d v="2023-05-12T13:42:11"/>
    <d v="2023-12-15T19:39:53"/>
    <s v="Completed"/>
    <n v="217.24840277777548"/>
    <n v="8525"/>
    <s v="Parents 30-40"/>
    <n v="7669"/>
    <n v="677"/>
    <n v="41"/>
    <n v="893"/>
    <n v="8.8277480766723176E-2"/>
    <n v="6.0561299852289516E-2"/>
    <n v="4.7872968980797639"/>
    <n v="79.048780487804876"/>
    <n v="0.3801759530791789"/>
    <n v="0.27553224313483493"/>
    <s v="CL818"/>
    <x v="2"/>
    <s v="Small"/>
    <n v="3241"/>
    <n v="1"/>
    <s v="Low"/>
  </r>
  <r>
    <s v="C819"/>
    <d v="2023-06-14T22:41:45"/>
    <d v="2024-12-01T16:07:51"/>
    <s v="Completed"/>
    <n v="535.72645833333081"/>
    <n v="5732"/>
    <s v="Youths 18-24"/>
    <n v="9837"/>
    <n v="159"/>
    <n v="42"/>
    <n v="10089"/>
    <n v="1.6163464470875268E-2"/>
    <n v="0.26415094339622641"/>
    <n v="37.025157232704402"/>
    <n v="140.16666666666666"/>
    <n v="1.0270411723656665"/>
    <n v="1.7137761168676746"/>
    <s v="CL819"/>
    <x v="3"/>
    <s v="Large"/>
    <n v="5887"/>
    <n v="4"/>
    <s v="High"/>
  </r>
  <r>
    <s v="C820"/>
    <d v="2024-01-02T08:06:45"/>
    <d v="2024-01-02T08:06:45"/>
    <s v="Ongoing"/>
    <n v="0"/>
    <n v="3468"/>
    <s v="Adults 25-34"/>
    <n v="13701"/>
    <n v="799"/>
    <n v="205"/>
    <n v="3641"/>
    <n v="5.8316911174366833E-2"/>
    <n v="0.2565707133917397"/>
    <n v="14.389236545682103"/>
    <n v="56.082926829268295"/>
    <n v="3.3151672433679353"/>
    <n v="0.31669131077672436"/>
    <s v="CL820"/>
    <x v="2"/>
    <s v="Small"/>
    <n v="11497"/>
    <n v="3"/>
    <s v="Medium"/>
  </r>
  <r>
    <s v="C821"/>
    <d v="2023-10-17T18:53:24"/>
    <d v="2023-10-17T18:53:24"/>
    <s v="Ongoing"/>
    <n v="0"/>
    <n v="3971"/>
    <s v="Parents 30-40"/>
    <n v="10009"/>
    <n v="1943"/>
    <n v="228"/>
    <n v="2504"/>
    <n v="0.19412528724148267"/>
    <n v="0.11734431291816778"/>
    <n v="9.8013381369016983"/>
    <n v="83.526315789473685"/>
    <n v="4.7957693276252833"/>
    <n v="0.13148498214660786"/>
    <s v="CL821"/>
    <x v="2"/>
    <s v="Medium"/>
    <n v="19044"/>
    <n v="2"/>
    <s v="Medium"/>
  </r>
  <r>
    <s v="C822"/>
    <d v="2024-01-07T06:25:36"/>
    <d v="2024-01-07T06:25:36"/>
    <s v="Ongoing"/>
    <n v="0"/>
    <n v="5019"/>
    <s v="Parents 30-40"/>
    <n v="7030"/>
    <n v="1271"/>
    <n v="476"/>
    <n v="10241"/>
    <n v="0.18079658605974394"/>
    <n v="0.37450826121164438"/>
    <n v="13.72462627852085"/>
    <n v="36.647058823529413"/>
    <n v="3.4755927475592747"/>
    <n v="0.5870786516853933"/>
    <s v="CL822"/>
    <x v="4"/>
    <s v="Small"/>
    <n v="17444"/>
    <n v="1"/>
    <s v="Low"/>
  </r>
  <r>
    <s v="C823"/>
    <d v="2024-10-23T13:44:35"/>
    <d v="2024-11-02T07:03:48"/>
    <s v="Completed"/>
    <n v="9.721678240741312"/>
    <n v="6443"/>
    <s v="Youths 18-24"/>
    <n v="7440"/>
    <n v="245"/>
    <n v="79"/>
    <n v="13385"/>
    <n v="3.2930107526881719E-2"/>
    <n v="0.32244897959183672"/>
    <n v="43.648979591836735"/>
    <n v="135.36708860759492"/>
    <n v="1.6597858140617725"/>
    <n v="1.2516364316439126"/>
    <s v="CL823"/>
    <x v="2"/>
    <s v="Medium"/>
    <n v="10694"/>
    <n v="1"/>
    <s v="Low"/>
  </r>
  <r>
    <s v="C824"/>
    <d v="2024-04-13T19:50:42"/>
    <d v="2024-04-13T19:50:42"/>
    <s v="Ongoing"/>
    <n v="0"/>
    <n v="8482"/>
    <s v="Professionals 35-50"/>
    <n v="3759"/>
    <n v="1337"/>
    <n v="436"/>
    <n v="3024"/>
    <n v="0.35567970204841715"/>
    <n v="0.3261032161555722"/>
    <n v="12.707554225878834"/>
    <n v="38.967889908256879"/>
    <n v="2.0030653147842492"/>
    <n v="0.17798705120659211"/>
    <s v="CL824"/>
    <x v="1"/>
    <s v="Medium"/>
    <n v="16990"/>
    <n v="3"/>
    <s v="Medium"/>
  </r>
  <r>
    <s v="C825"/>
    <d v="2023-03-15T14:27:57"/>
    <d v="2023-09-13T22:19:44"/>
    <s v="Completed"/>
    <n v="182.32762731481489"/>
    <n v="4465"/>
    <s v="Parents 30-40"/>
    <n v="17819"/>
    <n v="207"/>
    <n v="99"/>
    <n v="9669"/>
    <n v="1.1616813513665189E-2"/>
    <n v="0.47826086956521741"/>
    <n v="5.6714975845410631"/>
    <n v="11.858585858585858"/>
    <n v="0.26293393057110864"/>
    <n v="8.2359454855195917"/>
    <s v="CL825"/>
    <x v="0"/>
    <s v="Large"/>
    <n v="1174"/>
    <n v="5"/>
    <s v="High"/>
  </r>
  <r>
    <s v="C826"/>
    <d v="2024-07-18T08:41:20"/>
    <d v="2024-07-18T08:41:20"/>
    <s v="Ongoing"/>
    <n v="0"/>
    <n v="5066"/>
    <s v="Youths 18-24"/>
    <n v="11108"/>
    <n v="1109"/>
    <n v="362"/>
    <n v="10962"/>
    <n v="9.9837954627295639E-2"/>
    <n v="0.32642019837691616"/>
    <n v="13.553651938683499"/>
    <n v="41.52209944751381"/>
    <n v="2.9670351362021319"/>
    <n v="0.72929279489055954"/>
    <s v="CL826"/>
    <x v="3"/>
    <s v="Medium"/>
    <n v="15031"/>
    <n v="4"/>
    <s v="High"/>
  </r>
  <r>
    <s v="C827"/>
    <d v="2024-01-22T14:52:32"/>
    <d v="2024-01-22T14:52:32"/>
    <s v="Ongoing"/>
    <n v="0"/>
    <n v="9594"/>
    <s v="Professionals 35-50"/>
    <n v="8791"/>
    <n v="1300"/>
    <n v="246"/>
    <n v="10976"/>
    <n v="0.14787851211466271"/>
    <n v="0.18923076923076923"/>
    <n v="12.251538461538461"/>
    <n v="64.743902439024396"/>
    <n v="1.6601000625390869"/>
    <n v="0.68914422050605895"/>
    <s v="CL827"/>
    <x v="2"/>
    <s v="Medium"/>
    <n v="15927"/>
    <n v="2"/>
    <s v="Medium"/>
  </r>
  <r>
    <s v="C828"/>
    <d v="2023-02-24T08:09:01"/>
    <d v="2023-11-07T04:40:35"/>
    <s v="Completed"/>
    <n v="255.85525462963415"/>
    <n v="2534"/>
    <s v="Adults 25-34"/>
    <n v="17702"/>
    <n v="1356"/>
    <n v="189"/>
    <n v="1053"/>
    <n v="7.660151395322562E-2"/>
    <n v="0.13938053097345132"/>
    <n v="3.5737463126843658"/>
    <n v="25.640211640211639"/>
    <n v="1.9123914759273875"/>
    <n v="0.21729261246388773"/>
    <s v="CL828"/>
    <x v="0"/>
    <s v="Small"/>
    <n v="4846"/>
    <n v="5"/>
    <s v="High"/>
  </r>
  <r>
    <s v="C829"/>
    <d v="2024-11-16T21:23:02"/>
    <d v="2024-11-27T23:34:22"/>
    <s v="Completed"/>
    <n v="11.091203703705105"/>
    <n v="8783"/>
    <s v="Youths 18-24"/>
    <n v="2071"/>
    <n v="464"/>
    <n v="380"/>
    <n v="11544"/>
    <n v="0.22404635441815549"/>
    <n v="0.81896551724137934"/>
    <n v="40.84698275862069"/>
    <n v="49.876315789473686"/>
    <n v="2.1579187065922807"/>
    <n v="0.6090856328813381"/>
    <s v="CL829"/>
    <x v="3"/>
    <s v="Large"/>
    <n v="18953"/>
    <n v="5"/>
    <s v="High"/>
  </r>
  <r>
    <s v="C830"/>
    <d v="2023-02-13T01:37:04"/>
    <d v="2023-05-27T17:38:15"/>
    <s v="Completed"/>
    <n v="103.66748842592642"/>
    <n v="9756"/>
    <s v="Youths 18-24"/>
    <n v="10339"/>
    <n v="274"/>
    <n v="141"/>
    <n v="8943"/>
    <n v="2.6501595899023116E-2"/>
    <n v="0.51459854014598538"/>
    <n v="69.412408759124091"/>
    <n v="134.88652482269504"/>
    <n v="1.9494669946699468"/>
    <n v="0.47021399652978602"/>
    <s v="CL830"/>
    <x v="0"/>
    <s v="Small"/>
    <n v="19019"/>
    <n v="2"/>
    <s v="Medium"/>
  </r>
  <r>
    <s v="C831"/>
    <d v="2023-02-12T13:52:43"/>
    <d v="2024-10-06T05:52:02"/>
    <s v="Completed"/>
    <n v="601.66619212963269"/>
    <n v="2715"/>
    <s v="Youths 18-24"/>
    <n v="8769"/>
    <n v="426"/>
    <n v="242"/>
    <n v="5611"/>
    <n v="4.8580225795415669E-2"/>
    <n v="0.568075117370892"/>
    <n v="16.572769953051644"/>
    <n v="29.173553719008265"/>
    <n v="2.6003683241252302"/>
    <n v="0.7947592067988668"/>
    <s v="CL831"/>
    <x v="1"/>
    <s v="Small"/>
    <n v="7060"/>
    <n v="3"/>
    <s v="Medium"/>
  </r>
  <r>
    <s v="C832"/>
    <d v="2023-11-05T20:39:08"/>
    <d v="2023-11-05T20:39:08"/>
    <s v="Ongoing"/>
    <n v="0"/>
    <n v="5356"/>
    <s v="Parents 30-40"/>
    <n v="7126"/>
    <n v="1539"/>
    <n v="150"/>
    <n v="14860"/>
    <n v="0.21596968846477688"/>
    <n v="9.7465886939571145E-2"/>
    <n v="0.54515919428200132"/>
    <n v="5.5933333333333337"/>
    <n v="0.15664675130694547"/>
    <n v="17.71156138259833"/>
    <s v="CL832"/>
    <x v="4"/>
    <s v="Large"/>
    <n v="839"/>
    <n v="1"/>
    <s v="Low"/>
  </r>
  <r>
    <s v="C833"/>
    <d v="2024-05-19T16:39:39"/>
    <d v="2024-05-19T16:39:39"/>
    <s v="Ongoing"/>
    <n v="0"/>
    <n v="4989"/>
    <s v="Youths 18-24"/>
    <n v="14763"/>
    <n v="461"/>
    <n v="424"/>
    <n v="8356"/>
    <n v="3.1226715437241752E-2"/>
    <n v="0.91973969631236441"/>
    <n v="30.759219088937094"/>
    <n v="33.443396226415096"/>
    <n v="2.8422529565043093"/>
    <n v="0.58928067700987308"/>
    <s v="CL833"/>
    <x v="1"/>
    <s v="Small"/>
    <n v="14180"/>
    <n v="3"/>
    <s v="Medium"/>
  </r>
  <r>
    <s v="C834"/>
    <d v="2024-06-03T22:04:25"/>
    <d v="2024-06-03T22:04:25"/>
    <s v="Ongoing"/>
    <n v="0"/>
    <n v="1548"/>
    <s v="Professionals 35-50"/>
    <n v="5543"/>
    <n v="458"/>
    <n v="362"/>
    <n v="710"/>
    <n v="8.2626736424318961E-2"/>
    <n v="0.79039301310043664"/>
    <n v="33.058951965065503"/>
    <n v="41.825966850828728"/>
    <n v="9.7810077519379846"/>
    <n v="4.6892543425137045E-2"/>
    <s v="CL834"/>
    <x v="3"/>
    <s v="Medium"/>
    <n v="15141"/>
    <n v="3"/>
    <s v="Medium"/>
  </r>
  <r>
    <s v="C835"/>
    <d v="2024-07-01T15:56:18"/>
    <d v="2024-07-01T15:56:18"/>
    <s v="Ongoing"/>
    <n v="0"/>
    <n v="9593"/>
    <s v="Professionals 35-50"/>
    <n v="3383"/>
    <n v="1510"/>
    <n v="319"/>
    <n v="13392"/>
    <n v="0.44634939402896839"/>
    <n v="0.21125827814569537"/>
    <n v="11.737086092715233"/>
    <n v="55.557993730407524"/>
    <n v="1.8474929636193058"/>
    <n v="0.75562827963663037"/>
    <s v="CL835"/>
    <x v="1"/>
    <s v="Large"/>
    <n v="17723"/>
    <n v="4"/>
    <s v="High"/>
  </r>
  <r>
    <s v="C836"/>
    <d v="2024-11-10T19:16:03"/>
    <d v="2024-11-10T19:16:03"/>
    <s v="Ongoing"/>
    <n v="0"/>
    <n v="1588"/>
    <s v="Parents 30-40"/>
    <n v="2721"/>
    <n v="1670"/>
    <n v="31"/>
    <n v="14305"/>
    <n v="0.61374494671076807"/>
    <n v="1.8562874251497007E-2"/>
    <n v="2.4904191616766469"/>
    <n v="134.16129032258064"/>
    <n v="2.6190176322418135"/>
    <n v="3.439528732868478"/>
    <s v="CL836"/>
    <x v="3"/>
    <s v="Small"/>
    <n v="4159"/>
    <n v="1"/>
    <s v="Low"/>
  </r>
  <r>
    <s v="C837"/>
    <d v="2024-06-28T07:36:03"/>
    <d v="2024-06-28T07:36:03"/>
    <s v="Ongoing"/>
    <n v="0"/>
    <n v="2718"/>
    <s v="Adults 25-34"/>
    <n v="19544"/>
    <n v="663"/>
    <n v="389"/>
    <n v="5743"/>
    <n v="3.3923454768726977E-2"/>
    <n v="0.5867269984917044"/>
    <n v="23.837104072398191"/>
    <n v="40.627249357326477"/>
    <n v="5.814569536423841"/>
    <n v="0.36338901543912933"/>
    <s v="CL837"/>
    <x v="3"/>
    <s v="Large"/>
    <n v="15804"/>
    <n v="1"/>
    <s v="Low"/>
  </r>
  <r>
    <s v="C838"/>
    <d v="2024-07-31T08:06:11"/>
    <d v="2024-07-31T08:06:11"/>
    <s v="Ongoing"/>
    <n v="0"/>
    <n v="2660"/>
    <s v="Professionals 35-50"/>
    <n v="4588"/>
    <n v="651"/>
    <n v="26"/>
    <n v="4608"/>
    <n v="0.14189189189189189"/>
    <n v="3.9938556067588324E-2"/>
    <n v="12.411674347158218"/>
    <n v="310.76923076923077"/>
    <n v="3.0375939849624061"/>
    <n v="0.57029702970297025"/>
    <s v="CL838"/>
    <x v="1"/>
    <s v="Small"/>
    <n v="8080"/>
    <n v="3"/>
    <s v="Medium"/>
  </r>
  <r>
    <s v="C839"/>
    <d v="2024-04-26T08:21:20"/>
    <d v="2024-04-26T08:21:20"/>
    <s v="Ongoing"/>
    <n v="0"/>
    <n v="1349"/>
    <s v="Parents 30-40"/>
    <n v="4640"/>
    <n v="1508"/>
    <n v="60"/>
    <n v="9306"/>
    <n v="0.32500000000000001"/>
    <n v="3.9787798408488062E-2"/>
    <n v="10.669098143236074"/>
    <n v="268.14999999999998"/>
    <n v="11.926612305411416"/>
    <n v="0.5784076076822674"/>
    <s v="CL839"/>
    <x v="1"/>
    <s v="Large"/>
    <n v="16089"/>
    <n v="3"/>
    <s v="Medium"/>
  </r>
  <r>
    <s v="C840"/>
    <d v="2024-10-12T04:03:57"/>
    <d v="2024-10-12T04:03:57"/>
    <s v="Ongoing"/>
    <n v="0"/>
    <n v="6367"/>
    <s v="Professionals 35-50"/>
    <n v="17983"/>
    <n v="631"/>
    <n v="61"/>
    <n v="3045"/>
    <n v="3.5088694878496356E-2"/>
    <n v="9.6671949286846276E-2"/>
    <n v="2.4548335974643423"/>
    <n v="25.393442622950818"/>
    <n v="0.2432856918485943"/>
    <n v="1.9657843770174306"/>
    <s v="CL840"/>
    <x v="1"/>
    <s v="Medium"/>
    <n v="1549"/>
    <n v="4"/>
    <s v="High"/>
  </r>
  <r>
    <s v="C841"/>
    <d v="2023-09-29T04:56:56"/>
    <d v="2023-09-29T04:56:56"/>
    <s v="Ongoing"/>
    <n v="0"/>
    <n v="5764"/>
    <s v="Parents 30-40"/>
    <n v="4571"/>
    <n v="1873"/>
    <n v="261"/>
    <n v="4518"/>
    <n v="0.40975716473419382"/>
    <n v="0.13934863854778431"/>
    <n v="7.7474639615589966"/>
    <n v="55.597701149425291"/>
    <n v="2.5175225537820958"/>
    <n v="0.31135001033698573"/>
    <s v="CL841"/>
    <x v="4"/>
    <s v="Medium"/>
    <n v="14511"/>
    <n v="5"/>
    <s v="High"/>
  </r>
  <r>
    <s v="C842"/>
    <d v="2024-04-24T16:07:40"/>
    <d v="2024-04-24T16:07:40"/>
    <s v="Ongoing"/>
    <n v="0"/>
    <n v="8138"/>
    <s v="Parents 30-40"/>
    <n v="10382"/>
    <n v="633"/>
    <n v="110"/>
    <n v="14151"/>
    <n v="6.097091119244847E-2"/>
    <n v="0.17377567140600317"/>
    <n v="22.597156398104264"/>
    <n v="130.03636363636363"/>
    <n v="1.7576800196608504"/>
    <n v="0.98930369127516782"/>
    <s v="CL842"/>
    <x v="0"/>
    <s v="Large"/>
    <n v="14304"/>
    <n v="4"/>
    <s v="High"/>
  </r>
  <r>
    <s v="C843"/>
    <d v="2023-01-02T22:30:54"/>
    <d v="2023-08-07T16:25:03"/>
    <s v="Completed"/>
    <n v="216.74593749999622"/>
    <n v="2513"/>
    <s v="Adults 25-34"/>
    <n v="11489"/>
    <n v="1582"/>
    <n v="35"/>
    <n v="7713"/>
    <n v="0.13769692749586562"/>
    <n v="2.2123893805309734E-2"/>
    <n v="11.525284450063211"/>
    <n v="520.94285714285718"/>
    <n v="7.2554715479506564"/>
    <n v="0.42302418691383753"/>
    <s v="CL843"/>
    <x v="3"/>
    <s v="Small"/>
    <n v="18233"/>
    <n v="2"/>
    <s v="Medium"/>
  </r>
  <r>
    <s v="C844"/>
    <d v="2024-07-01T22:57:09"/>
    <d v="2024-07-21T07:04:25"/>
    <s v="Completed"/>
    <n v="19.338379629632982"/>
    <n v="9388"/>
    <s v="Youths 18-24"/>
    <n v="6609"/>
    <n v="1375"/>
    <n v="373"/>
    <n v="14614"/>
    <n v="0.2080496292933878"/>
    <n v="0.27127272727272728"/>
    <n v="10.197090909090909"/>
    <n v="37.589812332439678"/>
    <n v="1.4935023434171282"/>
    <n v="1.0422937023036873"/>
    <s v="CL844"/>
    <x v="0"/>
    <s v="Small"/>
    <n v="14021"/>
    <n v="4"/>
    <s v="High"/>
  </r>
  <r>
    <s v="C845"/>
    <d v="2024-10-12T22:24:48"/>
    <d v="2024-10-12T22:24:48"/>
    <s v="Ongoing"/>
    <n v="0"/>
    <n v="9112"/>
    <s v="Parents 30-40"/>
    <n v="17356"/>
    <n v="574"/>
    <n v="193"/>
    <n v="10255"/>
    <n v="3.3072136436967041E-2"/>
    <n v="0.33623693379790942"/>
    <n v="30.851916376306619"/>
    <n v="91.756476683937819"/>
    <n v="1.9434811237928007"/>
    <n v="0.57908408154045965"/>
    <s v="CL845"/>
    <x v="1"/>
    <s v="Large"/>
    <n v="17709"/>
    <n v="1"/>
    <s v="Low"/>
  </r>
  <r>
    <s v="C846"/>
    <d v="2024-12-11T14:35:34"/>
    <d v="2024-12-11T14:35:34"/>
    <s v="Ongoing"/>
    <n v="0"/>
    <n v="3509"/>
    <s v="Adults 25-34"/>
    <n v="18097"/>
    <n v="1537"/>
    <n v="274"/>
    <n v="12408"/>
    <n v="8.4931204066972424E-2"/>
    <n v="0.1782693558880937"/>
    <n v="4.8445022771633051"/>
    <n v="27.175182481751825"/>
    <n v="2.1219720718153319"/>
    <n v="1.6663980660757454"/>
    <s v="CL846"/>
    <x v="2"/>
    <s v="Small"/>
    <n v="7446"/>
    <n v="3"/>
    <s v="Medium"/>
  </r>
  <r>
    <s v="C847"/>
    <d v="2024-02-14T23:36:08"/>
    <d v="2024-08-27T04:18:05"/>
    <s v="Completed"/>
    <n v="194.19579861111561"/>
    <n v="6176"/>
    <s v="Professionals 35-50"/>
    <n v="13609"/>
    <n v="141"/>
    <n v="114"/>
    <n v="5956"/>
    <n v="1.0360790653244177E-2"/>
    <n v="0.80851063829787229"/>
    <n v="73.531914893617028"/>
    <n v="90.94736842105263"/>
    <n v="1.6787564766839378"/>
    <n v="0.57445987654320985"/>
    <s v="CL847"/>
    <x v="4"/>
    <s v="Large"/>
    <n v="10368"/>
    <n v="3"/>
    <s v="Medium"/>
  </r>
  <r>
    <s v="C848"/>
    <d v="2024-08-08T07:26:41"/>
    <d v="2024-12-11T00:32:40"/>
    <s v="Completed"/>
    <n v="124.71248842592468"/>
    <n v="6876"/>
    <s v="Adults 25-34"/>
    <n v="13928"/>
    <n v="816"/>
    <n v="21"/>
    <n v="2901"/>
    <n v="5.858701895462378E-2"/>
    <n v="2.5735294117647058E-2"/>
    <n v="23.024509803921568"/>
    <n v="894.66666666666663"/>
    <n v="2.7324025596276904"/>
    <n v="0.15440706834149456"/>
    <s v="CL848"/>
    <x v="1"/>
    <s v="Large"/>
    <n v="18788"/>
    <n v="1"/>
    <s v="Low"/>
  </r>
  <r>
    <s v="C849"/>
    <d v="2023-12-02T01:26:58"/>
    <d v="2023-12-02T01:26:58"/>
    <s v="Ongoing"/>
    <n v="0"/>
    <n v="7983"/>
    <s v="Professionals 35-50"/>
    <n v="11772"/>
    <n v="1601"/>
    <n v="212"/>
    <n v="8508"/>
    <n v="0.13600067957866124"/>
    <n v="0.13241723922548407"/>
    <n v="3.919425359150531"/>
    <n v="29.599056603773583"/>
    <n v="0.78604534636101719"/>
    <n v="1.3558565737051793"/>
    <s v="CL849"/>
    <x v="3"/>
    <s v="Large"/>
    <n v="6275"/>
    <n v="5"/>
    <s v="High"/>
  </r>
  <r>
    <s v="C850"/>
    <d v="2023-07-16T17:18:29"/>
    <d v="2023-07-16T17:18:29"/>
    <s v="Ongoing"/>
    <n v="0"/>
    <n v="9067"/>
    <s v="Professionals 35-50"/>
    <n v="14035"/>
    <n v="746"/>
    <n v="98"/>
    <n v="9406"/>
    <n v="5.3152832205201284E-2"/>
    <n v="0.13136729222520108"/>
    <n v="21.833780160857909"/>
    <n v="166.20408163265307"/>
    <n v="1.79640454395059"/>
    <n v="0.57748035363457761"/>
    <s v="CL850"/>
    <x v="1"/>
    <s v="Medium"/>
    <n v="16288"/>
    <n v="1"/>
    <s v="Low"/>
  </r>
  <r>
    <s v="C851"/>
    <d v="2023-11-25T20:35:04"/>
    <d v="2023-11-25T20:35:04"/>
    <s v="Ongoing"/>
    <n v="0"/>
    <n v="6554"/>
    <s v="Parents 30-40"/>
    <n v="13328"/>
    <n v="685"/>
    <n v="348"/>
    <n v="8490"/>
    <n v="5.1395558223289319E-2"/>
    <n v="0.50802919708029193"/>
    <n v="11.217518248175182"/>
    <n v="22.080459770114942"/>
    <n v="1.1724137931034482"/>
    <n v="1.1048932847475272"/>
    <s v="CL851"/>
    <x v="3"/>
    <s v="Small"/>
    <n v="7684"/>
    <n v="4"/>
    <s v="High"/>
  </r>
  <r>
    <s v="C852"/>
    <d v="2024-09-25T12:40:48"/>
    <d v="2024-09-25T12:40:48"/>
    <s v="Ongoing"/>
    <n v="0"/>
    <n v="7743"/>
    <s v="Youths 18-24"/>
    <n v="6465"/>
    <n v="1799"/>
    <n v="430"/>
    <n v="6723"/>
    <n v="0.27826759474091262"/>
    <n v="0.23902167871039467"/>
    <n v="10.58254585881045"/>
    <n v="44.27441860465116"/>
    <n v="2.458736923672995"/>
    <n v="0.35313583359596595"/>
    <s v="CL852"/>
    <x v="2"/>
    <s v="Small"/>
    <n v="19038"/>
    <n v="3"/>
    <s v="Medium"/>
  </r>
  <r>
    <s v="C853"/>
    <d v="2024-03-27T10:23:52"/>
    <d v="2024-04-06T07:23:21"/>
    <s v="Completed"/>
    <n v="9.8746412036998663"/>
    <n v="5347"/>
    <s v="Parents 30-40"/>
    <n v="3239"/>
    <n v="1233"/>
    <n v="69"/>
    <n v="3866"/>
    <n v="0.38067304723680151"/>
    <n v="5.5961070559610707E-2"/>
    <n v="1.089213300892133"/>
    <n v="19.463768115942027"/>
    <n v="0.25116887974565177"/>
    <n v="2.8786299329858527"/>
    <s v="CL853"/>
    <x v="2"/>
    <s v="Large"/>
    <n v="1343"/>
    <n v="1"/>
    <s v="Low"/>
  </r>
  <r>
    <s v="C854"/>
    <d v="2023-03-25T14:35:41"/>
    <d v="2024-04-15T23:28:50"/>
    <s v="Completed"/>
    <n v="387.37024305554951"/>
    <n v="3952"/>
    <s v="Youths 18-24"/>
    <n v="4153"/>
    <n v="473"/>
    <n v="311"/>
    <n v="585"/>
    <n v="0.11389357091259331"/>
    <n v="0.65750528541226216"/>
    <n v="22.598308668076111"/>
    <n v="34.369774919614144"/>
    <n v="2.7047064777327936"/>
    <n v="5.4729160819534099E-2"/>
    <s v="CL854"/>
    <x v="4"/>
    <s v="Small"/>
    <n v="10689"/>
    <n v="5"/>
    <s v="High"/>
  </r>
  <r>
    <s v="C855"/>
    <d v="2024-08-06T20:27:46"/>
    <d v="2024-08-06T20:27:46"/>
    <s v="Ongoing"/>
    <n v="0"/>
    <n v="2216"/>
    <s v="Parents 30-40"/>
    <n v="3798"/>
    <n v="1158"/>
    <n v="136"/>
    <n v="13920"/>
    <n v="0.30489731437598738"/>
    <n v="0.11744386873920552"/>
    <n v="16.273747841105354"/>
    <n v="138.56617647058823"/>
    <n v="8.5040613718411553"/>
    <n v="0.73865746882462191"/>
    <s v="CL855"/>
    <x v="0"/>
    <s v="Medium"/>
    <n v="18845"/>
    <n v="5"/>
    <s v="High"/>
  </r>
  <r>
    <s v="C856"/>
    <d v="2024-03-20T09:54:03"/>
    <d v="2024-07-11T17:37:56"/>
    <s v="Completed"/>
    <n v="113.3221412037019"/>
    <n v="9676"/>
    <s v="Parents 30-40"/>
    <n v="13175"/>
    <n v="1160"/>
    <n v="445"/>
    <n v="13603"/>
    <n v="8.8045540796963945E-2"/>
    <n v="0.38362068965517243"/>
    <n v="8.3870689655172406"/>
    <n v="21.862921348314607"/>
    <n v="1.0054774700289375"/>
    <n v="1.3981909754342687"/>
    <s v="CL856"/>
    <x v="4"/>
    <s v="Large"/>
    <n v="9729"/>
    <n v="5"/>
    <s v="High"/>
  </r>
  <r>
    <s v="C857"/>
    <d v="2023-07-13T15:28:46"/>
    <d v="2023-07-13T15:28:46"/>
    <s v="Ongoing"/>
    <n v="0"/>
    <n v="6546"/>
    <s v="Youths 18-24"/>
    <n v="10434"/>
    <n v="1567"/>
    <n v="114"/>
    <n v="9032"/>
    <n v="0.15018209699060764"/>
    <n v="7.2750478621569872E-2"/>
    <n v="2.0446713465220165"/>
    <n v="28.105263157894736"/>
    <n v="0.48945921173235563"/>
    <n v="2.8189762796504367"/>
    <s v="CL857"/>
    <x v="1"/>
    <s v="Medium"/>
    <n v="3204"/>
    <n v="2"/>
    <s v="Medium"/>
  </r>
  <r>
    <s v="C858"/>
    <d v="2023-09-10T09:04:55"/>
    <d v="2024-12-22T14:46:38"/>
    <s v="Completed"/>
    <n v="469.23730324074131"/>
    <n v="3392"/>
    <s v="Professionals 35-50"/>
    <n v="4257"/>
    <n v="1266"/>
    <n v="468"/>
    <n v="11176"/>
    <n v="0.2973925299506695"/>
    <n v="0.36966824644549762"/>
    <n v="10.785150078988941"/>
    <n v="29.175213675213676"/>
    <n v="4.0253537735849054"/>
    <n v="0.81851472096089062"/>
    <s v="CL858"/>
    <x v="0"/>
    <s v="Large"/>
    <n v="13654"/>
    <n v="3"/>
    <s v="Medium"/>
  </r>
  <r>
    <s v="C859"/>
    <d v="2023-10-07T18:31:36"/>
    <d v="2024-10-12T14:02:08"/>
    <s v="Completed"/>
    <n v="370.81287037036964"/>
    <n v="8863"/>
    <s v="Parents 30-40"/>
    <n v="16217"/>
    <n v="993"/>
    <n v="287"/>
    <n v="9928"/>
    <n v="6.1232040451378186E-2"/>
    <n v="0.28902316213494461"/>
    <n v="19.831822759315205"/>
    <n v="68.616724738675956"/>
    <n v="2.2219338824325847"/>
    <n v="0.50413852637993195"/>
    <s v="CL859"/>
    <x v="1"/>
    <s v="Small"/>
    <n v="19693"/>
    <n v="3"/>
    <s v="Medium"/>
  </r>
  <r>
    <s v="C860"/>
    <d v="2024-01-24T01:04:07"/>
    <d v="2024-01-24T01:04:07"/>
    <s v="Ongoing"/>
    <n v="0"/>
    <n v="3529"/>
    <s v="Adults 25-34"/>
    <n v="16290"/>
    <n v="839"/>
    <n v="459"/>
    <n v="7333"/>
    <n v="5.1503990178023325E-2"/>
    <n v="0.54707985697258643"/>
    <n v="18.837902264600714"/>
    <n v="34.433551198257078"/>
    <n v="4.4786058373476907"/>
    <n v="0.46396709901929767"/>
    <s v="CL860"/>
    <x v="4"/>
    <s v="Small"/>
    <n v="15805"/>
    <n v="2"/>
    <s v="Medium"/>
  </r>
  <r>
    <s v="C861"/>
    <d v="2023-05-21T09:18:51"/>
    <d v="2024-04-12T09:55:10"/>
    <s v="Completed"/>
    <n v="327.02521990740934"/>
    <n v="6543"/>
    <s v="Parents 30-40"/>
    <n v="17594"/>
    <n v="1428"/>
    <n v="320"/>
    <n v="4458"/>
    <n v="8.1164033193134019E-2"/>
    <n v="0.22408963585434175"/>
    <n v="5.927871148459384"/>
    <n v="26.453125"/>
    <n v="1.2937490447806816"/>
    <n v="0.52663910218546961"/>
    <s v="CL861"/>
    <x v="3"/>
    <s v="Large"/>
    <n v="8465"/>
    <n v="5"/>
    <s v="High"/>
  </r>
  <r>
    <s v="C862"/>
    <d v="2024-04-09T12:14:52"/>
    <d v="2024-04-09T12:14:52"/>
    <s v="Ongoing"/>
    <n v="0"/>
    <n v="6186"/>
    <s v="Professionals 35-50"/>
    <n v="19595"/>
    <n v="860"/>
    <n v="345"/>
    <n v="3395"/>
    <n v="4.3888747129369736E-2"/>
    <n v="0.40116279069767441"/>
    <n v="8.4988372093023248"/>
    <n v="21.185507246376812"/>
    <n v="1.1815389589395409"/>
    <n v="0.46449582706252568"/>
    <s v="CL862"/>
    <x v="0"/>
    <s v="Large"/>
    <n v="7309"/>
    <n v="1"/>
    <s v="Low"/>
  </r>
  <r>
    <s v="C863"/>
    <d v="2024-09-30T20:49:43"/>
    <d v="2024-09-30T20:49:43"/>
    <s v="Ongoing"/>
    <n v="0"/>
    <n v="6583"/>
    <s v="Adults 25-34"/>
    <n v="8548"/>
    <n v="471"/>
    <n v="452"/>
    <n v="4667"/>
    <n v="5.5100608329433788E-2"/>
    <n v="0.95966029723991508"/>
    <n v="35.666666666666664"/>
    <n v="37.165929203539825"/>
    <n v="2.5518760443566761"/>
    <n v="0.27781415560450029"/>
    <s v="CL863"/>
    <x v="4"/>
    <s v="Medium"/>
    <n v="16799"/>
    <n v="5"/>
    <s v="High"/>
  </r>
  <r>
    <s v="C864"/>
    <d v="2024-01-30T20:34:35"/>
    <d v="2024-01-30T20:34:35"/>
    <s v="Ongoing"/>
    <n v="0"/>
    <n v="7754"/>
    <s v="Professionals 35-50"/>
    <n v="6690"/>
    <n v="1579"/>
    <n v="330"/>
    <n v="7370"/>
    <n v="0.23602391629297459"/>
    <n v="0.20899303356554783"/>
    <n v="0.9119696010132996"/>
    <n v="4.3636363636363633"/>
    <n v="0.18571060098013928"/>
    <n v="5.1180555555555554"/>
    <s v="CL864"/>
    <x v="0"/>
    <s v="Small"/>
    <n v="1440"/>
    <n v="1"/>
    <s v="Low"/>
  </r>
  <r>
    <s v="C865"/>
    <d v="2023-04-20T03:56:40"/>
    <d v="2024-06-11T21:53:37"/>
    <s v="Completed"/>
    <n v="418.74788194444409"/>
    <n v="9909"/>
    <s v="Professionals 35-50"/>
    <n v="8460"/>
    <n v="1773"/>
    <n v="455"/>
    <n v="11917"/>
    <n v="0.20957446808510638"/>
    <n v="0.25662718556119574"/>
    <n v="2.3981951494641849"/>
    <n v="9.3450549450549456"/>
    <n v="0.42910485417297406"/>
    <n v="2.8026810912511757"/>
    <s v="CL865"/>
    <x v="1"/>
    <s v="Medium"/>
    <n v="4252"/>
    <n v="5"/>
    <s v="High"/>
  </r>
  <r>
    <s v="C866"/>
    <d v="2024-04-22T23:14:02"/>
    <d v="2024-04-22T23:14:02"/>
    <s v="Ongoing"/>
    <n v="0"/>
    <n v="7817"/>
    <s v="Professionals 35-50"/>
    <n v="6636"/>
    <n v="1821"/>
    <n v="30"/>
    <n v="3711"/>
    <n v="0.2744122965641953"/>
    <n v="1.6474464579901153E-2"/>
    <n v="4.7276221856123009"/>
    <n v="286.96666666666664"/>
    <n v="1.1013176410387617"/>
    <n v="0.43106051806249274"/>
    <s v="CL866"/>
    <x v="4"/>
    <s v="Small"/>
    <n v="8609"/>
    <n v="1"/>
    <s v="Low"/>
  </r>
  <r>
    <s v="C867"/>
    <d v="2023-12-03T15:52:25"/>
    <d v="2023-12-03T15:52:25"/>
    <s v="Ongoing"/>
    <n v="0"/>
    <n v="5958"/>
    <s v="Professionals 35-50"/>
    <n v="16109"/>
    <n v="481"/>
    <n v="172"/>
    <n v="13488"/>
    <n v="2.9859084983549569E-2"/>
    <n v="0.35758835758835761"/>
    <n v="27.534303534303536"/>
    <n v="77"/>
    <n v="2.222893588452501"/>
    <n v="1.0184234370280882"/>
    <s v="CL867"/>
    <x v="2"/>
    <s v="Medium"/>
    <n v="13244"/>
    <n v="4"/>
    <s v="High"/>
  </r>
  <r>
    <s v="C868"/>
    <d v="2024-04-17T12:28:58"/>
    <d v="2024-04-17T12:28:58"/>
    <s v="Ongoing"/>
    <n v="0"/>
    <n v="7039"/>
    <s v="Professionals 35-50"/>
    <n v="15355"/>
    <n v="1172"/>
    <n v="194"/>
    <n v="715"/>
    <n v="7.6326929338977528E-2"/>
    <n v="0.16552901023890784"/>
    <n v="16.581058020477816"/>
    <n v="100.17010309278351"/>
    <n v="2.7607614717999716"/>
    <n v="3.6793083929398444E-2"/>
    <s v="CL868"/>
    <x v="4"/>
    <s v="Medium"/>
    <n v="19433"/>
    <n v="3"/>
    <s v="Medium"/>
  </r>
  <r>
    <s v="C869"/>
    <d v="2024-10-30T19:04:18"/>
    <d v="2024-10-30T19:04:18"/>
    <s v="Ongoing"/>
    <n v="0"/>
    <n v="9717"/>
    <s v="Youths 18-24"/>
    <n v="8035"/>
    <n v="578"/>
    <n v="283"/>
    <n v="3567"/>
    <n v="7.1935283136278783E-2"/>
    <n v="0.48961937716262977"/>
    <n v="22.027681660899653"/>
    <n v="44.989399293286219"/>
    <n v="1.3102809509107749"/>
    <n v="0.28016022620169651"/>
    <s v="CL869"/>
    <x v="1"/>
    <s v="Large"/>
    <n v="12732"/>
    <n v="5"/>
    <s v="High"/>
  </r>
  <r>
    <s v="C870"/>
    <d v="2023-04-01T20:58:02"/>
    <d v="2024-05-07T00:59:03"/>
    <s v="Completed"/>
    <n v="401.16737268518773"/>
    <n v="8295"/>
    <s v="Parents 30-40"/>
    <n v="12489"/>
    <n v="322"/>
    <n v="26"/>
    <n v="7987"/>
    <n v="2.5782688766114181E-2"/>
    <n v="8.0745341614906832E-2"/>
    <n v="24.363354037267079"/>
    <n v="301.73076923076923"/>
    <n v="0.94575045207956598"/>
    <n v="1.0181007010834926"/>
    <s v="CL870"/>
    <x v="2"/>
    <s v="Medium"/>
    <n v="7845"/>
    <n v="4"/>
    <s v="High"/>
  </r>
  <r>
    <s v="C871"/>
    <d v="2023-03-30T09:58:37"/>
    <d v="2024-05-19T14:26:00"/>
    <s v="Completed"/>
    <n v="416.18568287037488"/>
    <n v="9994"/>
    <s v="Adults 25-34"/>
    <n v="5586"/>
    <n v="1663"/>
    <n v="213"/>
    <n v="13929"/>
    <n v="0.29770855710705335"/>
    <n v="0.12808177991581479"/>
    <n v="10.728803367408299"/>
    <n v="83.765258215962447"/>
    <n v="1.7852711626976185"/>
    <n v="0.78068602174644097"/>
    <s v="CL871"/>
    <x v="0"/>
    <s v="Small"/>
    <n v="17842"/>
    <n v="5"/>
    <s v="High"/>
  </r>
  <r>
    <s v="C872"/>
    <d v="2023-08-06T12:36:42"/>
    <d v="2024-08-05T15:42:20"/>
    <s v="Completed"/>
    <n v="365.12891203703475"/>
    <n v="2343"/>
    <s v="Parents 30-40"/>
    <n v="6508"/>
    <n v="1450"/>
    <n v="422"/>
    <n v="9445"/>
    <n v="0.22280270436385988"/>
    <n v="0.29103448275862071"/>
    <n v="8.6448275862068957"/>
    <n v="29.703791469194314"/>
    <n v="5.3499786598378147"/>
    <n v="0.75349022736338256"/>
    <s v="CL872"/>
    <x v="3"/>
    <s v="Large"/>
    <n v="12535"/>
    <n v="3"/>
    <s v="Medium"/>
  </r>
  <r>
    <s v="C873"/>
    <d v="2024-06-21T22:12:11"/>
    <d v="2024-06-21T22:12:11"/>
    <s v="Ongoing"/>
    <n v="0"/>
    <n v="3084"/>
    <s v="Parents 30-40"/>
    <n v="17790"/>
    <n v="759"/>
    <n v="141"/>
    <n v="6853"/>
    <n v="4.2664418212478919E-2"/>
    <n v="0.1857707509881423"/>
    <n v="5.6930171277997363"/>
    <n v="30.645390070921987"/>
    <n v="1.4011024643320362"/>
    <n v="1.5859754686415182"/>
    <s v="CL873"/>
    <x v="0"/>
    <s v="Medium"/>
    <n v="4321"/>
    <n v="4"/>
    <s v="High"/>
  </r>
  <r>
    <s v="C874"/>
    <d v="2023-05-04T17:05:39"/>
    <d v="2023-05-04T17:05:39"/>
    <s v="Ongoing"/>
    <n v="0"/>
    <n v="3151"/>
    <s v="Youths 18-24"/>
    <n v="9326"/>
    <n v="1157"/>
    <n v="384"/>
    <n v="3864"/>
    <n v="0.12406176281363929"/>
    <n v="0.33189282627484873"/>
    <n v="7.182368193604149"/>
    <n v="21.640625"/>
    <n v="2.6372580133291019"/>
    <n v="0.46498194945848376"/>
    <s v="CL874"/>
    <x v="0"/>
    <s v="Small"/>
    <n v="8310"/>
    <n v="2"/>
    <s v="Medium"/>
  </r>
  <r>
    <s v="C875"/>
    <d v="2024-03-02T06:17:03"/>
    <d v="2024-11-14T22:15:55"/>
    <s v="Completed"/>
    <n v="257.66587962962512"/>
    <n v="9861"/>
    <s v="Adults 25-34"/>
    <n v="2177"/>
    <n v="687"/>
    <n v="212"/>
    <n v="9680"/>
    <n v="0.3155718879191548"/>
    <n v="0.30858806404657935"/>
    <n v="7.2343522561863169"/>
    <n v="23.443396226415093"/>
    <n v="0.50400567893722747"/>
    <n v="1.9476861167002013"/>
    <s v="CL875"/>
    <x v="3"/>
    <s v="Small"/>
    <n v="4970"/>
    <n v="2"/>
    <s v="Medium"/>
  </r>
  <r>
    <s v="C876"/>
    <d v="2024-10-04T07:05:42"/>
    <d v="2024-10-04T07:05:42"/>
    <s v="Ongoing"/>
    <n v="0"/>
    <n v="2680"/>
    <s v="Professionals 35-50"/>
    <n v="1797"/>
    <n v="485"/>
    <n v="468"/>
    <n v="10166"/>
    <n v="0.26989426822481916"/>
    <n v="0.96494845360824744"/>
    <n v="16.905154639175258"/>
    <n v="17.51923076923077"/>
    <n v="3.0593283582089552"/>
    <n v="1.2399073057689962"/>
    <s v="CL876"/>
    <x v="1"/>
    <s v="Medium"/>
    <n v="8199"/>
    <n v="1"/>
    <s v="Low"/>
  </r>
  <r>
    <s v="C877"/>
    <d v="2024-04-03T04:41:47"/>
    <d v="2024-09-23T13:22:51"/>
    <s v="Completed"/>
    <n v="173.36185185185604"/>
    <n v="8100"/>
    <s v="Youths 18-24"/>
    <n v="6069"/>
    <n v="617"/>
    <n v="394"/>
    <n v="7757"/>
    <n v="0.10166419508980062"/>
    <n v="0.63857374392220423"/>
    <n v="17.651539708265801"/>
    <n v="27.642131979695431"/>
    <n v="1.3445679012345679"/>
    <n v="0.71223946377743086"/>
    <s v="CL877"/>
    <x v="1"/>
    <s v="Large"/>
    <n v="10891"/>
    <n v="4"/>
    <s v="High"/>
  </r>
  <r>
    <s v="C878"/>
    <d v="2023-02-13T09:33:54"/>
    <d v="2024-03-09T23:26:38"/>
    <s v="Completed"/>
    <n v="390.57828703703126"/>
    <n v="6120"/>
    <s v="Parents 30-40"/>
    <n v="10568"/>
    <n v="472"/>
    <n v="315"/>
    <n v="4890"/>
    <n v="4.4663133989401971E-2"/>
    <n v="0.6673728813559322"/>
    <n v="10.625"/>
    <n v="15.920634920634921"/>
    <n v="0.81944444444444442"/>
    <n v="0.97507477567298106"/>
    <s v="CL878"/>
    <x v="1"/>
    <s v="Small"/>
    <n v="5015"/>
    <n v="5"/>
    <s v="High"/>
  </r>
  <r>
    <s v="C879"/>
    <d v="2023-04-13T13:47:39"/>
    <d v="2023-05-08T22:05:06"/>
    <s v="Completed"/>
    <n v="25.345451388893707"/>
    <n v="3245"/>
    <s v="Parents 30-40"/>
    <n v="8124"/>
    <n v="999"/>
    <n v="192"/>
    <n v="8445"/>
    <n v="0.12296898079763663"/>
    <n v="0.19219219219219219"/>
    <n v="19.522522522522522"/>
    <n v="101.578125"/>
    <n v="6.0101694915254233"/>
    <n v="0.43301030610675278"/>
    <s v="CL879"/>
    <x v="4"/>
    <s v="Medium"/>
    <n v="19503"/>
    <n v="5"/>
    <s v="High"/>
  </r>
  <r>
    <s v="C880"/>
    <d v="2023-12-30T02:57:20"/>
    <d v="2024-05-10T09:37:29"/>
    <s v="Completed"/>
    <n v="132.2778819444502"/>
    <n v="6089"/>
    <s v="Professionals 35-50"/>
    <n v="1923"/>
    <n v="1498"/>
    <n v="325"/>
    <n v="1060"/>
    <n v="0.77899115964638588"/>
    <n v="0.21695594125500667"/>
    <n v="4.2616822429906538"/>
    <n v="19.643076923076922"/>
    <n v="1.0484480210215141"/>
    <n v="0.16604010025062657"/>
    <s v="CL880"/>
    <x v="4"/>
    <s v="Medium"/>
    <n v="6384"/>
    <n v="4"/>
    <s v="High"/>
  </r>
  <r>
    <s v="C881"/>
    <d v="2023-02-18T09:32:43"/>
    <d v="2024-04-15T22:39:30"/>
    <s v="Completed"/>
    <n v="422.54637731481489"/>
    <n v="8220"/>
    <s v="Professionals 35-50"/>
    <n v="13926"/>
    <n v="1742"/>
    <n v="215"/>
    <n v="3134"/>
    <n v="0.12508976016085022"/>
    <n v="0.12342135476463835"/>
    <n v="4.6808266360505169"/>
    <n v="37.925581395348836"/>
    <n v="0.99197080291970807"/>
    <n v="0.38435123865587439"/>
    <s v="CL881"/>
    <x v="3"/>
    <s v="Small"/>
    <n v="8154"/>
    <n v="2"/>
    <s v="Medium"/>
  </r>
  <r>
    <s v="C882"/>
    <d v="2023-07-08T15:00:06"/>
    <d v="2023-07-08T15:00:06"/>
    <s v="Ongoing"/>
    <n v="0"/>
    <n v="6965"/>
    <s v="Professionals 35-50"/>
    <n v="15136"/>
    <n v="843"/>
    <n v="94"/>
    <n v="6117"/>
    <n v="5.5695031712473572E-2"/>
    <n v="0.11150652431791222"/>
    <n v="10.98576512455516"/>
    <n v="98.521276595744681"/>
    <n v="1.3296482412060302"/>
    <n v="0.66051182377712991"/>
    <s v="CL882"/>
    <x v="3"/>
    <s v="Large"/>
    <n v="9261"/>
    <n v="1"/>
    <s v="Low"/>
  </r>
  <r>
    <s v="C883"/>
    <d v="2023-01-26T14:07:08"/>
    <d v="2024-09-20T16:02:09"/>
    <s v="Completed"/>
    <n v="603.079872685179"/>
    <n v="4962"/>
    <s v="Parents 30-40"/>
    <n v="4585"/>
    <n v="708"/>
    <n v="52"/>
    <n v="11563"/>
    <n v="0.1544165757906216"/>
    <n v="7.3446327683615822E-2"/>
    <n v="16.07909604519774"/>
    <n v="218.92307692307693"/>
    <n v="2.294236195082628"/>
    <n v="1.0157238229093464"/>
    <s v="CL883"/>
    <x v="2"/>
    <s v="Medium"/>
    <n v="11384"/>
    <n v="2"/>
    <s v="Medium"/>
  </r>
  <r>
    <s v="C884"/>
    <d v="2023-09-06T00:24:23"/>
    <d v="2023-09-06T00:24:23"/>
    <s v="Ongoing"/>
    <n v="0"/>
    <n v="3410"/>
    <s v="Professionals 35-50"/>
    <n v="3242"/>
    <n v="614"/>
    <n v="194"/>
    <n v="1482"/>
    <n v="0.18938926588525601"/>
    <n v="0.31596091205211724"/>
    <n v="1.281758957654723"/>
    <n v="4.0567010309278349"/>
    <n v="0.230791788856305"/>
    <n v="1.8831003811944091"/>
    <s v="CL884"/>
    <x v="0"/>
    <s v="Small"/>
    <n v="787"/>
    <n v="4"/>
    <s v="High"/>
  </r>
  <r>
    <s v="C885"/>
    <d v="2024-01-29T21:54:42"/>
    <d v="2024-04-25T03:50:33"/>
    <s v="Completed"/>
    <n v="86.247118055551255"/>
    <n v="8941"/>
    <s v="Parents 30-40"/>
    <n v="8668"/>
    <n v="311"/>
    <n v="294"/>
    <n v="5267"/>
    <n v="3.5879095523765572E-2"/>
    <n v="0.94533762057877813"/>
    <n v="19.65273311897106"/>
    <n v="20.789115646258505"/>
    <n v="0.68359243932446034"/>
    <n v="0.86174738219895286"/>
    <s v="CL885"/>
    <x v="2"/>
    <s v="Small"/>
    <n v="6112"/>
    <n v="2"/>
    <s v="Medium"/>
  </r>
  <r>
    <s v="C886"/>
    <d v="2024-01-10T02:46:45"/>
    <d v="2024-06-09T08:31:45"/>
    <s v="Completed"/>
    <n v="151.23958333332848"/>
    <n v="6133"/>
    <s v="Youths 18-24"/>
    <n v="16009"/>
    <n v="763"/>
    <n v="394"/>
    <n v="7519"/>
    <n v="4.7660690861390465E-2"/>
    <n v="0.51638269986893837"/>
    <n v="12.002621231979029"/>
    <n v="23.243654822335024"/>
    <n v="1.4932333278982552"/>
    <n v="0.82103079274950863"/>
    <s v="CL886"/>
    <x v="2"/>
    <s v="Medium"/>
    <n v="9158"/>
    <n v="2"/>
    <s v="Medium"/>
  </r>
  <r>
    <s v="C887"/>
    <d v="2024-09-01T19:30:32"/>
    <d v="2024-09-01T19:30:32"/>
    <s v="Ongoing"/>
    <n v="0"/>
    <n v="3865"/>
    <s v="Adults 25-34"/>
    <n v="10285"/>
    <n v="1081"/>
    <n v="261"/>
    <n v="1962"/>
    <n v="0.1051045211473019"/>
    <n v="0.24144310823311749"/>
    <n v="14.2895467160037"/>
    <n v="59.183908045977013"/>
    <n v="3.9966364812419148"/>
    <n v="0.1270149543600699"/>
    <s v="CL887"/>
    <x v="1"/>
    <s v="Medium"/>
    <n v="15447"/>
    <n v="3"/>
    <s v="Medium"/>
  </r>
  <r>
    <s v="C888"/>
    <d v="2024-09-13T10:12:06"/>
    <d v="2024-11-01T17:34:18"/>
    <s v="Completed"/>
    <n v="49.307083333333139"/>
    <n v="9002"/>
    <s v="Youths 18-24"/>
    <n v="12044"/>
    <n v="288"/>
    <n v="303"/>
    <n v="7743"/>
    <n v="2.391232148787778E-2"/>
    <n v="1.0520833333333333"/>
    <n v="16.645833333333332"/>
    <n v="15.821782178217822"/>
    <n v="0.53254832259497886"/>
    <n v="1.6151439299123904"/>
    <s v="CL888"/>
    <x v="1"/>
    <s v="Medium"/>
    <n v="4794"/>
    <n v="2"/>
    <s v="Medium"/>
  </r>
  <r>
    <s v="C889"/>
    <d v="2024-06-30T18:04:48"/>
    <d v="2024-06-30T18:04:48"/>
    <s v="Ongoing"/>
    <n v="0"/>
    <n v="9529"/>
    <s v="Adults 25-34"/>
    <n v="17715"/>
    <n v="1693"/>
    <n v="120"/>
    <n v="7979"/>
    <n v="9.5568727067456963E-2"/>
    <n v="7.0880094506792682E-2"/>
    <n v="7.9545186060248083"/>
    <n v="112.22499999999999"/>
    <n v="1.4132647706999686"/>
    <n v="0.59248533452142271"/>
    <s v="CL889"/>
    <x v="4"/>
    <s v="Small"/>
    <n v="13467"/>
    <n v="2"/>
    <s v="Medium"/>
  </r>
  <r>
    <s v="C890"/>
    <d v="2024-06-15T08:00:48"/>
    <d v="2024-06-15T08:00:48"/>
    <s v="Ongoing"/>
    <n v="0"/>
    <n v="5639"/>
    <s v="Adults 25-34"/>
    <n v="11784"/>
    <n v="1637"/>
    <n v="422"/>
    <n v="10439"/>
    <n v="0.13891717583163612"/>
    <n v="0.25778863775198535"/>
    <n v="7.2406841783750764"/>
    <n v="28.087677725118482"/>
    <n v="2.1019684341195246"/>
    <n v="0.88070530667341607"/>
    <s v="CL890"/>
    <x v="3"/>
    <s v="Small"/>
    <n v="11853"/>
    <n v="3"/>
    <s v="Medium"/>
  </r>
  <r>
    <s v="C891"/>
    <d v="2023-05-13T15:02:52"/>
    <d v="2023-05-13T15:02:52"/>
    <s v="Ongoing"/>
    <n v="0"/>
    <n v="3487"/>
    <s v="Youths 18-24"/>
    <n v="14350"/>
    <n v="1618"/>
    <n v="109"/>
    <n v="10598"/>
    <n v="0.11275261324041812"/>
    <n v="6.7367119901112479E-2"/>
    <n v="7.5778739184177999"/>
    <n v="112.48623853211009"/>
    <n v="3.5162030398623458"/>
    <n v="0.86436669113449149"/>
    <s v="CL891"/>
    <x v="1"/>
    <s v="Small"/>
    <n v="12261"/>
    <n v="4"/>
    <s v="High"/>
  </r>
  <r>
    <s v="C892"/>
    <d v="2023-07-17T01:05:34"/>
    <d v="2024-10-13T17:07:26"/>
    <s v="Completed"/>
    <n v="454.66796296296525"/>
    <n v="9623"/>
    <s v="Youths 18-24"/>
    <n v="6750"/>
    <n v="1885"/>
    <n v="257"/>
    <n v="2492"/>
    <n v="0.27925925925925926"/>
    <n v="0.1363395225464191"/>
    <n v="2.8960212201591511"/>
    <n v="21.24124513618677"/>
    <n v="0.56728670892653021"/>
    <n v="0.45649386334493497"/>
    <s v="CL892"/>
    <x v="2"/>
    <s v="Small"/>
    <n v="5459"/>
    <n v="2"/>
    <s v="Medium"/>
  </r>
  <r>
    <s v="C893"/>
    <d v="2023-09-17T02:02:19"/>
    <d v="2023-12-29T03:17:35"/>
    <s v="Completed"/>
    <n v="103.05226851852058"/>
    <n v="8084"/>
    <s v="Parents 30-40"/>
    <n v="9705"/>
    <n v="1994"/>
    <n v="361"/>
    <n v="7143"/>
    <n v="0.20546110252447192"/>
    <n v="0.1810431293881645"/>
    <n v="8.0672016048144428"/>
    <n v="44.559556786703602"/>
    <n v="1.9898565066798615"/>
    <n v="0.44405072734054457"/>
    <s v="CL893"/>
    <x v="1"/>
    <s v="Medium"/>
    <n v="16086"/>
    <n v="4"/>
    <s v="High"/>
  </r>
  <r>
    <s v="C894"/>
    <d v="2024-04-03T22:04:58"/>
    <d v="2024-04-03T22:04:58"/>
    <s v="Ongoing"/>
    <n v="0"/>
    <n v="9957"/>
    <s v="Youths 18-24"/>
    <n v="18228"/>
    <n v="596"/>
    <n v="449"/>
    <n v="4028"/>
    <n v="3.2696949747640994E-2"/>
    <n v="0.75335570469798663"/>
    <n v="28.914429530201343"/>
    <n v="38.380846325167035"/>
    <n v="1.7307421914231194"/>
    <n v="0.23373759647188533"/>
    <s v="CL894"/>
    <x v="0"/>
    <s v="Small"/>
    <n v="17233"/>
    <n v="5"/>
    <s v="High"/>
  </r>
  <r>
    <s v="C895"/>
    <d v="2023-08-09T01:59:37"/>
    <d v="2024-03-23T02:14:22"/>
    <s v="Completed"/>
    <n v="227.0102430555562"/>
    <n v="4980"/>
    <s v="Professionals 35-50"/>
    <n v="12260"/>
    <n v="926"/>
    <n v="197"/>
    <n v="6580"/>
    <n v="7.5530179445350731E-2"/>
    <n v="0.21274298056155508"/>
    <n v="10.981641468682506"/>
    <n v="51.619289340101524"/>
    <n v="2.0419678714859439"/>
    <n v="0.64706460812272593"/>
    <s v="CL895"/>
    <x v="0"/>
    <s v="Large"/>
    <n v="10169"/>
    <n v="2"/>
    <s v="Medium"/>
  </r>
  <r>
    <s v="C896"/>
    <d v="2023-09-22T19:04:02"/>
    <d v="2023-09-22T19:04:02"/>
    <s v="Ongoing"/>
    <n v="0"/>
    <n v="4258"/>
    <s v="Professionals 35-50"/>
    <n v="3659"/>
    <n v="1372"/>
    <n v="381"/>
    <n v="5207"/>
    <n v="0.37496583766056302"/>
    <n v="0.27769679300291544"/>
    <n v="3.8979591836734695"/>
    <n v="14.036745406824148"/>
    <n v="1.2559887271019259"/>
    <n v="0.97363500373971579"/>
    <s v="CL896"/>
    <x v="2"/>
    <s v="Large"/>
    <n v="5348"/>
    <n v="5"/>
    <s v="High"/>
  </r>
  <r>
    <s v="C897"/>
    <d v="2024-08-10T21:04:09"/>
    <d v="2024-08-10T21:04:09"/>
    <s v="Ongoing"/>
    <n v="0"/>
    <n v="6987"/>
    <s v="Youths 18-24"/>
    <n v="14011"/>
    <n v="681"/>
    <n v="52"/>
    <n v="11442"/>
    <n v="4.8604667761044891E-2"/>
    <n v="7.63582966226138E-2"/>
    <n v="20.772393538913363"/>
    <n v="272.03846153846155"/>
    <n v="2.0246171461285245"/>
    <n v="0.80885055846175602"/>
    <s v="CL897"/>
    <x v="4"/>
    <s v="Medium"/>
    <n v="14146"/>
    <n v="4"/>
    <s v="High"/>
  </r>
  <r>
    <s v="C898"/>
    <d v="2023-04-27T01:28:45"/>
    <d v="2024-05-30T06:50:05"/>
    <s v="Completed"/>
    <n v="399.22314814815036"/>
    <n v="9688"/>
    <s v="Parents 30-40"/>
    <n v="7005"/>
    <n v="541"/>
    <n v="10"/>
    <n v="6734"/>
    <n v="7.7230549607423274E-2"/>
    <n v="1.8484288354898338E-2"/>
    <n v="34.918669131238445"/>
    <n v="1889.1"/>
    <n v="1.9499380677126341"/>
    <n v="0.35646604203059656"/>
    <s v="CL898"/>
    <x v="3"/>
    <s v="Small"/>
    <n v="18891"/>
    <n v="5"/>
    <s v="High"/>
  </r>
  <r>
    <s v="C899"/>
    <d v="2024-02-17T12:39:37"/>
    <d v="2024-02-17T12:39:37"/>
    <s v="Ongoing"/>
    <n v="0"/>
    <n v="5564"/>
    <s v="Adults 25-34"/>
    <n v="13883"/>
    <n v="1191"/>
    <n v="91"/>
    <n v="4383"/>
    <n v="8.5788374270690776E-2"/>
    <n v="7.6406381192275399E-2"/>
    <n v="0.96977329974811088"/>
    <n v="12.692307692307692"/>
    <n v="0.20758447160316318"/>
    <n v="3.7948051948051948"/>
    <s v="CL899"/>
    <x v="0"/>
    <s v="Small"/>
    <n v="1155"/>
    <n v="3"/>
    <s v="Medium"/>
  </r>
  <r>
    <s v="C900"/>
    <d v="2023-03-08T17:24:41"/>
    <d v="2023-11-27T08:57:08"/>
    <s v="Completed"/>
    <n v="263.64753472222219"/>
    <n v="9122"/>
    <s v="Youths 18-24"/>
    <n v="19916"/>
    <n v="1769"/>
    <n v="247"/>
    <n v="4460"/>
    <n v="8.882305683872263E-2"/>
    <n v="0.13962690785754664"/>
    <n v="9.1102317693612207"/>
    <n v="65.246963562753038"/>
    <n v="1.7667178250383688"/>
    <n v="0.27674360883593946"/>
    <s v="CL900"/>
    <x v="0"/>
    <s v="Large"/>
    <n v="16116"/>
    <n v="3"/>
    <s v="Medium"/>
  </r>
  <r>
    <s v="C901"/>
    <d v="2023-04-24T10:57:54"/>
    <d v="2024-03-11T04:55:01"/>
    <s v="Completed"/>
    <n v="321.74799768518278"/>
    <n v="2561"/>
    <s v="Professionals 35-50"/>
    <n v="10277"/>
    <n v="1537"/>
    <n v="88"/>
    <n v="13697"/>
    <n v="0.14955726379293569"/>
    <n v="5.7254391672088484E-2"/>
    <n v="4.1496421600520499"/>
    <n v="72.477272727272734"/>
    <n v="2.4904334244435766"/>
    <n v="2.1475384132957038"/>
    <s v="CL901"/>
    <x v="3"/>
    <s v="Large"/>
    <n v="6378"/>
    <n v="1"/>
    <s v="Low"/>
  </r>
  <r>
    <s v="C902"/>
    <d v="2023-08-13T02:43:11"/>
    <d v="2023-11-30T20:58:39"/>
    <s v="Completed"/>
    <n v="109.76074074074131"/>
    <n v="5844"/>
    <s v="Youths 18-24"/>
    <n v="17817"/>
    <n v="210"/>
    <n v="167"/>
    <n v="4487"/>
    <n v="1.17864960431049E-2"/>
    <n v="0.79523809523809519"/>
    <n v="13.771428571428572"/>
    <n v="17.317365269461078"/>
    <n v="0.49486652977412732"/>
    <n v="1.5515214384508991"/>
    <s v="CL902"/>
    <x v="0"/>
    <s v="Large"/>
    <n v="2892"/>
    <n v="3"/>
    <s v="Medium"/>
  </r>
  <r>
    <s v="C903"/>
    <d v="2024-08-06T15:10:41"/>
    <d v="2024-08-06T15:10:41"/>
    <s v="Ongoing"/>
    <n v="0"/>
    <n v="7272"/>
    <s v="Youths 18-24"/>
    <n v="3936"/>
    <n v="1467"/>
    <n v="188"/>
    <n v="13424"/>
    <n v="0.37271341463414637"/>
    <n v="0.1281526925698705"/>
    <n v="6.4594410361281529"/>
    <n v="50.404255319148938"/>
    <n v="1.3030803080308031"/>
    <n v="1.4166314900802026"/>
    <s v="CL903"/>
    <x v="1"/>
    <s v="Large"/>
    <n v="9476"/>
    <n v="3"/>
    <s v="Medium"/>
  </r>
  <r>
    <s v="C904"/>
    <d v="2023-10-28T03:49:57"/>
    <d v="2023-10-28T03:49:57"/>
    <s v="Ongoing"/>
    <n v="0"/>
    <n v="5304"/>
    <s v="Professionals 35-50"/>
    <n v="16807"/>
    <n v="287"/>
    <n v="38"/>
    <n v="7376"/>
    <n v="1.7076218242399001E-2"/>
    <n v="0.13240418118466898"/>
    <n v="33.310104529616723"/>
    <n v="251.57894736842104"/>
    <n v="1.8024132730015083"/>
    <n v="0.77154811715481175"/>
    <s v="CL904"/>
    <x v="0"/>
    <s v="Medium"/>
    <n v="9560"/>
    <n v="3"/>
    <s v="Medium"/>
  </r>
  <r>
    <s v="C905"/>
    <d v="2023-09-15T19:53:37"/>
    <d v="2023-11-24T12:59:34"/>
    <s v="Completed"/>
    <n v="69.712465277778392"/>
    <n v="7308"/>
    <s v="Youths 18-24"/>
    <n v="13796"/>
    <n v="478"/>
    <n v="392"/>
    <n v="12761"/>
    <n v="3.4647723977964624E-2"/>
    <n v="0.82008368200836823"/>
    <n v="32.410041841004187"/>
    <n v="39.520408163265309"/>
    <n v="2.1198686371100166"/>
    <n v="0.82371546604699197"/>
    <s v="CL905"/>
    <x v="3"/>
    <s v="Large"/>
    <n v="15492"/>
    <n v="4"/>
    <s v="High"/>
  </r>
  <r>
    <s v="C906"/>
    <d v="2024-06-08T10:06:35"/>
    <d v="2024-06-08T10:06:35"/>
    <s v="Ongoing"/>
    <n v="0"/>
    <n v="1374"/>
    <s v="Parents 30-40"/>
    <n v="4968"/>
    <n v="345"/>
    <n v="466"/>
    <n v="6259"/>
    <n v="6.9444444444444448E-2"/>
    <n v="1.3507246376811595"/>
    <n v="57.823188405797104"/>
    <n v="42.809012875536482"/>
    <n v="14.518922852983989"/>
    <n v="0.31375006265978245"/>
    <s v="CL906"/>
    <x v="2"/>
    <s v="Small"/>
    <n v="19949"/>
    <n v="3"/>
    <s v="Medium"/>
  </r>
  <r>
    <s v="C907"/>
    <d v="2024-05-03T10:55:17"/>
    <d v="2024-11-24T15:25:49"/>
    <s v="Completed"/>
    <n v="205.18787037036964"/>
    <n v="5767"/>
    <s v="Parents 30-40"/>
    <n v="17354"/>
    <n v="1014"/>
    <n v="194"/>
    <n v="8820"/>
    <n v="5.843033306442319E-2"/>
    <n v="0.19132149901380671"/>
    <n v="0.76134122287968442"/>
    <n v="3.9793814432989691"/>
    <n v="0.13386509450320791"/>
    <n v="11.424870466321243"/>
    <s v="CL907"/>
    <x v="4"/>
    <s v="Small"/>
    <n v="772"/>
    <n v="4"/>
    <s v="High"/>
  </r>
  <r>
    <s v="C908"/>
    <d v="2023-10-18T20:09:11"/>
    <d v="2024-02-29T17:21:36"/>
    <s v="Completed"/>
    <n v="133.8836226851854"/>
    <n v="6383"/>
    <s v="Professionals 35-50"/>
    <n v="18572"/>
    <n v="681"/>
    <n v="444"/>
    <n v="3195"/>
    <n v="3.6668102519922467E-2"/>
    <n v="0.65198237885462551"/>
    <n v="5.7327459618208518"/>
    <n v="8.7927927927927936"/>
    <n v="0.61162462791790695"/>
    <n v="0.81839139344262291"/>
    <s v="CL908"/>
    <x v="0"/>
    <s v="Small"/>
    <n v="3904"/>
    <n v="2"/>
    <s v="Medium"/>
  </r>
  <r>
    <s v="C909"/>
    <d v="2023-01-11T06:16:43"/>
    <d v="2023-02-09T14:07:33"/>
    <s v="Completed"/>
    <n v="29.326967592591245"/>
    <n v="6442"/>
    <s v="Youths 18-24"/>
    <n v="9147"/>
    <n v="1359"/>
    <n v="315"/>
    <n v="11123"/>
    <n v="0.14857330272220401"/>
    <n v="0.23178807947019867"/>
    <n v="6.8844738778513612"/>
    <n v="29.701587301587303"/>
    <n v="1.4523439925488979"/>
    <n v="1.1888627618640444"/>
    <s v="CL909"/>
    <x v="0"/>
    <s v="Medium"/>
    <n v="9356"/>
    <n v="3"/>
    <s v="Medium"/>
  </r>
  <r>
    <s v="C910"/>
    <d v="2023-12-23T07:04:54"/>
    <d v="2024-03-27T18:16:00"/>
    <s v="Completed"/>
    <n v="95.46604166666657"/>
    <n v="1919"/>
    <s v="Adults 25-34"/>
    <n v="17211"/>
    <n v="1320"/>
    <n v="15"/>
    <n v="5404"/>
    <n v="7.6695136831096397E-2"/>
    <n v="1.1363636363636364E-2"/>
    <n v="6.6219696969696971"/>
    <n v="582.73333333333335"/>
    <n v="4.5549765502866073"/>
    <n v="0.6182358997826336"/>
    <s v="CL910"/>
    <x v="3"/>
    <s v="Large"/>
    <n v="8741"/>
    <n v="1"/>
    <s v="Low"/>
  </r>
  <r>
    <s v="C911"/>
    <d v="2023-07-11T07:36:05"/>
    <d v="2024-02-06T17:00:17"/>
    <s v="Completed"/>
    <n v="210.39180555555504"/>
    <n v="6742"/>
    <s v="Professionals 35-50"/>
    <n v="1433"/>
    <n v="703"/>
    <n v="260"/>
    <n v="10372"/>
    <n v="0.49057920446615494"/>
    <n v="0.36984352773826457"/>
    <n v="21.348506401137978"/>
    <n v="57.723076923076924"/>
    <n v="2.2260456837733611"/>
    <n v="0.69109808102345416"/>
    <s v="CL911"/>
    <x v="3"/>
    <s v="Medium"/>
    <n v="15008"/>
    <n v="5"/>
    <s v="High"/>
  </r>
  <r>
    <s v="C912"/>
    <d v="2023-04-05T10:39:32"/>
    <d v="2024-10-23T21:16:33"/>
    <s v="Completed"/>
    <n v="567.44237268518918"/>
    <n v="3351"/>
    <s v="Parents 30-40"/>
    <n v="10678"/>
    <n v="684"/>
    <n v="81"/>
    <n v="9380"/>
    <n v="6.4056939501779361E-2"/>
    <n v="0.11842105263157894"/>
    <n v="4.2105263157894735"/>
    <n v="35.555555555555557"/>
    <n v="0.85944494180841535"/>
    <n v="3.2569444444444446"/>
    <s v="CL912"/>
    <x v="1"/>
    <s v="Large"/>
    <n v="2880"/>
    <n v="1"/>
    <s v="Low"/>
  </r>
  <r>
    <s v="C913"/>
    <d v="2024-08-13T16:56:57"/>
    <d v="2024-08-13T16:56:57"/>
    <s v="Ongoing"/>
    <n v="0"/>
    <n v="2981"/>
    <s v="Youths 18-24"/>
    <n v="18873"/>
    <n v="512"/>
    <n v="364"/>
    <n v="2239"/>
    <n v="2.7128702379060034E-2"/>
    <n v="0.7109375"/>
    <n v="21.513671875"/>
    <n v="30.260989010989011"/>
    <n v="3.6950687688695067"/>
    <n v="0.20326827054017249"/>
    <s v="CL913"/>
    <x v="2"/>
    <s v="Medium"/>
    <n v="11015"/>
    <n v="5"/>
    <s v="High"/>
  </r>
  <r>
    <s v="C914"/>
    <d v="2023-12-16T06:20:44"/>
    <d v="2023-12-16T06:20:44"/>
    <s v="Ongoing"/>
    <n v="0"/>
    <n v="5743"/>
    <s v="Youths 18-24"/>
    <n v="5924"/>
    <n v="667"/>
    <n v="289"/>
    <n v="7993"/>
    <n v="0.112592842673869"/>
    <n v="0.43328335832083958"/>
    <n v="4.5982008995502248"/>
    <n v="10.612456747404844"/>
    <n v="0.5340414417551802"/>
    <n v="2.6061297685034237"/>
    <s v="CL914"/>
    <x v="4"/>
    <s v="Large"/>
    <n v="3067"/>
    <n v="2"/>
    <s v="Medium"/>
  </r>
  <r>
    <s v="C915"/>
    <d v="2023-07-30T05:45:00"/>
    <d v="2023-07-30T05:45:00"/>
    <s v="Ongoing"/>
    <n v="0"/>
    <n v="8172"/>
    <s v="Adults 25-34"/>
    <n v="18554"/>
    <n v="134"/>
    <n v="374"/>
    <n v="11415"/>
    <n v="7.2221623369623797E-3"/>
    <n v="2.7910447761194028"/>
    <n v="27.738805970149254"/>
    <n v="9.9385026737967923"/>
    <n v="0.45484581497797355"/>
    <n v="3.0710250201775624"/>
    <s v="CL915"/>
    <x v="1"/>
    <s v="Small"/>
    <n v="3717"/>
    <n v="4"/>
    <s v="High"/>
  </r>
  <r>
    <s v="C916"/>
    <d v="2024-08-22T21:48:49"/>
    <d v="2024-11-23T14:15:23"/>
    <s v="Completed"/>
    <n v="92.685115740736364"/>
    <n v="4167"/>
    <s v="Parents 30-40"/>
    <n v="3398"/>
    <n v="519"/>
    <n v="337"/>
    <n v="664"/>
    <n v="0.15273690406121249"/>
    <n v="0.64932562620423895"/>
    <n v="21.96339113680154"/>
    <n v="33.824925816023736"/>
    <n v="2.7355411567074635"/>
    <n v="5.8250723747697165E-2"/>
    <s v="CL916"/>
    <x v="4"/>
    <s v="Small"/>
    <n v="11399"/>
    <n v="5"/>
    <s v="High"/>
  </r>
  <r>
    <s v="C917"/>
    <d v="2023-07-24T04:52:00"/>
    <d v="2023-12-29T15:33:02"/>
    <s v="Completed"/>
    <n v="158.44516203703824"/>
    <n v="8567"/>
    <s v="Professionals 35-50"/>
    <n v="6486"/>
    <n v="1589"/>
    <n v="468"/>
    <n v="9620"/>
    <n v="0.24498920752389763"/>
    <n v="0.29452485840151038"/>
    <n v="5.7205789804908749"/>
    <n v="19.423076923076923"/>
    <n v="1.0610482082409245"/>
    <n v="1.0583058305830584"/>
    <s v="CL917"/>
    <x v="3"/>
    <s v="Medium"/>
    <n v="9090"/>
    <n v="2"/>
    <s v="Medium"/>
  </r>
  <r>
    <s v="C918"/>
    <d v="2024-04-15T16:01:42"/>
    <d v="2024-04-15T16:01:42"/>
    <s v="Ongoing"/>
    <n v="0"/>
    <n v="2550"/>
    <s v="Parents 30-40"/>
    <n v="6571"/>
    <n v="1647"/>
    <n v="391"/>
    <n v="8781"/>
    <n v="0.25064678131182466"/>
    <n v="0.23740133576199149"/>
    <n v="1.3879781420765027"/>
    <n v="5.8465473145780047"/>
    <n v="0.89647058823529413"/>
    <n v="3.841207349081365"/>
    <s v="CL918"/>
    <x v="1"/>
    <s v="Large"/>
    <n v="2286"/>
    <n v="5"/>
    <s v="High"/>
  </r>
  <r>
    <s v="C919"/>
    <d v="2023-07-08T12:50:10"/>
    <d v="2024-06-15T09:59:47"/>
    <s v="Completed"/>
    <n v="342.88167824073753"/>
    <n v="7230"/>
    <s v="Youths 18-24"/>
    <n v="12930"/>
    <n v="368"/>
    <n v="448"/>
    <n v="8987"/>
    <n v="2.8460943542150039E-2"/>
    <n v="1.2173913043478262"/>
    <n v="16.190217391304348"/>
    <n v="13.299107142857142"/>
    <n v="0.82406639004149373"/>
    <n v="1.5083920778784827"/>
    <s v="CL919"/>
    <x v="3"/>
    <s v="Medium"/>
    <n v="5958"/>
    <n v="2"/>
    <s v="Medium"/>
  </r>
  <r>
    <s v="C920"/>
    <d v="2023-04-28T21:03:32"/>
    <d v="2023-04-28T21:03:32"/>
    <s v="Ongoing"/>
    <n v="0"/>
    <n v="9979"/>
    <s v="Parents 30-40"/>
    <n v="1708"/>
    <n v="1609"/>
    <n v="357"/>
    <n v="1030"/>
    <n v="0.94203747072599531"/>
    <n v="0.2218769422001243"/>
    <n v="9.4686140459912984"/>
    <n v="42.675070028011206"/>
    <n v="1.526706082773825"/>
    <n v="6.7607482769937638E-2"/>
    <s v="CL920"/>
    <x v="4"/>
    <s v="Large"/>
    <n v="15235"/>
    <n v="5"/>
    <s v="High"/>
  </r>
  <r>
    <s v="C921"/>
    <d v="2024-09-23T23:22:43"/>
    <d v="2024-09-23T23:22:43"/>
    <s v="Ongoing"/>
    <n v="0"/>
    <n v="6938"/>
    <s v="Youths 18-24"/>
    <n v="10856"/>
    <n v="142"/>
    <n v="262"/>
    <n v="8920"/>
    <n v="1.3080324244657332E-2"/>
    <n v="1.8450704225352113"/>
    <n v="34.08450704225352"/>
    <n v="18.47328244274809"/>
    <n v="0.69760737964831365"/>
    <n v="1.8429752066115703"/>
    <s v="CL921"/>
    <x v="2"/>
    <s v="Small"/>
    <n v="4840"/>
    <n v="1"/>
    <s v="Low"/>
  </r>
  <r>
    <s v="C922"/>
    <d v="2024-01-07T00:13:32"/>
    <d v="2024-02-13T20:55:01"/>
    <s v="Completed"/>
    <n v="37.862141203702777"/>
    <n v="2716"/>
    <s v="Professionals 35-50"/>
    <n v="16152"/>
    <n v="1050"/>
    <n v="424"/>
    <n v="13655"/>
    <n v="6.5007429420505206E-2"/>
    <n v="0.40380952380952378"/>
    <n v="2.9895238095238095"/>
    <n v="7.4033018867924527"/>
    <n v="1.1557437407952871"/>
    <n v="4.3501115004778592"/>
    <s v="CL922"/>
    <x v="1"/>
    <s v="Small"/>
    <n v="3139"/>
    <n v="2"/>
    <s v="Medium"/>
  </r>
  <r>
    <s v="C923"/>
    <d v="2023-06-25T19:46:09"/>
    <d v="2024-02-19T04:29:21"/>
    <s v="Completed"/>
    <n v="238.36333333333459"/>
    <n v="7702"/>
    <s v="Professionals 35-50"/>
    <n v="19929"/>
    <n v="136"/>
    <n v="379"/>
    <n v="4913"/>
    <n v="6.8242260023081945E-3"/>
    <n v="2.7867647058823528"/>
    <n v="40.948529411764703"/>
    <n v="14.693931398416886"/>
    <n v="0.72305894572838225"/>
    <n v="0.88220506374573537"/>
    <s v="CL923"/>
    <x v="4"/>
    <s v="Large"/>
    <n v="5569"/>
    <n v="5"/>
    <s v="High"/>
  </r>
  <r>
    <s v="C924"/>
    <d v="2024-11-22T01:06:13"/>
    <d v="2024-11-22T01:06:13"/>
    <s v="Ongoing"/>
    <n v="0"/>
    <n v="9059"/>
    <s v="Professionals 35-50"/>
    <n v="14400"/>
    <n v="1388"/>
    <n v="79"/>
    <n v="14408"/>
    <n v="9.6388888888888885E-2"/>
    <n v="5.6916426512968299E-2"/>
    <n v="12.036023054755043"/>
    <n v="211.46835443037975"/>
    <n v="1.8441329065018215"/>
    <n v="0.86244463067161503"/>
    <s v="CL924"/>
    <x v="3"/>
    <s v="Large"/>
    <n v="16706"/>
    <n v="2"/>
    <s v="Medium"/>
  </r>
  <r>
    <s v="C925"/>
    <d v="2023-10-10T08:21:29"/>
    <d v="2023-10-10T08:21:29"/>
    <s v="Ongoing"/>
    <n v="0"/>
    <n v="4638"/>
    <s v="Youths 18-24"/>
    <n v="19024"/>
    <n v="638"/>
    <n v="84"/>
    <n v="3074"/>
    <n v="3.3536585365853661E-2"/>
    <n v="0.13166144200626959"/>
    <n v="2.330721003134796"/>
    <n v="17.702380952380953"/>
    <n v="0.320612332902113"/>
    <n v="2.0672494956287828"/>
    <s v="CL925"/>
    <x v="4"/>
    <s v="Large"/>
    <n v="1487"/>
    <n v="1"/>
    <s v="Low"/>
  </r>
  <r>
    <s v="C926"/>
    <d v="2024-12-18T09:13:24"/>
    <d v="2024-12-18T09:13:24"/>
    <s v="Ongoing"/>
    <n v="0"/>
    <n v="7483"/>
    <s v="Professionals 35-50"/>
    <n v="5567"/>
    <n v="808"/>
    <n v="146"/>
    <n v="11557"/>
    <n v="0.145141009520388"/>
    <n v="0.18069306930693069"/>
    <n v="7.8539603960396036"/>
    <n v="43.465753424657535"/>
    <n v="0.84805559267673392"/>
    <n v="1.8211471793255594"/>
    <s v="CL926"/>
    <x v="3"/>
    <s v="Medium"/>
    <n v="6346"/>
    <n v="5"/>
    <s v="High"/>
  </r>
  <r>
    <s v="C927"/>
    <d v="2024-07-14T14:27:47"/>
    <d v="2024-07-14T14:27:47"/>
    <s v="Ongoing"/>
    <n v="0"/>
    <n v="7316"/>
    <s v="Professionals 35-50"/>
    <n v="1157"/>
    <n v="125"/>
    <n v="312"/>
    <n v="5278"/>
    <n v="0.10803802938634399"/>
    <n v="2.496"/>
    <n v="19.071999999999999"/>
    <n v="7.6410256410256414"/>
    <n v="0.32586112629852376"/>
    <n v="2.2139261744966441"/>
    <s v="CL927"/>
    <x v="0"/>
    <s v="Medium"/>
    <n v="2384"/>
    <n v="4"/>
    <s v="High"/>
  </r>
  <r>
    <s v="C928"/>
    <d v="2024-10-27T15:03:51"/>
    <d v="2024-10-27T15:03:51"/>
    <s v="Ongoing"/>
    <n v="0"/>
    <n v="2544"/>
    <s v="Youths 18-24"/>
    <n v="14037"/>
    <n v="159"/>
    <n v="158"/>
    <n v="6651"/>
    <n v="1.1327206668091472E-2"/>
    <n v="0.99371069182389937"/>
    <n v="50.119496855345915"/>
    <n v="50.436708860759495"/>
    <n v="3.1324685534591197"/>
    <n v="0.83460911030242191"/>
    <s v="CL928"/>
    <x v="0"/>
    <s v="Small"/>
    <n v="7969"/>
    <n v="5"/>
    <s v="High"/>
  </r>
  <r>
    <s v="C929"/>
    <d v="2024-09-10T21:26:26"/>
    <d v="2024-10-16T22:16:27"/>
    <s v="Completed"/>
    <n v="36.034733796295768"/>
    <n v="7835"/>
    <s v="Parents 30-40"/>
    <n v="11716"/>
    <n v="1754"/>
    <n v="48"/>
    <n v="6948"/>
    <n v="0.14970979856606351"/>
    <n v="2.7366020524515394E-2"/>
    <n v="8.8072976054732042"/>
    <n v="321.83333333333331"/>
    <n v="1.9716656030631781"/>
    <n v="0.44976696012428791"/>
    <s v="CL929"/>
    <x v="4"/>
    <s v="Small"/>
    <n v="15448"/>
    <n v="5"/>
    <s v="High"/>
  </r>
  <r>
    <s v="C930"/>
    <d v="2023-02-19T13:04:10"/>
    <d v="2023-04-07T10:38:34"/>
    <s v="Completed"/>
    <n v="46.898888888892543"/>
    <n v="9576"/>
    <s v="Professionals 35-50"/>
    <n v="14489"/>
    <n v="644"/>
    <n v="81"/>
    <n v="8556"/>
    <n v="4.4447511905583548E-2"/>
    <n v="0.12577639751552794"/>
    <n v="22.153726708074533"/>
    <n v="176.1358024691358"/>
    <n v="1.4898705096073517"/>
    <n v="0.59970561435480474"/>
    <s v="CL930"/>
    <x v="1"/>
    <s v="Large"/>
    <n v="14267"/>
    <n v="3"/>
    <s v="Medium"/>
  </r>
  <r>
    <s v="C931"/>
    <d v="2023-10-15T06:51:17"/>
    <d v="2023-10-15T06:51:17"/>
    <s v="Ongoing"/>
    <n v="0"/>
    <n v="5777"/>
    <s v="Youths 18-24"/>
    <n v="17568"/>
    <n v="359"/>
    <n v="337"/>
    <n v="1015"/>
    <n v="2.0434881602914391E-2"/>
    <n v="0.93871866295264628"/>
    <n v="26.022284122562674"/>
    <n v="27.72106824925816"/>
    <n v="1.6171023022329929"/>
    <n v="0.10864911153928496"/>
    <s v="CL931"/>
    <x v="3"/>
    <s v="Large"/>
    <n v="9342"/>
    <n v="5"/>
    <s v="High"/>
  </r>
  <r>
    <s v="C932"/>
    <d v="2024-02-24T08:13:06"/>
    <d v="2024-02-24T08:13:06"/>
    <s v="Ongoing"/>
    <n v="0"/>
    <n v="3008"/>
    <s v="Parents 30-40"/>
    <n v="5572"/>
    <n v="891"/>
    <n v="218"/>
    <n v="6476"/>
    <n v="0.15990667623833452"/>
    <n v="0.244668911335578"/>
    <n v="4.3378226711560046"/>
    <n v="17.729357798165136"/>
    <n v="1.284906914893617"/>
    <n v="1.6755498059508409"/>
    <s v="CL932"/>
    <x v="4"/>
    <s v="Small"/>
    <n v="3865"/>
    <n v="1"/>
    <s v="Low"/>
  </r>
  <r>
    <s v="C933"/>
    <d v="2023-10-29T10:47:04"/>
    <d v="2023-10-29T10:47:04"/>
    <s v="Ongoing"/>
    <n v="0"/>
    <n v="9136"/>
    <s v="Youths 18-24"/>
    <n v="5361"/>
    <n v="935"/>
    <n v="197"/>
    <n v="14569"/>
    <n v="0.17440775974631598"/>
    <n v="0.2106951871657754"/>
    <n v="8.4406417112299472"/>
    <n v="40.060913705583758"/>
    <n v="0.86383537653239928"/>
    <n v="1.8460466294982261"/>
    <s v="CL933"/>
    <x v="4"/>
    <s v="Large"/>
    <n v="7892"/>
    <n v="5"/>
    <s v="High"/>
  </r>
  <r>
    <s v="C934"/>
    <d v="2024-11-28T20:11:34"/>
    <d v="2024-11-28T20:11:34"/>
    <s v="Ongoing"/>
    <n v="0"/>
    <n v="2880"/>
    <s v="Parents 30-40"/>
    <n v="11334"/>
    <n v="404"/>
    <n v="222"/>
    <n v="6971"/>
    <n v="3.5644962061055233E-2"/>
    <n v="0.54950495049504955"/>
    <n v="33.611386138613859"/>
    <n v="61.166666666666664"/>
    <n v="4.7149305555555552"/>
    <n v="0.51336622726268499"/>
    <s v="CL934"/>
    <x v="0"/>
    <s v="Small"/>
    <n v="13579"/>
    <n v="1"/>
    <s v="Low"/>
  </r>
  <r>
    <s v="C935"/>
    <d v="2023-12-03T19:16:05"/>
    <d v="2024-09-29T12:49:37"/>
    <s v="Completed"/>
    <n v="300.731620370374"/>
    <n v="5600"/>
    <s v="Parents 30-40"/>
    <n v="18642"/>
    <n v="1877"/>
    <n v="69"/>
    <n v="1143"/>
    <n v="0.1006866216071237"/>
    <n v="3.6760788492274904E-2"/>
    <n v="5.6734150239744272"/>
    <n v="154.33333333333334"/>
    <n v="1.9016071428571428"/>
    <n v="0.10733402197389426"/>
    <s v="CL935"/>
    <x v="0"/>
    <s v="Medium"/>
    <n v="10649"/>
    <n v="1"/>
    <s v="Low"/>
  </r>
  <r>
    <s v="C936"/>
    <d v="2024-02-08T05:46:29"/>
    <d v="2024-02-08T05:46:29"/>
    <s v="Ongoing"/>
    <n v="0"/>
    <n v="2241"/>
    <s v="Adults 25-34"/>
    <n v="2544"/>
    <n v="734"/>
    <n v="202"/>
    <n v="1994"/>
    <n v="0.28852201257861637"/>
    <n v="0.27520435967302453"/>
    <n v="12.610354223433243"/>
    <n v="45.821782178217823"/>
    <n v="4.1302989736724678"/>
    <n v="0.21542783059636991"/>
    <s v="CL936"/>
    <x v="1"/>
    <s v="Large"/>
    <n v="9256"/>
    <n v="1"/>
    <s v="Low"/>
  </r>
  <r>
    <s v="C937"/>
    <d v="2023-08-09T00:58:54"/>
    <d v="2023-08-09T00:58:54"/>
    <s v="Ongoing"/>
    <n v="0"/>
    <n v="1856"/>
    <s v="Youths 18-24"/>
    <n v="5365"/>
    <n v="1619"/>
    <n v="18"/>
    <n v="4165"/>
    <n v="0.30177073625349488"/>
    <n v="1.1117974058060531E-2"/>
    <n v="7.3119209388511424"/>
    <n v="657.66666666666663"/>
    <n v="6.3782327586206895"/>
    <n v="0.3518330799121473"/>
    <s v="CL937"/>
    <x v="4"/>
    <s v="Medium"/>
    <n v="11838"/>
    <n v="4"/>
    <s v="High"/>
  </r>
  <r>
    <s v="C938"/>
    <d v="2024-06-01T11:51:18"/>
    <d v="2024-06-01T11:51:18"/>
    <s v="Ongoing"/>
    <n v="0"/>
    <n v="9185"/>
    <s v="Professionals 35-50"/>
    <n v="5732"/>
    <n v="723"/>
    <n v="241"/>
    <n v="4621"/>
    <n v="0.12613398464759246"/>
    <n v="0.33333333333333331"/>
    <n v="18.975103734439834"/>
    <n v="56.925311203319502"/>
    <n v="1.4936309199782254"/>
    <n v="0.33683213062176542"/>
    <s v="CL938"/>
    <x v="4"/>
    <s v="Medium"/>
    <n v="13719"/>
    <n v="1"/>
    <s v="Low"/>
  </r>
  <r>
    <s v="C939"/>
    <d v="2023-02-17T09:38:31"/>
    <d v="2024-12-22T07:51:12"/>
    <s v="Completed"/>
    <n v="673.92547453703446"/>
    <n v="7182"/>
    <s v="Parents 30-40"/>
    <n v="15257"/>
    <n v="1942"/>
    <n v="208"/>
    <n v="14877"/>
    <n v="0.12728583600970048"/>
    <n v="0.10710607621009269"/>
    <n v="2.7785787847579813"/>
    <n v="25.942307692307693"/>
    <n v="0.75132275132275128"/>
    <n v="2.757042253521127"/>
    <s v="CL939"/>
    <x v="4"/>
    <s v="Large"/>
    <n v="5396"/>
    <n v="1"/>
    <s v="Low"/>
  </r>
  <r>
    <s v="C940"/>
    <d v="2023-08-25T12:52:58"/>
    <d v="2024-10-25T20:44:49"/>
    <s v="Completed"/>
    <n v="427.32767361111473"/>
    <n v="5449"/>
    <s v="Youths 18-24"/>
    <n v="4483"/>
    <n v="1846"/>
    <n v="65"/>
    <n v="2456"/>
    <n v="0.4117778273477582"/>
    <n v="3.5211267605633804E-2"/>
    <n v="6.7177681473456126"/>
    <n v="190.78461538461539"/>
    <n v="2.2758304276013948"/>
    <n v="0.19804854447221998"/>
    <s v="CL940"/>
    <x v="2"/>
    <s v="Large"/>
    <n v="12401"/>
    <n v="4"/>
    <s v="High"/>
  </r>
  <r>
    <s v="C941"/>
    <d v="2023-05-18T05:40:31"/>
    <d v="2023-09-09T08:21:41"/>
    <s v="Completed"/>
    <n v="114.1119212962949"/>
    <n v="6788"/>
    <s v="Parents 30-40"/>
    <n v="16114"/>
    <n v="1581"/>
    <n v="108"/>
    <n v="1804"/>
    <n v="9.8113441727690209E-2"/>
    <n v="6.8311195445920306E-2"/>
    <n v="9.0695762175838084"/>
    <n v="132.7685185185185"/>
    <n v="2.1124042427813787"/>
    <n v="0.12581072599204965"/>
    <s v="CL941"/>
    <x v="3"/>
    <s v="Small"/>
    <n v="14339"/>
    <n v="2"/>
    <s v="Medium"/>
  </r>
  <r>
    <s v="C942"/>
    <d v="2024-11-04T12:53:03"/>
    <d v="2024-11-04T12:53:03"/>
    <s v="Ongoing"/>
    <n v="0"/>
    <n v="3845"/>
    <s v="Professionals 35-50"/>
    <n v="10525"/>
    <n v="938"/>
    <n v="174"/>
    <n v="5044"/>
    <n v="8.9121140142517818E-2"/>
    <n v="0.18550106609808104"/>
    <n v="15.857142857142858"/>
    <n v="85.482758620689651"/>
    <n v="3.868400520156047"/>
    <n v="0.33911523463762272"/>
    <s v="CL942"/>
    <x v="0"/>
    <s v="Medium"/>
    <n v="14874"/>
    <n v="1"/>
    <s v="Low"/>
  </r>
  <r>
    <s v="C943"/>
    <d v="2024-03-03T21:14:21"/>
    <d v="2024-11-19T15:05:37"/>
    <s v="Completed"/>
    <n v="260.74393518518627"/>
    <n v="5352"/>
    <s v="Professionals 35-50"/>
    <n v="7843"/>
    <n v="433"/>
    <n v="178"/>
    <n v="14684"/>
    <n v="5.5208466148157595E-2"/>
    <n v="0.4110854503464203"/>
    <n v="10.868360277136258"/>
    <n v="26.438202247191011"/>
    <n v="0.87929745889387145"/>
    <n v="3.1202719932001699"/>
    <s v="CL943"/>
    <x v="0"/>
    <s v="Medium"/>
    <n v="4706"/>
    <n v="4"/>
    <s v="High"/>
  </r>
  <r>
    <s v="C944"/>
    <d v="2024-06-25T17:39:56"/>
    <d v="2024-09-17T07:49:46"/>
    <s v="Completed"/>
    <n v="83.590162037035043"/>
    <n v="7193"/>
    <s v="Parents 30-40"/>
    <n v="13154"/>
    <n v="324"/>
    <n v="25"/>
    <n v="2631"/>
    <n v="2.463129086209518E-2"/>
    <n v="7.716049382716049E-2"/>
    <n v="47.561728395061728"/>
    <n v="616.4"/>
    <n v="2.1423606283887113"/>
    <n v="0.17073329007138222"/>
    <s v="CL944"/>
    <x v="4"/>
    <s v="Small"/>
    <n v="15410"/>
    <n v="5"/>
    <s v="High"/>
  </r>
  <r>
    <s v="C945"/>
    <d v="2024-05-02T09:40:22"/>
    <d v="2024-05-02T09:40:22"/>
    <s v="Ongoing"/>
    <n v="0"/>
    <n v="7135"/>
    <s v="Youths 18-24"/>
    <n v="17144"/>
    <n v="1346"/>
    <n v="12"/>
    <n v="9382"/>
    <n v="7.8511432571161929E-2"/>
    <n v="8.9153046062407128E-3"/>
    <n v="7.4138187221396734"/>
    <n v="831.58333333333337"/>
    <n v="1.3985984583041347"/>
    <n v="0.94017436616895478"/>
    <s v="CL945"/>
    <x v="3"/>
    <s v="Large"/>
    <n v="9979"/>
    <n v="2"/>
    <s v="Medium"/>
  </r>
  <r>
    <s v="C946"/>
    <d v="2024-07-31T21:38:51"/>
    <d v="2024-07-31T21:38:51"/>
    <s v="Ongoing"/>
    <n v="0"/>
    <n v="6232"/>
    <s v="Parents 30-40"/>
    <n v="9244"/>
    <n v="667"/>
    <n v="291"/>
    <n v="2770"/>
    <n v="7.2154911293812199E-2"/>
    <n v="0.43628185907046479"/>
    <n v="18.545727136431783"/>
    <n v="42.508591065292094"/>
    <n v="1.9849165596919127"/>
    <n v="0.22392886014551333"/>
    <s v="CL946"/>
    <x v="3"/>
    <s v="Large"/>
    <n v="12370"/>
    <n v="1"/>
    <s v="Low"/>
  </r>
  <r>
    <s v="C947"/>
    <d v="2023-09-27T17:42:22"/>
    <d v="2023-09-27T17:42:22"/>
    <s v="Ongoing"/>
    <n v="0"/>
    <n v="5050"/>
    <s v="Parents 30-40"/>
    <n v="7220"/>
    <n v="1159"/>
    <n v="63"/>
    <n v="9871"/>
    <n v="0.16052631578947368"/>
    <n v="5.4357204486626405E-2"/>
    <n v="2.1604831751509921"/>
    <n v="39.746031746031747"/>
    <n v="0.49584158415841584"/>
    <n v="3.9420926517571884"/>
    <s v="CL947"/>
    <x v="1"/>
    <s v="Large"/>
    <n v="2504"/>
    <n v="1"/>
    <s v="Low"/>
  </r>
  <r>
    <s v="C948"/>
    <d v="2023-05-29T19:39:17"/>
    <d v="2024-08-20T10:26:04"/>
    <s v="Completed"/>
    <n v="448.61582175926014"/>
    <n v="1955"/>
    <s v="Professionals 35-50"/>
    <n v="11080"/>
    <n v="1651"/>
    <n v="329"/>
    <n v="2638"/>
    <n v="0.14900722021660651"/>
    <n v="0.1992731677771048"/>
    <n v="1.6910963052695336"/>
    <n v="8.4863221884498472"/>
    <n v="1.4281329923273658"/>
    <n v="0.94484240687679089"/>
    <s v="CL948"/>
    <x v="0"/>
    <s v="Small"/>
    <n v="2792"/>
    <n v="2"/>
    <s v="Medium"/>
  </r>
  <r>
    <s v="C949"/>
    <d v="2023-05-25T18:35:01"/>
    <d v="2024-10-14T02:07:32"/>
    <s v="Completed"/>
    <n v="507.31424768518627"/>
    <n v="4335"/>
    <s v="Adults 25-34"/>
    <n v="3608"/>
    <n v="471"/>
    <n v="476"/>
    <n v="536"/>
    <n v="0.13054323725055433"/>
    <n v="1.0106157112526539"/>
    <n v="28.307855626326965"/>
    <n v="28.010504201680671"/>
    <n v="3.0756632064590543"/>
    <n v="4.0201005025125629E-2"/>
    <s v="CL949"/>
    <x v="2"/>
    <s v="Small"/>
    <n v="13333"/>
    <n v="3"/>
    <s v="Medium"/>
  </r>
  <r>
    <s v="C950"/>
    <d v="2024-02-14T04:28:31"/>
    <d v="2024-02-14T04:28:31"/>
    <s v="Ongoing"/>
    <n v="0"/>
    <n v="4900"/>
    <s v="Youths 18-24"/>
    <n v="18181"/>
    <n v="265"/>
    <n v="429"/>
    <n v="13476"/>
    <n v="1.4575655904515704E-2"/>
    <n v="1.618867924528302"/>
    <n v="6.0981132075471702"/>
    <n v="3.7668997668997668"/>
    <n v="0.32979591836734695"/>
    <n v="8.3391089108910883"/>
    <s v="CL950"/>
    <x v="1"/>
    <s v="Large"/>
    <n v="1616"/>
    <n v="3"/>
    <s v="Medium"/>
  </r>
  <r>
    <s v="C951"/>
    <d v="2023-10-11T12:09:30"/>
    <d v="2024-03-15T03:50:41"/>
    <s v="Completed"/>
    <n v="155.65359953703592"/>
    <n v="3589"/>
    <s v="Parents 30-40"/>
    <n v="3035"/>
    <n v="1459"/>
    <n v="345"/>
    <n v="9747"/>
    <n v="0.48072487644151563"/>
    <n v="0.23646333104866346"/>
    <n v="9.9403701165181637"/>
    <n v="42.037681159420288"/>
    <n v="4.0409584842574535"/>
    <n v="0.67206784803144182"/>
    <s v="CL951"/>
    <x v="3"/>
    <s v="Small"/>
    <n v="14503"/>
    <n v="4"/>
    <s v="High"/>
  </r>
  <r>
    <s v="C952"/>
    <d v="2024-06-04T00:45:44"/>
    <d v="2024-06-04T00:45:44"/>
    <s v="Ongoing"/>
    <n v="0"/>
    <n v="9485"/>
    <s v="Youths 18-24"/>
    <n v="11763"/>
    <n v="907"/>
    <n v="214"/>
    <n v="12553"/>
    <n v="7.7106180396157437E-2"/>
    <n v="0.23594266813671444"/>
    <n v="21.853362734288865"/>
    <n v="92.621495327102807"/>
    <n v="2.0897206114918294"/>
    <n v="0.63331819787094501"/>
    <s v="CL952"/>
    <x v="2"/>
    <s v="Large"/>
    <n v="19821"/>
    <n v="1"/>
    <s v="Low"/>
  </r>
  <r>
    <s v="C953"/>
    <d v="2024-12-30T22:11:16"/>
    <d v="2024-12-30T22:11:16"/>
    <s v="Ongoing"/>
    <n v="0"/>
    <n v="5452"/>
    <s v="Parents 30-40"/>
    <n v="18926"/>
    <n v="1395"/>
    <n v="279"/>
    <n v="14162"/>
    <n v="7.3708126386980877E-2"/>
    <n v="0.2"/>
    <n v="12.835125448028673"/>
    <n v="64.17562724014337"/>
    <n v="3.2841159207630226"/>
    <n v="0.79095224797542585"/>
    <s v="CL953"/>
    <x v="2"/>
    <s v="Medium"/>
    <n v="17905"/>
    <n v="1"/>
    <s v="Low"/>
  </r>
  <r>
    <s v="C954"/>
    <d v="2023-03-20T00:04:05"/>
    <d v="2024-12-01T15:49:43"/>
    <s v="Completed"/>
    <n v="622.65668981481576"/>
    <n v="8675"/>
    <s v="Youths 18-24"/>
    <n v="13790"/>
    <n v="721"/>
    <n v="397"/>
    <n v="3125"/>
    <n v="5.2284263959390863E-2"/>
    <n v="0.55062413314840497"/>
    <n v="19.572815533980581"/>
    <n v="35.54659949622166"/>
    <n v="1.626743515850144"/>
    <n v="0.22144274376417233"/>
    <s v="CL954"/>
    <x v="1"/>
    <s v="Medium"/>
    <n v="14112"/>
    <n v="3"/>
    <s v="Medium"/>
  </r>
  <r>
    <s v="C955"/>
    <d v="2024-09-25T20:33:25"/>
    <d v="2024-09-25T20:33:25"/>
    <s v="Ongoing"/>
    <n v="0"/>
    <n v="8688"/>
    <s v="Adults 25-34"/>
    <n v="13795"/>
    <n v="1304"/>
    <n v="22"/>
    <n v="13969"/>
    <n v="9.4527002537151142E-2"/>
    <n v="1.6871165644171779E-2"/>
    <n v="9.1963190184049086"/>
    <n v="545.09090909090912"/>
    <n v="1.3802946593001841"/>
    <n v="1.164859906604403"/>
    <s v="CL955"/>
    <x v="2"/>
    <s v="Small"/>
    <n v="11992"/>
    <n v="3"/>
    <s v="Medium"/>
  </r>
  <r>
    <s v="C956"/>
    <d v="2024-09-19T11:42:28"/>
    <d v="2024-09-19T11:42:28"/>
    <s v="Ongoing"/>
    <n v="0"/>
    <n v="1187"/>
    <s v="Adults 25-34"/>
    <n v="16468"/>
    <n v="1663"/>
    <n v="430"/>
    <n v="7150"/>
    <n v="0.10098372601408794"/>
    <n v="0.25856885147324116"/>
    <n v="7.5129284425736618"/>
    <n v="29.055813953488371"/>
    <n v="10.5256950294861"/>
    <n v="0.57227469185208901"/>
    <s v="CL956"/>
    <x v="0"/>
    <s v="Large"/>
    <n v="12494"/>
    <n v="4"/>
    <s v="High"/>
  </r>
  <r>
    <s v="C957"/>
    <d v="2023-05-27T20:09:04"/>
    <d v="2024-11-26T15:16:59"/>
    <s v="Completed"/>
    <n v="548.79716435185401"/>
    <n v="9428"/>
    <s v="Adults 25-34"/>
    <n v="18253"/>
    <n v="339"/>
    <n v="165"/>
    <n v="1781"/>
    <n v="1.8572289486659729E-2"/>
    <n v="0.48672566371681414"/>
    <n v="11.471976401179941"/>
    <n v="23.56969696969697"/>
    <n v="0.4124946966482817"/>
    <n v="0.45795834404731295"/>
    <s v="CL957"/>
    <x v="1"/>
    <s v="Large"/>
    <n v="3889"/>
    <n v="3"/>
    <s v="Medium"/>
  </r>
  <r>
    <s v="C958"/>
    <d v="2024-10-07T16:53:40"/>
    <d v="2024-10-07T16:53:40"/>
    <s v="Ongoing"/>
    <n v="0"/>
    <n v="9029"/>
    <s v="Parents 30-40"/>
    <n v="16954"/>
    <n v="1092"/>
    <n v="428"/>
    <n v="5437"/>
    <n v="6.4409578860445918E-2"/>
    <n v="0.39194139194139194"/>
    <n v="3.5119047619047619"/>
    <n v="8.9602803738317753"/>
    <n v="0.42474249640048733"/>
    <n v="1.4177314211212517"/>
    <s v="CL958"/>
    <x v="3"/>
    <s v="Medium"/>
    <n v="3835"/>
    <n v="2"/>
    <s v="Medium"/>
  </r>
  <r>
    <s v="C959"/>
    <d v="2023-07-10T00:01:35"/>
    <d v="2023-11-20T19:43:36"/>
    <s v="Completed"/>
    <n v="133.82084490740817"/>
    <n v="3712"/>
    <s v="Adults 25-34"/>
    <n v="8689"/>
    <n v="1860"/>
    <n v="144"/>
    <n v="5809"/>
    <n v="0.21406375877546324"/>
    <n v="7.7419354838709681E-2"/>
    <n v="8.8349462365591389"/>
    <n v="114.11805555555556"/>
    <n v="4.4269935344827589"/>
    <n v="0.35349601411793341"/>
    <s v="CL959"/>
    <x v="3"/>
    <s v="Medium"/>
    <n v="16433"/>
    <n v="4"/>
    <s v="High"/>
  </r>
  <r>
    <s v="C960"/>
    <d v="2023-03-25T18:06:40"/>
    <d v="2023-06-12T05:59:31"/>
    <s v="Completed"/>
    <n v="78.495034722225682"/>
    <n v="7784"/>
    <s v="Youths 18-24"/>
    <n v="3057"/>
    <n v="231"/>
    <n v="259"/>
    <n v="2025"/>
    <n v="7.5564278704612367E-2"/>
    <n v="1.1212121212121211"/>
    <n v="44.445887445887443"/>
    <n v="39.640926640926644"/>
    <n v="1.3189876670092497"/>
    <n v="0.19723385604363494"/>
    <s v="CL960"/>
    <x v="0"/>
    <s v="Medium"/>
    <n v="10267"/>
    <n v="4"/>
    <s v="High"/>
  </r>
  <r>
    <s v="C961"/>
    <d v="2024-12-30T10:28:44"/>
    <d v="2024-12-30T10:28:44"/>
    <s v="Ongoing"/>
    <n v="0"/>
    <n v="8653"/>
    <s v="Parents 30-40"/>
    <n v="10851"/>
    <n v="1122"/>
    <n v="313"/>
    <n v="9579"/>
    <n v="0.103400608238872"/>
    <n v="0.2789661319073084"/>
    <n v="13.729055258467023"/>
    <n v="49.214057507987221"/>
    <n v="1.7801918409800068"/>
    <n v="0.62185146715138928"/>
    <s v="CL961"/>
    <x v="0"/>
    <s v="Large"/>
    <n v="15404"/>
    <n v="3"/>
    <s v="Medium"/>
  </r>
  <r>
    <s v="C962"/>
    <d v="2024-04-16T11:08:08"/>
    <d v="2024-04-16T11:08:08"/>
    <s v="Ongoing"/>
    <n v="0"/>
    <n v="7856"/>
    <s v="Youths 18-24"/>
    <n v="3259"/>
    <n v="675"/>
    <n v="103"/>
    <n v="7741"/>
    <n v="0.20711874808223382"/>
    <n v="0.15259259259259259"/>
    <n v="19.746666666666666"/>
    <n v="129.40776699029126"/>
    <n v="1.6966649694501019"/>
    <n v="0.58076374821817089"/>
    <s v="CL962"/>
    <x v="4"/>
    <s v="Small"/>
    <n v="13329"/>
    <n v="5"/>
    <s v="High"/>
  </r>
  <r>
    <s v="C963"/>
    <d v="2024-10-01T21:55:26"/>
    <d v="2024-10-01T21:55:26"/>
    <s v="Ongoing"/>
    <n v="0"/>
    <n v="2220"/>
    <s v="Adults 25-34"/>
    <n v="1223"/>
    <n v="798"/>
    <n v="460"/>
    <n v="7373"/>
    <n v="0.65249386753883887"/>
    <n v="0.5764411027568922"/>
    <n v="23.283208020050125"/>
    <n v="40.391304347826086"/>
    <n v="8.3693693693693696"/>
    <n v="0.39682454251883748"/>
    <s v="CL963"/>
    <x v="0"/>
    <s v="Large"/>
    <n v="18580"/>
    <n v="1"/>
    <s v="Low"/>
  </r>
  <r>
    <s v="C964"/>
    <d v="2023-04-02T12:52:48"/>
    <d v="2024-05-09T05:41:25"/>
    <s v="Completed"/>
    <n v="402.70042824074335"/>
    <n v="2785"/>
    <s v="Professionals 35-50"/>
    <n v="16400"/>
    <n v="386"/>
    <n v="314"/>
    <n v="3193"/>
    <n v="2.3536585365853659E-2"/>
    <n v="0.81347150259067358"/>
    <n v="22.357512953367877"/>
    <n v="27.484076433121018"/>
    <n v="3.0987432675044881"/>
    <n v="0.36998841251448433"/>
    <s v="CL964"/>
    <x v="2"/>
    <s v="Large"/>
    <n v="8630"/>
    <n v="1"/>
    <s v="Low"/>
  </r>
  <r>
    <s v="C965"/>
    <d v="2024-09-27T12:55:53"/>
    <d v="2024-09-27T12:55:53"/>
    <s v="Ongoing"/>
    <n v="0"/>
    <n v="6131"/>
    <s v="Professionals 35-50"/>
    <n v="1834"/>
    <n v="1564"/>
    <n v="388"/>
    <n v="2972"/>
    <n v="0.85278080697928027"/>
    <n v="0.24808184143222506"/>
    <n v="6.3011508951406654"/>
    <n v="25.399484536082475"/>
    <n v="1.6074049910291959"/>
    <n v="0.30157280568239475"/>
    <s v="CL965"/>
    <x v="1"/>
    <s v="Medium"/>
    <n v="9855"/>
    <n v="3"/>
    <s v="Medium"/>
  </r>
  <r>
    <s v="C966"/>
    <d v="2023-06-17T15:03:28"/>
    <d v="2023-06-17T15:03:28"/>
    <s v="Ongoing"/>
    <n v="0"/>
    <n v="4433"/>
    <s v="Adults 25-34"/>
    <n v="15587"/>
    <n v="1650"/>
    <n v="485"/>
    <n v="5928"/>
    <n v="0.1058574453069866"/>
    <n v="0.29393939393939394"/>
    <n v="2.978787878787879"/>
    <n v="10.134020618556701"/>
    <n v="1.1087299796977217"/>
    <n v="1.2061037639877925"/>
    <s v="CL966"/>
    <x v="1"/>
    <s v="Large"/>
    <n v="4915"/>
    <n v="2"/>
    <s v="Medium"/>
  </r>
  <r>
    <s v="C967"/>
    <d v="2024-02-16T14:38:01"/>
    <d v="2024-02-20T12:57:15"/>
    <s v="Completed"/>
    <n v="3.9300231481538503"/>
    <n v="7773"/>
    <s v="Parents 30-40"/>
    <n v="6610"/>
    <n v="307"/>
    <n v="448"/>
    <n v="10970"/>
    <n v="4.644478063540091E-2"/>
    <n v="1.4592833876221498"/>
    <n v="50.140065146579808"/>
    <n v="34.359375"/>
    <n v="1.9803164801235045"/>
    <n v="0.71266159942831153"/>
    <s v="CL967"/>
    <x v="4"/>
    <s v="Medium"/>
    <n v="15393"/>
    <n v="2"/>
    <s v="Medium"/>
  </r>
  <r>
    <s v="C968"/>
    <d v="2024-06-17T01:18:36"/>
    <d v="2024-11-04T20:18:24"/>
    <s v="Completed"/>
    <n v="140.79152777777927"/>
    <n v="5301"/>
    <s v="Adults 25-34"/>
    <n v="2558"/>
    <n v="954"/>
    <n v="439"/>
    <n v="14084"/>
    <n v="0.37294761532447224"/>
    <n v="0.46016771488469604"/>
    <n v="19.789308176100629"/>
    <n v="43.004555808656036"/>
    <n v="3.5614035087719298"/>
    <n v="0.74601408972932892"/>
    <s v="CL968"/>
    <x v="3"/>
    <s v="Medium"/>
    <n v="18879"/>
    <n v="1"/>
    <s v="Low"/>
  </r>
  <r>
    <s v="C969"/>
    <d v="2023-08-26T05:50:39"/>
    <d v="2023-09-13T17:22:04"/>
    <s v="Completed"/>
    <n v="18.480150462957681"/>
    <n v="7551"/>
    <s v="Adults 25-34"/>
    <n v="18571"/>
    <n v="1866"/>
    <n v="296"/>
    <n v="7106"/>
    <n v="0.10047924182865758"/>
    <n v="0.15862808145766344"/>
    <n v="6.030010718113612"/>
    <n v="38.013513513513516"/>
    <n v="1.4901337571182625"/>
    <n v="0.6315321720583007"/>
    <s v="CL969"/>
    <x v="1"/>
    <s v="Small"/>
    <n v="11252"/>
    <n v="3"/>
    <s v="Medium"/>
  </r>
  <r>
    <s v="C970"/>
    <d v="2024-01-14T15:05:20"/>
    <d v="2024-01-14T15:05:20"/>
    <s v="Ongoing"/>
    <n v="0"/>
    <n v="9125"/>
    <s v="Professionals 35-50"/>
    <n v="13787"/>
    <n v="850"/>
    <n v="455"/>
    <n v="741"/>
    <n v="6.1652281134401972E-2"/>
    <n v="0.53529411764705881"/>
    <n v="19.182352941176472"/>
    <n v="35.835164835164832"/>
    <n v="1.7868493150684932"/>
    <n v="4.5446182152713892E-2"/>
    <s v="CL970"/>
    <x v="3"/>
    <s v="Medium"/>
    <n v="16305"/>
    <n v="4"/>
    <s v="High"/>
  </r>
  <r>
    <s v="C971"/>
    <d v="2023-03-24T04:59:10"/>
    <d v="2024-11-23T02:38:51"/>
    <s v="Completed"/>
    <n v="609.90255787037313"/>
    <n v="6973"/>
    <s v="Adults 25-34"/>
    <n v="4342"/>
    <n v="103"/>
    <n v="114"/>
    <n v="8729"/>
    <n v="2.3721787194841085E-2"/>
    <n v="1.1067961165048543"/>
    <n v="144.20388349514562"/>
    <n v="130.28947368421052"/>
    <n v="2.1300731392513983"/>
    <n v="0.58769272200902178"/>
    <s v="CL971"/>
    <x v="3"/>
    <s v="Large"/>
    <n v="14853"/>
    <n v="2"/>
    <s v="Medium"/>
  </r>
  <r>
    <s v="C972"/>
    <d v="2023-05-08T02:05:41"/>
    <d v="2023-10-31T16:41:17"/>
    <s v="Completed"/>
    <n v="176.60805555555271"/>
    <n v="9983"/>
    <s v="Youths 18-24"/>
    <n v="13637"/>
    <n v="360"/>
    <n v="427"/>
    <n v="10816"/>
    <n v="2.6398768057490651E-2"/>
    <n v="1.1861111111111111"/>
    <n v="23.866666666666667"/>
    <n v="20.121779859484779"/>
    <n v="0.8606631273164379"/>
    <n v="1.2588454376163873"/>
    <s v="CL972"/>
    <x v="1"/>
    <s v="Large"/>
    <n v="8592"/>
    <n v="4"/>
    <s v="High"/>
  </r>
  <r>
    <s v="C973"/>
    <d v="2023-04-07T23:33:34"/>
    <d v="2023-07-19T18:54:06"/>
    <s v="Completed"/>
    <n v="102.80592592592438"/>
    <n v="6547"/>
    <s v="Adults 25-34"/>
    <n v="5419"/>
    <n v="413"/>
    <n v="34"/>
    <n v="3844"/>
    <n v="7.6213323491419085E-2"/>
    <n v="8.2324455205811137E-2"/>
    <n v="45.893462469733656"/>
    <n v="557.47058823529414"/>
    <n v="2.8950664426454864"/>
    <n v="0.20280679539938798"/>
    <s v="CL973"/>
    <x v="3"/>
    <s v="Small"/>
    <n v="18954"/>
    <n v="3"/>
    <s v="Medium"/>
  </r>
  <r>
    <s v="C974"/>
    <d v="2024-11-26T17:18:22"/>
    <d v="2024-11-26T17:18:22"/>
    <s v="Ongoing"/>
    <n v="0"/>
    <n v="3538"/>
    <s v="Adults 25-34"/>
    <n v="5433"/>
    <n v="743"/>
    <n v="304"/>
    <n v="3424"/>
    <n v="0.13675685624884962"/>
    <n v="0.40915208613728127"/>
    <n v="22.646029609690444"/>
    <n v="55.348684210526315"/>
    <n v="4.7557942340305255"/>
    <n v="0.2034945917033163"/>
    <s v="CL974"/>
    <x v="3"/>
    <s v="Large"/>
    <n v="16826"/>
    <n v="1"/>
    <s v="Low"/>
  </r>
  <r>
    <s v="C975"/>
    <d v="2023-09-18T05:50:25"/>
    <d v="2024-02-10T10:35:25"/>
    <s v="Completed"/>
    <n v="145.19791666666424"/>
    <n v="5356"/>
    <s v="Professionals 35-50"/>
    <n v="6493"/>
    <n v="1072"/>
    <n v="118"/>
    <n v="3135"/>
    <n v="0.16510087786847374"/>
    <n v="0.11007462686567164"/>
    <n v="1.8320895522388059"/>
    <n v="16.64406779661017"/>
    <n v="0.36669156086631816"/>
    <n v="1.5962321792260692"/>
    <s v="CL975"/>
    <x v="2"/>
    <s v="Small"/>
    <n v="1964"/>
    <n v="1"/>
    <s v="Low"/>
  </r>
  <r>
    <s v="C976"/>
    <d v="2023-05-20T23:56:19"/>
    <d v="2023-05-20T23:56:19"/>
    <s v="Ongoing"/>
    <n v="0"/>
    <n v="1535"/>
    <s v="Youths 18-24"/>
    <n v="9871"/>
    <n v="681"/>
    <n v="431"/>
    <n v="11832"/>
    <n v="6.8989970621011046E-2"/>
    <n v="0.63289280469897213"/>
    <n v="2.707782672540382"/>
    <n v="4.2784222737819029"/>
    <n v="1.2013029315960913"/>
    <n v="6.4164859002169194"/>
    <s v="CL976"/>
    <x v="0"/>
    <s v="Small"/>
    <n v="1844"/>
    <n v="1"/>
    <s v="Low"/>
  </r>
  <r>
    <s v="C977"/>
    <d v="2024-01-26T06:31:48"/>
    <d v="2024-08-07T07:03:57"/>
    <s v="Completed"/>
    <n v="194.02232638888381"/>
    <n v="3875"/>
    <s v="Adults 25-34"/>
    <n v="17034"/>
    <n v="1793"/>
    <n v="84"/>
    <n v="7283"/>
    <n v="0.10526006809909592"/>
    <n v="4.6848856664807585E-2"/>
    <n v="2.5013943112102623"/>
    <n v="53.392857142857146"/>
    <n v="1.1574193548387097"/>
    <n v="1.6238573021181717"/>
    <s v="CL977"/>
    <x v="0"/>
    <s v="Medium"/>
    <n v="4485"/>
    <n v="5"/>
    <s v="High"/>
  </r>
  <r>
    <s v="C978"/>
    <d v="2024-12-12T17:01:17"/>
    <d v="2024-12-12T17:01:17"/>
    <s v="Ongoing"/>
    <n v="0"/>
    <n v="1013"/>
    <s v="Parents 30-40"/>
    <n v="14004"/>
    <n v="618"/>
    <n v="189"/>
    <n v="6577"/>
    <n v="4.4130248500428446E-2"/>
    <n v="0.30582524271844658"/>
    <n v="30.542071197411005"/>
    <n v="99.867724867724874"/>
    <n v="18.632773938795655"/>
    <n v="0.34845033112582779"/>
    <s v="CL978"/>
    <x v="1"/>
    <s v="Small"/>
    <n v="18875"/>
    <n v="2"/>
    <s v="Medium"/>
  </r>
  <r>
    <s v="C979"/>
    <d v="2023-11-23T12:49:04"/>
    <d v="2023-11-23T12:49:04"/>
    <s v="Ongoing"/>
    <n v="0"/>
    <n v="2468"/>
    <s v="Adults 25-34"/>
    <n v="1866"/>
    <n v="501"/>
    <n v="37"/>
    <n v="6876"/>
    <n v="0.26848874598070738"/>
    <n v="7.3852295409181631E-2"/>
    <n v="28.606786427145707"/>
    <n v="387.35135135135135"/>
    <n v="5.8071312803889787"/>
    <n v="0.47976555958693834"/>
    <s v="CL979"/>
    <x v="2"/>
    <s v="Small"/>
    <n v="14332"/>
    <n v="2"/>
    <s v="Medium"/>
  </r>
  <r>
    <s v="C980"/>
    <d v="2023-02-28T01:30:11"/>
    <d v="2024-12-03T13:53:56"/>
    <s v="Completed"/>
    <n v="644.51649305555475"/>
    <n v="4597"/>
    <s v="Professionals 35-50"/>
    <n v="5380"/>
    <n v="171"/>
    <n v="75"/>
    <n v="3503"/>
    <n v="3.1784386617100369E-2"/>
    <n v="0.43859649122807015"/>
    <n v="34.192982456140349"/>
    <n v="77.959999999999994"/>
    <n v="1.2719164672612573"/>
    <n v="0.59911065503677097"/>
    <s v="CL980"/>
    <x v="4"/>
    <s v="Small"/>
    <n v="5847"/>
    <n v="1"/>
    <s v="Low"/>
  </r>
  <r>
    <s v="C981"/>
    <d v="2024-09-30T19:03:15"/>
    <d v="2024-09-30T19:03:15"/>
    <s v="Ongoing"/>
    <n v="0"/>
    <n v="6797"/>
    <s v="Adults 25-34"/>
    <n v="2724"/>
    <n v="196"/>
    <n v="405"/>
    <n v="11028"/>
    <n v="7.1953010279001473E-2"/>
    <n v="2.0663265306122449"/>
    <n v="18.596938775510203"/>
    <n v="9"/>
    <n v="0.53626599970575251"/>
    <n v="3.0255144032921812"/>
    <s v="CL981"/>
    <x v="1"/>
    <s v="Large"/>
    <n v="3645"/>
    <n v="2"/>
    <s v="Medium"/>
  </r>
  <r>
    <s v="C982"/>
    <d v="2024-09-01T09:03:42"/>
    <d v="2024-09-05T19:24:13"/>
    <s v="Completed"/>
    <n v="4.4309143518548808"/>
    <n v="9183"/>
    <s v="Adults 25-34"/>
    <n v="7299"/>
    <n v="495"/>
    <n v="303"/>
    <n v="6644"/>
    <n v="6.7817509247842175E-2"/>
    <n v="0.61212121212121207"/>
    <n v="2.3737373737373737"/>
    <n v="3.8778877887788781"/>
    <n v="0.1279538277251443"/>
    <n v="5.6544680851063829"/>
    <s v="CL982"/>
    <x v="4"/>
    <s v="Small"/>
    <n v="1175"/>
    <n v="4"/>
    <s v="High"/>
  </r>
  <r>
    <s v="C983"/>
    <d v="2023-03-01T23:44:57"/>
    <d v="2023-03-19T19:50:48"/>
    <s v="Completed"/>
    <n v="17.837395833332266"/>
    <n v="5843"/>
    <s v="Parents 30-40"/>
    <n v="12133"/>
    <n v="680"/>
    <n v="470"/>
    <n v="6794"/>
    <n v="5.6045495755377893E-2"/>
    <n v="0.69117647058823528"/>
    <n v="16.319117647058825"/>
    <n v="23.610638297872342"/>
    <n v="1.8991956186890295"/>
    <n v="0.61223754167793099"/>
    <s v="CL983"/>
    <x v="3"/>
    <s v="Medium"/>
    <n v="11097"/>
    <n v="1"/>
    <s v="Low"/>
  </r>
  <r>
    <s v="C984"/>
    <d v="2023-11-04T01:40:36"/>
    <d v="2023-11-04T01:40:36"/>
    <s v="Ongoing"/>
    <n v="0"/>
    <n v="8719"/>
    <s v="Youths 18-24"/>
    <n v="18623"/>
    <n v="1631"/>
    <n v="154"/>
    <n v="14213"/>
    <n v="8.7579874348923378E-2"/>
    <n v="9.4420600858369105E-2"/>
    <n v="9.3586756591048434"/>
    <n v="99.116883116883116"/>
    <n v="1.7506594792980847"/>
    <n v="0.93114517819706499"/>
    <s v="CL984"/>
    <x v="4"/>
    <s v="Medium"/>
    <n v="15264"/>
    <n v="3"/>
    <s v="Medium"/>
  </r>
  <r>
    <s v="C985"/>
    <d v="2023-03-25T12:32:19"/>
    <d v="2023-10-08T03:54:05"/>
    <s v="Completed"/>
    <n v="196.64011574073811"/>
    <n v="4762"/>
    <s v="Youths 18-24"/>
    <n v="11616"/>
    <n v="423"/>
    <n v="458"/>
    <n v="5656"/>
    <n v="3.6415289256198344E-2"/>
    <n v="1.08274231678487"/>
    <n v="46.520094562647756"/>
    <n v="42.965065502183407"/>
    <n v="4.1322973540529189"/>
    <n v="0.2874275841040756"/>
    <s v="CL985"/>
    <x v="4"/>
    <s v="Small"/>
    <n v="19678"/>
    <n v="3"/>
    <s v="Medium"/>
  </r>
  <r>
    <s v="C986"/>
    <d v="2023-08-27T16:38:58"/>
    <d v="2023-08-27T16:38:58"/>
    <s v="Ongoing"/>
    <n v="0"/>
    <n v="5608"/>
    <s v="Adults 25-34"/>
    <n v="19372"/>
    <n v="464"/>
    <n v="319"/>
    <n v="9623"/>
    <n v="2.3952095808383235E-2"/>
    <n v="0.6875"/>
    <n v="31.157327586206897"/>
    <n v="45.319749216300941"/>
    <n v="2.5779243937232525"/>
    <n v="0.66562910700698619"/>
    <s v="CL986"/>
    <x v="1"/>
    <s v="Large"/>
    <n v="14457"/>
    <n v="4"/>
    <s v="High"/>
  </r>
  <r>
    <s v="C987"/>
    <d v="2024-12-19T10:55:25"/>
    <d v="2024-12-19T10:55:25"/>
    <s v="Ongoing"/>
    <n v="0"/>
    <n v="9304"/>
    <s v="Parents 30-40"/>
    <n v="18798"/>
    <n v="1666"/>
    <n v="440"/>
    <n v="1720"/>
    <n v="8.8626449622300249E-2"/>
    <n v="0.26410564225690275"/>
    <n v="9.6890756302521002"/>
    <n v="36.686363636363637"/>
    <n v="1.7349527085124679"/>
    <n v="0.10655433031842398"/>
    <s v="CL987"/>
    <x v="4"/>
    <s v="Large"/>
    <n v="16142"/>
    <n v="3"/>
    <s v="Medium"/>
  </r>
  <r>
    <s v="C988"/>
    <d v="2024-10-14T02:23:42"/>
    <d v="2024-10-14T02:23:42"/>
    <s v="Ongoing"/>
    <n v="0"/>
    <n v="1991"/>
    <s v="Youths 18-24"/>
    <n v="4157"/>
    <n v="824"/>
    <n v="448"/>
    <n v="4382"/>
    <n v="0.19821987009862882"/>
    <n v="0.5436893203883495"/>
    <n v="12.706310679611651"/>
    <n v="23.370535714285715"/>
    <n v="5.2586639879457557"/>
    <n v="0.41852913085004778"/>
    <s v="CL988"/>
    <x v="0"/>
    <s v="Medium"/>
    <n v="10470"/>
    <n v="5"/>
    <s v="High"/>
  </r>
  <r>
    <s v="C989"/>
    <d v="2024-06-11T12:03:19"/>
    <d v="2024-06-11T12:03:19"/>
    <s v="Ongoing"/>
    <n v="0"/>
    <n v="1657"/>
    <s v="Youths 18-24"/>
    <n v="2410"/>
    <n v="878"/>
    <n v="217"/>
    <n v="1760"/>
    <n v="0.36431535269709542"/>
    <n v="0.24715261958997722"/>
    <n v="17.273348519362187"/>
    <n v="69.889400921658989"/>
    <n v="9.1526855763427886"/>
    <n v="0.11604905710141106"/>
    <s v="CL989"/>
    <x v="0"/>
    <s v="Large"/>
    <n v="15166"/>
    <n v="3"/>
    <s v="Medium"/>
  </r>
  <r>
    <s v="C990"/>
    <d v="2023-11-23T06:05:49"/>
    <d v="2023-11-23T06:05:49"/>
    <s v="Ongoing"/>
    <n v="0"/>
    <n v="8252"/>
    <s v="Youths 18-24"/>
    <n v="15303"/>
    <n v="910"/>
    <n v="188"/>
    <n v="12147"/>
    <n v="5.9465464288048095E-2"/>
    <n v="0.20659340659340658"/>
    <n v="9.6417582417582413"/>
    <n v="46.670212765957444"/>
    <n v="1.0632573921473583"/>
    <n v="1.3844312742192844"/>
    <s v="CL990"/>
    <x v="2"/>
    <s v="Small"/>
    <n v="8774"/>
    <n v="1"/>
    <s v="Low"/>
  </r>
  <r>
    <s v="C991"/>
    <d v="2023-06-10T12:52:25"/>
    <d v="2024-05-23T22:43:57"/>
    <s v="Completed"/>
    <n v="348.41078703703533"/>
    <n v="6409"/>
    <s v="Parents 30-40"/>
    <n v="10077"/>
    <n v="562"/>
    <n v="82"/>
    <n v="9215"/>
    <n v="5.5770566636895905E-2"/>
    <n v="0.14590747330960854"/>
    <n v="24.092526690391459"/>
    <n v="165.1219512195122"/>
    <n v="2.1126540801997193"/>
    <n v="0.680576070901034"/>
    <s v="CL991"/>
    <x v="0"/>
    <s v="Small"/>
    <n v="13540"/>
    <n v="3"/>
    <s v="Medium"/>
  </r>
  <r>
    <s v="C992"/>
    <d v="2023-03-02T18:14:29"/>
    <d v="2023-05-04T10:52:37"/>
    <s v="Completed"/>
    <n v="62.693148148144246"/>
    <n v="5418"/>
    <s v="Adults 25-34"/>
    <n v="19273"/>
    <n v="1849"/>
    <n v="392"/>
    <n v="10558"/>
    <n v="9.5937321641674886E-2"/>
    <n v="0.21200648999459168"/>
    <n v="7.2374256354786368"/>
    <n v="34.137755102040813"/>
    <n v="2.4699150978220747"/>
    <n v="0.78897025855626957"/>
    <s v="CL992"/>
    <x v="2"/>
    <s v="Large"/>
    <n v="13382"/>
    <n v="3"/>
    <s v="Medium"/>
  </r>
  <r>
    <s v="C993"/>
    <d v="2024-12-10T18:58:49"/>
    <d v="2024-12-10T18:58:49"/>
    <s v="Ongoing"/>
    <n v="0"/>
    <n v="5823"/>
    <s v="Adults 25-34"/>
    <n v="17533"/>
    <n v="1491"/>
    <n v="46"/>
    <n v="6095"/>
    <n v="8.5039639536873324E-2"/>
    <n v="3.085177733065057E-2"/>
    <n v="13.166331321260898"/>
    <n v="426.76086956521738"/>
    <n v="3.3712862785505755"/>
    <n v="0.31047832509805917"/>
    <s v="CL993"/>
    <x v="1"/>
    <s v="Large"/>
    <n v="19631"/>
    <n v="2"/>
    <s v="Medium"/>
  </r>
  <r>
    <s v="C994"/>
    <d v="2024-01-18T03:40:57"/>
    <d v="2024-03-03T02:53:20"/>
    <s v="Completed"/>
    <n v="44.966932870374876"/>
    <n v="7378"/>
    <s v="Parents 30-40"/>
    <n v="1161"/>
    <n v="1455"/>
    <n v="331"/>
    <n v="4640"/>
    <n v="1.2532299741602067"/>
    <n v="0.2274914089347079"/>
    <n v="1.5298969072164947"/>
    <n v="6.7250755287009065"/>
    <n v="0.301707779886148"/>
    <n v="2.0844564240790655"/>
    <s v="CL994"/>
    <x v="4"/>
    <s v="Medium"/>
    <n v="2226"/>
    <n v="5"/>
    <s v="High"/>
  </r>
  <r>
    <s v="C995"/>
    <d v="2023-10-29T04:56:37"/>
    <d v="2023-10-29T04:56:37"/>
    <s v="Ongoing"/>
    <n v="0"/>
    <n v="3429"/>
    <s v="Professionals 35-50"/>
    <n v="2738"/>
    <n v="519"/>
    <n v="215"/>
    <n v="9186"/>
    <n v="0.18955441928414901"/>
    <n v="0.41425818882466281"/>
    <n v="37.657032755298651"/>
    <n v="90.902325581395345"/>
    <n v="5.6996208807232431"/>
    <n v="0.47001637331150226"/>
    <s v="CL995"/>
    <x v="2"/>
    <s v="Large"/>
    <n v="19544"/>
    <n v="3"/>
    <s v="Medium"/>
  </r>
  <r>
    <s v="C996"/>
    <d v="2024-02-20T10:58:57"/>
    <d v="2024-02-20T10:58:57"/>
    <s v="Ongoing"/>
    <n v="0"/>
    <n v="1828"/>
    <s v="Parents 30-40"/>
    <n v="14386"/>
    <n v="119"/>
    <n v="231"/>
    <n v="11362"/>
    <n v="8.2719310440706236E-3"/>
    <n v="1.9411764705882353"/>
    <n v="6.117647058823529"/>
    <n v="3.1515151515151514"/>
    <n v="0.39824945295404812"/>
    <n v="15.607142857142858"/>
    <s v="CL996"/>
    <x v="3"/>
    <s v="Large"/>
    <n v="728"/>
    <n v="1"/>
    <s v="Low"/>
  </r>
  <r>
    <s v="C997"/>
    <d v="2023-04-20T03:41:51"/>
    <d v="2023-04-23T20:11:08"/>
    <s v="Completed"/>
    <n v="3.6870023148148903"/>
    <n v="1022"/>
    <s v="Parents 30-40"/>
    <n v="8538"/>
    <n v="1621"/>
    <n v="491"/>
    <n v="11623"/>
    <n v="0.18985710939330053"/>
    <n v="0.3028994447871684"/>
    <n v="2.9309068476249229"/>
    <n v="9.6761710794297358"/>
    <n v="4.6487279843444229"/>
    <n v="2.446432330035782"/>
    <s v="CL997"/>
    <x v="1"/>
    <s v="Small"/>
    <n v="4751"/>
    <n v="1"/>
    <s v="Low"/>
  </r>
  <r>
    <s v="C998"/>
    <d v="2023-03-23T10:28:25"/>
    <d v="2024-06-15T11:36:55"/>
    <s v="Completed"/>
    <n v="450.04756944444671"/>
    <n v="4525"/>
    <s v="Youths 18-24"/>
    <n v="4533"/>
    <n v="1784"/>
    <n v="336"/>
    <n v="12056"/>
    <n v="0.39355834987866756"/>
    <n v="0.18834080717488788"/>
    <n v="3.2757847533632285"/>
    <n v="17.392857142857142"/>
    <n v="1.2914917127071823"/>
    <n v="2.0629705681040384"/>
    <s v="CL998"/>
    <x v="4"/>
    <s v="Large"/>
    <n v="5844"/>
    <n v="2"/>
    <s v="Medium"/>
  </r>
  <r>
    <s v="C999"/>
    <d v="2024-06-03T22:49:44"/>
    <d v="2024-06-03T22:49:44"/>
    <s v="Ongoing"/>
    <n v="0"/>
    <n v="9095"/>
    <s v="Parents 30-40"/>
    <n v="12229"/>
    <n v="1978"/>
    <n v="481"/>
    <n v="2234"/>
    <n v="0.16174666775697114"/>
    <n v="0.24317492416582406"/>
    <n v="0.67239635995955516"/>
    <n v="2.7650727650727651"/>
    <n v="0.1462341946124244"/>
    <n v="1.6796992481203008"/>
    <s v="CL999"/>
    <x v="0"/>
    <s v="Small"/>
    <n v="1330"/>
    <n v="2"/>
    <s v="Medium"/>
  </r>
  <r>
    <s v="C1000"/>
    <d v="2023-09-06T07:17:40"/>
    <d v="2024-02-02T00:04:12"/>
    <s v="Completed"/>
    <n v="148.69898148148059"/>
    <n v="4512"/>
    <s v="Adults 25-34"/>
    <n v="15344"/>
    <n v="169"/>
    <n v="286"/>
    <n v="12026"/>
    <n v="1.1014077163712201E-2"/>
    <n v="1.6923076923076923"/>
    <n v="71.10650887573965"/>
    <n v="42.01748251748252"/>
    <n v="2.6633421985815602"/>
    <n v="1.000748939003079"/>
    <s v="CL1000"/>
    <x v="0"/>
    <s v="Medium"/>
    <n v="12017"/>
    <n v="1"/>
    <s v="Low"/>
  </r>
  <r>
    <m/>
    <m/>
    <m/>
    <m/>
    <m/>
    <m/>
    <m/>
    <m/>
    <m/>
    <m/>
    <m/>
    <m/>
    <m/>
    <m/>
    <m/>
    <m/>
    <m/>
    <m/>
    <x v="5"/>
    <m/>
    <m/>
    <m/>
    <m/>
  </r>
  <r>
    <m/>
    <m/>
    <m/>
    <m/>
    <m/>
    <m/>
    <m/>
    <m/>
    <m/>
    <m/>
    <m/>
    <m/>
    <m/>
    <m/>
    <m/>
    <m/>
    <m/>
    <m/>
    <x v="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F9B341-2D0E-0E4C-8083-3E9A10461D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9" firstHeaderRow="1" firstDataRow="3" firstDataCol="1"/>
  <pivotFields count="26">
    <pivotField dataField="1"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axis="axisCol" showAll="0">
      <items count="3">
        <item sd="0" x="0"/>
        <item sd="0" x="1"/>
        <item t="default"/>
      </items>
    </pivotField>
    <pivotField numFmtId="2" showAll="0"/>
    <pivotField numFmtId="164" showAll="0"/>
    <pivotField showAll="0"/>
    <pivotField numFmtId="3" showAll="0"/>
    <pivotField numFmtId="3" showAll="0"/>
    <pivotField numFmtId="3" showAll="0"/>
    <pivotField numFmtId="165" showAll="0"/>
    <pivotField numFmtId="10" showAll="0"/>
    <pivotField numFmtId="10" showAll="0"/>
    <pivotField numFmtId="165" showAll="0"/>
    <pivotField numFmtId="165" showAll="0"/>
    <pivotField numFmtId="10" showAll="0"/>
    <pivotField numFmtId="10" showAll="0"/>
    <pivotField showAll="0"/>
    <pivotField axis="axisRow" showAll="0">
      <items count="6">
        <item x="4"/>
        <item x="2"/>
        <item x="3"/>
        <item x="0"/>
        <item x="1"/>
        <item t="default"/>
      </items>
    </pivotField>
    <pivotField axis="axisCol" showAll="0">
      <items count="4">
        <item x="2"/>
        <item x="0"/>
        <item x="1"/>
        <item t="default"/>
      </items>
    </pivotField>
    <pivotField numFmtId="164"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Fields count="2">
    <field x="3"/>
    <field x="19"/>
  </colFields>
  <colItems count="3">
    <i>
      <x/>
    </i>
    <i>
      <x v="1"/>
    </i>
    <i t="grand">
      <x/>
    </i>
  </colItems>
  <dataFields count="1">
    <dataField name="Count of Campaign ID" fld="0" subtotal="count" baseField="0" baseItem="0"/>
  </dataFields>
  <chartFormats count="8">
    <chartFormat chart="3" format="0" series="1">
      <pivotArea type="data" outline="0" fieldPosition="0">
        <references count="3">
          <reference field="4294967294" count="1" selected="0">
            <x v="0"/>
          </reference>
          <reference field="3" count="1" selected="0">
            <x v="0"/>
          </reference>
          <reference field="19" count="1" selected="0">
            <x v="0"/>
          </reference>
        </references>
      </pivotArea>
    </chartFormat>
    <chartFormat chart="3" format="1" series="1">
      <pivotArea type="data" outline="0" fieldPosition="0">
        <references count="3">
          <reference field="4294967294" count="1" selected="0">
            <x v="0"/>
          </reference>
          <reference field="3" count="1" selected="0">
            <x v="0"/>
          </reference>
          <reference field="19" count="1" selected="0">
            <x v="1"/>
          </reference>
        </references>
      </pivotArea>
    </chartFormat>
    <chartFormat chart="3" format="2" series="1">
      <pivotArea type="data" outline="0" fieldPosition="0">
        <references count="3">
          <reference field="4294967294" count="1" selected="0">
            <x v="0"/>
          </reference>
          <reference field="3" count="1" selected="0">
            <x v="0"/>
          </reference>
          <reference field="19" count="1" selected="0">
            <x v="2"/>
          </reference>
        </references>
      </pivotArea>
    </chartFormat>
    <chartFormat chart="3" format="3" series="1">
      <pivotArea type="data" outline="0" fieldPosition="0">
        <references count="3">
          <reference field="4294967294" count="1" selected="0">
            <x v="0"/>
          </reference>
          <reference field="3" count="1" selected="0">
            <x v="1"/>
          </reference>
          <reference field="19" count="1" selected="0">
            <x v="0"/>
          </reference>
        </references>
      </pivotArea>
    </chartFormat>
    <chartFormat chart="3" format="4" series="1">
      <pivotArea type="data" outline="0" fieldPosition="0">
        <references count="3">
          <reference field="4294967294" count="1" selected="0">
            <x v="0"/>
          </reference>
          <reference field="3" count="1" selected="0">
            <x v="1"/>
          </reference>
          <reference field="19" count="1" selected="0">
            <x v="1"/>
          </reference>
        </references>
      </pivotArea>
    </chartFormat>
    <chartFormat chart="3" format="5" series="1">
      <pivotArea type="data" outline="0" fieldPosition="0">
        <references count="3">
          <reference field="4294967294" count="1" selected="0">
            <x v="0"/>
          </reference>
          <reference field="3" count="1" selected="0">
            <x v="1"/>
          </reference>
          <reference field="19"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A705D-80E8-524F-864D-F50E487177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K24" firstHeaderRow="0" firstDataRow="1" firstDataCol="1"/>
  <pivotFields count="26">
    <pivotField dataField="1"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dataField="1" numFmtId="164" showAll="0"/>
    <pivotField showAll="0"/>
    <pivotField numFmtId="3" showAll="0"/>
    <pivotField numFmtId="3" showAll="0"/>
    <pivotField numFmtId="3" showAll="0"/>
    <pivotField dataField="1" numFmtId="165" showAll="0"/>
    <pivotField dataField="1" numFmtId="10" showAll="0"/>
    <pivotField dataField="1" numFmtId="10" showAll="0"/>
    <pivotField dataField="1" numFmtId="165" showAll="0"/>
    <pivotField dataField="1" numFmtId="165" showAll="0"/>
    <pivotField dataField="1" numFmtId="10" showAll="0"/>
    <pivotField dataField="1" numFmtId="10" showAll="0"/>
    <pivotField showAll="0"/>
    <pivotField axis="axisRow" showAll="0">
      <items count="6">
        <item x="4"/>
        <item x="2"/>
        <item x="3"/>
        <item x="0"/>
        <item x="1"/>
        <item t="default"/>
      </items>
    </pivotField>
    <pivotField showAll="0"/>
    <pivotField numFmtId="164" showAll="0"/>
    <pivotField numFmtId="3"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8"/>
    <field x="22"/>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10">
    <i>
      <x/>
    </i>
    <i i="1">
      <x v="1"/>
    </i>
    <i i="2">
      <x v="2"/>
    </i>
    <i i="3">
      <x v="3"/>
    </i>
    <i i="4">
      <x v="4"/>
    </i>
    <i i="5">
      <x v="5"/>
    </i>
    <i i="6">
      <x v="6"/>
    </i>
    <i i="7">
      <x v="7"/>
    </i>
    <i i="8">
      <x v="8"/>
    </i>
    <i i="9">
      <x v="9"/>
    </i>
  </colItems>
  <dataFields count="10">
    <dataField name="Average of Click Through Rate" fld="11" subtotal="average" baseField="0" baseItem="0" numFmtId="10"/>
    <dataField name="Average of Conversion Rate" fld="12" subtotal="average" baseField="0" baseItem="0" numFmtId="10"/>
    <dataField name="Average of Cost per click" fld="13" subtotal="average" baseField="0" baseItem="0" numFmtId="165"/>
    <dataField name="Average of Cost per acquisition" fld="14" subtotal="average" baseField="0" baseItem="0" numFmtId="165"/>
    <dataField name="Average of BUDGET UTILISATION" fld="15" subtotal="average" baseField="0" baseItem="0" numFmtId="10"/>
    <dataField name="Average of ROAS" fld="16" subtotal="average" baseField="0" baseItem="0" numFmtId="10"/>
    <dataField name="Sum of Revenue" fld="10" baseField="0" baseItem="0" numFmtId="165"/>
    <dataField name="Count of Campaign ID" fld="0" subtotal="count" showDataAs="percentOfTotal" baseField="0" baseItem="0" numFmtId="10"/>
    <dataField name="Sum of Budget" fld="5" showDataAs="percentOfTotal" baseField="0" baseItem="0" numFmtId="10"/>
    <dataField name="Sum of Revenue2"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E9D858-5FD3-C848-82D6-CDE0E387527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B7" firstHeaderRow="1"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items count="5">
        <item x="0"/>
        <item x="3"/>
        <item x="1"/>
        <item x="2"/>
        <item t="default"/>
      </items>
    </pivotField>
    <pivotField numFmtId="3" showAll="0"/>
    <pivotField numFmtId="3" showAll="0"/>
    <pivotField numFmtId="3" showAll="0"/>
    <pivotField numFmtId="165" showAll="0"/>
    <pivotField numFmtId="10" showAll="0"/>
    <pivotField numFmtId="10" showAll="0"/>
    <pivotField numFmtId="165" showAll="0"/>
    <pivotField numFmtId="165" showAll="0"/>
    <pivotField numFmtId="10" showAll="0"/>
    <pivotField dataField="1" numFmtId="10" showAll="0"/>
    <pivotField showAll="0"/>
    <pivotField axis="axisRow" showAll="0">
      <items count="6">
        <item x="4"/>
        <item x="2"/>
        <item x="3"/>
        <item x="0"/>
        <item x="1"/>
        <item t="default"/>
      </items>
    </pivotField>
    <pivotField showAll="0">
      <items count="4">
        <item x="2"/>
        <item x="0"/>
        <item x="1"/>
        <item t="default"/>
      </items>
    </pivotField>
    <pivotField numFmtId="164" showAll="0"/>
    <pivotField numFmtId="3"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Items count="1">
    <i/>
  </colItems>
  <dataFields count="1">
    <dataField name="Average of ROAS" fld="16" subtotal="average" baseField="0" baseItem="0" numFmtId="10"/>
  </dataFields>
  <chartFormats count="7">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8" count="1" selected="0">
            <x v="0"/>
          </reference>
        </references>
      </pivotArea>
    </chartFormat>
    <chartFormat chart="5" format="10">
      <pivotArea type="data" outline="0" fieldPosition="0">
        <references count="2">
          <reference field="4294967294" count="1" selected="0">
            <x v="0"/>
          </reference>
          <reference field="18" count="1" selected="0">
            <x v="1"/>
          </reference>
        </references>
      </pivotArea>
    </chartFormat>
    <chartFormat chart="5" format="11">
      <pivotArea type="data" outline="0" fieldPosition="0">
        <references count="2">
          <reference field="4294967294" count="1" selected="0">
            <x v="0"/>
          </reference>
          <reference field="18" count="1" selected="0">
            <x v="2"/>
          </reference>
        </references>
      </pivotArea>
    </chartFormat>
    <chartFormat chart="5" format="12">
      <pivotArea type="data" outline="0" fieldPosition="0">
        <references count="2">
          <reference field="4294967294" count="1" selected="0">
            <x v="0"/>
          </reference>
          <reference field="18" count="1" selected="0">
            <x v="3"/>
          </reference>
        </references>
      </pivotArea>
    </chartFormat>
    <chartFormat chart="5" format="13">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7B693-A10D-A34B-A0F4-4702745C014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7" firstHeaderRow="1"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items count="5">
        <item x="0"/>
        <item x="3"/>
        <item x="1"/>
        <item x="2"/>
        <item t="default"/>
      </items>
    </pivotField>
    <pivotField numFmtId="3" showAll="0"/>
    <pivotField numFmtId="3" showAll="0"/>
    <pivotField numFmtId="3" showAll="0"/>
    <pivotField numFmtId="165" showAll="0"/>
    <pivotField numFmtId="10" showAll="0"/>
    <pivotField dataField="1" numFmtId="10" showAll="0"/>
    <pivotField numFmtId="165" showAll="0"/>
    <pivotField numFmtId="165" showAll="0"/>
    <pivotField numFmtId="10" showAll="0"/>
    <pivotField numFmtId="10" showAll="0"/>
    <pivotField showAll="0"/>
    <pivotField axis="axisRow" showAll="0">
      <items count="6">
        <item x="4"/>
        <item x="2"/>
        <item x="3"/>
        <item x="0"/>
        <item x="1"/>
        <item t="default"/>
      </items>
    </pivotField>
    <pivotField showAll="0">
      <items count="4">
        <item x="2"/>
        <item x="0"/>
        <item x="1"/>
        <item t="default"/>
      </items>
    </pivotField>
    <pivotField numFmtId="164" showAll="0"/>
    <pivotField numFmtId="3"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Items count="1">
    <i/>
  </colItems>
  <dataFields count="1">
    <dataField name="Average of Conversion Rate" fld="12" subtotal="average" baseField="0" baseItem="0" numFmtId="10"/>
  </dataFields>
  <chartFormats count="7">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8" count="1" selected="0">
            <x v="4"/>
          </reference>
        </references>
      </pivotArea>
    </chartFormat>
    <chartFormat chart="7" format="4">
      <pivotArea type="data" outline="0" fieldPosition="0">
        <references count="2">
          <reference field="4294967294" count="1" selected="0">
            <x v="0"/>
          </reference>
          <reference field="18" count="1" selected="0">
            <x v="3"/>
          </reference>
        </references>
      </pivotArea>
    </chartFormat>
    <chartFormat chart="7" format="5">
      <pivotArea type="data" outline="0" fieldPosition="0">
        <references count="2">
          <reference field="4294967294" count="1" selected="0">
            <x v="0"/>
          </reference>
          <reference field="18" count="1" selected="0">
            <x v="2"/>
          </reference>
        </references>
      </pivotArea>
    </chartFormat>
    <chartFormat chart="7" format="6">
      <pivotArea type="data" outline="0" fieldPosition="0">
        <references count="2">
          <reference field="4294967294" count="1" selected="0">
            <x v="0"/>
          </reference>
          <reference field="18" count="1" selected="0">
            <x v="1"/>
          </reference>
        </references>
      </pivotArea>
    </chartFormat>
    <chartFormat chart="7" format="7">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BA62C7-7A9E-0442-848D-DE27395BD443}" name="PivotTable12" cacheId="1"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19">
  <location ref="A1:B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4"/>
        <item x="2"/>
        <item x="3"/>
        <item x="0"/>
        <item x="1"/>
        <item h="1" x="5"/>
        <item t="default"/>
      </items>
    </pivotField>
    <pivotField showAll="0"/>
    <pivotField showAll="0"/>
    <pivotField showAll="0"/>
    <pivotField showAll="0"/>
  </pivotFields>
  <rowFields count="1">
    <field x="18"/>
  </rowFields>
  <rowItems count="6">
    <i>
      <x/>
    </i>
    <i>
      <x v="1"/>
    </i>
    <i>
      <x v="2"/>
    </i>
    <i>
      <x v="3"/>
    </i>
    <i>
      <x v="4"/>
    </i>
    <i t="grand">
      <x/>
    </i>
  </rowItems>
  <colItems count="1">
    <i/>
  </colItems>
  <dataFields count="1">
    <dataField name="Average of Cost per acquisition" fld="14" subtotal="average" baseField="0" baseItem="0"/>
  </dataFields>
  <formats count="1">
    <format dxfId="49">
      <pivotArea collapsedLevelsAreSubtotals="1" fieldPosition="0">
        <references count="1">
          <reference field="18" count="0"/>
        </references>
      </pivotArea>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8" count="1" selected="0">
            <x v="0"/>
          </reference>
        </references>
      </pivotArea>
    </chartFormat>
    <chartFormat chart="5" format="4">
      <pivotArea type="data" outline="0" fieldPosition="0">
        <references count="2">
          <reference field="4294967294" count="1" selected="0">
            <x v="0"/>
          </reference>
          <reference field="18" count="1" selected="0">
            <x v="1"/>
          </reference>
        </references>
      </pivotArea>
    </chartFormat>
    <chartFormat chart="5" format="5">
      <pivotArea type="data" outline="0" fieldPosition="0">
        <references count="2">
          <reference field="4294967294" count="1" selected="0">
            <x v="0"/>
          </reference>
          <reference field="18" count="1" selected="0">
            <x v="2"/>
          </reference>
        </references>
      </pivotArea>
    </chartFormat>
    <chartFormat chart="5" format="6">
      <pivotArea type="data" outline="0" fieldPosition="0">
        <references count="2">
          <reference field="4294967294" count="1" selected="0">
            <x v="0"/>
          </reference>
          <reference field="18" count="1" selected="0">
            <x v="3"/>
          </reference>
        </references>
      </pivotArea>
    </chartFormat>
    <chartFormat chart="5" format="7">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F704D1-846A-D946-88D0-E1A8C5709F6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10" firstHeaderRow="1" firstDataRow="2"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items count="5">
        <item x="0"/>
        <item x="3"/>
        <item x="1"/>
        <item x="2"/>
        <item t="default"/>
      </items>
    </pivotField>
    <pivotField numFmtId="3" showAll="0"/>
    <pivotField numFmtId="3" showAll="0"/>
    <pivotField numFmtId="3" showAll="0"/>
    <pivotField numFmtId="165" showAll="0"/>
    <pivotField numFmtId="10" showAll="0"/>
    <pivotField numFmtId="10" showAll="0"/>
    <pivotField numFmtId="165" showAll="0"/>
    <pivotField numFmtId="165" showAll="0"/>
    <pivotField numFmtId="10" showAll="0"/>
    <pivotField dataField="1" numFmtId="10" showAll="0"/>
    <pivotField showAll="0"/>
    <pivotField axis="axisRow" showAll="0">
      <items count="6">
        <item x="4"/>
        <item x="2"/>
        <item x="3"/>
        <item x="0"/>
        <item x="1"/>
        <item t="default"/>
      </items>
    </pivotField>
    <pivotField showAll="0">
      <items count="4">
        <item x="2"/>
        <item x="0"/>
        <item x="1"/>
        <item t="default"/>
      </items>
    </pivotField>
    <pivotField numFmtId="164" showAll="0"/>
    <pivotField numFmtId="3" showAll="0"/>
    <pivotField axis="axisCol"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Fields count="1">
    <field x="22"/>
  </colFields>
  <colItems count="4">
    <i>
      <x/>
    </i>
    <i>
      <x v="1"/>
    </i>
    <i>
      <x v="2"/>
    </i>
    <i t="grand">
      <x/>
    </i>
  </colItems>
  <dataFields count="1">
    <dataField name="Average of ROAS" fld="16" subtotal="average" baseField="0" baseItem="0" numFmtId="10"/>
  </dataFields>
  <chartFormats count="7">
    <chartFormat chart="0" format="1"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2" count="1" selected="0">
            <x v="1"/>
          </reference>
        </references>
      </pivotArea>
    </chartFormat>
    <chartFormat chart="8" format="8" series="1">
      <pivotArea type="data" outline="0" fieldPosition="0">
        <references count="2">
          <reference field="4294967294" count="1" selected="0">
            <x v="0"/>
          </reference>
          <reference field="22" count="1" selected="0">
            <x v="0"/>
          </reference>
        </references>
      </pivotArea>
    </chartFormat>
    <chartFormat chart="8" format="9" series="1">
      <pivotArea type="data" outline="0" fieldPosition="0">
        <references count="2">
          <reference field="4294967294" count="1" selected="0">
            <x v="0"/>
          </reference>
          <reference field="22" count="1" selected="0">
            <x v="1"/>
          </reference>
        </references>
      </pivotArea>
    </chartFormat>
    <chartFormat chart="8" format="10" series="1">
      <pivotArea type="data" outline="0" fieldPosition="0">
        <references count="2">
          <reference field="4294967294" count="1" selected="0">
            <x v="0"/>
          </reference>
          <reference field="22" count="1" selected="0">
            <x v="2"/>
          </reference>
        </references>
      </pivotArea>
    </chartFormat>
    <chartFormat chart="0" format="5" series="1">
      <pivotArea type="data" outline="0" fieldPosition="0">
        <references count="2">
          <reference field="4294967294" count="1" selected="0">
            <x v="0"/>
          </reference>
          <reference field="22" count="1" selected="0">
            <x v="2"/>
          </reference>
        </references>
      </pivotArea>
    </chartFormat>
    <chartFormat chart="0" format="6"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D432B3-8540-DC42-9EC8-2DD20182AB3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C6" firstHeaderRow="0"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axis="axisRow" showAll="0">
      <items count="5">
        <item x="2"/>
        <item x="0"/>
        <item x="3"/>
        <item x="1"/>
        <item t="default"/>
      </items>
    </pivotField>
    <pivotField numFmtId="3" showAll="0"/>
    <pivotField numFmtId="3" showAll="0"/>
    <pivotField numFmtId="3" showAll="0"/>
    <pivotField numFmtId="165" showAll="0"/>
    <pivotField dataField="1" numFmtId="10" showAll="0"/>
    <pivotField dataField="1" numFmtId="10" showAll="0">
      <items count="1001">
        <item x="706"/>
        <item x="616"/>
        <item x="194"/>
        <item x="944"/>
        <item x="484"/>
        <item x="517"/>
        <item x="60"/>
        <item x="226"/>
        <item x="671"/>
        <item x="936"/>
        <item x="189"/>
        <item x="151"/>
        <item x="909"/>
        <item x="770"/>
        <item x="585"/>
        <item x="739"/>
        <item x="545"/>
        <item x="135"/>
        <item x="865"/>
        <item x="626"/>
        <item x="229"/>
        <item x="954"/>
        <item x="592"/>
        <item x="897"/>
        <item x="835"/>
        <item x="296"/>
        <item x="443"/>
        <item x="537"/>
        <item x="279"/>
        <item x="437"/>
        <item x="750"/>
        <item x="842"/>
        <item x="611"/>
        <item x="799"/>
        <item x="700"/>
        <item x="322"/>
        <item x="403"/>
        <item x="439"/>
        <item x="276"/>
        <item x="645"/>
        <item x="81"/>
        <item x="472"/>
        <item x="241"/>
        <item x="847"/>
        <item x="124"/>
        <item x="347"/>
        <item x="928"/>
        <item x="335"/>
        <item x="145"/>
        <item x="649"/>
        <item x="992"/>
        <item x="83"/>
        <item x="244"/>
        <item x="159"/>
        <item x="662"/>
        <item x="249"/>
        <item x="814"/>
        <item x="939"/>
        <item x="351"/>
        <item x="777"/>
        <item x="216"/>
        <item x="934"/>
        <item x="838"/>
        <item x="837"/>
        <item x="534"/>
        <item x="555"/>
        <item x="320"/>
        <item x="567"/>
        <item x="128"/>
        <item x="692"/>
        <item x="976"/>
        <item x="89"/>
        <item x="3"/>
        <item x="800"/>
        <item x="243"/>
        <item x="466"/>
        <item x="740"/>
        <item x="19"/>
        <item x="511"/>
        <item x="946"/>
        <item x="171"/>
        <item x="852"/>
        <item x="923"/>
        <item x="293"/>
        <item x="900"/>
        <item x="57"/>
        <item x="751"/>
        <item x="768"/>
        <item x="453"/>
        <item x="817"/>
        <item x="359"/>
        <item x="53"/>
        <item x="509"/>
        <item x="433"/>
        <item x="491"/>
        <item x="313"/>
        <item x="522"/>
        <item x="152"/>
        <item x="75"/>
        <item x="714"/>
        <item x="666"/>
        <item x="890"/>
        <item x="11"/>
        <item x="940"/>
        <item x="448"/>
        <item x="646"/>
        <item x="888"/>
        <item x="155"/>
        <item x="150"/>
        <item x="495"/>
        <item x="122"/>
        <item x="856"/>
        <item x="882"/>
        <item x="978"/>
        <item x="270"/>
        <item x="655"/>
        <item x="608"/>
        <item x="459"/>
        <item x="896"/>
        <item x="898"/>
        <item x="943"/>
        <item x="442"/>
        <item x="958"/>
        <item x="579"/>
        <item x="732"/>
        <item x="158"/>
        <item x="92"/>
        <item x="148"/>
        <item x="869"/>
        <item x="758"/>
        <item x="468"/>
        <item x="68"/>
        <item x="972"/>
        <item x="651"/>
        <item x="79"/>
        <item x="716"/>
        <item x="289"/>
        <item x="780"/>
        <item x="644"/>
        <item x="796"/>
        <item x="205"/>
        <item x="729"/>
        <item x="617"/>
        <item x="33"/>
        <item x="195"/>
        <item x="69"/>
        <item x="604"/>
        <item x="612"/>
        <item x="568"/>
        <item x="496"/>
        <item x="554"/>
        <item x="789"/>
        <item x="65"/>
        <item x="557"/>
        <item x="536"/>
        <item x="551"/>
        <item x="713"/>
        <item x="983"/>
        <item x="523"/>
        <item x="340"/>
        <item x="131"/>
        <item x="5"/>
        <item x="94"/>
        <item x="839"/>
        <item x="418"/>
        <item x="831"/>
        <item x="474"/>
        <item x="549"/>
        <item x="753"/>
        <item x="177"/>
        <item x="618"/>
        <item x="417"/>
        <item x="185"/>
        <item x="619"/>
        <item x="518"/>
        <item x="21"/>
        <item x="140"/>
        <item x="180"/>
        <item x="430"/>
        <item x="389"/>
        <item x="133"/>
        <item x="811"/>
        <item x="938"/>
        <item x="390"/>
        <item x="974"/>
        <item x="881"/>
        <item x="431"/>
        <item x="419"/>
        <item x="281"/>
        <item x="168"/>
        <item x="636"/>
        <item x="553"/>
        <item x="217"/>
        <item x="586"/>
        <item x="221"/>
        <item x="637"/>
        <item x="342"/>
        <item x="361"/>
        <item x="478"/>
        <item x="820"/>
        <item x="854"/>
        <item x="673"/>
        <item x="911"/>
        <item x="561"/>
        <item x="160"/>
        <item x="773"/>
        <item x="117"/>
        <item x="501"/>
        <item x="269"/>
        <item x="259"/>
        <item x="793"/>
        <item x="214"/>
        <item x="627"/>
        <item x="880"/>
        <item x="510"/>
        <item x="39"/>
        <item x="397"/>
        <item x="348"/>
        <item x="314"/>
        <item x="929"/>
        <item x="126"/>
        <item x="254"/>
        <item x="543"/>
        <item x="233"/>
        <item x="807"/>
        <item x="635"/>
        <item x="870"/>
        <item x="506"/>
        <item x="902"/>
        <item x="132"/>
        <item x="120"/>
        <item x="257"/>
        <item x="12"/>
        <item x="223"/>
        <item x="17"/>
        <item x="325"/>
        <item x="542"/>
        <item x="849"/>
        <item x="924"/>
        <item x="531"/>
        <item x="467"/>
        <item x="903"/>
        <item x="848"/>
        <item x="271"/>
        <item x="8"/>
        <item x="391"/>
        <item x="84"/>
        <item x="816"/>
        <item x="224"/>
        <item x="399"/>
        <item x="527"/>
        <item x="96"/>
        <item x="78"/>
        <item x="722"/>
        <item x="514"/>
        <item x="26"/>
        <item x="385"/>
        <item x="658"/>
        <item x="891"/>
        <item x="622"/>
        <item x="20"/>
        <item x="747"/>
        <item x="760"/>
        <item x="381"/>
        <item x="840"/>
        <item x="827"/>
        <item x="899"/>
        <item x="632"/>
        <item x="603"/>
        <item x="115"/>
        <item x="717"/>
        <item x="62"/>
        <item x="339"/>
        <item x="327"/>
        <item x="357"/>
        <item x="300"/>
        <item x="990"/>
        <item x="775"/>
        <item x="0"/>
        <item x="455"/>
        <item x="113"/>
        <item x="414"/>
        <item x="207"/>
        <item x="457"/>
        <item x="519"/>
        <item x="302"/>
        <item x="45"/>
        <item x="961"/>
        <item x="502"/>
        <item x="556"/>
        <item x="375"/>
        <item x="470"/>
        <item x="318"/>
        <item x="104"/>
        <item x="752"/>
        <item x="682"/>
        <item x="354"/>
        <item x="86"/>
        <item x="968"/>
        <item x="373"/>
        <item x="82"/>
        <item x="629"/>
        <item x="723"/>
        <item x="415"/>
        <item x="797"/>
        <item x="213"/>
        <item x="712"/>
        <item x="454"/>
        <item x="411"/>
        <item x="218"/>
        <item x="332"/>
        <item x="170"/>
        <item x="261"/>
        <item x="25"/>
        <item x="163"/>
        <item x="248"/>
        <item x="867"/>
        <item x="282"/>
        <item x="184"/>
        <item x="544"/>
        <item x="70"/>
        <item x="606"/>
        <item x="588"/>
        <item x="326"/>
        <item x="703"/>
        <item x="663"/>
        <item x="633"/>
        <item x="841"/>
        <item x="63"/>
        <item x="188"/>
        <item x="475"/>
        <item x="358"/>
        <item x="378"/>
        <item x="9"/>
        <item x="677"/>
        <item x="379"/>
        <item x="406"/>
        <item x="845"/>
        <item x="169"/>
        <item x="112"/>
        <item x="678"/>
        <item x="925"/>
        <item x="529"/>
        <item x="892"/>
        <item x="230"/>
        <item x="324"/>
        <item x="376"/>
        <item x="23"/>
        <item x="102"/>
        <item x="641"/>
        <item x="291"/>
        <item x="535"/>
        <item x="85"/>
        <item x="530"/>
        <item x="941"/>
        <item x="872"/>
        <item x="686"/>
        <item x="754"/>
        <item x="623"/>
        <item x="997"/>
        <item x="602"/>
        <item x="826"/>
        <item x="365"/>
        <item x="346"/>
        <item x="98"/>
        <item x="906"/>
        <item x="156"/>
        <item x="681"/>
        <item x="709"/>
        <item x="878"/>
        <item x="440"/>
        <item x="297"/>
        <item x="590"/>
        <item x="67"/>
        <item x="512"/>
        <item x="44"/>
        <item x="76"/>
        <item x="575"/>
        <item x="947"/>
        <item x="377"/>
        <item x="952"/>
        <item x="727"/>
        <item x="400"/>
        <item x="337"/>
        <item x="51"/>
        <item x="222"/>
        <item x="469"/>
        <item x="614"/>
        <item x="404"/>
        <item x="708"/>
        <item x="298"/>
        <item x="165"/>
        <item x="498"/>
        <item x="252"/>
        <item x="743"/>
        <item x="989"/>
        <item x="41"/>
        <item x="524"/>
        <item x="781"/>
        <item x="28"/>
        <item x="420"/>
        <item x="755"/>
        <item x="718"/>
        <item x="487"/>
        <item x="863"/>
        <item x="810"/>
        <item x="426"/>
        <item x="932"/>
        <item x="679"/>
        <item x="367"/>
        <item x="834"/>
        <item x="129"/>
        <item x="991"/>
        <item x="582"/>
        <item x="894"/>
        <item x="494"/>
        <item x="95"/>
        <item x="203"/>
        <item x="879"/>
        <item x="680"/>
        <item x="699"/>
        <item x="87"/>
        <item x="786"/>
        <item x="558"/>
        <item x="328"/>
        <item x="734"/>
        <item x="260"/>
        <item x="462"/>
        <item x="166"/>
        <item x="919"/>
        <item x="394"/>
        <item x="331"/>
        <item x="660"/>
        <item x="698"/>
        <item x="687"/>
        <item x="860"/>
        <item x="206"/>
        <item x="451"/>
        <item x="685"/>
        <item x="2"/>
        <item x="200"/>
        <item x="432"/>
        <item x="157"/>
        <item x="993"/>
        <item x="186"/>
        <item x="173"/>
        <item x="684"/>
        <item x="908"/>
        <item x="473"/>
        <item x="55"/>
        <item x="574"/>
        <item x="147"/>
        <item x="10"/>
        <item x="434"/>
        <item x="15"/>
        <item x="628"/>
        <item x="338"/>
        <item x="505"/>
        <item x="951"/>
        <item x="950"/>
        <item x="652"/>
        <item x="490"/>
        <item x="917"/>
        <item x="179"/>
        <item x="572"/>
        <item x="477"/>
        <item x="851"/>
        <item x="779"/>
        <item x="274"/>
        <item x="283"/>
        <item x="142"/>
        <item x="605"/>
        <item x="886"/>
        <item x="721"/>
        <item x="407"/>
        <item x="998"/>
        <item x="137"/>
        <item x="428"/>
        <item x="931"/>
        <item x="765"/>
        <item x="306"/>
        <item x="54"/>
        <item x="109"/>
        <item x="988"/>
        <item x="182"/>
        <item x="674"/>
        <item x="964"/>
        <item x="776"/>
        <item x="409"/>
        <item x="593"/>
        <item x="234"/>
        <item x="329"/>
        <item x="532"/>
        <item x="483"/>
        <item x="540"/>
        <item x="654"/>
        <item x="444"/>
        <item x="720"/>
        <item x="167"/>
        <item x="192"/>
        <item x="312"/>
        <item x="640"/>
        <item x="559"/>
        <item x="481"/>
        <item x="22"/>
        <item x="343"/>
        <item x="369"/>
        <item x="413"/>
        <item x="50"/>
        <item x="198"/>
        <item x="380"/>
        <item x="819"/>
        <item x="864"/>
        <item x="694"/>
        <item x="31"/>
        <item x="774"/>
        <item x="392"/>
        <item x="438"/>
        <item x="889"/>
        <item x="787"/>
        <item x="955"/>
        <item x="497"/>
        <item x="580"/>
        <item x="341"/>
        <item x="757"/>
        <item x="398"/>
        <item x="441"/>
        <item x="804"/>
        <item x="154"/>
        <item x="395"/>
        <item x="761"/>
        <item x="986"/>
        <item x="818"/>
        <item x="741"/>
        <item x="311"/>
        <item x="402"/>
        <item x="742"/>
        <item x="565"/>
        <item x="215"/>
        <item x="493"/>
        <item x="251"/>
        <item x="422"/>
        <item x="388"/>
        <item x="795"/>
        <item x="384"/>
        <item x="843"/>
        <item x="36"/>
        <item x="13"/>
        <item x="597"/>
        <item x="106"/>
        <item x="675"/>
        <item x="695"/>
        <item x="594"/>
        <item x="101"/>
        <item x="935"/>
        <item x="280"/>
        <item x="275"/>
        <item x="526"/>
        <item x="895"/>
        <item x="596"/>
        <item x="960"/>
        <item x="93"/>
        <item x="772"/>
        <item x="1"/>
        <item x="242"/>
        <item x="285"/>
        <item x="479"/>
        <item x="199"/>
        <item x="858"/>
        <item x="290"/>
        <item x="560"/>
        <item x="569"/>
        <item x="871"/>
        <item x="138"/>
        <item x="258"/>
        <item x="965"/>
        <item x="689"/>
        <item x="916"/>
        <item x="42"/>
        <item x="108"/>
        <item x="449"/>
        <item x="263"/>
        <item x="119"/>
        <item x="456"/>
        <item x="769"/>
        <item x="767"/>
        <item x="372"/>
        <item x="745"/>
        <item x="731"/>
        <item x="366"/>
        <item x="424"/>
        <item x="996"/>
        <item x="239"/>
        <item x="277"/>
        <item x="268"/>
        <item x="201"/>
        <item x="977"/>
        <item x="143"/>
        <item x="202"/>
        <item x="595"/>
        <item x="548"/>
        <item x="874"/>
        <item x="99"/>
        <item x="791"/>
        <item x="504"/>
        <item x="105"/>
        <item x="309"/>
        <item x="308"/>
        <item x="193"/>
        <item x="4"/>
        <item x="118"/>
        <item x="345"/>
        <item x="516"/>
        <item x="110"/>
        <item x="883"/>
        <item x="584"/>
        <item x="111"/>
        <item x="64"/>
        <item x="360"/>
        <item x="784"/>
        <item x="581"/>
        <item x="304"/>
        <item x="250"/>
        <item x="822"/>
        <item x="210"/>
        <item x="72"/>
        <item x="659"/>
        <item x="610"/>
        <item x="823"/>
        <item x="825"/>
        <item x="794"/>
        <item x="196"/>
        <item x="393"/>
        <item x="383"/>
        <item x="209"/>
        <item x="725"/>
        <item x="873"/>
        <item x="937"/>
        <item x="719"/>
        <item x="387"/>
        <item x="844"/>
        <item x="227"/>
        <item x="737"/>
        <item x="412"/>
        <item x="587"/>
        <item x="670"/>
        <item x="370"/>
        <item x="130"/>
        <item x="748"/>
        <item x="476"/>
        <item x="107"/>
        <item x="264"/>
        <item x="307"/>
        <item x="578"/>
        <item x="458"/>
        <item x="639"/>
        <item x="573"/>
        <item x="465"/>
        <item x="352"/>
        <item x="463"/>
        <item x="416"/>
        <item x="570"/>
        <item x="690"/>
        <item x="805"/>
        <item x="423"/>
        <item x="866"/>
        <item x="253"/>
        <item x="299"/>
        <item x="24"/>
        <item x="615"/>
        <item x="336"/>
        <item x="664"/>
        <item x="857"/>
        <item x="910"/>
        <item x="303"/>
        <item x="127"/>
        <item x="656"/>
        <item x="315"/>
        <item x="759"/>
        <item x="821"/>
        <item x="245"/>
        <item x="634"/>
        <item x="408"/>
        <item x="316"/>
        <item x="461"/>
        <item x="452"/>
        <item x="183"/>
        <item x="190"/>
        <item x="855"/>
        <item x="59"/>
        <item x="486"/>
        <item x="957"/>
        <item x="294"/>
        <item x="288"/>
        <item x="429"/>
        <item x="492"/>
        <item x="620"/>
        <item x="763"/>
        <item x="445"/>
        <item x="683"/>
        <item x="305"/>
        <item x="228"/>
        <item x="861"/>
        <item x="650"/>
        <item x="435"/>
        <item x="921"/>
        <item x="973"/>
        <item x="236"/>
        <item x="744"/>
        <item x="942"/>
        <item x="235"/>
        <item x="994"/>
        <item x="295"/>
        <item x="520"/>
        <item x="56"/>
        <item x="808"/>
        <item x="181"/>
        <item x="436"/>
        <item x="396"/>
        <item x="61"/>
        <item x="726"/>
        <item x="350"/>
        <item x="178"/>
        <item x="607"/>
        <item x="286"/>
        <item x="913"/>
        <item x="489"/>
        <item x="782"/>
        <item x="945"/>
        <item x="349"/>
        <item x="103"/>
        <item x="979"/>
        <item x="330"/>
        <item x="91"/>
        <item x="164"/>
        <item x="583"/>
        <item x="724"/>
        <item x="49"/>
        <item x="319"/>
        <item x="643"/>
        <item x="14"/>
        <item x="778"/>
        <item x="187"/>
        <item x="688"/>
        <item x="374"/>
        <item x="539"/>
        <item x="464"/>
        <item x="231"/>
        <item x="967"/>
        <item x="46"/>
        <item x="803"/>
        <item x="546"/>
        <item x="547"/>
        <item x="528"/>
        <item x="824"/>
        <item x="121"/>
        <item x="691"/>
        <item x="621"/>
        <item x="601"/>
        <item x="38"/>
        <item x="809"/>
        <item x="956"/>
        <item x="513"/>
        <item x="868"/>
        <item x="292"/>
        <item x="766"/>
        <item x="204"/>
        <item x="749"/>
        <item x="125"/>
        <item x="503"/>
        <item x="850"/>
        <item x="30"/>
        <item x="798"/>
        <item x="829"/>
        <item x="471"/>
        <item x="885"/>
        <item x="756"/>
        <item x="149"/>
        <item x="272"/>
        <item x="287"/>
        <item x="116"/>
        <item x="969"/>
        <item x="815"/>
        <item x="123"/>
        <item x="987"/>
        <item x="508"/>
        <item x="859"/>
        <item x="764"/>
        <item x="933"/>
        <item x="953"/>
        <item x="566"/>
        <item x="238"/>
        <item x="806"/>
        <item x="704"/>
        <item x="653"/>
        <item x="697"/>
        <item x="830"/>
        <item x="265"/>
        <item x="267"/>
        <item x="624"/>
        <item x="525"/>
        <item x="237"/>
        <item x="27"/>
        <item x="676"/>
        <item x="962"/>
        <item x="450"/>
        <item x="836"/>
        <item x="77"/>
        <item x="735"/>
        <item x="219"/>
        <item x="802"/>
        <item x="701"/>
        <item x="47"/>
        <item x="642"/>
        <item x="507"/>
        <item x="232"/>
        <item x="981"/>
        <item x="334"/>
        <item x="693"/>
        <item x="356"/>
        <item x="785"/>
        <item x="35"/>
        <item x="58"/>
        <item x="975"/>
        <item x="790"/>
        <item x="6"/>
        <item x="876"/>
        <item x="225"/>
        <item x="915"/>
        <item x="907"/>
        <item x="447"/>
        <item x="208"/>
        <item x="853"/>
        <item x="460"/>
        <item x="877"/>
        <item x="715"/>
        <item x="589"/>
        <item x="100"/>
        <item x="172"/>
        <item x="368"/>
        <item x="985"/>
        <item x="982"/>
        <item x="317"/>
        <item x="707"/>
        <item x="256"/>
        <item x="136"/>
        <item x="541"/>
        <item x="446"/>
        <item x="552"/>
        <item x="762"/>
        <item x="912"/>
        <item x="175"/>
        <item x="364"/>
        <item x="728"/>
        <item x="538"/>
        <item x="577"/>
        <item x="410"/>
        <item x="362"/>
        <item x="893"/>
        <item x="564"/>
        <item x="18"/>
        <item x="161"/>
        <item x="801"/>
        <item x="665"/>
        <item x="812"/>
        <item x="833"/>
        <item x="901"/>
        <item x="421"/>
        <item x="43"/>
        <item x="846"/>
        <item x="600"/>
        <item x="80"/>
        <item x="71"/>
        <item x="963"/>
        <item x="828"/>
        <item x="904"/>
        <item x="48"/>
        <item x="371"/>
        <item x="427"/>
        <item x="7"/>
        <item x="301"/>
        <item x="382"/>
        <item x="631"/>
        <item x="255"/>
        <item x="591"/>
        <item x="74"/>
        <item x="191"/>
        <item x="34"/>
        <item x="832"/>
        <item x="114"/>
        <item x="220"/>
        <item x="930"/>
        <item x="211"/>
        <item x="66"/>
        <item x="884"/>
        <item x="657"/>
        <item x="792"/>
        <item x="862"/>
        <item x="141"/>
        <item x="875"/>
        <item x="647"/>
        <item x="576"/>
        <item x="37"/>
        <item x="162"/>
        <item x="667"/>
        <item x="321"/>
        <item x="927"/>
        <item x="266"/>
        <item x="696"/>
        <item x="638"/>
        <item x="948"/>
        <item x="90"/>
        <item x="788"/>
        <item x="887"/>
        <item x="32"/>
        <item x="648"/>
        <item x="488"/>
        <item x="984"/>
        <item x="711"/>
        <item x="970"/>
        <item x="284"/>
        <item x="959"/>
        <item x="386"/>
        <item x="598"/>
        <item x="240"/>
        <item x="153"/>
        <item x="176"/>
        <item x="174"/>
        <item x="771"/>
        <item x="672"/>
        <item x="480"/>
        <item x="971"/>
        <item x="609"/>
        <item x="333"/>
        <item x="918"/>
        <item x="625"/>
        <item x="733"/>
        <item x="16"/>
        <item x="730"/>
        <item x="247"/>
        <item x="353"/>
        <item x="344"/>
        <item x="146"/>
        <item x="425"/>
        <item x="134"/>
        <item x="905"/>
        <item x="746"/>
        <item x="278"/>
        <item x="705"/>
        <item x="533"/>
        <item x="73"/>
        <item x="710"/>
        <item x="550"/>
        <item x="966"/>
        <item x="669"/>
        <item x="212"/>
        <item x="363"/>
        <item x="499"/>
        <item x="738"/>
        <item x="310"/>
        <item x="485"/>
        <item x="949"/>
        <item x="668"/>
        <item x="571"/>
        <item x="613"/>
        <item x="999"/>
        <item x="563"/>
        <item x="515"/>
        <item x="262"/>
        <item x="97"/>
        <item x="88"/>
        <item x="29"/>
        <item x="920"/>
        <item x="521"/>
        <item x="995"/>
        <item x="405"/>
        <item x="500"/>
        <item x="323"/>
        <item x="736"/>
        <item x="980"/>
        <item x="599"/>
        <item x="783"/>
        <item x="139"/>
        <item x="40"/>
        <item x="630"/>
        <item x="52"/>
        <item x="246"/>
        <item x="273"/>
        <item x="355"/>
        <item x="926"/>
        <item x="661"/>
        <item x="197"/>
        <item x="922"/>
        <item x="914"/>
        <item x="702"/>
        <item x="813"/>
        <item x="401"/>
        <item x="144"/>
        <item x="482"/>
        <item x="562"/>
        <item t="default"/>
      </items>
    </pivotField>
    <pivotField numFmtId="165" showAll="0"/>
    <pivotField numFmtId="165" showAll="0"/>
    <pivotField numFmtId="10" showAll="0"/>
    <pivotField numFmtId="10" showAll="0"/>
    <pivotField showAll="0"/>
    <pivotField showAll="0">
      <items count="6">
        <item x="4"/>
        <item x="2"/>
        <item x="3"/>
        <item x="0"/>
        <item x="1"/>
        <item t="default"/>
      </items>
    </pivotField>
    <pivotField showAll="0">
      <items count="4">
        <item x="2"/>
        <item x="0"/>
        <item x="1"/>
        <item t="default"/>
      </items>
    </pivotField>
    <pivotField numFmtId="164" showAll="0"/>
    <pivotField numFmtId="3"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2"/>
  </colFields>
  <colItems count="2">
    <i>
      <x/>
    </i>
    <i i="1">
      <x v="1"/>
    </i>
  </colItems>
  <dataFields count="2">
    <dataField name="Average of Conversion Rate" fld="12" subtotal="average" baseField="0" baseItem="0" numFmtId="10"/>
    <dataField name="Average of Click Through Rate" fld="11" subtotal="average" baseField="0" baseItem="0" numFmtId="10"/>
  </dataFields>
  <chartFormats count="7">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7" format="7">
      <pivotArea type="data" outline="0" fieldPosition="0">
        <references count="2">
          <reference field="4294967294" count="1" selected="0">
            <x v="1"/>
          </reference>
          <reference field="6" count="1" selected="0">
            <x v="1"/>
          </reference>
        </references>
      </pivotArea>
    </chartFormat>
    <chartFormat chart="7" format="8">
      <pivotArea type="data" outline="0" fieldPosition="0">
        <references count="2">
          <reference field="4294967294" count="1" selected="0">
            <x v="1"/>
          </reference>
          <reference field="6" count="1" selected="0">
            <x v="0"/>
          </reference>
        </references>
      </pivotArea>
    </chartFormat>
    <chartFormat chart="7" format="9">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1C33AC-15AF-6241-A280-871F14F19EF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7" firstHeaderRow="1"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items count="5">
        <item x="0"/>
        <item x="3"/>
        <item x="1"/>
        <item x="2"/>
        <item t="default"/>
      </items>
    </pivotField>
    <pivotField numFmtId="3" showAll="0"/>
    <pivotField numFmtId="3" showAll="0"/>
    <pivotField numFmtId="3" showAll="0"/>
    <pivotField numFmtId="165" showAll="0"/>
    <pivotField numFmtId="10" showAll="0"/>
    <pivotField numFmtId="10" showAll="0"/>
    <pivotField numFmtId="165" showAll="0"/>
    <pivotField numFmtId="165" showAll="0"/>
    <pivotField dataField="1" numFmtId="10" showAll="0"/>
    <pivotField numFmtId="10" showAll="0"/>
    <pivotField showAll="0"/>
    <pivotField axis="axisRow" showAll="0">
      <items count="6">
        <item x="4"/>
        <item x="2"/>
        <item x="3"/>
        <item x="0"/>
        <item x="1"/>
        <item t="default"/>
      </items>
    </pivotField>
    <pivotField showAll="0">
      <items count="4">
        <item x="2"/>
        <item x="0"/>
        <item x="1"/>
        <item t="default"/>
      </items>
    </pivotField>
    <pivotField numFmtId="164" showAll="0"/>
    <pivotField numFmtId="3"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Items count="1">
    <i/>
  </colItems>
  <dataFields count="1">
    <dataField name="Average of BUDGET UTILISATION" fld="15" subtotal="average" baseField="0" baseItem="0" numFmtId="10"/>
  </dataFields>
  <chartFormats count="8">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8" count="1" selected="0">
            <x v="0"/>
          </reference>
        </references>
      </pivotArea>
    </chartFormat>
    <chartFormat chart="6" format="4">
      <pivotArea type="data" outline="0" fieldPosition="0">
        <references count="2">
          <reference field="4294967294" count="1" selected="0">
            <x v="0"/>
          </reference>
          <reference field="18" count="1" selected="0">
            <x v="1"/>
          </reference>
        </references>
      </pivotArea>
    </chartFormat>
    <chartFormat chart="6" format="5">
      <pivotArea type="data" outline="0" fieldPosition="0">
        <references count="2">
          <reference field="4294967294" count="1" selected="0">
            <x v="0"/>
          </reference>
          <reference field="18" count="1" selected="0">
            <x v="2"/>
          </reference>
        </references>
      </pivotArea>
    </chartFormat>
    <chartFormat chart="6" format="6">
      <pivotArea type="data" outline="0" fieldPosition="0">
        <references count="2">
          <reference field="4294967294" count="1" selected="0">
            <x v="0"/>
          </reference>
          <reference field="18" count="1" selected="0">
            <x v="3"/>
          </reference>
        </references>
      </pivotArea>
    </chartFormat>
    <chartFormat chart="6" format="7">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7F1E83-1298-1B49-BECC-A7B42C05FE1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G7" firstHeaderRow="0"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items count="5">
        <item x="0"/>
        <item x="3"/>
        <item x="1"/>
        <item x="2"/>
        <item t="default"/>
      </items>
    </pivotField>
    <pivotField numFmtId="3" showAll="0"/>
    <pivotField numFmtId="3" showAll="0"/>
    <pivotField numFmtId="3" showAll="0"/>
    <pivotField dataField="1" numFmtId="165" showAll="0"/>
    <pivotField dataField="1" numFmtId="10" showAll="0"/>
    <pivotField dataField="1" numFmtId="10" showAll="0"/>
    <pivotField numFmtId="165" showAll="0"/>
    <pivotField dataField="1" numFmtId="165" showAll="0"/>
    <pivotField numFmtId="10" showAll="0"/>
    <pivotField dataField="1" numFmtId="10" showAll="0"/>
    <pivotField showAll="0"/>
    <pivotField axis="axisRow" showAll="0">
      <items count="6">
        <item x="4"/>
        <item x="2"/>
        <item x="3"/>
        <item x="0"/>
        <item x="1"/>
        <item t="default"/>
      </items>
    </pivotField>
    <pivotField showAll="0">
      <items count="4">
        <item x="2"/>
        <item x="0"/>
        <item x="1"/>
        <item t="default"/>
      </items>
    </pivotField>
    <pivotField dataField="1" numFmtId="164" showAll="0"/>
    <pivotField numFmtId="3"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Fields count="1">
    <field x="-2"/>
  </colFields>
  <colItems count="6">
    <i>
      <x/>
    </i>
    <i i="1">
      <x v="1"/>
    </i>
    <i i="2">
      <x v="2"/>
    </i>
    <i i="3">
      <x v="3"/>
    </i>
    <i i="4">
      <x v="4"/>
    </i>
    <i i="5">
      <x v="5"/>
    </i>
  </colItems>
  <dataFields count="6">
    <dataField name="Average of ROAS" fld="16" subtotal="average" baseField="0" baseItem="0" numFmtId="10"/>
    <dataField name="Average of Cost per acquisition" fld="14" subtotal="average" baseField="0" baseItem="0" numFmtId="165"/>
    <dataField name="Average of Conversion Rate" fld="12" subtotal="average" baseField="0" baseItem="0" numFmtId="10"/>
    <dataField name="Average of Click Through Rate" fld="11" subtotal="average" baseField="0" baseItem="0" numFmtId="10"/>
    <dataField name="Sum of Ad Spend" fld="20" baseField="0" baseItem="0" numFmtId="164"/>
    <dataField name="Sum of Revenue" fld="10" baseField="0" baseItem="0" numFmtId="165"/>
  </dataFields>
  <chartFormats count="6">
    <chartFormat chart="0" format="0" series="1">
      <pivotArea type="data" outline="0" fieldPosition="0">
        <references count="1">
          <reference field="4294967294" count="1" selected="0">
            <x v="3"/>
          </reference>
        </references>
      </pivotArea>
    </chartFormat>
    <chartFormat chart="0" format="1"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7C3B39-2618-F149-923E-ED6E5CCCDAD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8" firstHeaderRow="1" firstDataRow="2"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items count="5">
        <item x="0"/>
        <item x="3"/>
        <item x="1"/>
        <item x="2"/>
        <item t="default"/>
      </items>
    </pivotField>
    <pivotField numFmtId="3" showAll="0"/>
    <pivotField numFmtId="3" showAll="0"/>
    <pivotField numFmtId="3" showAll="0"/>
    <pivotField numFmtId="165" showAll="0"/>
    <pivotField numFmtId="10" showAll="0"/>
    <pivotField numFmtId="10" showAll="0"/>
    <pivotField numFmtId="165" showAll="0"/>
    <pivotField numFmtId="165" showAll="0"/>
    <pivotField numFmtId="10" showAll="0"/>
    <pivotField dataField="1" numFmtId="10" showAll="0"/>
    <pivotField showAll="0"/>
    <pivotField axis="axisRow" showAll="0">
      <items count="6">
        <item x="4"/>
        <item x="2"/>
        <item x="3"/>
        <item x="0"/>
        <item x="1"/>
        <item t="default"/>
      </items>
    </pivotField>
    <pivotField showAll="0">
      <items count="4">
        <item x="2"/>
        <item x="0"/>
        <item x="1"/>
        <item t="default"/>
      </items>
    </pivotField>
    <pivotField numFmtId="164" showAll="0"/>
    <pivotField numFmtId="3" showAll="0"/>
    <pivotField axis="axisCol"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Fields count="1">
    <field x="22"/>
  </colFields>
  <colItems count="4">
    <i>
      <x/>
    </i>
    <i>
      <x v="1"/>
    </i>
    <i>
      <x v="2"/>
    </i>
    <i t="grand">
      <x/>
    </i>
  </colItems>
  <dataFields count="1">
    <dataField name="Average of ROAS" fld="16" subtotal="average" baseField="0" baseItem="0" numFmtId="1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0" format="3" series="1">
      <pivotArea type="data" outline="0" fieldPosition="0">
        <references count="2">
          <reference field="4294967294" count="1" selected="0">
            <x v="0"/>
          </reference>
          <reference field="22" count="1" selected="0">
            <x v="1"/>
          </reference>
        </references>
      </pivotArea>
    </chartFormat>
    <chartFormat chart="0" format="4"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8B8A5F-772A-964D-B891-37899FE1A29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6" firstHeaderRow="0"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axis="axisRow" showAll="0">
      <items count="5">
        <item x="0"/>
        <item x="3"/>
        <item x="1"/>
        <item x="2"/>
        <item t="default"/>
      </items>
    </pivotField>
    <pivotField numFmtId="3" showAll="0"/>
    <pivotField numFmtId="3" showAll="0"/>
    <pivotField numFmtId="3" showAll="0"/>
    <pivotField numFmtId="165" showAll="0"/>
    <pivotField dataField="1" numFmtId="10" showAll="0"/>
    <pivotField dataField="1" numFmtId="10" showAll="0"/>
    <pivotField numFmtId="165" showAll="0"/>
    <pivotField numFmtId="165" showAll="0"/>
    <pivotField numFmtId="10" showAll="0"/>
    <pivotField numFmtId="10" showAll="0"/>
    <pivotField showAll="0"/>
    <pivotField showAll="0">
      <items count="6">
        <item x="4"/>
        <item x="2"/>
        <item x="3"/>
        <item x="0"/>
        <item x="1"/>
        <item t="default"/>
      </items>
    </pivotField>
    <pivotField showAll="0">
      <items count="4">
        <item x="2"/>
        <item x="0"/>
        <item x="1"/>
        <item t="default"/>
      </items>
    </pivotField>
    <pivotField numFmtId="164" showAll="0"/>
    <pivotField numFmtId="3"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2"/>
  </colFields>
  <colItems count="2">
    <i>
      <x/>
    </i>
    <i i="1">
      <x v="1"/>
    </i>
  </colItems>
  <dataFields count="2">
    <dataField name="Average of Click Through Rate" fld="11" subtotal="average" baseField="0" baseItem="0" numFmtId="10"/>
    <dataField name="Average of Conversion Rate" fld="12"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A4787E-85D9-424D-91E7-6594A1EAF439}"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items count="5">
        <item x="0"/>
        <item x="3"/>
        <item x="1"/>
        <item x="2"/>
        <item t="default"/>
      </items>
    </pivotField>
    <pivotField numFmtId="3" showAll="0"/>
    <pivotField numFmtId="3" showAll="0"/>
    <pivotField numFmtId="3" showAll="0"/>
    <pivotField numFmtId="165" showAll="0"/>
    <pivotField numFmtId="10" showAll="0"/>
    <pivotField numFmtId="10" showAll="0"/>
    <pivotField numFmtId="165" showAll="0"/>
    <pivotField numFmtId="165" showAll="0"/>
    <pivotField dataField="1" numFmtId="10" showAll="0"/>
    <pivotField numFmtId="10" showAll="0"/>
    <pivotField showAll="0"/>
    <pivotField axis="axisRow" showAll="0">
      <items count="6">
        <item x="4"/>
        <item x="2"/>
        <item x="3"/>
        <item x="0"/>
        <item x="1"/>
        <item t="default"/>
      </items>
    </pivotField>
    <pivotField showAll="0">
      <items count="4">
        <item x="2"/>
        <item x="0"/>
        <item x="1"/>
        <item t="default"/>
      </items>
    </pivotField>
    <pivotField numFmtId="164" showAll="0"/>
    <pivotField numFmtId="3"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Items count="1">
    <i/>
  </colItems>
  <dataFields count="1">
    <dataField name="Average of BUDGET UTILISATION" fld="15" subtotal="average"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CC55EF-CD55-41B1-BE29-C989FF9402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37" firstHeaderRow="1" firstDataRow="2" firstDataCol="1"/>
  <pivotFields count="26">
    <pivotField dataField="1" showAll="0"/>
    <pivotField axis="axisRow"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axis="axisCol" showAll="0">
      <items count="3">
        <item x="0"/>
        <item x="1"/>
        <item t="default"/>
      </items>
    </pivotField>
    <pivotField numFmtId="2" showAll="0"/>
    <pivotField numFmtId="164" showAll="0"/>
    <pivotField showAll="0">
      <items count="5">
        <item x="0"/>
        <item x="3"/>
        <item x="1"/>
        <item x="2"/>
        <item t="default"/>
      </items>
    </pivotField>
    <pivotField numFmtId="3" showAll="0"/>
    <pivotField numFmtId="3" showAll="0"/>
    <pivotField numFmtId="3" showAll="0"/>
    <pivotField numFmtId="165" showAll="0"/>
    <pivotField numFmtId="10" showAll="0"/>
    <pivotField numFmtId="10" showAll="0"/>
    <pivotField numFmtId="165" showAll="0"/>
    <pivotField numFmtId="165" showAll="0"/>
    <pivotField numFmtId="10" showAll="0"/>
    <pivotField numFmtId="10" showAll="0"/>
    <pivotField showAll="0"/>
    <pivotField showAll="0">
      <items count="6">
        <item x="4"/>
        <item x="2"/>
        <item x="3"/>
        <item x="0"/>
        <item x="1"/>
        <item t="default"/>
      </items>
    </pivotField>
    <pivotField showAll="0">
      <items count="4">
        <item x="2"/>
        <item x="0"/>
        <item x="1"/>
        <item t="default"/>
      </items>
    </pivotField>
    <pivotField numFmtId="164" showAll="0"/>
    <pivotField numFmtId="3"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25"/>
    <field x="24"/>
    <field x="23"/>
    <field x="1"/>
  </rowFields>
  <rowItems count="35">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Fields count="1">
    <field x="3"/>
  </colFields>
  <colItems count="3">
    <i>
      <x/>
    </i>
    <i>
      <x v="1"/>
    </i>
    <i t="grand">
      <x/>
    </i>
  </colItems>
  <dataFields count="1">
    <dataField name="Count of Campaign 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4A2866-79AC-4DDB-BB14-3E3722F12FC8}" name="PivotTable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D22" firstHeaderRow="0"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dataField="1" numFmtId="164" showAll="0"/>
    <pivotField showAll="0"/>
    <pivotField numFmtId="3" showAll="0"/>
    <pivotField numFmtId="3" showAll="0"/>
    <pivotField numFmtId="3" showAll="0"/>
    <pivotField dataField="1" numFmtId="165" showAll="0"/>
    <pivotField numFmtId="10" showAll="0"/>
    <pivotField numFmtId="10" showAll="0"/>
    <pivotField numFmtId="165" showAll="0"/>
    <pivotField numFmtId="165" showAll="0"/>
    <pivotField numFmtId="10" showAll="0"/>
    <pivotField dataField="1" numFmtId="10" showAll="0"/>
    <pivotField showAll="0"/>
    <pivotField axis="axisRow" showAll="0">
      <items count="6">
        <item x="4"/>
        <item x="2"/>
        <item x="3"/>
        <item x="0"/>
        <item x="1"/>
        <item t="default"/>
      </items>
    </pivotField>
    <pivotField showAll="0">
      <items count="4">
        <item x="2"/>
        <item x="0"/>
        <item x="1"/>
        <item t="default"/>
      </items>
    </pivotField>
    <pivotField numFmtId="164" showAll="0"/>
    <pivotField numFmtId="3" showAll="0"/>
    <pivotField axis="axisRow" showAll="0">
      <items count="4">
        <item x="0"/>
        <item x="2"/>
        <item x="1"/>
        <item t="default"/>
      </items>
    </pivotField>
    <pivotField showAll="0" defaultSubtotal="0"/>
    <pivotField showAll="0" defaultSubtotal="0"/>
    <pivotField showAll="0" defaultSubtotal="0">
      <items count="4">
        <item x="0"/>
        <item x="1"/>
        <item x="2"/>
        <item x="3"/>
      </items>
    </pivotField>
  </pivotFields>
  <rowFields count="2">
    <field x="18"/>
    <field x="22"/>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3">
    <i>
      <x/>
    </i>
    <i i="1">
      <x v="1"/>
    </i>
    <i i="2">
      <x v="2"/>
    </i>
  </colItems>
  <dataFields count="3">
    <dataField name="Sum of Budget" fld="5" baseField="0" baseItem="0" numFmtId="164"/>
    <dataField name="Sum of Revenue" fld="10" baseField="0" baseItem="0" numFmtId="165"/>
    <dataField name="Average of ROAS" fld="16" subtotal="average" baseField="18" baseItem="0" numFmtId="10"/>
  </dataFields>
  <formats count="2">
    <format dxfId="48">
      <pivotArea dataOnly="0" outline="0" fieldPosition="0">
        <references count="1">
          <reference field="4294967294" count="2">
            <x v="0"/>
            <x v="1"/>
          </reference>
        </references>
      </pivotArea>
    </format>
    <format dxfId="47">
      <pivotArea dataOnly="0" outline="0" fieldPosition="0">
        <references count="1">
          <reference field="4294967294" count="1">
            <x v="2"/>
          </reference>
        </references>
      </pivotArea>
    </format>
  </formats>
  <chartFormats count="24">
    <chartFormat chart="0" format="0" series="1">
      <pivotArea type="data" outline="0" fieldPosition="0">
        <references count="1">
          <reference field="22" count="1" selected="0">
            <x v="0"/>
          </reference>
        </references>
      </pivotArea>
    </chartFormat>
    <chartFormat chart="0" format="1" series="1">
      <pivotArea type="data" outline="0" fieldPosition="0">
        <references count="1">
          <reference field="22" count="1" selected="0">
            <x v="1"/>
          </reference>
        </references>
      </pivotArea>
    </chartFormat>
    <chartFormat chart="0" format="2" series="1">
      <pivotArea type="data" outline="0" fieldPosition="0">
        <references count="1">
          <reference field="22" count="1" selected="0">
            <x v="2"/>
          </reference>
        </references>
      </pivotArea>
    </chartFormat>
    <chartFormat chart="0" format="3" series="1">
      <pivotArea type="data" outline="0" fieldPosition="0">
        <references count="2">
          <reference field="4294967294" count="1" selected="0">
            <x v="1"/>
          </reference>
          <reference field="22" count="1" selected="0">
            <x v="1"/>
          </reference>
        </references>
      </pivotArea>
    </chartFormat>
    <chartFormat chart="0" format="4" series="1">
      <pivotArea type="data" outline="0" fieldPosition="0">
        <references count="2">
          <reference field="4294967294" count="1" selected="0">
            <x v="0"/>
          </reference>
          <reference field="22" count="1" selected="0">
            <x v="2"/>
          </reference>
        </references>
      </pivotArea>
    </chartFormat>
    <chartFormat chart="0" format="5" series="1">
      <pivotArea type="data" outline="0" fieldPosition="0">
        <references count="2">
          <reference field="4294967294" count="1" selected="0">
            <x v="1"/>
          </reference>
          <reference field="22" count="1" selected="0">
            <x v="2"/>
          </reference>
        </references>
      </pivotArea>
    </chartFormat>
    <chartFormat chart="0" format="21" series="1">
      <pivotArea type="data" outline="0" fieldPosition="0">
        <references count="2">
          <reference field="4294967294" count="1" selected="0">
            <x v="0"/>
          </reference>
          <reference field="18" count="1" selected="0">
            <x v="0"/>
          </reference>
        </references>
      </pivotArea>
    </chartFormat>
    <chartFormat chart="0" format="22" series="1">
      <pivotArea type="data" outline="0" fieldPosition="0">
        <references count="2">
          <reference field="4294967294" count="1" selected="0">
            <x v="0"/>
          </reference>
          <reference field="18" count="1" selected="0">
            <x v="1"/>
          </reference>
        </references>
      </pivotArea>
    </chartFormat>
    <chartFormat chart="0" format="23" series="1">
      <pivotArea type="data" outline="0" fieldPosition="0">
        <references count="2">
          <reference field="4294967294" count="1" selected="0">
            <x v="0"/>
          </reference>
          <reference field="18" count="1" selected="0">
            <x v="2"/>
          </reference>
        </references>
      </pivotArea>
    </chartFormat>
    <chartFormat chart="0" format="24" series="1">
      <pivotArea type="data" outline="0" fieldPosition="0">
        <references count="2">
          <reference field="4294967294" count="1" selected="0">
            <x v="0"/>
          </reference>
          <reference field="18" count="1" selected="0">
            <x v="3"/>
          </reference>
        </references>
      </pivotArea>
    </chartFormat>
    <chartFormat chart="0" format="25" series="1">
      <pivotArea type="data" outline="0" fieldPosition="0">
        <references count="2">
          <reference field="4294967294" count="1" selected="0">
            <x v="0"/>
          </reference>
          <reference field="18" count="1" selected="0">
            <x v="4"/>
          </reference>
        </references>
      </pivotArea>
    </chartFormat>
    <chartFormat chart="0" format="26" series="1">
      <pivotArea type="data" outline="0" fieldPosition="0">
        <references count="3">
          <reference field="4294967294" count="1" selected="0">
            <x v="0"/>
          </reference>
          <reference field="18" count="1" selected="0">
            <x v="1"/>
          </reference>
          <reference field="22" count="1" selected="0">
            <x v="2"/>
          </reference>
        </references>
      </pivotArea>
    </chartFormat>
    <chartFormat chart="0" format="27" series="1">
      <pivotArea type="data" outline="0" fieldPosition="0">
        <references count="3">
          <reference field="4294967294" count="1" selected="0">
            <x v="0"/>
          </reference>
          <reference field="18" count="1" selected="0">
            <x v="2"/>
          </reference>
          <reference field="22" count="1" selected="0">
            <x v="0"/>
          </reference>
        </references>
      </pivotArea>
    </chartFormat>
    <chartFormat chart="0" format="28" series="1">
      <pivotArea type="data" outline="0" fieldPosition="0">
        <references count="3">
          <reference field="4294967294" count="1" selected="0">
            <x v="0"/>
          </reference>
          <reference field="18" count="1" selected="0">
            <x v="2"/>
          </reference>
          <reference field="22" count="1" selected="0">
            <x v="1"/>
          </reference>
        </references>
      </pivotArea>
    </chartFormat>
    <chartFormat chart="0" format="29" series="1">
      <pivotArea type="data" outline="0" fieldPosition="0">
        <references count="3">
          <reference field="4294967294" count="1" selected="0">
            <x v="0"/>
          </reference>
          <reference field="18" count="1" selected="0">
            <x v="2"/>
          </reference>
          <reference field="22" count="1" selected="0">
            <x v="2"/>
          </reference>
        </references>
      </pivotArea>
    </chartFormat>
    <chartFormat chart="0" format="30" series="1">
      <pivotArea type="data" outline="0" fieldPosition="0">
        <references count="3">
          <reference field="4294967294" count="1" selected="0">
            <x v="0"/>
          </reference>
          <reference field="18" count="1" selected="0">
            <x v="3"/>
          </reference>
          <reference field="22" count="1" selected="0">
            <x v="0"/>
          </reference>
        </references>
      </pivotArea>
    </chartFormat>
    <chartFormat chart="0" format="31" series="1">
      <pivotArea type="data" outline="0" fieldPosition="0">
        <references count="3">
          <reference field="4294967294" count="1" selected="0">
            <x v="0"/>
          </reference>
          <reference field="18" count="1" selected="0">
            <x v="3"/>
          </reference>
          <reference field="22" count="1" selected="0">
            <x v="1"/>
          </reference>
        </references>
      </pivotArea>
    </chartFormat>
    <chartFormat chart="0" format="32" series="1">
      <pivotArea type="data" outline="0" fieldPosition="0">
        <references count="3">
          <reference field="4294967294" count="1" selected="0">
            <x v="0"/>
          </reference>
          <reference field="18" count="1" selected="0">
            <x v="3"/>
          </reference>
          <reference field="22" count="1" selected="0">
            <x v="2"/>
          </reference>
        </references>
      </pivotArea>
    </chartFormat>
    <chartFormat chart="0" format="33" series="1">
      <pivotArea type="data" outline="0" fieldPosition="0">
        <references count="3">
          <reference field="4294967294" count="1" selected="0">
            <x v="0"/>
          </reference>
          <reference field="18" count="1" selected="0">
            <x v="4"/>
          </reference>
          <reference field="22" count="1" selected="0">
            <x v="0"/>
          </reference>
        </references>
      </pivotArea>
    </chartFormat>
    <chartFormat chart="0" format="34" series="1">
      <pivotArea type="data" outline="0" fieldPosition="0">
        <references count="3">
          <reference field="4294967294" count="1" selected="0">
            <x v="0"/>
          </reference>
          <reference field="18" count="1" selected="0">
            <x v="4"/>
          </reference>
          <reference field="22" count="1" selected="0">
            <x v="1"/>
          </reference>
        </references>
      </pivotArea>
    </chartFormat>
    <chartFormat chart="0" format="35" series="1">
      <pivotArea type="data" outline="0" fieldPosition="0">
        <references count="3">
          <reference field="4294967294" count="1" selected="0">
            <x v="0"/>
          </reference>
          <reference field="18" count="1" selected="0">
            <x v="4"/>
          </reference>
          <reference field="22" count="1" selected="0">
            <x v="2"/>
          </reference>
        </references>
      </pivotArea>
    </chartFormat>
    <chartFormat chart="0" format="36" series="1">
      <pivotArea type="data" outline="0" fieldPosition="0">
        <references count="1">
          <reference field="4294967294" count="1" selected="0">
            <x v="0"/>
          </reference>
        </references>
      </pivotArea>
    </chartFormat>
    <chartFormat chart="0" format="37" series="1">
      <pivotArea type="data" outline="0" fieldPosition="0">
        <references count="1">
          <reference field="4294967294" count="1" selected="0">
            <x v="1"/>
          </reference>
        </references>
      </pivotArea>
    </chartFormat>
    <chartFormat chart="0" format="3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D71188-4F1F-AC43-AD73-B53637E4A68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M8" firstHeaderRow="1" firstDataRow="2"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pivotField numFmtId="3" showAll="0"/>
    <pivotField numFmtId="3" showAll="0"/>
    <pivotField numFmtId="3" showAll="0"/>
    <pivotField numFmtId="165" showAll="0"/>
    <pivotField numFmtId="10" showAll="0"/>
    <pivotField numFmtId="10" showAll="0"/>
    <pivotField numFmtId="165" showAll="0"/>
    <pivotField numFmtId="165" showAll="0"/>
    <pivotField numFmtId="10" showAll="0"/>
    <pivotField dataField="1" numFmtId="10" showAll="0"/>
    <pivotField showAll="0"/>
    <pivotField axis="axisRow" showAll="0">
      <items count="6">
        <item x="4"/>
        <item x="2"/>
        <item x="3"/>
        <item x="0"/>
        <item x="1"/>
        <item t="default"/>
      </items>
    </pivotField>
    <pivotField showAll="0"/>
    <pivotField numFmtId="164" showAll="0"/>
    <pivotField numFmtId="3" showAll="0"/>
    <pivotField axis="axisCol"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Fields count="1">
    <field x="22"/>
  </colFields>
  <colItems count="4">
    <i>
      <x/>
    </i>
    <i>
      <x v="1"/>
    </i>
    <i>
      <x v="2"/>
    </i>
    <i t="grand">
      <x/>
    </i>
  </colItems>
  <dataFields count="1">
    <dataField name="Average of ROAS" fld="16"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084946-2B03-8749-A830-EE39653CD87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G7" firstHeaderRow="0"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items count="5">
        <item x="0"/>
        <item x="3"/>
        <item x="1"/>
        <item x="2"/>
        <item t="default"/>
      </items>
    </pivotField>
    <pivotField numFmtId="3" showAll="0"/>
    <pivotField numFmtId="3" showAll="0"/>
    <pivotField numFmtId="3" showAll="0"/>
    <pivotField dataField="1" numFmtId="165" showAll="0"/>
    <pivotField dataField="1" numFmtId="10" showAll="0"/>
    <pivotField dataField="1" numFmtId="10" showAll="0"/>
    <pivotField numFmtId="165" showAll="0"/>
    <pivotField dataField="1" numFmtId="165" showAll="0"/>
    <pivotField numFmtId="10" showAll="0"/>
    <pivotField dataField="1" numFmtId="10" showAll="0"/>
    <pivotField showAll="0"/>
    <pivotField axis="axisRow" showAll="0">
      <items count="6">
        <item x="4"/>
        <item x="2"/>
        <item x="3"/>
        <item x="0"/>
        <item x="1"/>
        <item t="default"/>
      </items>
    </pivotField>
    <pivotField showAll="0">
      <items count="4">
        <item x="2"/>
        <item x="0"/>
        <item x="1"/>
        <item t="default"/>
      </items>
    </pivotField>
    <pivotField dataField="1" numFmtId="164" showAll="0"/>
    <pivotField numFmtId="3"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Fields count="1">
    <field x="-2"/>
  </colFields>
  <colItems count="6">
    <i>
      <x/>
    </i>
    <i i="1">
      <x v="1"/>
    </i>
    <i i="2">
      <x v="2"/>
    </i>
    <i i="3">
      <x v="3"/>
    </i>
    <i i="4">
      <x v="4"/>
    </i>
    <i i="5">
      <x v="5"/>
    </i>
  </colItems>
  <dataFields count="6">
    <dataField name="Average of ROAS" fld="16" subtotal="average" baseField="0" baseItem="0" numFmtId="10"/>
    <dataField name="Average of Cost per acquisition" fld="14" subtotal="average" baseField="0" baseItem="0" numFmtId="165"/>
    <dataField name="Average of Conversion Rate" fld="12" subtotal="average" baseField="0" baseItem="0" numFmtId="10"/>
    <dataField name="Average of Click Through Rate" fld="11" subtotal="average" baseField="0" baseItem="0" numFmtId="10"/>
    <dataField name="Sum of Ad Spend" fld="20" baseField="0" baseItem="0" numFmtId="164"/>
    <dataField name="Sum of Revenue" fld="10" baseField="0" baseItem="0" numFmtId="165"/>
  </dataFields>
  <formats count="2">
    <format dxfId="1">
      <pivotArea collapsedLevelsAreSubtotals="1" fieldPosition="0">
        <references count="2">
          <reference field="4294967294" count="1" selected="0">
            <x v="1"/>
          </reference>
          <reference field="18" count="1">
            <x v="0"/>
          </reference>
        </references>
      </pivotArea>
    </format>
    <format dxfId="0">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3"/>
          </reference>
        </references>
      </pivotArea>
    </chartFormat>
    <chartFormat chart="0" format="1"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ECCFB6-8E78-214E-9120-447A6A9C41F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0:J16" firstHeaderRow="1"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showAll="0"/>
    <pivotField numFmtId="3" showAll="0"/>
    <pivotField numFmtId="3" showAll="0"/>
    <pivotField numFmtId="3" showAll="0"/>
    <pivotField numFmtId="165" showAll="0"/>
    <pivotField numFmtId="10" showAll="0"/>
    <pivotField numFmtId="10" showAll="0"/>
    <pivotField numFmtId="165" showAll="0"/>
    <pivotField numFmtId="165" showAll="0"/>
    <pivotField dataField="1" numFmtId="10" showAll="0"/>
    <pivotField numFmtId="10" showAll="0"/>
    <pivotField showAll="0"/>
    <pivotField axis="axisRow" showAll="0">
      <items count="6">
        <item x="4"/>
        <item x="2"/>
        <item x="3"/>
        <item x="0"/>
        <item x="1"/>
        <item t="default"/>
      </items>
    </pivotField>
    <pivotField showAll="0"/>
    <pivotField numFmtId="164"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6">
    <i>
      <x/>
    </i>
    <i>
      <x v="1"/>
    </i>
    <i>
      <x v="2"/>
    </i>
    <i>
      <x v="3"/>
    </i>
    <i>
      <x v="4"/>
    </i>
    <i t="grand">
      <x/>
    </i>
  </rowItems>
  <colItems count="1">
    <i/>
  </colItems>
  <dataFields count="1">
    <dataField name="Average of BUDGET UTILISATION" fld="15" subtotal="average"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9E7074C-9A9F-3744-95D4-3838CB4843A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1:S37" firstHeaderRow="1" firstDataRow="2" firstDataCol="1"/>
  <pivotFields count="26">
    <pivotField dataField="1" showAll="0"/>
    <pivotField axis="axisRow"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axis="axisCol" showAll="0">
      <items count="3">
        <item x="0"/>
        <item x="1"/>
        <item t="default"/>
      </items>
    </pivotField>
    <pivotField numFmtId="2" showAll="0"/>
    <pivotField numFmtId="164" showAll="0"/>
    <pivotField showAll="0"/>
    <pivotField numFmtId="3" showAll="0"/>
    <pivotField numFmtId="3" showAll="0"/>
    <pivotField numFmtId="3" showAll="0"/>
    <pivotField numFmtId="165" showAll="0"/>
    <pivotField numFmtId="10" showAll="0"/>
    <pivotField numFmtId="10" showAll="0"/>
    <pivotField numFmtId="165" showAll="0"/>
    <pivotField numFmtId="165" showAll="0"/>
    <pivotField numFmtId="10" showAll="0"/>
    <pivotField numFmtId="10" showAll="0"/>
    <pivotField showAll="0"/>
    <pivotField showAll="0"/>
    <pivotField showAll="0"/>
    <pivotField numFmtId="164" showAll="0"/>
    <pivotField numFmtId="3"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25"/>
    <field x="24"/>
    <field x="23"/>
    <field x="1"/>
  </rowFields>
  <rowItems count="35">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Fields count="1">
    <field x="3"/>
  </colFields>
  <colItems count="3">
    <i>
      <x/>
    </i>
    <i>
      <x v="1"/>
    </i>
    <i t="grand">
      <x/>
    </i>
  </colItems>
  <dataFields count="1">
    <dataField name="Count of Campaign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B095EA3-B6E5-3E4B-A188-9DA84BE095F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C14" firstHeaderRow="0" firstDataRow="1" firstDataCol="1"/>
  <pivotFields count="26">
    <pivotField showAll="0"/>
    <pivotField numFmtId="166" showAll="0">
      <items count="1001">
        <item x="722"/>
        <item x="842"/>
        <item x="281"/>
        <item x="147"/>
        <item x="110"/>
        <item x="365"/>
        <item x="157"/>
        <item x="349"/>
        <item x="746"/>
        <item x="661"/>
        <item x="908"/>
        <item x="242"/>
        <item x="32"/>
        <item x="732"/>
        <item x="188"/>
        <item x="131"/>
        <item x="503"/>
        <item x="738"/>
        <item x="310"/>
        <item x="218"/>
        <item x="174"/>
        <item x="430"/>
        <item x="640"/>
        <item x="88"/>
        <item x="488"/>
        <item x="178"/>
        <item x="339"/>
        <item x="16"/>
        <item x="715"/>
        <item x="882"/>
        <item x="385"/>
        <item x="513"/>
        <item x="154"/>
        <item x="461"/>
        <item x="555"/>
        <item x="362"/>
        <item x="103"/>
        <item x="443"/>
        <item x="662"/>
        <item x="784"/>
        <item x="197"/>
        <item x="657"/>
        <item x="711"/>
        <item x="524"/>
        <item x="775"/>
        <item x="153"/>
        <item x="630"/>
        <item x="523"/>
        <item x="830"/>
        <item x="829"/>
        <item x="877"/>
        <item x="142"/>
        <item x="183"/>
        <item x="136"/>
        <item x="718"/>
        <item x="938"/>
        <item x="298"/>
        <item x="880"/>
        <item x="669"/>
        <item x="685"/>
        <item x="929"/>
        <item x="160"/>
        <item x="665"/>
        <item x="322"/>
        <item x="216"/>
        <item x="572"/>
        <item x="428"/>
        <item x="800"/>
        <item x="353"/>
        <item x="205"/>
        <item x="89"/>
        <item x="827"/>
        <item x="682"/>
        <item x="979"/>
        <item x="982"/>
        <item x="61"/>
        <item x="991"/>
        <item x="510"/>
        <item x="536"/>
        <item x="635"/>
        <item x="270"/>
        <item x="701"/>
        <item x="899"/>
        <item x="57"/>
        <item x="127"/>
        <item x="260"/>
        <item x="291"/>
        <item x="85"/>
        <item x="329"/>
        <item x="525"/>
        <item x="317"/>
        <item x="132"/>
        <item x="24"/>
        <item x="824"/>
        <item x="133"/>
        <item x="263"/>
        <item x="388"/>
        <item x="95"/>
        <item x="18"/>
        <item x="212"/>
        <item x="582"/>
        <item x="953"/>
        <item x="162"/>
        <item x="2"/>
        <item x="788"/>
        <item x="997"/>
        <item x="447"/>
        <item x="970"/>
        <item x="476"/>
        <item x="478"/>
        <item x="984"/>
        <item x="853"/>
        <item x="959"/>
        <item x="815"/>
        <item x="561"/>
        <item x="286"/>
        <item x="812"/>
        <item x="870"/>
        <item x="869"/>
        <item x="963"/>
        <item x="773"/>
        <item x="911"/>
        <item x="740"/>
        <item x="448"/>
        <item x="111"/>
        <item x="455"/>
        <item x="483"/>
        <item x="412"/>
        <item x="465"/>
        <item x="972"/>
        <item x="182"/>
        <item x="48"/>
        <item x="289"/>
        <item x="56"/>
        <item x="450"/>
        <item x="170"/>
        <item x="470"/>
        <item x="548"/>
        <item x="538"/>
        <item x="878"/>
        <item x="700"/>
        <item x="201"/>
        <item x="797"/>
        <item x="84"/>
        <item x="579"/>
        <item x="6"/>
        <item x="287"/>
        <item x="236"/>
        <item x="233"/>
        <item x="0"/>
        <item x="996"/>
        <item x="864"/>
        <item x="226"/>
        <item x="65"/>
        <item x="333"/>
        <item x="900"/>
        <item x="458"/>
        <item x="671"/>
        <item x="622"/>
        <item x="897"/>
        <item x="36"/>
        <item x="312"/>
        <item x="83"/>
        <item x="304"/>
        <item x="919"/>
        <item x="92"/>
        <item x="366"/>
        <item x="409"/>
        <item x="614"/>
        <item x="802"/>
        <item x="873"/>
        <item x="745"/>
        <item x="602"/>
        <item x="382"/>
        <item x="163"/>
        <item x="496"/>
        <item x="265"/>
        <item x="134"/>
        <item x="971"/>
        <item x="151"/>
        <item x="677"/>
        <item x="744"/>
        <item x="51"/>
        <item x="374"/>
        <item x="429"/>
        <item x="817"/>
        <item x="763"/>
        <item x="890"/>
        <item x="709"/>
        <item x="641"/>
        <item x="517"/>
        <item x="117"/>
        <item x="25"/>
        <item x="560"/>
        <item x="940"/>
        <item x="584"/>
        <item x="975"/>
        <item x="860"/>
        <item x="143"/>
        <item x="122"/>
        <item x="332"/>
        <item x="948"/>
        <item x="527"/>
        <item x="564"/>
        <item x="145"/>
        <item x="616"/>
        <item x="697"/>
        <item x="956"/>
        <item x="947"/>
        <item x="804"/>
        <item x="222"/>
        <item x="791"/>
        <item x="177"/>
        <item x="551"/>
        <item x="558"/>
        <item x="777"/>
        <item x="990"/>
        <item x="251"/>
        <item x="345"/>
        <item x="109"/>
        <item x="552"/>
        <item x="43"/>
        <item x="29"/>
        <item x="364"/>
        <item x="603"/>
        <item x="690"/>
        <item x="504"/>
        <item x="181"/>
        <item x="544"/>
        <item x="818"/>
        <item x="22"/>
        <item x="472"/>
        <item x="477"/>
        <item x="460"/>
        <item x="965"/>
        <item x="810"/>
        <item x="754"/>
        <item x="155"/>
        <item x="597"/>
        <item x="681"/>
        <item x="202"/>
        <item x="283"/>
        <item x="922"/>
        <item x="10"/>
        <item x="553"/>
        <item x="422"/>
        <item x="199"/>
        <item x="499"/>
        <item x="19"/>
        <item x="749"/>
        <item x="421"/>
        <item x="180"/>
        <item x="743"/>
        <item x="730"/>
        <item x="801"/>
        <item x="325"/>
        <item x="918"/>
        <item x="881"/>
        <item x="611"/>
        <item x="8"/>
        <item x="958"/>
        <item x="910"/>
        <item x="704"/>
        <item x="167"/>
        <item x="716"/>
        <item x="387"/>
        <item x="490"/>
        <item x="856"/>
        <item x="590"/>
        <item x="378"/>
        <item x="849"/>
        <item x="891"/>
        <item x="518"/>
        <item x="766"/>
        <item x="344"/>
        <item x="390"/>
        <item x="648"/>
        <item x="98"/>
        <item x="4"/>
        <item x="509"/>
        <item x="916"/>
        <item x="577"/>
        <item x="264"/>
        <item x="679"/>
        <item x="386"/>
        <item x="492"/>
        <item x="914"/>
        <item x="520"/>
        <item x="442"/>
        <item x="288"/>
        <item x="129"/>
        <item x="204"/>
        <item x="605"/>
        <item x="295"/>
        <item x="294"/>
        <item x="871"/>
        <item x="434"/>
        <item x="148"/>
        <item x="500"/>
        <item x="239"/>
        <item x="936"/>
        <item x="894"/>
        <item x="719"/>
        <item x="96"/>
        <item x="52"/>
        <item x="321"/>
        <item x="454"/>
        <item x="593"/>
        <item x="82"/>
        <item x="595"/>
        <item x="415"/>
        <item x="618"/>
        <item x="901"/>
        <item x="105"/>
        <item x="50"/>
        <item x="49"/>
        <item x="34"/>
        <item x="323"/>
        <item x="751"/>
        <item x="785"/>
        <item x="688"/>
        <item x="452"/>
        <item x="565"/>
        <item x="307"/>
        <item x="1"/>
        <item x="397"/>
        <item x="535"/>
        <item x="939"/>
        <item x="599"/>
        <item x="391"/>
        <item x="968"/>
        <item x="985"/>
        <item x="507"/>
        <item x="639"/>
        <item x="360"/>
        <item x="66"/>
        <item x="550"/>
        <item x="164"/>
        <item x="502"/>
        <item x="742"/>
        <item x="106"/>
        <item x="717"/>
        <item x="883"/>
        <item x="999"/>
        <item x="400"/>
        <item x="706"/>
        <item x="857"/>
        <item x="425"/>
        <item x="404"/>
        <item x="559"/>
        <item x="350"/>
        <item x="284"/>
        <item x="693"/>
        <item x="245"/>
        <item x="198"/>
        <item x="280"/>
        <item x="904"/>
        <item x="892"/>
        <item x="974"/>
        <item x="479"/>
        <item x="254"/>
        <item x="895"/>
        <item x="220"/>
        <item x="207"/>
        <item x="946"/>
        <item x="303"/>
        <item x="537"/>
        <item x="556"/>
        <item x="840"/>
        <item x="314"/>
        <item x="27"/>
        <item x="320"/>
        <item x="678"/>
        <item x="290"/>
        <item x="449"/>
        <item x="531"/>
        <item x="215"/>
        <item x="485"/>
        <item x="210"/>
        <item x="100"/>
        <item x="35"/>
        <item x="115"/>
        <item x="301"/>
        <item x="13"/>
        <item x="373"/>
        <item x="530"/>
        <item x="858"/>
        <item x="423"/>
        <item x="647"/>
        <item x="613"/>
        <item x="189"/>
        <item x="480"/>
        <item x="190"/>
        <item x="533"/>
        <item x="924"/>
        <item x="950"/>
        <item x="628"/>
        <item x="930"/>
        <item x="318"/>
        <item x="11"/>
        <item x="311"/>
        <item x="473"/>
        <item x="820"/>
        <item x="907"/>
        <item x="191"/>
        <item x="495"/>
        <item x="725"/>
        <item x="128"/>
        <item x="313"/>
        <item x="497"/>
        <item x="267"/>
        <item x="309"/>
        <item x="194"/>
        <item x="903"/>
        <item x="347"/>
        <item x="293"/>
        <item x="104"/>
        <item x="994"/>
        <item x="380"/>
        <item x="932"/>
        <item x="60"/>
        <item x="769"/>
        <item x="159"/>
        <item x="598"/>
        <item x="624"/>
        <item x="983"/>
        <item x="761"/>
        <item x="831"/>
        <item x="252"/>
        <item x="54"/>
        <item x="203"/>
        <item x="672"/>
        <item x="340"/>
        <item x="39"/>
        <item x="594"/>
        <item x="642"/>
        <item x="237"/>
        <item x="158"/>
        <item x="402"/>
        <item x="758"/>
        <item x="651"/>
        <item x="393"/>
        <item x="545"/>
        <item x="437"/>
        <item x="247"/>
        <item x="803"/>
        <item x="989"/>
        <item x="663"/>
        <item x="978"/>
        <item x="377"/>
        <item x="670"/>
        <item x="516"/>
        <item x="850"/>
        <item x="591"/>
        <item x="176"/>
        <item x="658"/>
        <item x="848"/>
        <item x="574"/>
        <item x="687"/>
        <item x="342"/>
        <item x="526"/>
        <item x="549"/>
        <item x="866"/>
        <item x="934"/>
        <item x="793"/>
        <item x="246"/>
        <item x="195"/>
        <item x="357"/>
        <item x="790"/>
        <item x="680"/>
        <item x="413"/>
        <item x="676"/>
        <item x="282"/>
        <item x="654"/>
        <item x="336"/>
        <item x="405"/>
        <item x="610"/>
        <item x="649"/>
        <item x="334"/>
        <item x="81"/>
        <item x="782"/>
        <item x="97"/>
        <item x="705"/>
        <item x="913"/>
        <item x="243"/>
        <item x="489"/>
        <item x="673"/>
        <item x="396"/>
        <item x="432"/>
        <item x="653"/>
        <item x="64"/>
        <item x="186"/>
        <item x="909"/>
        <item x="757"/>
        <item x="617"/>
        <item x="712"/>
        <item x="102"/>
        <item x="297"/>
        <item x="879"/>
        <item x="689"/>
        <item x="138"/>
        <item x="171"/>
        <item x="319"/>
        <item x="585"/>
        <item x="805"/>
        <item x="819"/>
        <item x="300"/>
        <item x="217"/>
        <item x="714"/>
        <item x="702"/>
        <item x="692"/>
        <item x="508"/>
        <item x="299"/>
        <item x="921"/>
        <item x="811"/>
        <item x="821"/>
        <item x="568"/>
        <item x="73"/>
        <item x="726"/>
        <item x="885"/>
        <item x="272"/>
        <item x="573"/>
        <item x="674"/>
        <item x="223"/>
        <item x="542"/>
        <item x="358"/>
        <item x="408"/>
        <item x="487"/>
        <item x="200"/>
        <item x="969"/>
        <item x="20"/>
        <item x="464"/>
        <item x="367"/>
        <item x="557"/>
        <item x="737"/>
        <item x="993"/>
        <item x="232"/>
        <item x="826"/>
        <item x="859"/>
        <item x="433"/>
        <item x="710"/>
        <item x="976"/>
        <item x="229"/>
        <item x="606"/>
        <item x="884"/>
        <item x="863"/>
        <item x="592"/>
        <item x="28"/>
        <item x="126"/>
        <item x="135"/>
        <item x="141"/>
        <item x="439"/>
        <item x="384"/>
        <item x="563"/>
        <item x="720"/>
        <item x="935"/>
        <item x="361"/>
        <item x="308"/>
        <item x="72"/>
        <item x="462"/>
        <item x="755"/>
        <item x="636"/>
        <item x="949"/>
        <item x="664"/>
        <item x="846"/>
        <item x="107"/>
        <item x="966"/>
        <item x="708"/>
        <item x="898"/>
        <item x="578"/>
        <item x="519"/>
        <item x="554"/>
        <item x="995"/>
        <item x="269"/>
        <item x="659"/>
        <item x="139"/>
        <item x="931"/>
        <item x="214"/>
        <item x="346"/>
        <item x="456"/>
        <item x="759"/>
        <item x="211"/>
        <item x="381"/>
        <item x="626"/>
        <item x="874"/>
        <item x="327"/>
        <item x="161"/>
        <item x="695"/>
        <item x="74"/>
        <item x="942"/>
        <item x="774"/>
        <item x="713"/>
        <item x="762"/>
        <item x="419"/>
        <item x="302"/>
        <item x="315"/>
        <item x="91"/>
        <item x="271"/>
        <item x="55"/>
        <item x="684"/>
        <item x="807"/>
        <item x="469"/>
        <item x="406"/>
        <item x="522"/>
        <item x="71"/>
        <item x="436"/>
        <item x="228"/>
        <item x="855"/>
        <item x="768"/>
        <item x="244"/>
        <item x="179"/>
        <item x="753"/>
        <item x="566"/>
        <item x="152"/>
        <item x="441"/>
        <item x="792"/>
        <item x="277"/>
        <item x="620"/>
        <item x="707"/>
        <item x="852"/>
        <item x="482"/>
        <item x="486"/>
        <item x="631"/>
        <item x="604"/>
        <item x="343"/>
        <item x="9"/>
        <item x="794"/>
        <item x="352"/>
        <item x="481"/>
        <item x="607"/>
        <item x="736"/>
        <item x="655"/>
        <item x="876"/>
        <item x="893"/>
        <item x="615"/>
        <item x="799"/>
        <item x="354"/>
        <item x="172"/>
        <item x="101"/>
        <item x="403"/>
        <item x="125"/>
        <item x="331"/>
        <item x="666"/>
        <item x="580"/>
        <item x="567"/>
        <item x="256"/>
        <item x="861"/>
        <item x="809"/>
        <item x="588"/>
        <item x="7"/>
        <item x="120"/>
        <item x="53"/>
        <item x="379"/>
        <item x="431"/>
        <item x="823"/>
        <item x="37"/>
        <item x="221"/>
        <item x="414"/>
        <item x="395"/>
        <item x="166"/>
        <item x="917"/>
        <item x="779"/>
        <item x="31"/>
        <item x="961"/>
        <item x="192"/>
        <item x="867"/>
        <item x="733"/>
        <item x="255"/>
        <item x="146"/>
        <item x="401"/>
        <item x="865"/>
        <item x="747"/>
        <item x="420"/>
        <item x="783"/>
        <item x="841"/>
        <item x="193"/>
        <item x="838"/>
        <item x="175"/>
        <item x="633"/>
        <item x="789"/>
        <item x="944"/>
        <item x="906"/>
        <item x="569"/>
        <item x="650"/>
        <item x="363"/>
        <item x="427"/>
        <item x="213"/>
        <item x="501"/>
        <item x="625"/>
        <item x="632"/>
        <item x="3"/>
        <item x="30"/>
        <item x="261"/>
        <item x="721"/>
        <item x="760"/>
        <item x="338"/>
        <item x="173"/>
        <item x="337"/>
        <item x="93"/>
        <item x="534"/>
        <item x="832"/>
        <item x="276"/>
        <item x="262"/>
        <item x="637"/>
        <item x="257"/>
        <item x="356"/>
        <item x="76"/>
        <item x="359"/>
        <item x="58"/>
        <item x="813"/>
        <item x="108"/>
        <item x="47"/>
        <item x="124"/>
        <item x="511"/>
        <item x="589"/>
        <item x="21"/>
        <item x="734"/>
        <item x="735"/>
        <item x="937"/>
        <item x="699"/>
        <item x="118"/>
        <item x="370"/>
        <item x="833"/>
        <item x="998"/>
        <item x="951"/>
        <item x="372"/>
        <item x="643"/>
        <item x="187"/>
        <item x="44"/>
        <item x="905"/>
        <item x="79"/>
        <item x="240"/>
        <item x="696"/>
        <item x="988"/>
        <item x="435"/>
        <item x="156"/>
        <item x="889"/>
        <item x="786"/>
        <item x="225"/>
        <item x="967"/>
        <item x="168"/>
        <item x="596"/>
        <item x="279"/>
        <item x="756"/>
        <item x="459"/>
        <item x="266"/>
        <item x="410"/>
        <item x="258"/>
        <item x="14"/>
        <item x="576"/>
        <item x="872"/>
        <item x="68"/>
        <item x="468"/>
        <item x="494"/>
        <item x="17"/>
        <item x="808"/>
        <item x="943"/>
        <item x="305"/>
        <item x="776"/>
        <item x="575"/>
        <item x="59"/>
        <item x="600"/>
        <item x="836"/>
        <item x="571"/>
        <item x="123"/>
        <item x="341"/>
        <item x="137"/>
        <item x="888"/>
        <item x="834"/>
        <item x="843"/>
        <item x="399"/>
        <item x="451"/>
        <item x="445"/>
        <item x="646"/>
        <item x="772"/>
        <item x="121"/>
        <item x="778"/>
        <item x="355"/>
        <item x="474"/>
        <item x="94"/>
        <item x="727"/>
        <item x="543"/>
        <item x="764"/>
        <item x="116"/>
        <item x="63"/>
        <item x="798"/>
        <item x="23"/>
        <item x="150"/>
        <item x="15"/>
        <item x="926"/>
        <item x="324"/>
        <item x="467"/>
        <item x="113"/>
        <item x="46"/>
        <item x="825"/>
        <item x="795"/>
        <item x="278"/>
        <item x="335"/>
        <item x="608"/>
        <item x="748"/>
        <item x="781"/>
        <item x="392"/>
        <item x="570"/>
        <item x="12"/>
        <item x="398"/>
        <item x="285"/>
        <item x="493"/>
        <item x="326"/>
        <item x="140"/>
        <item x="546"/>
        <item x="416"/>
        <item x="67"/>
        <item x="196"/>
        <item x="837"/>
        <item x="752"/>
        <item x="945"/>
        <item x="119"/>
        <item x="902"/>
        <item x="854"/>
        <item x="184"/>
        <item x="668"/>
        <item x="847"/>
        <item x="80"/>
        <item x="440"/>
        <item x="78"/>
        <item x="896"/>
        <item x="144"/>
        <item x="99"/>
        <item x="234"/>
        <item x="491"/>
        <item x="77"/>
        <item x="912"/>
        <item x="562"/>
        <item x="767"/>
        <item x="41"/>
        <item x="541"/>
        <item x="656"/>
        <item x="235"/>
        <item x="638"/>
        <item x="224"/>
        <item x="915"/>
        <item x="780"/>
        <item x="227"/>
        <item x="238"/>
        <item x="253"/>
        <item x="368"/>
        <item x="463"/>
        <item x="444"/>
        <item x="587"/>
        <item x="273"/>
        <item x="268"/>
        <item x="498"/>
        <item x="675"/>
        <item x="981"/>
        <item x="328"/>
        <item x="886"/>
        <item x="644"/>
        <item x="581"/>
        <item x="796"/>
        <item x="292"/>
        <item x="114"/>
        <item x="623"/>
        <item x="38"/>
        <item x="75"/>
        <item x="928"/>
        <item x="629"/>
        <item x="887"/>
        <item x="529"/>
        <item x="457"/>
        <item x="275"/>
        <item x="955"/>
        <item x="394"/>
        <item x="438"/>
        <item x="814"/>
        <item x="316"/>
        <item x="90"/>
        <item x="26"/>
        <item x="920"/>
        <item x="851"/>
        <item x="954"/>
        <item x="771"/>
        <item x="964"/>
        <item x="980"/>
        <item x="862"/>
        <item x="962"/>
        <item x="741"/>
        <item x="601"/>
        <item x="42"/>
        <item x="875"/>
        <item x="686"/>
        <item x="185"/>
        <item x="515"/>
        <item x="45"/>
        <item x="691"/>
        <item x="206"/>
        <item x="348"/>
        <item x="957"/>
        <item x="471"/>
        <item x="770"/>
        <item x="816"/>
        <item x="112"/>
        <item x="839"/>
        <item x="844"/>
        <item x="249"/>
        <item x="660"/>
        <item x="987"/>
        <item x="540"/>
        <item x="512"/>
        <item x="411"/>
        <item x="532"/>
        <item x="514"/>
        <item x="241"/>
        <item x="723"/>
        <item x="621"/>
        <item x="250"/>
        <item x="627"/>
        <item x="822"/>
        <item x="724"/>
        <item x="407"/>
        <item x="728"/>
        <item x="165"/>
        <item x="667"/>
        <item x="586"/>
        <item x="87"/>
        <item x="927"/>
        <item x="389"/>
        <item x="208"/>
        <item x="484"/>
        <item x="683"/>
        <item x="417"/>
        <item x="868"/>
        <item x="729"/>
        <item x="40"/>
        <item x="941"/>
        <item x="86"/>
        <item x="231"/>
        <item x="259"/>
        <item x="765"/>
        <item x="453"/>
        <item x="694"/>
        <item x="375"/>
        <item x="835"/>
        <item x="703"/>
        <item x="645"/>
        <item x="612"/>
        <item x="424"/>
        <item x="739"/>
        <item x="698"/>
        <item x="169"/>
        <item x="828"/>
        <item x="475"/>
        <item x="750"/>
        <item x="306"/>
        <item x="33"/>
        <item x="923"/>
        <item x="731"/>
        <item x="62"/>
        <item x="583"/>
        <item x="973"/>
        <item x="130"/>
        <item x="219"/>
        <item x="296"/>
        <item x="933"/>
        <item x="371"/>
        <item x="652"/>
        <item x="69"/>
        <item x="505"/>
        <item x="787"/>
        <item x="330"/>
        <item x="230"/>
        <item x="506"/>
        <item x="383"/>
        <item x="149"/>
        <item x="248"/>
        <item x="547"/>
        <item x="539"/>
        <item x="466"/>
        <item x="521"/>
        <item x="70"/>
        <item x="992"/>
        <item x="274"/>
        <item x="845"/>
        <item x="977"/>
        <item x="369"/>
        <item x="351"/>
        <item x="209"/>
        <item x="634"/>
        <item x="925"/>
        <item x="986"/>
        <item x="619"/>
        <item x="806"/>
        <item x="418"/>
        <item x="446"/>
        <item x="426"/>
        <item x="5"/>
        <item x="528"/>
        <item x="609"/>
        <item x="376"/>
        <item x="960"/>
        <item x="952"/>
        <item t="default"/>
      </items>
    </pivotField>
    <pivotField numFmtId="166" showAll="0"/>
    <pivotField showAll="0"/>
    <pivotField numFmtId="2" showAll="0"/>
    <pivotField numFmtId="164" showAll="0"/>
    <pivotField axis="axisRow" showAll="0">
      <items count="5">
        <item x="0"/>
        <item x="3"/>
        <item x="1"/>
        <item x="2"/>
        <item t="default"/>
      </items>
    </pivotField>
    <pivotField numFmtId="3" showAll="0"/>
    <pivotField numFmtId="3" showAll="0"/>
    <pivotField numFmtId="3" showAll="0"/>
    <pivotField numFmtId="165" showAll="0"/>
    <pivotField dataField="1" numFmtId="10" showAll="0"/>
    <pivotField dataField="1" numFmtId="10" showAll="0"/>
    <pivotField numFmtId="165" showAll="0"/>
    <pivotField numFmtId="165" showAll="0"/>
    <pivotField numFmtId="10" showAll="0"/>
    <pivotField numFmtId="10" showAll="0"/>
    <pivotField showAll="0"/>
    <pivotField showAll="0"/>
    <pivotField showAll="0"/>
    <pivotField numFmtId="164"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2"/>
  </colFields>
  <colItems count="2">
    <i>
      <x/>
    </i>
    <i i="1">
      <x v="1"/>
    </i>
  </colItems>
  <dataFields count="2">
    <dataField name="Average of Click Through Rate" fld="11" subtotal="average" baseField="0" baseItem="0" numFmtId="10"/>
    <dataField name="Average of Conversion Rate" fld="12"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dience" xr10:uid="{A8B77874-F79A-DA4A-8380-32208CC847DB}" sourceName="Audience">
  <pivotTables>
    <pivotTable tabId="16" name="PivotTable17"/>
    <pivotTable tabId="17" name="PivotTable16"/>
    <pivotTable tabId="18" name="PivotTable18"/>
    <pivotTable tabId="19" name="PivotTable20"/>
    <pivotTable tabId="20" name="PivotTable22"/>
    <pivotTable tabId="10" name="PivotTable10"/>
    <pivotTable tabId="11" name="PivotTable11"/>
    <pivotTable tabId="13" name="PivotTable13"/>
    <pivotTable tabId="14" name="PivotTable14"/>
    <pivotTable tabId="15" name="PivotTable15"/>
    <pivotTable tabId="22" name="PivotTable1"/>
  </pivotTables>
  <data>
    <tabular pivotCacheId="248266363">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75933CAF-9EBA-BB49-8677-DA97FA25BB4F}" sourceName="Sector">
  <pivotTables>
    <pivotTable tabId="16" name="PivotTable17"/>
    <pivotTable tabId="17" name="PivotTable16"/>
    <pivotTable tabId="18" name="PivotTable18"/>
    <pivotTable tabId="19" name="PivotTable20"/>
    <pivotTable tabId="20" name="PivotTable22"/>
    <pivotTable tabId="10" name="PivotTable10"/>
    <pivotTable tabId="11" name="PivotTable11"/>
    <pivotTable tabId="13" name="PivotTable13"/>
    <pivotTable tabId="14" name="PivotTable14"/>
    <pivotTable tabId="15" name="PivotTable15"/>
    <pivotTable tabId="22" name="PivotTable1"/>
  </pivotTables>
  <data>
    <tabular pivotCacheId="248266363">
      <items count="5">
        <i x="4" s="1"/>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1" xr10:uid="{CAFF77DC-0FD2-F948-8DD1-8DEEFA45EA05}" sourceName="Company Size">
  <pivotTables>
    <pivotTable tabId="16" name="PivotTable17"/>
    <pivotTable tabId="17" name="PivotTable16"/>
    <pivotTable tabId="18" name="PivotTable18"/>
    <pivotTable tabId="19" name="PivotTable20"/>
    <pivotTable tabId="20" name="PivotTable22"/>
    <pivotTable tabId="10" name="PivotTable10"/>
    <pivotTable tabId="11" name="PivotTable11"/>
    <pivotTable tabId="13" name="PivotTable13"/>
    <pivotTable tabId="14" name="PivotTable14"/>
    <pivotTable tabId="15" name="PivotTable15"/>
    <pivotTable tabId="22" name="PivotTable1"/>
  </pivotTables>
  <data>
    <tabular pivotCacheId="248266363">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lassification" xr10:uid="{AD6C57C8-EC8B-6C4F-ACAF-D8E0BEEA4C45}" sourceName="Rating Classification">
  <pivotTables>
    <pivotTable tabId="16" name="PivotTable17"/>
    <pivotTable tabId="17" name="PivotTable16"/>
    <pivotTable tabId="18" name="PivotTable18"/>
    <pivotTable tabId="19" name="PivotTable20"/>
    <pivotTable tabId="20" name="PivotTable22"/>
    <pivotTable tabId="10" name="PivotTable10"/>
    <pivotTable tabId="11" name="PivotTable11"/>
    <pivotTable tabId="13" name="PivotTable13"/>
    <pivotTable tabId="14" name="PivotTable14"/>
    <pivotTable tabId="15" name="PivotTable15"/>
    <pivotTable tabId="22" name="PivotTable1"/>
  </pivotTables>
  <data>
    <tabular pivotCacheId="24826636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udience" xr10:uid="{68AD738D-A81E-594D-A64A-933D2B208AA2}" cache="Slicer_Audience" caption="Audience" rowHeight="209550"/>
  <slicer name="Sector" xr10:uid="{DC71CF1D-E61F-D142-89FB-0343AD365A3E}" cache="Slicer_Sector" caption="Sector" rowHeight="209550"/>
  <slicer name="Company Size 1" xr10:uid="{769EAC58-3BFF-4B4D-A279-22836E88D678}" cache="Slicer_Company_Size1" caption="Company Size" rowHeight="209550"/>
  <slicer name="Rating Classification" xr10:uid="{25217866-0997-7946-9E02-4FEB1F1F92CA}" cache="Slicer_Rating_Classification" caption="Rating Classificat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2BD806-AFF6-DD40-A852-0BED3585ABF8}" name="Table1" displayName="Table1" ref="A1:W1002" totalsRowCount="1">
  <autoFilter ref="A1:W1001" xr:uid="{392BD806-AFF6-DD40-A852-0BED3585ABF8}"/>
  <tableColumns count="23">
    <tableColumn id="1" xr3:uid="{34C6EC8B-34D5-3941-A6C1-6845524F6ABA}" name="Campaign ID" dataDxfId="46" totalsRowDxfId="45"/>
    <tableColumn id="2" xr3:uid="{F0CB86CF-D953-B548-960A-456C5DE20445}" name="Start Date" dataDxfId="44" totalsRowDxfId="43"/>
    <tableColumn id="3" xr3:uid="{E22D8D5E-02E6-EA4F-A3A1-4B74E5294EC9}" name="End Date" dataDxfId="42" totalsRowDxfId="41"/>
    <tableColumn id="23" xr3:uid="{D999D27E-EA69-D74C-A953-2C8E8AD668E0}" name="Status of Campaign" dataDxfId="40" totalsRowDxfId="39">
      <calculatedColumnFormula>IF(Table1[[#This Row],[Duration of Campaign]]=0, "Ongoing","Completed")</calculatedColumnFormula>
    </tableColumn>
    <tableColumn id="22" xr3:uid="{3F2FF1C0-ECF8-E244-82FF-4FEC868108BE}" name="Duration of Campaign" dataDxfId="38" totalsRowDxfId="37">
      <calculatedColumnFormula>Table1[[#This Row],[End Date]]-Table1[[#This Row],[Start Date]]</calculatedColumnFormula>
    </tableColumn>
    <tableColumn id="4" xr3:uid="{036DA08D-F082-C643-A8F2-0D56A183A84B}" name="Budget" dataDxfId="36" totalsRowDxfId="35"/>
    <tableColumn id="5" xr3:uid="{7770F466-8527-1349-B278-006B33CD3897}" name="Audience" dataDxfId="34" totalsRowDxfId="33"/>
    <tableColumn id="6" xr3:uid="{D8AC6645-767C-EC49-B657-8944091D9DBC}" name="Impressions '000" dataDxfId="32" totalsRowDxfId="31"/>
    <tableColumn id="7" xr3:uid="{D8EDEA1A-FBB6-D24E-B687-4D0987842819}" name="Clicks" dataDxfId="30" totalsRowDxfId="29"/>
    <tableColumn id="8" xr3:uid="{B5060D46-6C41-6B42-B2CC-A25EE241CD5D}" name="Conversions" dataDxfId="28" totalsRowDxfId="27"/>
    <tableColumn id="9" xr3:uid="{22237FEA-821F-9043-8501-02A026DCEF13}" name="Revenue" dataDxfId="26" totalsRowDxfId="25"/>
    <tableColumn id="10" xr3:uid="{7BF0756A-56C4-FD4C-BB98-901E73C31A92}" name="Click Through Rate" dataDxfId="24" totalsRowDxfId="23">
      <calculatedColumnFormula>I2/H2</calculatedColumnFormula>
    </tableColumn>
    <tableColumn id="11" xr3:uid="{3E8023B1-9E4D-8547-BEBA-7A9E243BFFB1}" name="Conversion Rate" dataDxfId="22" totalsRowDxfId="21">
      <calculatedColumnFormula>J2/I2</calculatedColumnFormula>
    </tableColumn>
    <tableColumn id="12" xr3:uid="{0A5B71FF-5D15-E446-9FDE-8C8FC983E708}" name="Cost per click" dataDxfId="20" totalsRowDxfId="19">
      <calculatedColumnFormula>U2/I2</calculatedColumnFormula>
    </tableColumn>
    <tableColumn id="13" xr3:uid="{5BCA99CB-2B98-8848-BFC2-BA914AA71DDB}" name="Cost per acquisition" dataDxfId="18" totalsRowDxfId="17">
      <calculatedColumnFormula>U2/J2</calculatedColumnFormula>
    </tableColumn>
    <tableColumn id="14" xr3:uid="{AB9D3848-8515-594B-8D3D-8FD7822EC811}" name="BUDGET UTILISATION" dataDxfId="16" totalsRowDxfId="15">
      <calculatedColumnFormula>U2/F2</calculatedColumnFormula>
    </tableColumn>
    <tableColumn id="15" xr3:uid="{45F917B6-D139-CB40-88FE-39758DB81171}" name="ROAS" dataDxfId="14" totalsRowDxfId="13">
      <calculatedColumnFormula>K2/U2</calculatedColumnFormula>
    </tableColumn>
    <tableColumn id="16" xr3:uid="{D3B078C3-AD48-5F44-B514-4529D6EA7418}" name="Client ID" dataDxfId="12" totalsRowDxfId="11"/>
    <tableColumn id="17" xr3:uid="{F7BF8FD5-A5BC-724F-8B6E-7AD723F50495}" name="Sector" dataDxfId="10" totalsRowDxfId="9"/>
    <tableColumn id="18" xr3:uid="{48A16003-AF67-D045-A13E-D6EDBE17094C}" name="Company Size" dataDxfId="8" totalsRowDxfId="7"/>
    <tableColumn id="19" xr3:uid="{8488F424-6304-C94E-8A09-4C20127E3A45}" name="Ad Spend" dataDxfId="6" totalsRowDxfId="5"/>
    <tableColumn id="20" xr3:uid="{4EA0E363-B8CC-B144-87F2-FDE305B1F564}" name="Satisfaction Rating" dataDxfId="4" totalsRowDxfId="3"/>
    <tableColumn id="24" xr3:uid="{DC73C095-A86C-6D43-8506-41CAAD97767B}" name="Rating Classification" dataDxfId="2">
      <calculatedColumnFormula>IF(Table1[[#This Row],[Satisfaction Rating]]&lt;2, "Low", IF(Table1[[#This Row],[Satisfaction Rating]]&lt;4, "Medium", "High"))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14.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7FCFE-08BD-2C41-9E9F-A2390B88AC7C}">
  <dimension ref="A1:D9"/>
  <sheetViews>
    <sheetView zoomScale="170" zoomScaleNormal="170" workbookViewId="0">
      <selection activeCell="L25" sqref="L25"/>
    </sheetView>
  </sheetViews>
  <sheetFormatPr baseColWidth="10" defaultColWidth="11.5" defaultRowHeight="13" x14ac:dyDescent="0.15"/>
  <cols>
    <col min="1" max="1" width="20.33203125" bestFit="1" customWidth="1"/>
    <col min="2" max="2" width="16.1640625" bestFit="1" customWidth="1"/>
    <col min="3" max="3" width="11.1640625" bestFit="1" customWidth="1"/>
    <col min="4" max="4" width="11.33203125" bestFit="1" customWidth="1"/>
    <col min="5" max="5" width="5.83203125" bestFit="1" customWidth="1"/>
    <col min="6" max="6" width="12.5" bestFit="1" customWidth="1"/>
    <col min="7" max="7" width="10.6640625" bestFit="1" customWidth="1"/>
    <col min="8" max="8" width="5.83203125" bestFit="1" customWidth="1"/>
    <col min="9" max="9" width="12.5" bestFit="1" customWidth="1"/>
    <col min="10" max="11" width="10.6640625" bestFit="1" customWidth="1"/>
  </cols>
  <sheetData>
    <row r="1" spans="1:4" x14ac:dyDescent="0.15">
      <c r="A1" s="4" t="s">
        <v>2031</v>
      </c>
      <c r="B1" s="4" t="s">
        <v>2032</v>
      </c>
    </row>
    <row r="2" spans="1:4" x14ac:dyDescent="0.15">
      <c r="B2" t="s">
        <v>2039</v>
      </c>
      <c r="C2" t="s">
        <v>2040</v>
      </c>
      <c r="D2" t="s">
        <v>2025</v>
      </c>
    </row>
    <row r="3" spans="1:4" x14ac:dyDescent="0.15">
      <c r="A3" s="4" t="s">
        <v>2029</v>
      </c>
    </row>
    <row r="4" spans="1:4" x14ac:dyDescent="0.15">
      <c r="A4" s="5" t="s">
        <v>35</v>
      </c>
      <c r="B4">
        <v>94</v>
      </c>
      <c r="C4">
        <v>99</v>
      </c>
      <c r="D4">
        <v>193</v>
      </c>
    </row>
    <row r="5" spans="1:4" x14ac:dyDescent="0.15">
      <c r="A5" s="5" t="s">
        <v>24</v>
      </c>
      <c r="B5">
        <v>98</v>
      </c>
      <c r="C5">
        <v>88</v>
      </c>
      <c r="D5">
        <v>186</v>
      </c>
    </row>
    <row r="6" spans="1:4" x14ac:dyDescent="0.15">
      <c r="A6" s="5" t="s">
        <v>30</v>
      </c>
      <c r="B6">
        <v>112</v>
      </c>
      <c r="C6">
        <v>99</v>
      </c>
      <c r="D6">
        <v>211</v>
      </c>
    </row>
    <row r="7" spans="1:4" x14ac:dyDescent="0.15">
      <c r="A7" s="5" t="s">
        <v>16</v>
      </c>
      <c r="B7">
        <v>100</v>
      </c>
      <c r="C7">
        <v>102</v>
      </c>
      <c r="D7">
        <v>202</v>
      </c>
    </row>
    <row r="8" spans="1:4" x14ac:dyDescent="0.15">
      <c r="A8" s="5" t="s">
        <v>21</v>
      </c>
      <c r="B8">
        <v>88</v>
      </c>
      <c r="C8">
        <v>120</v>
      </c>
      <c r="D8">
        <v>208</v>
      </c>
    </row>
    <row r="9" spans="1:4" x14ac:dyDescent="0.15">
      <c r="A9" s="5" t="s">
        <v>2025</v>
      </c>
      <c r="B9">
        <v>492</v>
      </c>
      <c r="C9">
        <v>508</v>
      </c>
      <c r="D9">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3BE47-CB7A-2F42-8C49-66511FE7997C}">
  <dimension ref="A3:K24"/>
  <sheetViews>
    <sheetView zoomScale="110" zoomScaleNormal="110" workbookViewId="0">
      <pane xSplit="1" topLeftCell="B1" activePane="topRight" state="frozen"/>
      <selection activeCell="L25" sqref="L25"/>
      <selection pane="topRight" activeCell="L25" sqref="L25"/>
    </sheetView>
  </sheetViews>
  <sheetFormatPr baseColWidth="10" defaultColWidth="11.5" defaultRowHeight="13" x14ac:dyDescent="0.15"/>
  <cols>
    <col min="1" max="1" width="13.33203125" bestFit="1" customWidth="1"/>
    <col min="2" max="2" width="28.33203125" bestFit="1" customWidth="1"/>
    <col min="3" max="3" width="26.1640625" bestFit="1" customWidth="1"/>
    <col min="4" max="4" width="23.5" bestFit="1" customWidth="1"/>
    <col min="5" max="5" width="29.1640625" bestFit="1" customWidth="1"/>
    <col min="6" max="6" width="31.1640625" bestFit="1" customWidth="1"/>
    <col min="7" max="7" width="16.5" bestFit="1" customWidth="1"/>
    <col min="8" max="8" width="15.83203125" bestFit="1" customWidth="1"/>
    <col min="9" max="9" width="20.33203125" bestFit="1" customWidth="1"/>
    <col min="10" max="10" width="14.1640625" bestFit="1" customWidth="1"/>
    <col min="11" max="11" width="16.83203125" bestFit="1" customWidth="1"/>
    <col min="12" max="12" width="20.1640625" bestFit="1" customWidth="1"/>
    <col min="13" max="41" width="6.1640625" bestFit="1" customWidth="1"/>
    <col min="42" max="643" width="7.1640625" bestFit="1" customWidth="1"/>
    <col min="644" max="985" width="8.1640625" bestFit="1" customWidth="1"/>
    <col min="986" max="1001" width="9.1640625" bestFit="1" customWidth="1"/>
    <col min="1002" max="1002" width="10.6640625" bestFit="1" customWidth="1"/>
  </cols>
  <sheetData>
    <row r="3" spans="1:11" x14ac:dyDescent="0.15">
      <c r="A3" s="4" t="s">
        <v>2029</v>
      </c>
      <c r="B3" t="s">
        <v>2042</v>
      </c>
      <c r="C3" t="s">
        <v>2043</v>
      </c>
      <c r="D3" t="s">
        <v>2044</v>
      </c>
      <c r="E3" t="s">
        <v>2045</v>
      </c>
      <c r="F3" t="s">
        <v>2046</v>
      </c>
      <c r="G3" t="s">
        <v>2030</v>
      </c>
      <c r="H3" t="s">
        <v>2047</v>
      </c>
      <c r="I3" t="s">
        <v>2031</v>
      </c>
      <c r="J3" t="s">
        <v>2041</v>
      </c>
      <c r="K3" t="s">
        <v>2051</v>
      </c>
    </row>
    <row r="4" spans="1:11" x14ac:dyDescent="0.15">
      <c r="A4" s="5" t="s">
        <v>35</v>
      </c>
      <c r="B4" s="6">
        <v>0.17259480308048972</v>
      </c>
      <c r="C4" s="6">
        <v>0.39347055445958873</v>
      </c>
      <c r="D4" s="3">
        <v>13.797681460105313</v>
      </c>
      <c r="E4" s="3">
        <v>74.553643542927929</v>
      </c>
      <c r="F4" s="6">
        <v>2.5051979567219811</v>
      </c>
      <c r="G4" s="6">
        <v>1.6533080185286955</v>
      </c>
      <c r="H4" s="3">
        <v>1419462</v>
      </c>
      <c r="I4" s="6">
        <v>0.193</v>
      </c>
      <c r="J4" s="6">
        <v>0.2009833730859811</v>
      </c>
      <c r="K4" s="6">
        <v>0.18585935772252229</v>
      </c>
    </row>
    <row r="5" spans="1:11" x14ac:dyDescent="0.15">
      <c r="A5" s="29" t="s">
        <v>2049</v>
      </c>
      <c r="B5" s="6">
        <v>0.20659244691618911</v>
      </c>
      <c r="C5" s="6">
        <v>0.40627921436074194</v>
      </c>
      <c r="D5" s="3">
        <v>12.687936575090399</v>
      </c>
      <c r="E5" s="3">
        <v>79.951821131685364</v>
      </c>
      <c r="F5" s="6">
        <v>2.1366745520353456</v>
      </c>
      <c r="G5" s="6">
        <v>1.8938061178438124</v>
      </c>
      <c r="H5" s="3">
        <v>575325</v>
      </c>
      <c r="I5" s="6">
        <v>7.8E-2</v>
      </c>
      <c r="J5" s="6">
        <v>8.2541133438652034E-2</v>
      </c>
      <c r="K5" s="6">
        <v>7.5331030335232738E-2</v>
      </c>
    </row>
    <row r="6" spans="1:11" x14ac:dyDescent="0.15">
      <c r="A6" s="29" t="s">
        <v>17</v>
      </c>
      <c r="B6" s="6">
        <v>0.14404191016643111</v>
      </c>
      <c r="C6" s="6">
        <v>0.38956363125467364</v>
      </c>
      <c r="D6" s="3">
        <v>15.112105906598499</v>
      </c>
      <c r="E6" s="3">
        <v>71.656646033028821</v>
      </c>
      <c r="F6" s="6">
        <v>2.9490863316471634</v>
      </c>
      <c r="G6" s="6">
        <v>1.3161758149769036</v>
      </c>
      <c r="H6" s="3">
        <v>577239</v>
      </c>
      <c r="I6" s="6">
        <v>7.4999999999999997E-2</v>
      </c>
      <c r="J6" s="6">
        <v>7.5610097625401981E-2</v>
      </c>
      <c r="K6" s="6">
        <v>7.5581642757883649E-2</v>
      </c>
    </row>
    <row r="7" spans="1:11" x14ac:dyDescent="0.15">
      <c r="A7" s="29" t="s">
        <v>2050</v>
      </c>
      <c r="B7" s="6">
        <v>0.15983607181473558</v>
      </c>
      <c r="C7" s="6">
        <v>0.3758191486615558</v>
      </c>
      <c r="D7" s="3">
        <v>13.497138148709681</v>
      </c>
      <c r="E7" s="3">
        <v>69.459067575911618</v>
      </c>
      <c r="F7" s="6">
        <v>2.391527892876204</v>
      </c>
      <c r="G7" s="6">
        <v>1.8164596065238274</v>
      </c>
      <c r="H7" s="3">
        <v>266898</v>
      </c>
      <c r="I7" s="6">
        <v>0.04</v>
      </c>
      <c r="J7" s="6">
        <v>4.2832142021927089E-2</v>
      </c>
      <c r="K7" s="6">
        <v>3.4946684629405901E-2</v>
      </c>
    </row>
    <row r="8" spans="1:11" x14ac:dyDescent="0.15">
      <c r="A8" s="5" t="s">
        <v>24</v>
      </c>
      <c r="B8" s="6">
        <v>0.14939825781459998</v>
      </c>
      <c r="C8" s="6">
        <v>0.45663460024116187</v>
      </c>
      <c r="D8" s="3">
        <v>21.418513469891138</v>
      </c>
      <c r="E8" s="3">
        <v>104.04812684877336</v>
      </c>
      <c r="F8" s="6">
        <v>2.708928418477949</v>
      </c>
      <c r="G8" s="6">
        <v>1.191519491707419</v>
      </c>
      <c r="H8" s="3">
        <v>1424637</v>
      </c>
      <c r="I8" s="6">
        <v>0.186</v>
      </c>
      <c r="J8" s="6">
        <v>0.18255513608013352</v>
      </c>
      <c r="K8" s="6">
        <v>0.18653695400633549</v>
      </c>
    </row>
    <row r="9" spans="1:11" x14ac:dyDescent="0.15">
      <c r="A9" s="29" t="s">
        <v>2049</v>
      </c>
      <c r="B9" s="6">
        <v>0.14262363405821946</v>
      </c>
      <c r="C9" s="6">
        <v>0.54480203500039126</v>
      </c>
      <c r="D9" s="3">
        <v>25.201572128121139</v>
      </c>
      <c r="E9" s="3">
        <v>133.87147929398131</v>
      </c>
      <c r="F9" s="6">
        <v>3.3762339856543657</v>
      </c>
      <c r="G9" s="6">
        <v>0.84477246299971842</v>
      </c>
      <c r="H9" s="3">
        <v>464889</v>
      </c>
      <c r="I9" s="6">
        <v>6.7000000000000004E-2</v>
      </c>
      <c r="J9" s="6">
        <v>6.002803788937261E-2</v>
      </c>
      <c r="K9" s="6">
        <v>6.0870929233939101E-2</v>
      </c>
    </row>
    <row r="10" spans="1:11" x14ac:dyDescent="0.15">
      <c r="A10" s="29" t="s">
        <v>17</v>
      </c>
      <c r="B10" s="6">
        <v>0.14361734829037026</v>
      </c>
      <c r="C10" s="6">
        <v>0.37436596347384987</v>
      </c>
      <c r="D10" s="3">
        <v>20.597007438760524</v>
      </c>
      <c r="E10" s="3">
        <v>103.36140690308362</v>
      </c>
      <c r="F10" s="6">
        <v>2.5971994306665387</v>
      </c>
      <c r="G10" s="6">
        <v>1.3702935461910006</v>
      </c>
      <c r="H10" s="3">
        <v>566317</v>
      </c>
      <c r="I10" s="6">
        <v>7.2999999999999995E-2</v>
      </c>
      <c r="J10" s="6">
        <v>7.0904630418121048E-2</v>
      </c>
      <c r="K10" s="6">
        <v>7.4151554523717897E-2</v>
      </c>
    </row>
    <row r="11" spans="1:11" x14ac:dyDescent="0.15">
      <c r="A11" s="29" t="s">
        <v>2050</v>
      </c>
      <c r="B11" s="6">
        <v>0.16843969666125774</v>
      </c>
      <c r="C11" s="6">
        <v>0.45877356448345374</v>
      </c>
      <c r="D11" s="3">
        <v>17.212100647524245</v>
      </c>
      <c r="E11" s="3">
        <v>61.699560374999812</v>
      </c>
      <c r="F11" s="6">
        <v>1.9142923991173662</v>
      </c>
      <c r="G11" s="6">
        <v>1.4128574253186035</v>
      </c>
      <c r="H11" s="3">
        <v>393431</v>
      </c>
      <c r="I11" s="6">
        <v>4.5999999999999999E-2</v>
      </c>
      <c r="J11" s="6">
        <v>5.1622467772639853E-2</v>
      </c>
      <c r="K11" s="6">
        <v>5.1514470248678494E-2</v>
      </c>
    </row>
    <row r="12" spans="1:11" x14ac:dyDescent="0.15">
      <c r="A12" s="5" t="s">
        <v>30</v>
      </c>
      <c r="B12" s="6">
        <v>0.13062212877326618</v>
      </c>
      <c r="C12" s="6">
        <v>0.40406187052069453</v>
      </c>
      <c r="D12" s="3">
        <v>15.250615416297329</v>
      </c>
      <c r="E12" s="3">
        <v>86.252481410929605</v>
      </c>
      <c r="F12" s="6">
        <v>2.6910410697678717</v>
      </c>
      <c r="G12" s="6">
        <v>1.3367473249677044</v>
      </c>
      <c r="H12" s="3">
        <v>1619963</v>
      </c>
      <c r="I12" s="6">
        <v>0.21099999999999999</v>
      </c>
      <c r="J12" s="6">
        <v>0.21081837197283451</v>
      </c>
      <c r="K12" s="6">
        <v>0.21211225289176489</v>
      </c>
    </row>
    <row r="13" spans="1:11" x14ac:dyDescent="0.15">
      <c r="A13" s="29" t="s">
        <v>2049</v>
      </c>
      <c r="B13" s="6">
        <v>0.12746136156853094</v>
      </c>
      <c r="C13" s="6">
        <v>0.42343884266442688</v>
      </c>
      <c r="D13" s="3">
        <v>14.384293116475936</v>
      </c>
      <c r="E13" s="3">
        <v>95.358203643141621</v>
      </c>
      <c r="F13" s="6">
        <v>2.701680314625631</v>
      </c>
      <c r="G13" s="6">
        <v>1.2804656204786107</v>
      </c>
      <c r="H13" s="3">
        <v>620654</v>
      </c>
      <c r="I13" s="6">
        <v>8.1000000000000003E-2</v>
      </c>
      <c r="J13" s="6">
        <v>8.3701559329083269E-2</v>
      </c>
      <c r="K13" s="6">
        <v>8.1266250035516518E-2</v>
      </c>
    </row>
    <row r="14" spans="1:11" x14ac:dyDescent="0.15">
      <c r="A14" s="29" t="s">
        <v>17</v>
      </c>
      <c r="B14" s="6">
        <v>0.12389726586123205</v>
      </c>
      <c r="C14" s="6">
        <v>0.39458094809605737</v>
      </c>
      <c r="D14" s="3">
        <v>16.087084241336036</v>
      </c>
      <c r="E14" s="3">
        <v>82.983621836691171</v>
      </c>
      <c r="F14" s="6">
        <v>2.6918895515876238</v>
      </c>
      <c r="G14" s="6">
        <v>1.3389243684079613</v>
      </c>
      <c r="H14" s="3">
        <v>593603</v>
      </c>
      <c r="I14" s="6">
        <v>7.9000000000000001E-2</v>
      </c>
      <c r="J14" s="6">
        <v>7.6913267131452925E-2</v>
      </c>
      <c r="K14" s="6">
        <v>7.7724287316012969E-2</v>
      </c>
    </row>
    <row r="15" spans="1:11" x14ac:dyDescent="0.15">
      <c r="A15" s="29" t="s">
        <v>2050</v>
      </c>
      <c r="B15" s="6">
        <v>0.14605911531511392</v>
      </c>
      <c r="C15" s="6">
        <v>0.38797281420508761</v>
      </c>
      <c r="D15" s="3">
        <v>15.330832457620382</v>
      </c>
      <c r="E15" s="3">
        <v>76.853979559079605</v>
      </c>
      <c r="F15" s="6">
        <v>2.672829130606321</v>
      </c>
      <c r="G15" s="6">
        <v>1.4227636314742991</v>
      </c>
      <c r="H15" s="3">
        <v>405706</v>
      </c>
      <c r="I15" s="6">
        <v>5.0999999999999997E-2</v>
      </c>
      <c r="J15" s="6">
        <v>5.0203545512298324E-2</v>
      </c>
      <c r="K15" s="6">
        <v>5.3121715540235405E-2</v>
      </c>
    </row>
    <row r="16" spans="1:11" x14ac:dyDescent="0.15">
      <c r="A16" s="5" t="s">
        <v>16</v>
      </c>
      <c r="B16" s="6">
        <v>0.13690541495309419</v>
      </c>
      <c r="C16" s="6">
        <v>0.41481428881914695</v>
      </c>
      <c r="D16" s="3">
        <v>16.545429532150731</v>
      </c>
      <c r="E16" s="3">
        <v>74.053283091032128</v>
      </c>
      <c r="F16" s="6">
        <v>2.7256740622216666</v>
      </c>
      <c r="G16" s="6">
        <v>1.7024788504974138</v>
      </c>
      <c r="H16" s="3">
        <v>1554848</v>
      </c>
      <c r="I16" s="6">
        <v>0.20200000000000001</v>
      </c>
      <c r="J16" s="6">
        <v>0.19840203232128473</v>
      </c>
      <c r="K16" s="6">
        <v>0.20358632399891533</v>
      </c>
    </row>
    <row r="17" spans="1:11" x14ac:dyDescent="0.15">
      <c r="A17" s="29" t="s">
        <v>2049</v>
      </c>
      <c r="B17" s="6">
        <v>0.16256426387553038</v>
      </c>
      <c r="C17" s="6">
        <v>0.43349222805846022</v>
      </c>
      <c r="D17" s="3">
        <v>17.934727211688617</v>
      </c>
      <c r="E17" s="3">
        <v>63.45576236841962</v>
      </c>
      <c r="F17" s="6">
        <v>2.8484985723868772</v>
      </c>
      <c r="G17" s="6">
        <v>1.4478971358867647</v>
      </c>
      <c r="H17" s="3">
        <v>605601</v>
      </c>
      <c r="I17" s="6">
        <v>7.9000000000000001E-2</v>
      </c>
      <c r="J17" s="6">
        <v>7.1890793163595229E-2</v>
      </c>
      <c r="K17" s="6">
        <v>7.9295263202619884E-2</v>
      </c>
    </row>
    <row r="18" spans="1:11" x14ac:dyDescent="0.15">
      <c r="A18" s="29" t="s">
        <v>17</v>
      </c>
      <c r="B18" s="6">
        <v>0.11865454194402744</v>
      </c>
      <c r="C18" s="6">
        <v>0.40539149962679044</v>
      </c>
      <c r="D18" s="3">
        <v>16.132534021036442</v>
      </c>
      <c r="E18" s="3">
        <v>77.577068833163054</v>
      </c>
      <c r="F18" s="6">
        <v>2.5262106797958461</v>
      </c>
      <c r="G18" s="6">
        <v>1.9597093338159115</v>
      </c>
      <c r="H18" s="3">
        <v>641442</v>
      </c>
      <c r="I18" s="6">
        <v>8.3000000000000004E-2</v>
      </c>
      <c r="J18" s="6">
        <v>8.6029294685318253E-2</v>
      </c>
      <c r="K18" s="6">
        <v>8.398815758100614E-2</v>
      </c>
    </row>
    <row r="19" spans="1:11" x14ac:dyDescent="0.15">
      <c r="A19" s="29" t="s">
        <v>2050</v>
      </c>
      <c r="B19" s="6">
        <v>0.12409974982509628</v>
      </c>
      <c r="C19" s="6">
        <v>0.39747764639564237</v>
      </c>
      <c r="D19" s="3">
        <v>14.658324800625536</v>
      </c>
      <c r="E19" s="3">
        <v>87.671531103270169</v>
      </c>
      <c r="F19" s="6">
        <v>2.8969821731789658</v>
      </c>
      <c r="G19" s="6">
        <v>1.6715244839675631</v>
      </c>
      <c r="H19" s="3">
        <v>307805</v>
      </c>
      <c r="I19" s="6">
        <v>0.04</v>
      </c>
      <c r="J19" s="6">
        <v>4.0481944472371231E-2</v>
      </c>
      <c r="K19" s="6">
        <v>4.0302903215289294E-2</v>
      </c>
    </row>
    <row r="20" spans="1:11" x14ac:dyDescent="0.15">
      <c r="A20" s="5" t="s">
        <v>21</v>
      </c>
      <c r="B20" s="6">
        <v>0.17072117554404989</v>
      </c>
      <c r="C20" s="6">
        <v>0.40473023639208755</v>
      </c>
      <c r="D20" s="3">
        <v>14.488563511147554</v>
      </c>
      <c r="E20" s="3">
        <v>80.702581511154747</v>
      </c>
      <c r="F20" s="6">
        <v>2.5500534164874589</v>
      </c>
      <c r="G20" s="6">
        <v>1.449518289025731</v>
      </c>
      <c r="H20" s="3">
        <v>1618381</v>
      </c>
      <c r="I20" s="6">
        <v>0.20799999999999999</v>
      </c>
      <c r="J20" s="6">
        <v>0.20724108653976614</v>
      </c>
      <c r="K20" s="6">
        <v>0.211905111380462</v>
      </c>
    </row>
    <row r="21" spans="1:11" x14ac:dyDescent="0.15">
      <c r="A21" s="29" t="s">
        <v>2049</v>
      </c>
      <c r="B21" s="6">
        <v>0.1602665508305921</v>
      </c>
      <c r="C21" s="6">
        <v>0.47370532901178952</v>
      </c>
      <c r="D21" s="3">
        <v>14.860678667454437</v>
      </c>
      <c r="E21" s="3">
        <v>64.1591561837635</v>
      </c>
      <c r="F21" s="6">
        <v>2.2401574865728899</v>
      </c>
      <c r="G21" s="6">
        <v>1.507762496638329</v>
      </c>
      <c r="H21" s="3">
        <v>556809</v>
      </c>
      <c r="I21" s="6">
        <v>6.8000000000000005E-2</v>
      </c>
      <c r="J21" s="6">
        <v>7.1660736828776675E-2</v>
      </c>
      <c r="K21" s="6">
        <v>7.2906610472221106E-2</v>
      </c>
    </row>
    <row r="22" spans="1:11" x14ac:dyDescent="0.15">
      <c r="A22" s="29" t="s">
        <v>17</v>
      </c>
      <c r="B22" s="6">
        <v>0.16317515857271458</v>
      </c>
      <c r="C22" s="6">
        <v>0.37712952018498647</v>
      </c>
      <c r="D22" s="3">
        <v>14.939311482660571</v>
      </c>
      <c r="E22" s="3">
        <v>97.125835538768683</v>
      </c>
      <c r="F22" s="6">
        <v>2.8103564678644055</v>
      </c>
      <c r="G22" s="6">
        <v>1.2757599495675784</v>
      </c>
      <c r="H22" s="3">
        <v>750142</v>
      </c>
      <c r="I22" s="6">
        <v>9.6000000000000002E-2</v>
      </c>
      <c r="J22" s="6">
        <v>9.0395836378862574E-2</v>
      </c>
      <c r="K22" s="6">
        <v>9.8220952953082447E-2</v>
      </c>
    </row>
    <row r="23" spans="1:11" x14ac:dyDescent="0.15">
      <c r="A23" s="29" t="s">
        <v>2050</v>
      </c>
      <c r="B23" s="6">
        <v>0.20334235985685228</v>
      </c>
      <c r="C23" s="6">
        <v>0.35835211043167753</v>
      </c>
      <c r="D23" s="3">
        <v>12.930026331735752</v>
      </c>
      <c r="E23" s="3">
        <v>70.437139138692544</v>
      </c>
      <c r="F23" s="6">
        <v>2.4610495597148212</v>
      </c>
      <c r="G23" s="6">
        <v>1.7386136178967762</v>
      </c>
      <c r="H23" s="3">
        <v>311430</v>
      </c>
      <c r="I23" s="6">
        <v>4.3999999999999997E-2</v>
      </c>
      <c r="J23" s="6">
        <v>4.5184513332126898E-2</v>
      </c>
      <c r="K23" s="6">
        <v>4.0777547955158443E-2</v>
      </c>
    </row>
    <row r="24" spans="1:11" x14ac:dyDescent="0.15">
      <c r="A24" s="5" t="s">
        <v>2025</v>
      </c>
      <c r="B24" s="6">
        <v>0.1518250404528968</v>
      </c>
      <c r="C24" s="6">
        <v>0.41410728284644527</v>
      </c>
      <c r="D24" s="3">
        <v>16.220473855851942</v>
      </c>
      <c r="E24" s="3">
        <v>83.685978514071806</v>
      </c>
      <c r="F24" s="6">
        <v>2.636170828403428</v>
      </c>
      <c r="G24" s="6">
        <v>1.4681652905196334</v>
      </c>
      <c r="H24" s="3">
        <v>7637291</v>
      </c>
      <c r="I24" s="6">
        <v>1</v>
      </c>
      <c r="J24" s="6">
        <v>1</v>
      </c>
      <c r="K24"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B016-4875-134C-B6C0-9424353207D1}">
  <dimension ref="A1:E7"/>
  <sheetViews>
    <sheetView workbookViewId="0">
      <selection activeCell="L25" sqref="L25"/>
    </sheetView>
  </sheetViews>
  <sheetFormatPr baseColWidth="10" defaultColWidth="11.5" defaultRowHeight="13" x14ac:dyDescent="0.15"/>
  <cols>
    <col min="1" max="1" width="13.1640625" bestFit="1" customWidth="1"/>
    <col min="2" max="2" width="15.33203125" bestFit="1" customWidth="1"/>
    <col min="3" max="41" width="6.1640625" bestFit="1" customWidth="1"/>
    <col min="42" max="643" width="7.1640625" bestFit="1" customWidth="1"/>
    <col min="644" max="985" width="8.1640625" bestFit="1" customWidth="1"/>
    <col min="986" max="1001" width="9.1640625" bestFit="1" customWidth="1"/>
    <col min="1002" max="1002" width="10.6640625" bestFit="1" customWidth="1"/>
  </cols>
  <sheetData>
    <row r="1" spans="1:5" x14ac:dyDescent="0.15">
      <c r="A1" s="4" t="s">
        <v>2029</v>
      </c>
      <c r="B1" t="s">
        <v>2030</v>
      </c>
    </row>
    <row r="2" spans="1:5" x14ac:dyDescent="0.15">
      <c r="A2" s="5" t="s">
        <v>35</v>
      </c>
      <c r="B2" s="6">
        <v>1.6533080185286957</v>
      </c>
    </row>
    <row r="3" spans="1:5" ht="18" x14ac:dyDescent="0.2">
      <c r="A3" s="5" t="s">
        <v>24</v>
      </c>
      <c r="B3" s="6">
        <v>1.191519491707419</v>
      </c>
      <c r="E3" s="40" t="s">
        <v>2052</v>
      </c>
    </row>
    <row r="4" spans="1:5" x14ac:dyDescent="0.15">
      <c r="A4" s="5" t="s">
        <v>30</v>
      </c>
      <c r="B4" s="6">
        <v>1.3367473249677047</v>
      </c>
    </row>
    <row r="5" spans="1:5" x14ac:dyDescent="0.15">
      <c r="A5" s="5" t="s">
        <v>16</v>
      </c>
      <c r="B5" s="6">
        <v>1.7024788504974131</v>
      </c>
      <c r="E5" s="39" t="s">
        <v>2053</v>
      </c>
    </row>
    <row r="6" spans="1:5" x14ac:dyDescent="0.15">
      <c r="A6" s="5" t="s">
        <v>21</v>
      </c>
      <c r="B6" s="6">
        <v>1.449518289025731</v>
      </c>
    </row>
    <row r="7" spans="1:5" x14ac:dyDescent="0.15">
      <c r="A7" s="5" t="s">
        <v>2025</v>
      </c>
      <c r="B7" s="6">
        <v>1.4681652905196341</v>
      </c>
      <c r="E7" s="39" t="s">
        <v>2054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6C4C-3BB5-A845-A93D-DE8757DD1A3D}">
  <dimension ref="A1:D7"/>
  <sheetViews>
    <sheetView workbookViewId="0">
      <selection activeCell="L25" sqref="L25"/>
    </sheetView>
  </sheetViews>
  <sheetFormatPr baseColWidth="10" defaultColWidth="11.5" defaultRowHeight="13" x14ac:dyDescent="0.15"/>
  <cols>
    <col min="1" max="1" width="13.1640625" bestFit="1" customWidth="1"/>
    <col min="2" max="2" width="24.33203125" bestFit="1" customWidth="1"/>
  </cols>
  <sheetData>
    <row r="1" spans="1:4" x14ac:dyDescent="0.15">
      <c r="A1" s="4" t="s">
        <v>2029</v>
      </c>
      <c r="B1" t="s">
        <v>2043</v>
      </c>
    </row>
    <row r="2" spans="1:4" ht="18" x14ac:dyDescent="0.2">
      <c r="A2" s="5" t="s">
        <v>35</v>
      </c>
      <c r="B2" s="6">
        <v>0.39347055445958884</v>
      </c>
      <c r="D2" s="40" t="s">
        <v>2055</v>
      </c>
    </row>
    <row r="3" spans="1:4" x14ac:dyDescent="0.15">
      <c r="A3" s="5" t="s">
        <v>24</v>
      </c>
      <c r="B3" s="6">
        <v>0.45663460024116181</v>
      </c>
    </row>
    <row r="4" spans="1:4" x14ac:dyDescent="0.15">
      <c r="A4" s="5" t="s">
        <v>30</v>
      </c>
      <c r="B4" s="6">
        <v>0.40406187052069464</v>
      </c>
      <c r="D4" s="39" t="s">
        <v>2060</v>
      </c>
    </row>
    <row r="5" spans="1:4" x14ac:dyDescent="0.15">
      <c r="A5" s="5" t="s">
        <v>16</v>
      </c>
      <c r="B5" s="6">
        <v>0.41481428881914684</v>
      </c>
    </row>
    <row r="6" spans="1:4" x14ac:dyDescent="0.15">
      <c r="A6" s="5" t="s">
        <v>21</v>
      </c>
      <c r="B6" s="6">
        <v>0.40473023639208727</v>
      </c>
      <c r="D6" s="39" t="s">
        <v>2061</v>
      </c>
    </row>
    <row r="7" spans="1:4" x14ac:dyDescent="0.15">
      <c r="A7" s="5" t="s">
        <v>2025</v>
      </c>
      <c r="B7" s="6">
        <v>0.41410728284644516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95BB-AFEF-E641-B16C-4BCED1060621}">
  <dimension ref="A1:D7"/>
  <sheetViews>
    <sheetView workbookViewId="0">
      <selection activeCell="L25" sqref="L25"/>
    </sheetView>
  </sheetViews>
  <sheetFormatPr baseColWidth="10" defaultColWidth="11.5" defaultRowHeight="13" x14ac:dyDescent="0.15"/>
  <cols>
    <col min="1" max="1" width="13.1640625" bestFit="1" customWidth="1"/>
    <col min="2" max="2" width="27.33203125" bestFit="1" customWidth="1"/>
  </cols>
  <sheetData>
    <row r="1" spans="1:4" x14ac:dyDescent="0.15">
      <c r="A1" s="4" t="s">
        <v>2029</v>
      </c>
      <c r="B1" t="s">
        <v>2045</v>
      </c>
    </row>
    <row r="2" spans="1:4" x14ac:dyDescent="0.15">
      <c r="A2" s="5" t="s">
        <v>35</v>
      </c>
      <c r="B2" s="41">
        <v>74.553643542927901</v>
      </c>
    </row>
    <row r="3" spans="1:4" ht="18" x14ac:dyDescent="0.2">
      <c r="A3" s="5" t="s">
        <v>24</v>
      </c>
      <c r="B3" s="41">
        <v>104.04812684877334</v>
      </c>
      <c r="D3" s="40" t="s">
        <v>2055</v>
      </c>
    </row>
    <row r="4" spans="1:4" x14ac:dyDescent="0.15">
      <c r="A4" s="5" t="s">
        <v>30</v>
      </c>
      <c r="B4" s="41">
        <v>86.252481410929548</v>
      </c>
    </row>
    <row r="5" spans="1:4" x14ac:dyDescent="0.15">
      <c r="A5" s="5" t="s">
        <v>16</v>
      </c>
      <c r="B5" s="41">
        <v>74.053283091032142</v>
      </c>
      <c r="D5" s="39" t="s">
        <v>2058</v>
      </c>
    </row>
    <row r="6" spans="1:4" x14ac:dyDescent="0.15">
      <c r="A6" s="5" t="s">
        <v>21</v>
      </c>
      <c r="B6" s="41">
        <v>80.702581511154733</v>
      </c>
    </row>
    <row r="7" spans="1:4" x14ac:dyDescent="0.15">
      <c r="A7" s="5" t="s">
        <v>2025</v>
      </c>
      <c r="B7">
        <v>83.685978514071834</v>
      </c>
      <c r="D7" s="39" t="s">
        <v>2059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D892-697F-3940-B188-E383CF34595A}">
  <dimension ref="A3:G10"/>
  <sheetViews>
    <sheetView workbookViewId="0">
      <selection activeCell="L25" sqref="L25"/>
    </sheetView>
  </sheetViews>
  <sheetFormatPr baseColWidth="10" defaultColWidth="11.5" defaultRowHeight="13" x14ac:dyDescent="0.15"/>
  <cols>
    <col min="1" max="1" width="15.33203125" bestFit="1" customWidth="1"/>
    <col min="2" max="2" width="15.83203125" bestFit="1" customWidth="1"/>
    <col min="3" max="4" width="8.1640625" bestFit="1" customWidth="1"/>
    <col min="5" max="5" width="10.6640625" bestFit="1" customWidth="1"/>
  </cols>
  <sheetData>
    <row r="3" spans="1:7" ht="18" x14ac:dyDescent="0.2">
      <c r="A3" s="4" t="s">
        <v>2030</v>
      </c>
      <c r="B3" s="4" t="s">
        <v>2032</v>
      </c>
      <c r="G3" s="40" t="s">
        <v>2055</v>
      </c>
    </row>
    <row r="4" spans="1:7" x14ac:dyDescent="0.15">
      <c r="A4" s="4" t="s">
        <v>2029</v>
      </c>
      <c r="B4" t="s">
        <v>2049</v>
      </c>
      <c r="C4" t="s">
        <v>17</v>
      </c>
      <c r="D4" t="s">
        <v>2050</v>
      </c>
      <c r="E4" t="s">
        <v>2025</v>
      </c>
    </row>
    <row r="5" spans="1:7" x14ac:dyDescent="0.15">
      <c r="A5" s="5" t="s">
        <v>35</v>
      </c>
      <c r="B5" s="6">
        <v>1.8938061178438124</v>
      </c>
      <c r="C5" s="6">
        <v>1.3161758149769036</v>
      </c>
      <c r="D5" s="6">
        <v>1.8164596065238274</v>
      </c>
      <c r="E5" s="6">
        <v>1.6533080185286955</v>
      </c>
      <c r="G5" s="39" t="s">
        <v>2056</v>
      </c>
    </row>
    <row r="6" spans="1:7" x14ac:dyDescent="0.15">
      <c r="A6" s="5" t="s">
        <v>24</v>
      </c>
      <c r="B6" s="6">
        <v>0.84477246299971842</v>
      </c>
      <c r="C6" s="6">
        <v>1.3702935461910006</v>
      </c>
      <c r="D6" s="6">
        <v>1.4128574253186035</v>
      </c>
      <c r="E6" s="6">
        <v>1.191519491707419</v>
      </c>
    </row>
    <row r="7" spans="1:7" x14ac:dyDescent="0.15">
      <c r="A7" s="5" t="s">
        <v>30</v>
      </c>
      <c r="B7" s="6">
        <v>1.2804656204786107</v>
      </c>
      <c r="C7" s="6">
        <v>1.3389243684079613</v>
      </c>
      <c r="D7" s="6">
        <v>1.4227636314742991</v>
      </c>
      <c r="E7" s="6">
        <v>1.3367473249677044</v>
      </c>
      <c r="G7" s="39" t="s">
        <v>2057</v>
      </c>
    </row>
    <row r="8" spans="1:7" x14ac:dyDescent="0.15">
      <c r="A8" s="5" t="s">
        <v>16</v>
      </c>
      <c r="B8" s="6">
        <v>1.4478971358867647</v>
      </c>
      <c r="C8" s="6">
        <v>1.9597093338159115</v>
      </c>
      <c r="D8" s="6">
        <v>1.6715244839675631</v>
      </c>
      <c r="E8" s="6">
        <v>1.7024788504974138</v>
      </c>
    </row>
    <row r="9" spans="1:7" x14ac:dyDescent="0.15">
      <c r="A9" s="5" t="s">
        <v>21</v>
      </c>
      <c r="B9" s="6">
        <v>1.507762496638329</v>
      </c>
      <c r="C9" s="6">
        <v>1.2757599495675784</v>
      </c>
      <c r="D9" s="6">
        <v>1.7386136178967762</v>
      </c>
      <c r="E9" s="6">
        <v>1.449518289025731</v>
      </c>
    </row>
    <row r="10" spans="1:7" x14ac:dyDescent="0.15">
      <c r="A10" s="5" t="s">
        <v>2025</v>
      </c>
      <c r="B10" s="6">
        <v>1.4073621205845217</v>
      </c>
      <c r="C10" s="6">
        <v>1.4523361329178526</v>
      </c>
      <c r="D10" s="6">
        <v>1.5998676451446094</v>
      </c>
      <c r="E10" s="6">
        <v>1.4681652905196334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B4A6-947A-1A4B-A1C7-2E6E50812E6E}">
  <dimension ref="A1:G8"/>
  <sheetViews>
    <sheetView zoomScaleNormal="160" workbookViewId="0">
      <selection activeCell="L25" sqref="L25"/>
    </sheetView>
  </sheetViews>
  <sheetFormatPr baseColWidth="10" defaultColWidth="11.5" defaultRowHeight="13" x14ac:dyDescent="0.15"/>
  <cols>
    <col min="1" max="1" width="16.6640625" bestFit="1" customWidth="1"/>
    <col min="2" max="2" width="24.33203125" bestFit="1" customWidth="1"/>
    <col min="3" max="3" width="26.33203125" bestFit="1" customWidth="1"/>
    <col min="4" max="6" width="6.1640625" bestFit="1" customWidth="1"/>
    <col min="7" max="7" width="6.1640625" customWidth="1"/>
    <col min="8" max="169" width="6.1640625" bestFit="1" customWidth="1"/>
    <col min="170" max="909" width="7.1640625" bestFit="1" customWidth="1"/>
    <col min="910" max="1001" width="8.1640625" bestFit="1" customWidth="1"/>
    <col min="1002" max="1002" width="10.6640625" bestFit="1" customWidth="1"/>
  </cols>
  <sheetData>
    <row r="1" spans="1:7" x14ac:dyDescent="0.15">
      <c r="A1" s="4" t="s">
        <v>2029</v>
      </c>
      <c r="B1" t="s">
        <v>2043</v>
      </c>
      <c r="C1" t="s">
        <v>2042</v>
      </c>
    </row>
    <row r="2" spans="1:7" ht="18" x14ac:dyDescent="0.2">
      <c r="A2" s="5" t="s">
        <v>37</v>
      </c>
      <c r="B2" s="6">
        <v>0.46330104543828149</v>
      </c>
      <c r="C2" s="6">
        <v>0.14279945039695763</v>
      </c>
      <c r="G2" s="40" t="s">
        <v>2055</v>
      </c>
    </row>
    <row r="3" spans="1:7" x14ac:dyDescent="0.15">
      <c r="A3" s="5" t="s">
        <v>14</v>
      </c>
      <c r="B3" s="6">
        <v>0.39410025569043688</v>
      </c>
      <c r="C3" s="6">
        <v>0.14801436424808104</v>
      </c>
    </row>
    <row r="4" spans="1:7" x14ac:dyDescent="0.15">
      <c r="A4" s="5" t="s">
        <v>53</v>
      </c>
      <c r="B4" s="6">
        <v>0.37845836381197284</v>
      </c>
      <c r="C4" s="6">
        <v>0.16221460745082894</v>
      </c>
      <c r="G4" s="39" t="s">
        <v>2062</v>
      </c>
    </row>
    <row r="5" spans="1:7" x14ac:dyDescent="0.15">
      <c r="A5" s="5" t="s">
        <v>19</v>
      </c>
      <c r="B5" s="6">
        <v>0.41549982806837943</v>
      </c>
      <c r="C5" s="6">
        <v>0.15428365734173147</v>
      </c>
    </row>
    <row r="6" spans="1:7" x14ac:dyDescent="0.15">
      <c r="A6" s="5" t="s">
        <v>2025</v>
      </c>
      <c r="B6" s="6">
        <v>0.41410728284644494</v>
      </c>
      <c r="C6" s="6">
        <v>0.15182504045289663</v>
      </c>
      <c r="G6" s="39" t="s">
        <v>2063</v>
      </c>
    </row>
    <row r="8" spans="1:7" x14ac:dyDescent="0.15">
      <c r="G8" s="39" t="s">
        <v>2064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E1CD1-C413-6044-BD90-F8716AC0E69B}">
  <dimension ref="A1:D7"/>
  <sheetViews>
    <sheetView workbookViewId="0">
      <selection activeCell="L25" sqref="L25"/>
    </sheetView>
  </sheetViews>
  <sheetFormatPr baseColWidth="10" defaultColWidth="11.5" defaultRowHeight="13" x14ac:dyDescent="0.15"/>
  <cols>
    <col min="1" max="1" width="13.1640625" bestFit="1" customWidth="1"/>
    <col min="2" max="2" width="29" bestFit="1" customWidth="1"/>
  </cols>
  <sheetData>
    <row r="1" spans="1:4" x14ac:dyDescent="0.15">
      <c r="A1" s="4" t="s">
        <v>2029</v>
      </c>
      <c r="B1" t="s">
        <v>2046</v>
      </c>
    </row>
    <row r="2" spans="1:4" ht="18" x14ac:dyDescent="0.2">
      <c r="A2" s="5" t="s">
        <v>35</v>
      </c>
      <c r="B2" s="6">
        <v>2.5051979567219811</v>
      </c>
      <c r="D2" s="40" t="s">
        <v>2055</v>
      </c>
    </row>
    <row r="3" spans="1:4" x14ac:dyDescent="0.15">
      <c r="A3" s="5" t="s">
        <v>24</v>
      </c>
      <c r="B3" s="6">
        <v>2.7089284184779494</v>
      </c>
    </row>
    <row r="4" spans="1:4" x14ac:dyDescent="0.15">
      <c r="A4" s="5" t="s">
        <v>30</v>
      </c>
      <c r="B4" s="6">
        <v>2.6910410697678717</v>
      </c>
      <c r="D4" s="39" t="s">
        <v>2065</v>
      </c>
    </row>
    <row r="5" spans="1:4" x14ac:dyDescent="0.15">
      <c r="A5" s="5" t="s">
        <v>16</v>
      </c>
      <c r="B5" s="6">
        <v>2.725674062221668</v>
      </c>
    </row>
    <row r="6" spans="1:4" x14ac:dyDescent="0.15">
      <c r="A6" s="5" t="s">
        <v>21</v>
      </c>
      <c r="B6" s="6">
        <v>2.5500534164874598</v>
      </c>
      <c r="D6" s="39" t="s">
        <v>2066</v>
      </c>
    </row>
    <row r="7" spans="1:4" x14ac:dyDescent="0.15">
      <c r="A7" s="5" t="s">
        <v>2025</v>
      </c>
      <c r="B7" s="6">
        <v>2.636170828403428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3D6AC-ABCF-FB4F-86E9-CFAC2AC559E0}">
  <dimension ref="A1:G7"/>
  <sheetViews>
    <sheetView workbookViewId="0">
      <selection activeCell="L25" sqref="L25"/>
    </sheetView>
  </sheetViews>
  <sheetFormatPr baseColWidth="10" defaultColWidth="11.5" defaultRowHeight="13" x14ac:dyDescent="0.15"/>
  <cols>
    <col min="1" max="1" width="13.1640625" bestFit="1" customWidth="1"/>
    <col min="2" max="2" width="15.33203125" bestFit="1" customWidth="1"/>
    <col min="3" max="3" width="27.33203125" bestFit="1" customWidth="1"/>
    <col min="4" max="4" width="24.33203125" bestFit="1" customWidth="1"/>
    <col min="5" max="5" width="26.33203125" bestFit="1" customWidth="1"/>
    <col min="6" max="6" width="15.1640625" bestFit="1" customWidth="1"/>
    <col min="7" max="7" width="14.5" bestFit="1" customWidth="1"/>
  </cols>
  <sheetData>
    <row r="1" spans="1:7" x14ac:dyDescent="0.15">
      <c r="A1" s="4" t="s">
        <v>2029</v>
      </c>
      <c r="B1" t="s">
        <v>2030</v>
      </c>
      <c r="C1" t="s">
        <v>2045</v>
      </c>
      <c r="D1" t="s">
        <v>2043</v>
      </c>
      <c r="E1" t="s">
        <v>2042</v>
      </c>
      <c r="F1" t="s">
        <v>2067</v>
      </c>
      <c r="G1" t="s">
        <v>2047</v>
      </c>
    </row>
    <row r="2" spans="1:7" x14ac:dyDescent="0.15">
      <c r="A2" s="5" t="s">
        <v>35</v>
      </c>
      <c r="B2" s="6">
        <v>1.6533080185286957</v>
      </c>
      <c r="C2" s="3">
        <v>74.553643542927901</v>
      </c>
      <c r="D2" s="6">
        <v>0.39347055445958884</v>
      </c>
      <c r="E2" s="6">
        <v>0.17259480308048977</v>
      </c>
      <c r="F2" s="30">
        <v>1879679</v>
      </c>
      <c r="G2" s="3">
        <v>1419462</v>
      </c>
    </row>
    <row r="3" spans="1:7" x14ac:dyDescent="0.15">
      <c r="A3" s="5" t="s">
        <v>24</v>
      </c>
      <c r="B3" s="6">
        <v>1.191519491707419</v>
      </c>
      <c r="C3" s="3">
        <v>104.04812684877334</v>
      </c>
      <c r="D3" s="6">
        <v>0.45663460024116181</v>
      </c>
      <c r="E3" s="6">
        <v>0.14939825781459998</v>
      </c>
      <c r="F3" s="30">
        <v>2018900</v>
      </c>
      <c r="G3" s="3">
        <v>1424637</v>
      </c>
    </row>
    <row r="4" spans="1:7" x14ac:dyDescent="0.15">
      <c r="A4" s="5" t="s">
        <v>30</v>
      </c>
      <c r="B4" s="6">
        <v>1.3367473249677047</v>
      </c>
      <c r="C4" s="3">
        <v>86.252481410929548</v>
      </c>
      <c r="D4" s="6">
        <v>0.40406187052069464</v>
      </c>
      <c r="E4" s="6">
        <v>0.13062212877326621</v>
      </c>
      <c r="F4" s="30">
        <v>2216107</v>
      </c>
      <c r="G4" s="3">
        <v>1619963</v>
      </c>
    </row>
    <row r="5" spans="1:7" x14ac:dyDescent="0.15">
      <c r="A5" s="5" t="s">
        <v>16</v>
      </c>
      <c r="B5" s="6">
        <v>1.7024788504974131</v>
      </c>
      <c r="C5" s="3">
        <v>74.053283091032142</v>
      </c>
      <c r="D5" s="6">
        <v>0.41481428881914684</v>
      </c>
      <c r="E5" s="6">
        <v>0.13690541495309425</v>
      </c>
      <c r="F5" s="30">
        <v>1997307</v>
      </c>
      <c r="G5" s="3">
        <v>1554848</v>
      </c>
    </row>
    <row r="6" spans="1:7" x14ac:dyDescent="0.15">
      <c r="A6" s="5" t="s">
        <v>21</v>
      </c>
      <c r="B6" s="6">
        <v>1.449518289025731</v>
      </c>
      <c r="C6" s="3">
        <v>80.702581511154733</v>
      </c>
      <c r="D6" s="6">
        <v>0.40473023639208727</v>
      </c>
      <c r="E6" s="6">
        <v>0.17072117554404992</v>
      </c>
      <c r="F6" s="30">
        <v>2062699</v>
      </c>
      <c r="G6" s="3">
        <v>1618381</v>
      </c>
    </row>
    <row r="7" spans="1:7" x14ac:dyDescent="0.15">
      <c r="A7" s="5" t="s">
        <v>2025</v>
      </c>
      <c r="B7" s="6">
        <v>1.4681652905196341</v>
      </c>
      <c r="C7" s="3">
        <v>83.685978514071834</v>
      </c>
      <c r="D7" s="6">
        <v>0.41410728284644516</v>
      </c>
      <c r="E7" s="6">
        <v>0.15182504045289683</v>
      </c>
      <c r="F7" s="30">
        <v>10174692</v>
      </c>
      <c r="G7" s="3">
        <v>7637291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07C2-8865-F040-821E-BFBD19BBA734}">
  <dimension ref="A1:E8"/>
  <sheetViews>
    <sheetView workbookViewId="0">
      <selection activeCell="L25" sqref="L25"/>
    </sheetView>
  </sheetViews>
  <sheetFormatPr baseColWidth="10" defaultColWidth="11.5" defaultRowHeight="13" x14ac:dyDescent="0.15"/>
  <cols>
    <col min="1" max="1" width="15.33203125" bestFit="1" customWidth="1"/>
    <col min="2" max="2" width="15.83203125" bestFit="1" customWidth="1"/>
    <col min="3" max="4" width="8.1640625" bestFit="1" customWidth="1"/>
    <col min="5" max="5" width="10.6640625" bestFit="1" customWidth="1"/>
  </cols>
  <sheetData>
    <row r="1" spans="1:5" x14ac:dyDescent="0.15">
      <c r="A1" s="4" t="s">
        <v>2030</v>
      </c>
      <c r="B1" s="4" t="s">
        <v>2032</v>
      </c>
    </row>
    <row r="2" spans="1:5" x14ac:dyDescent="0.15">
      <c r="A2" s="4" t="s">
        <v>2029</v>
      </c>
      <c r="B2" t="s">
        <v>2049</v>
      </c>
      <c r="C2" t="s">
        <v>2050</v>
      </c>
      <c r="D2" t="s">
        <v>17</v>
      </c>
      <c r="E2" t="s">
        <v>2025</v>
      </c>
    </row>
    <row r="3" spans="1:5" x14ac:dyDescent="0.15">
      <c r="A3" s="5" t="s">
        <v>35</v>
      </c>
      <c r="B3" s="6">
        <v>1.8938061178438124</v>
      </c>
      <c r="C3" s="6">
        <v>1.8164596065238274</v>
      </c>
      <c r="D3" s="6">
        <v>1.3161758149769036</v>
      </c>
      <c r="E3" s="6">
        <v>1.6533080185286957</v>
      </c>
    </row>
    <row r="4" spans="1:5" x14ac:dyDescent="0.15">
      <c r="A4" s="5" t="s">
        <v>24</v>
      </c>
      <c r="B4" s="6">
        <v>0.84477246299971842</v>
      </c>
      <c r="C4" s="6">
        <v>1.4128574253186035</v>
      </c>
      <c r="D4" s="6">
        <v>1.3702935461910006</v>
      </c>
      <c r="E4" s="6">
        <v>1.1915194917074194</v>
      </c>
    </row>
    <row r="5" spans="1:5" x14ac:dyDescent="0.15">
      <c r="A5" s="5" t="s">
        <v>30</v>
      </c>
      <c r="B5" s="6">
        <v>1.2804656204786107</v>
      </c>
      <c r="C5" s="6">
        <v>1.4227636314742991</v>
      </c>
      <c r="D5" s="6">
        <v>1.3389243684079613</v>
      </c>
      <c r="E5" s="6">
        <v>1.3367473249677044</v>
      </c>
    </row>
    <row r="6" spans="1:5" x14ac:dyDescent="0.15">
      <c r="A6" s="5" t="s">
        <v>16</v>
      </c>
      <c r="B6" s="6">
        <v>1.4478971358867647</v>
      </c>
      <c r="C6" s="6">
        <v>1.6715244839675631</v>
      </c>
      <c r="D6" s="6">
        <v>1.9597093338159115</v>
      </c>
      <c r="E6" s="6">
        <v>1.7024788504974129</v>
      </c>
    </row>
    <row r="7" spans="1:5" x14ac:dyDescent="0.15">
      <c r="A7" s="5" t="s">
        <v>21</v>
      </c>
      <c r="B7" s="6">
        <v>1.507762496638329</v>
      </c>
      <c r="C7" s="6">
        <v>1.7386136178967762</v>
      </c>
      <c r="D7" s="6">
        <v>1.2757599495675784</v>
      </c>
      <c r="E7" s="6">
        <v>1.4495182890257303</v>
      </c>
    </row>
    <row r="8" spans="1:5" x14ac:dyDescent="0.15">
      <c r="A8" s="5" t="s">
        <v>2025</v>
      </c>
      <c r="B8" s="6">
        <v>1.4073621205845217</v>
      </c>
      <c r="C8" s="6">
        <v>1.5998676451446094</v>
      </c>
      <c r="D8" s="6">
        <v>1.4523361329178526</v>
      </c>
      <c r="E8" s="6">
        <v>1.4681652905196332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78ADF-8EE8-8746-B6CA-33C13CE014BB}">
  <dimension ref="A1:C6"/>
  <sheetViews>
    <sheetView workbookViewId="0">
      <selection activeCell="L25" sqref="L25"/>
    </sheetView>
  </sheetViews>
  <sheetFormatPr baseColWidth="10" defaultColWidth="11.5" defaultRowHeight="13" x14ac:dyDescent="0.15"/>
  <cols>
    <col min="1" max="1" width="16.6640625" bestFit="1" customWidth="1"/>
    <col min="2" max="2" width="26.33203125" bestFit="1" customWidth="1"/>
    <col min="3" max="3" width="24.33203125" bestFit="1" customWidth="1"/>
  </cols>
  <sheetData>
    <row r="1" spans="1:3" x14ac:dyDescent="0.15">
      <c r="A1" s="4" t="s">
        <v>2029</v>
      </c>
      <c r="B1" t="s">
        <v>2042</v>
      </c>
      <c r="C1" t="s">
        <v>2043</v>
      </c>
    </row>
    <row r="2" spans="1:3" x14ac:dyDescent="0.15">
      <c r="A2" s="5" t="s">
        <v>14</v>
      </c>
      <c r="B2" s="6">
        <v>0.14801436424808104</v>
      </c>
      <c r="C2" s="6">
        <v>0.39410025569043688</v>
      </c>
    </row>
    <row r="3" spans="1:3" x14ac:dyDescent="0.15">
      <c r="A3" s="5" t="s">
        <v>53</v>
      </c>
      <c r="B3" s="6">
        <v>0.16221460745082894</v>
      </c>
      <c r="C3" s="6">
        <v>0.37845836381197284</v>
      </c>
    </row>
    <row r="4" spans="1:3" x14ac:dyDescent="0.15">
      <c r="A4" s="5" t="s">
        <v>19</v>
      </c>
      <c r="B4" s="6">
        <v>0.15428365734173147</v>
      </c>
      <c r="C4" s="6">
        <v>0.41549982806837943</v>
      </c>
    </row>
    <row r="5" spans="1:3" x14ac:dyDescent="0.15">
      <c r="A5" s="5" t="s">
        <v>37</v>
      </c>
      <c r="B5" s="6">
        <v>0.14279945039695763</v>
      </c>
      <c r="C5" s="6">
        <v>0.46330104543828149</v>
      </c>
    </row>
    <row r="6" spans="1:3" x14ac:dyDescent="0.15">
      <c r="A6" s="5" t="s">
        <v>2025</v>
      </c>
      <c r="B6" s="6">
        <v>0.15182504045289685</v>
      </c>
      <c r="C6" s="6">
        <v>0.4141072828464451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3322-04E7-2F4D-A418-BF4A92122DC9}">
  <dimension ref="A1:H7"/>
  <sheetViews>
    <sheetView zoomScale="140" workbookViewId="0">
      <selection activeCell="L25" sqref="L25"/>
    </sheetView>
  </sheetViews>
  <sheetFormatPr baseColWidth="10" defaultColWidth="11.5" defaultRowHeight="13" x14ac:dyDescent="0.15"/>
  <cols>
    <col min="1" max="1" width="13.1640625" bestFit="1" customWidth="1"/>
    <col min="2" max="2" width="29" bestFit="1" customWidth="1"/>
    <col min="3" max="3" width="30" bestFit="1" customWidth="1"/>
    <col min="7" max="7" width="28.6640625" bestFit="1" customWidth="1"/>
    <col min="8" max="8" width="16.6640625" bestFit="1" customWidth="1"/>
  </cols>
  <sheetData>
    <row r="1" spans="1:8" x14ac:dyDescent="0.15">
      <c r="A1" s="4" t="s">
        <v>2029</v>
      </c>
      <c r="B1" t="s">
        <v>2046</v>
      </c>
      <c r="C1" s="39" t="s">
        <v>2087</v>
      </c>
      <c r="F1" t="s">
        <v>2029</v>
      </c>
      <c r="G1" s="39" t="s">
        <v>2088</v>
      </c>
      <c r="H1" s="39" t="s">
        <v>2089</v>
      </c>
    </row>
    <row r="2" spans="1:8" x14ac:dyDescent="0.15">
      <c r="A2" s="5" t="s">
        <v>35</v>
      </c>
      <c r="B2" s="6">
        <v>2.5051979567219811</v>
      </c>
      <c r="C2" s="45">
        <v>2.636170828403428</v>
      </c>
      <c r="F2" s="5" t="s">
        <v>35</v>
      </c>
      <c r="G2" s="6">
        <v>2.5051979567219811</v>
      </c>
      <c r="H2" s="45">
        <v>2.636170828403428</v>
      </c>
    </row>
    <row r="3" spans="1:8" x14ac:dyDescent="0.15">
      <c r="A3" s="5" t="s">
        <v>24</v>
      </c>
      <c r="B3" s="6">
        <v>2.7089284184779494</v>
      </c>
      <c r="C3" s="45">
        <v>2.636170828403428</v>
      </c>
      <c r="F3" s="5" t="s">
        <v>24</v>
      </c>
      <c r="G3" s="6">
        <v>2.7089284184779494</v>
      </c>
      <c r="H3" s="45">
        <v>2.636170828403428</v>
      </c>
    </row>
    <row r="4" spans="1:8" x14ac:dyDescent="0.15">
      <c r="A4" s="5" t="s">
        <v>30</v>
      </c>
      <c r="B4" s="6">
        <v>2.6910410697678717</v>
      </c>
      <c r="C4" s="45">
        <v>2.636170828403428</v>
      </c>
      <c r="F4" s="5" t="s">
        <v>30</v>
      </c>
      <c r="G4" s="6">
        <v>2.6910410697678717</v>
      </c>
      <c r="H4" s="45">
        <v>2.636170828403428</v>
      </c>
    </row>
    <row r="5" spans="1:8" x14ac:dyDescent="0.15">
      <c r="A5" s="5" t="s">
        <v>16</v>
      </c>
      <c r="B5" s="6">
        <v>2.725674062221668</v>
      </c>
      <c r="C5" s="45">
        <v>2.636170828403428</v>
      </c>
      <c r="F5" s="5" t="s">
        <v>16</v>
      </c>
      <c r="G5" s="6">
        <v>2.725674062221668</v>
      </c>
      <c r="H5" s="45">
        <v>2.636170828403428</v>
      </c>
    </row>
    <row r="6" spans="1:8" x14ac:dyDescent="0.15">
      <c r="A6" s="5" t="s">
        <v>21</v>
      </c>
      <c r="B6" s="6">
        <v>2.5500534164874598</v>
      </c>
      <c r="C6" s="45">
        <v>2.636170828403428</v>
      </c>
      <c r="F6" s="5" t="s">
        <v>21</v>
      </c>
      <c r="G6" s="6">
        <v>2.5500534164874598</v>
      </c>
      <c r="H6" s="45">
        <v>2.636170828403428</v>
      </c>
    </row>
    <row r="7" spans="1:8" x14ac:dyDescent="0.15">
      <c r="A7" s="5" t="s">
        <v>2025</v>
      </c>
      <c r="B7" s="6">
        <v>2.636170828403428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F897-CEBF-4035-B66F-D58FEF35DC6B}">
  <dimension ref="A1:D37"/>
  <sheetViews>
    <sheetView workbookViewId="0">
      <selection activeCell="L25" sqref="L25"/>
    </sheetView>
  </sheetViews>
  <sheetFormatPr baseColWidth="10" defaultColWidth="8.83203125" defaultRowHeight="13" x14ac:dyDescent="0.15"/>
  <cols>
    <col min="1" max="1" width="18.83203125" bestFit="1" customWidth="1"/>
    <col min="2" max="2" width="15.83203125" bestFit="1" customWidth="1"/>
    <col min="3" max="3" width="8" bestFit="1" customWidth="1"/>
    <col min="4" max="4" width="10.6640625" bestFit="1" customWidth="1"/>
  </cols>
  <sheetData>
    <row r="1" spans="1:4" x14ac:dyDescent="0.15">
      <c r="A1" s="4" t="s">
        <v>2031</v>
      </c>
      <c r="B1" s="4" t="s">
        <v>2032</v>
      </c>
    </row>
    <row r="2" spans="1:4" x14ac:dyDescent="0.15">
      <c r="A2" s="4" t="s">
        <v>2029</v>
      </c>
      <c r="B2" t="s">
        <v>2039</v>
      </c>
      <c r="C2" t="s">
        <v>2040</v>
      </c>
      <c r="D2" t="s">
        <v>2025</v>
      </c>
    </row>
    <row r="3" spans="1:4" x14ac:dyDescent="0.15">
      <c r="A3" s="5" t="s">
        <v>2068</v>
      </c>
      <c r="B3" s="47">
        <v>373</v>
      </c>
      <c r="C3" s="47">
        <v>130</v>
      </c>
      <c r="D3" s="47">
        <v>503</v>
      </c>
    </row>
    <row r="4" spans="1:4" x14ac:dyDescent="0.15">
      <c r="A4" s="29" t="s">
        <v>2070</v>
      </c>
      <c r="B4" s="47">
        <v>117</v>
      </c>
      <c r="C4" s="47">
        <v>1</v>
      </c>
      <c r="D4" s="47">
        <v>118</v>
      </c>
    </row>
    <row r="5" spans="1:4" x14ac:dyDescent="0.15">
      <c r="A5" s="42" t="s">
        <v>2074</v>
      </c>
      <c r="B5" s="47">
        <v>32</v>
      </c>
      <c r="C5" s="47"/>
      <c r="D5" s="47">
        <v>32</v>
      </c>
    </row>
    <row r="6" spans="1:4" x14ac:dyDescent="0.15">
      <c r="A6" s="42" t="s">
        <v>2075</v>
      </c>
      <c r="B6" s="47">
        <v>42</v>
      </c>
      <c r="C6" s="47"/>
      <c r="D6" s="47">
        <v>42</v>
      </c>
    </row>
    <row r="7" spans="1:4" x14ac:dyDescent="0.15">
      <c r="A7" s="42" t="s">
        <v>2076</v>
      </c>
      <c r="B7" s="47">
        <v>43</v>
      </c>
      <c r="C7" s="47">
        <v>1</v>
      </c>
      <c r="D7" s="47">
        <v>44</v>
      </c>
    </row>
    <row r="8" spans="1:4" x14ac:dyDescent="0.15">
      <c r="A8" s="29" t="s">
        <v>2071</v>
      </c>
      <c r="B8" s="47">
        <v>111</v>
      </c>
      <c r="C8" s="47">
        <v>20</v>
      </c>
      <c r="D8" s="47">
        <v>131</v>
      </c>
    </row>
    <row r="9" spans="1:4" x14ac:dyDescent="0.15">
      <c r="A9" s="42" t="s">
        <v>2077</v>
      </c>
      <c r="B9" s="47">
        <v>41</v>
      </c>
      <c r="C9" s="47">
        <v>8</v>
      </c>
      <c r="D9" s="47">
        <v>49</v>
      </c>
    </row>
    <row r="10" spans="1:4" x14ac:dyDescent="0.15">
      <c r="A10" s="42" t="s">
        <v>2078</v>
      </c>
      <c r="B10" s="47">
        <v>40</v>
      </c>
      <c r="C10" s="47">
        <v>5</v>
      </c>
      <c r="D10" s="47">
        <v>45</v>
      </c>
    </row>
    <row r="11" spans="1:4" x14ac:dyDescent="0.15">
      <c r="A11" s="42" t="s">
        <v>2079</v>
      </c>
      <c r="B11" s="47">
        <v>30</v>
      </c>
      <c r="C11" s="47">
        <v>7</v>
      </c>
      <c r="D11" s="47">
        <v>37</v>
      </c>
    </row>
    <row r="12" spans="1:4" x14ac:dyDescent="0.15">
      <c r="A12" s="29" t="s">
        <v>2072</v>
      </c>
      <c r="B12" s="47">
        <v>78</v>
      </c>
      <c r="C12" s="47">
        <v>48</v>
      </c>
      <c r="D12" s="47">
        <v>126</v>
      </c>
    </row>
    <row r="13" spans="1:4" x14ac:dyDescent="0.15">
      <c r="A13" s="42" t="s">
        <v>2080</v>
      </c>
      <c r="B13" s="47">
        <v>23</v>
      </c>
      <c r="C13" s="47">
        <v>16</v>
      </c>
      <c r="D13" s="47">
        <v>39</v>
      </c>
    </row>
    <row r="14" spans="1:4" x14ac:dyDescent="0.15">
      <c r="A14" s="42" t="s">
        <v>2081</v>
      </c>
      <c r="B14" s="47">
        <v>30</v>
      </c>
      <c r="C14" s="47">
        <v>20</v>
      </c>
      <c r="D14" s="47">
        <v>50</v>
      </c>
    </row>
    <row r="15" spans="1:4" x14ac:dyDescent="0.15">
      <c r="A15" s="42" t="s">
        <v>2082</v>
      </c>
      <c r="B15" s="47">
        <v>25</v>
      </c>
      <c r="C15" s="47">
        <v>12</v>
      </c>
      <c r="D15" s="47">
        <v>37</v>
      </c>
    </row>
    <row r="16" spans="1:4" x14ac:dyDescent="0.15">
      <c r="A16" s="29" t="s">
        <v>2073</v>
      </c>
      <c r="B16" s="47">
        <v>67</v>
      </c>
      <c r="C16" s="47">
        <v>61</v>
      </c>
      <c r="D16" s="47">
        <v>128</v>
      </c>
    </row>
    <row r="17" spans="1:4" x14ac:dyDescent="0.15">
      <c r="A17" s="42" t="s">
        <v>2083</v>
      </c>
      <c r="B17" s="47">
        <v>25</v>
      </c>
      <c r="C17" s="47">
        <v>22</v>
      </c>
      <c r="D17" s="47">
        <v>47</v>
      </c>
    </row>
    <row r="18" spans="1:4" x14ac:dyDescent="0.15">
      <c r="A18" s="42" t="s">
        <v>2084</v>
      </c>
      <c r="B18" s="47">
        <v>16</v>
      </c>
      <c r="C18" s="47">
        <v>18</v>
      </c>
      <c r="D18" s="47">
        <v>34</v>
      </c>
    </row>
    <row r="19" spans="1:4" x14ac:dyDescent="0.15">
      <c r="A19" s="42" t="s">
        <v>2085</v>
      </c>
      <c r="B19" s="47">
        <v>26</v>
      </c>
      <c r="C19" s="47">
        <v>21</v>
      </c>
      <c r="D19" s="47">
        <v>47</v>
      </c>
    </row>
    <row r="20" spans="1:4" x14ac:dyDescent="0.15">
      <c r="A20" s="5" t="s">
        <v>2069</v>
      </c>
      <c r="B20" s="47">
        <v>119</v>
      </c>
      <c r="C20" s="47">
        <v>378</v>
      </c>
      <c r="D20" s="47">
        <v>497</v>
      </c>
    </row>
    <row r="21" spans="1:4" x14ac:dyDescent="0.15">
      <c r="A21" s="29" t="s">
        <v>2070</v>
      </c>
      <c r="B21" s="47">
        <v>48</v>
      </c>
      <c r="C21" s="47">
        <v>73</v>
      </c>
      <c r="D21" s="47">
        <v>121</v>
      </c>
    </row>
    <row r="22" spans="1:4" x14ac:dyDescent="0.15">
      <c r="A22" s="42" t="s">
        <v>2074</v>
      </c>
      <c r="B22" s="47">
        <v>16</v>
      </c>
      <c r="C22" s="47">
        <v>28</v>
      </c>
      <c r="D22" s="47">
        <v>44</v>
      </c>
    </row>
    <row r="23" spans="1:4" x14ac:dyDescent="0.15">
      <c r="A23" s="42" t="s">
        <v>2075</v>
      </c>
      <c r="B23" s="47">
        <v>16</v>
      </c>
      <c r="C23" s="47">
        <v>21</v>
      </c>
      <c r="D23" s="47">
        <v>37</v>
      </c>
    </row>
    <row r="24" spans="1:4" x14ac:dyDescent="0.15">
      <c r="A24" s="42" t="s">
        <v>2076</v>
      </c>
      <c r="B24" s="47">
        <v>16</v>
      </c>
      <c r="C24" s="47">
        <v>24</v>
      </c>
      <c r="D24" s="47">
        <v>40</v>
      </c>
    </row>
    <row r="25" spans="1:4" x14ac:dyDescent="0.15">
      <c r="A25" s="29" t="s">
        <v>2071</v>
      </c>
      <c r="B25" s="47">
        <v>43</v>
      </c>
      <c r="C25" s="47">
        <v>101</v>
      </c>
      <c r="D25" s="47">
        <v>144</v>
      </c>
    </row>
    <row r="26" spans="1:4" x14ac:dyDescent="0.15">
      <c r="A26" s="42" t="s">
        <v>2077</v>
      </c>
      <c r="B26" s="47">
        <v>22</v>
      </c>
      <c r="C26" s="47">
        <v>33</v>
      </c>
      <c r="D26" s="47">
        <v>55</v>
      </c>
    </row>
    <row r="27" spans="1:4" x14ac:dyDescent="0.15">
      <c r="A27" s="42" t="s">
        <v>2078</v>
      </c>
      <c r="B27" s="47">
        <v>12</v>
      </c>
      <c r="C27" s="47">
        <v>27</v>
      </c>
      <c r="D27" s="47">
        <v>39</v>
      </c>
    </row>
    <row r="28" spans="1:4" x14ac:dyDescent="0.15">
      <c r="A28" s="42" t="s">
        <v>2079</v>
      </c>
      <c r="B28" s="47">
        <v>9</v>
      </c>
      <c r="C28" s="47">
        <v>41</v>
      </c>
      <c r="D28" s="47">
        <v>50</v>
      </c>
    </row>
    <row r="29" spans="1:4" x14ac:dyDescent="0.15">
      <c r="A29" s="29" t="s">
        <v>2072</v>
      </c>
      <c r="B29" s="47">
        <v>24</v>
      </c>
      <c r="C29" s="47">
        <v>92</v>
      </c>
      <c r="D29" s="47">
        <v>116</v>
      </c>
    </row>
    <row r="30" spans="1:4" x14ac:dyDescent="0.15">
      <c r="A30" s="42" t="s">
        <v>2080</v>
      </c>
      <c r="B30" s="47">
        <v>11</v>
      </c>
      <c r="C30" s="47">
        <v>37</v>
      </c>
      <c r="D30" s="47">
        <v>48</v>
      </c>
    </row>
    <row r="31" spans="1:4" x14ac:dyDescent="0.15">
      <c r="A31" s="42" t="s">
        <v>2081</v>
      </c>
      <c r="B31" s="47">
        <v>7</v>
      </c>
      <c r="C31" s="47">
        <v>30</v>
      </c>
      <c r="D31" s="47">
        <v>37</v>
      </c>
    </row>
    <row r="32" spans="1:4" x14ac:dyDescent="0.15">
      <c r="A32" s="42" t="s">
        <v>2082</v>
      </c>
      <c r="B32" s="47">
        <v>6</v>
      </c>
      <c r="C32" s="47">
        <v>25</v>
      </c>
      <c r="D32" s="47">
        <v>31</v>
      </c>
    </row>
    <row r="33" spans="1:4" x14ac:dyDescent="0.15">
      <c r="A33" s="29" t="s">
        <v>2073</v>
      </c>
      <c r="B33" s="47">
        <v>4</v>
      </c>
      <c r="C33" s="47">
        <v>112</v>
      </c>
      <c r="D33" s="47">
        <v>116</v>
      </c>
    </row>
    <row r="34" spans="1:4" x14ac:dyDescent="0.15">
      <c r="A34" s="42" t="s">
        <v>2083</v>
      </c>
      <c r="B34" s="47">
        <v>2</v>
      </c>
      <c r="C34" s="47">
        <v>46</v>
      </c>
      <c r="D34" s="47">
        <v>48</v>
      </c>
    </row>
    <row r="35" spans="1:4" x14ac:dyDescent="0.15">
      <c r="A35" s="42" t="s">
        <v>2084</v>
      </c>
      <c r="B35" s="47">
        <v>2</v>
      </c>
      <c r="C35" s="47">
        <v>32</v>
      </c>
      <c r="D35" s="47">
        <v>34</v>
      </c>
    </row>
    <row r="36" spans="1:4" x14ac:dyDescent="0.15">
      <c r="A36" s="42" t="s">
        <v>2085</v>
      </c>
      <c r="B36" s="47"/>
      <c r="C36" s="47">
        <v>34</v>
      </c>
      <c r="D36" s="47">
        <v>34</v>
      </c>
    </row>
    <row r="37" spans="1:4" x14ac:dyDescent="0.15">
      <c r="A37" s="5" t="s">
        <v>2025</v>
      </c>
      <c r="B37" s="47">
        <v>492</v>
      </c>
      <c r="C37" s="47">
        <v>508</v>
      </c>
      <c r="D37" s="47">
        <v>1000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F4DBA-A83B-42FA-AF85-47C3A9382354}">
  <dimension ref="A1:D24"/>
  <sheetViews>
    <sheetView zoomScale="150" workbookViewId="0">
      <selection activeCell="L25" sqref="L25"/>
    </sheetView>
  </sheetViews>
  <sheetFormatPr baseColWidth="10" defaultColWidth="8.83203125" defaultRowHeight="13" x14ac:dyDescent="0.15"/>
  <cols>
    <col min="1" max="1" width="13.33203125" bestFit="1" customWidth="1"/>
    <col min="2" max="2" width="14.1640625" bestFit="1" customWidth="1"/>
    <col min="3" max="3" width="15.33203125" bestFit="1" customWidth="1"/>
    <col min="4" max="4" width="16.1640625" bestFit="1" customWidth="1"/>
    <col min="5" max="6" width="11.1640625" bestFit="1" customWidth="1"/>
    <col min="7" max="7" width="12.6640625" bestFit="1" customWidth="1"/>
    <col min="8" max="12" width="11.1640625" bestFit="1" customWidth="1"/>
    <col min="13" max="13" width="12.6640625" bestFit="1" customWidth="1"/>
    <col min="14" max="18" width="11.1640625" bestFit="1" customWidth="1"/>
    <col min="19" max="20" width="12.6640625" bestFit="1" customWidth="1"/>
    <col min="21" max="21" width="16.1640625" bestFit="1" customWidth="1"/>
    <col min="22" max="22" width="12.6640625" bestFit="1" customWidth="1"/>
  </cols>
  <sheetData>
    <row r="1" spans="1:4" x14ac:dyDescent="0.15">
      <c r="A1" s="4" t="s">
        <v>2029</v>
      </c>
      <c r="B1" s="43" t="s">
        <v>2041</v>
      </c>
      <c r="C1" s="43" t="s">
        <v>2047</v>
      </c>
      <c r="D1" s="44" t="s">
        <v>2030</v>
      </c>
    </row>
    <row r="2" spans="1:4" x14ac:dyDescent="0.15">
      <c r="A2" s="5" t="s">
        <v>35</v>
      </c>
      <c r="B2" s="43">
        <v>1109506</v>
      </c>
      <c r="C2" s="43">
        <v>1419462</v>
      </c>
      <c r="D2" s="44">
        <v>1.6533080185286957</v>
      </c>
    </row>
    <row r="3" spans="1:4" x14ac:dyDescent="0.15">
      <c r="A3" s="29" t="s">
        <v>2049</v>
      </c>
      <c r="B3" s="43">
        <v>455659</v>
      </c>
      <c r="C3" s="43">
        <v>575325</v>
      </c>
      <c r="D3" s="44">
        <v>1.8938061178438124</v>
      </c>
    </row>
    <row r="4" spans="1:4" x14ac:dyDescent="0.15">
      <c r="A4" s="29" t="s">
        <v>2050</v>
      </c>
      <c r="B4" s="43">
        <v>236450</v>
      </c>
      <c r="C4" s="43">
        <v>266898</v>
      </c>
      <c r="D4" s="44">
        <v>1.8164596065238274</v>
      </c>
    </row>
    <row r="5" spans="1:4" x14ac:dyDescent="0.15">
      <c r="A5" s="29" t="s">
        <v>17</v>
      </c>
      <c r="B5" s="43">
        <v>417397</v>
      </c>
      <c r="C5" s="43">
        <v>577239</v>
      </c>
      <c r="D5" s="44">
        <v>1.3161758149769036</v>
      </c>
    </row>
    <row r="6" spans="1:4" x14ac:dyDescent="0.15">
      <c r="A6" s="5" t="s">
        <v>24</v>
      </c>
      <c r="B6" s="43">
        <v>1007775</v>
      </c>
      <c r="C6" s="43">
        <v>1424637</v>
      </c>
      <c r="D6" s="44">
        <v>1.1915194917074194</v>
      </c>
    </row>
    <row r="7" spans="1:4" x14ac:dyDescent="0.15">
      <c r="A7" s="29" t="s">
        <v>2049</v>
      </c>
      <c r="B7" s="43">
        <v>331378</v>
      </c>
      <c r="C7" s="43">
        <v>464889</v>
      </c>
      <c r="D7" s="44">
        <v>0.84477246299971842</v>
      </c>
    </row>
    <row r="8" spans="1:4" x14ac:dyDescent="0.15">
      <c r="A8" s="29" t="s">
        <v>2050</v>
      </c>
      <c r="B8" s="43">
        <v>284976</v>
      </c>
      <c r="C8" s="43">
        <v>393431</v>
      </c>
      <c r="D8" s="44">
        <v>1.4128574253186035</v>
      </c>
    </row>
    <row r="9" spans="1:4" x14ac:dyDescent="0.15">
      <c r="A9" s="29" t="s">
        <v>17</v>
      </c>
      <c r="B9" s="43">
        <v>391421</v>
      </c>
      <c r="C9" s="43">
        <v>566317</v>
      </c>
      <c r="D9" s="44">
        <v>1.3702935461910006</v>
      </c>
    </row>
    <row r="10" spans="1:4" x14ac:dyDescent="0.15">
      <c r="A10" s="5" t="s">
        <v>30</v>
      </c>
      <c r="B10" s="43">
        <v>1163799</v>
      </c>
      <c r="C10" s="43">
        <v>1619963</v>
      </c>
      <c r="D10" s="44">
        <v>1.3367473249677044</v>
      </c>
    </row>
    <row r="11" spans="1:4" x14ac:dyDescent="0.15">
      <c r="A11" s="29" t="s">
        <v>2049</v>
      </c>
      <c r="B11" s="43">
        <v>462065</v>
      </c>
      <c r="C11" s="43">
        <v>620654</v>
      </c>
      <c r="D11" s="44">
        <v>1.2804656204786107</v>
      </c>
    </row>
    <row r="12" spans="1:4" x14ac:dyDescent="0.15">
      <c r="A12" s="29" t="s">
        <v>2050</v>
      </c>
      <c r="B12" s="43">
        <v>277143</v>
      </c>
      <c r="C12" s="43">
        <v>405706</v>
      </c>
      <c r="D12" s="44">
        <v>1.4227636314742991</v>
      </c>
    </row>
    <row r="13" spans="1:4" x14ac:dyDescent="0.15">
      <c r="A13" s="29" t="s">
        <v>17</v>
      </c>
      <c r="B13" s="43">
        <v>424591</v>
      </c>
      <c r="C13" s="43">
        <v>593603</v>
      </c>
      <c r="D13" s="44">
        <v>1.3389243684079613</v>
      </c>
    </row>
    <row r="14" spans="1:4" x14ac:dyDescent="0.15">
      <c r="A14" s="5" t="s">
        <v>16</v>
      </c>
      <c r="B14" s="43">
        <v>1095256</v>
      </c>
      <c r="C14" s="43">
        <v>1554848</v>
      </c>
      <c r="D14" s="44">
        <v>1.7024788504974129</v>
      </c>
    </row>
    <row r="15" spans="1:4" x14ac:dyDescent="0.15">
      <c r="A15" s="29" t="s">
        <v>2049</v>
      </c>
      <c r="B15" s="43">
        <v>396865</v>
      </c>
      <c r="C15" s="43">
        <v>605601</v>
      </c>
      <c r="D15" s="44">
        <v>1.4478971358867647</v>
      </c>
    </row>
    <row r="16" spans="1:4" x14ac:dyDescent="0.15">
      <c r="A16" s="29" t="s">
        <v>2050</v>
      </c>
      <c r="B16" s="43">
        <v>223476</v>
      </c>
      <c r="C16" s="43">
        <v>307805</v>
      </c>
      <c r="D16" s="44">
        <v>1.6715244839675631</v>
      </c>
    </row>
    <row r="17" spans="1:4" x14ac:dyDescent="0.15">
      <c r="A17" s="29" t="s">
        <v>17</v>
      </c>
      <c r="B17" s="43">
        <v>474915</v>
      </c>
      <c r="C17" s="43">
        <v>641442</v>
      </c>
      <c r="D17" s="44">
        <v>1.9597093338159115</v>
      </c>
    </row>
    <row r="18" spans="1:4" x14ac:dyDescent="0.15">
      <c r="A18" s="5" t="s">
        <v>21</v>
      </c>
      <c r="B18" s="43">
        <v>1144051</v>
      </c>
      <c r="C18" s="43">
        <v>1618381</v>
      </c>
      <c r="D18" s="44">
        <v>1.4495182890257303</v>
      </c>
    </row>
    <row r="19" spans="1:4" x14ac:dyDescent="0.15">
      <c r="A19" s="29" t="s">
        <v>2049</v>
      </c>
      <c r="B19" s="43">
        <v>395595</v>
      </c>
      <c r="C19" s="43">
        <v>556809</v>
      </c>
      <c r="D19" s="44">
        <v>1.507762496638329</v>
      </c>
    </row>
    <row r="20" spans="1:4" x14ac:dyDescent="0.15">
      <c r="A20" s="29" t="s">
        <v>2050</v>
      </c>
      <c r="B20" s="43">
        <v>249436</v>
      </c>
      <c r="C20" s="43">
        <v>311430</v>
      </c>
      <c r="D20" s="44">
        <v>1.7386136178967762</v>
      </c>
    </row>
    <row r="21" spans="1:4" x14ac:dyDescent="0.15">
      <c r="A21" s="29" t="s">
        <v>17</v>
      </c>
      <c r="B21" s="43">
        <v>499020</v>
      </c>
      <c r="C21" s="43">
        <v>750142</v>
      </c>
      <c r="D21" s="44">
        <v>1.2757599495675784</v>
      </c>
    </row>
    <row r="22" spans="1:4" x14ac:dyDescent="0.15">
      <c r="A22" s="5" t="s">
        <v>2025</v>
      </c>
      <c r="B22" s="43">
        <v>5520387</v>
      </c>
      <c r="C22" s="43">
        <v>7637291</v>
      </c>
      <c r="D22" s="44">
        <v>1.4681652905196336</v>
      </c>
    </row>
    <row r="24" spans="1:4" x14ac:dyDescent="0.15">
      <c r="B24" s="39" t="s">
        <v>2086</v>
      </c>
      <c r="C24" s="39" t="s">
        <v>2086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2"/>
  <sheetViews>
    <sheetView tabSelected="1" zoomScale="125" zoomScaleNormal="100" workbookViewId="0"/>
  </sheetViews>
  <sheetFormatPr baseColWidth="10" defaultColWidth="13.5" defaultRowHeight="15.75" customHeight="1" x14ac:dyDescent="0.15"/>
  <cols>
    <col min="1" max="1" width="13.83203125" bestFit="1" customWidth="1"/>
    <col min="2" max="3" width="14.1640625" style="22" bestFit="1" customWidth="1"/>
    <col min="4" max="4" width="18.1640625" style="22" bestFit="1" customWidth="1"/>
    <col min="5" max="5" width="19.6640625" style="26" bestFit="1" customWidth="1"/>
    <col min="6" max="6" width="10.5" style="9" bestFit="1" customWidth="1"/>
    <col min="7" max="7" width="13.1640625" style="22" bestFit="1" customWidth="1"/>
    <col min="8" max="8" width="16.1640625" style="9" bestFit="1" customWidth="1"/>
    <col min="9" max="9" width="9.5" style="9" bestFit="1" customWidth="1"/>
    <col min="10" max="10" width="13.6640625" style="9" bestFit="1" customWidth="1"/>
    <col min="11" max="11" width="11.1640625" style="9" bestFit="1" customWidth="1"/>
    <col min="12" max="12" width="17.83203125" style="18" bestFit="1" customWidth="1"/>
    <col min="13" max="13" width="16.1640625" style="18" bestFit="1" customWidth="1"/>
    <col min="14" max="14" width="14.1640625" style="19" bestFit="1" customWidth="1"/>
    <col min="15" max="15" width="18.33203125" style="19" bestFit="1" customWidth="1"/>
    <col min="16" max="16" width="20.1640625" style="18" bestFit="1" customWidth="1"/>
    <col min="17" max="17" width="9.6640625" style="18" bestFit="1" customWidth="1"/>
    <col min="18" max="18" width="11.1640625" bestFit="1" customWidth="1"/>
    <col min="19" max="19" width="9.83203125" style="22" bestFit="1" customWidth="1"/>
    <col min="20" max="20" width="14.6640625" style="22" bestFit="1" customWidth="1"/>
    <col min="21" max="21" width="12" style="9" bestFit="1" customWidth="1"/>
    <col min="22" max="22" width="17.6640625" style="9" bestFit="1" customWidth="1"/>
    <col min="23" max="23" width="20.6640625" bestFit="1" customWidth="1"/>
  </cols>
  <sheetData>
    <row r="1" spans="1:23" ht="15.75" customHeight="1" x14ac:dyDescent="0.15">
      <c r="A1" s="1" t="s">
        <v>0</v>
      </c>
      <c r="B1" s="20" t="s">
        <v>1</v>
      </c>
      <c r="C1" s="20" t="s">
        <v>2</v>
      </c>
      <c r="D1" s="28" t="s">
        <v>2038</v>
      </c>
      <c r="E1" s="27" t="s">
        <v>2037</v>
      </c>
      <c r="F1" s="7" t="s">
        <v>3</v>
      </c>
      <c r="G1" s="20" t="s">
        <v>4</v>
      </c>
      <c r="H1" s="10" t="s">
        <v>2026</v>
      </c>
      <c r="I1" s="10" t="s">
        <v>5</v>
      </c>
      <c r="J1" s="10" t="s">
        <v>6</v>
      </c>
      <c r="K1" s="12" t="s">
        <v>7</v>
      </c>
      <c r="L1" s="14" t="s">
        <v>2034</v>
      </c>
      <c r="M1" s="14" t="s">
        <v>2033</v>
      </c>
      <c r="N1" s="15" t="s">
        <v>2035</v>
      </c>
      <c r="O1" s="15" t="s">
        <v>2036</v>
      </c>
      <c r="P1" s="14" t="s">
        <v>2028</v>
      </c>
      <c r="Q1" s="14" t="s">
        <v>2027</v>
      </c>
      <c r="R1" s="1" t="s">
        <v>8</v>
      </c>
      <c r="S1" s="20" t="s">
        <v>9</v>
      </c>
      <c r="T1" s="20" t="s">
        <v>10</v>
      </c>
      <c r="U1" s="7" t="s">
        <v>11</v>
      </c>
      <c r="V1" s="10" t="s">
        <v>12</v>
      </c>
      <c r="W1" s="39" t="s">
        <v>2048</v>
      </c>
    </row>
    <row r="2" spans="1:23" ht="15.75" customHeight="1" x14ac:dyDescent="0.15">
      <c r="A2" s="2" t="s">
        <v>13</v>
      </c>
      <c r="B2" s="23">
        <v>45035.95579861111</v>
      </c>
      <c r="C2" s="23">
        <v>45337.488506944443</v>
      </c>
      <c r="D2" s="23" t="str">
        <f>IF(Table1[[#This Row],[Duration of Campaign]]=0, "Ongoing","Completed")</f>
        <v>Completed</v>
      </c>
      <c r="E2" s="25">
        <f>Table1[[#This Row],[End Date]]-Table1[[#This Row],[Start Date]]</f>
        <v>301.53270833333227</v>
      </c>
      <c r="F2" s="8">
        <v>3216</v>
      </c>
      <c r="G2" s="21" t="s">
        <v>14</v>
      </c>
      <c r="H2" s="11">
        <v>17862</v>
      </c>
      <c r="I2" s="11">
        <v>1352</v>
      </c>
      <c r="J2" s="11">
        <v>200</v>
      </c>
      <c r="K2" s="13">
        <v>5912</v>
      </c>
      <c r="L2" s="16">
        <f>I2/H2</f>
        <v>7.5691411935953426E-2</v>
      </c>
      <c r="M2" s="16">
        <f>J2/I2</f>
        <v>0.14792899408284024</v>
      </c>
      <c r="N2" s="17">
        <f>U2/I2</f>
        <v>2.165680473372781</v>
      </c>
      <c r="O2" s="17">
        <f>U2/J2</f>
        <v>14.64</v>
      </c>
      <c r="P2" s="16">
        <f>U2/F2</f>
        <v>0.91044776119402981</v>
      </c>
      <c r="Q2" s="16">
        <f>K2/U2</f>
        <v>2.0191256830601092</v>
      </c>
      <c r="R2" s="2" t="s">
        <v>15</v>
      </c>
      <c r="S2" s="21" t="s">
        <v>16</v>
      </c>
      <c r="T2" s="21" t="s">
        <v>17</v>
      </c>
      <c r="U2" s="8">
        <v>2928</v>
      </c>
      <c r="V2" s="11">
        <v>5</v>
      </c>
      <c r="W2" s="3" t="str">
        <f>IF(Table1[[#This Row],[Satisfaction Rating]]&lt;2, "Low", IF(Table1[[#This Row],[Satisfaction Rating]]&lt;4, "Medium", "High"))</f>
        <v>High</v>
      </c>
    </row>
    <row r="3" spans="1:23" ht="15.75" customHeight="1" x14ac:dyDescent="0.15">
      <c r="A3" s="2" t="s">
        <v>18</v>
      </c>
      <c r="B3" s="23">
        <v>45161.318645833337</v>
      </c>
      <c r="C3" s="23">
        <v>45161.318645833337</v>
      </c>
      <c r="D3" s="23" t="str">
        <f>IF(Table1[[#This Row],[Duration of Campaign]]=0, "Ongoing","Completed")</f>
        <v>Ongoing</v>
      </c>
      <c r="E3" s="25">
        <f>Table1[[#This Row],[End Date]]-Table1[[#This Row],[Start Date]]</f>
        <v>0</v>
      </c>
      <c r="F3" s="8">
        <v>1702</v>
      </c>
      <c r="G3" s="21" t="s">
        <v>19</v>
      </c>
      <c r="H3" s="11">
        <v>8625</v>
      </c>
      <c r="I3" s="11">
        <v>181</v>
      </c>
      <c r="J3" s="11">
        <v>51</v>
      </c>
      <c r="K3" s="13">
        <v>10101</v>
      </c>
      <c r="L3" s="16">
        <f t="shared" ref="L3:L66" si="0">I3/H3</f>
        <v>2.0985507246376812E-2</v>
      </c>
      <c r="M3" s="16">
        <f t="shared" ref="M3:M66" si="1">J3/I3</f>
        <v>0.28176795580110497</v>
      </c>
      <c r="N3" s="17">
        <f t="shared" ref="N3:N66" si="2">U3/I3</f>
        <v>9.0718232044198892</v>
      </c>
      <c r="O3" s="17">
        <f t="shared" ref="O3:O66" si="3">U3/J3</f>
        <v>32.196078431372548</v>
      </c>
      <c r="P3" s="16">
        <f t="shared" ref="P3:P66" si="4">U3/F3</f>
        <v>0.96474735605170392</v>
      </c>
      <c r="Q3" s="16">
        <f t="shared" ref="Q3:Q66" si="5">K3/U3</f>
        <v>6.1516443361753961</v>
      </c>
      <c r="R3" s="2" t="s">
        <v>20</v>
      </c>
      <c r="S3" s="21" t="s">
        <v>21</v>
      </c>
      <c r="T3" s="21" t="s">
        <v>17</v>
      </c>
      <c r="U3" s="8">
        <v>1642</v>
      </c>
      <c r="V3" s="11">
        <v>2</v>
      </c>
      <c r="W3" s="3" t="str">
        <f>IF(Table1[[#This Row],[Satisfaction Rating]]&lt;2, "Low", IF(Table1[[#This Row],[Satisfaction Rating]]&lt;4, "Medium", "High"))</f>
        <v>Medium</v>
      </c>
    </row>
    <row r="4" spans="1:23" ht="15.75" customHeight="1" x14ac:dyDescent="0.15">
      <c r="A4" s="2" t="s">
        <v>22</v>
      </c>
      <c r="B4" s="23">
        <v>45007.497627314813</v>
      </c>
      <c r="C4" s="23">
        <v>45648.686932870369</v>
      </c>
      <c r="D4" s="23" t="str">
        <f>IF(Table1[[#This Row],[Duration of Campaign]]=0, "Ongoing","Completed")</f>
        <v>Completed</v>
      </c>
      <c r="E4" s="25">
        <f>Table1[[#This Row],[End Date]]-Table1[[#This Row],[Start Date]]</f>
        <v>641.18930555555562</v>
      </c>
      <c r="F4" s="8">
        <v>1665</v>
      </c>
      <c r="G4" s="21" t="s">
        <v>14</v>
      </c>
      <c r="H4" s="11">
        <v>10136</v>
      </c>
      <c r="I4" s="11">
        <v>1703</v>
      </c>
      <c r="J4" s="11">
        <v>386</v>
      </c>
      <c r="K4" s="13">
        <v>3148</v>
      </c>
      <c r="L4" s="16">
        <f t="shared" si="0"/>
        <v>0.1680149960536701</v>
      </c>
      <c r="M4" s="16">
        <f t="shared" si="1"/>
        <v>0.22665883734586026</v>
      </c>
      <c r="N4" s="17">
        <f t="shared" si="2"/>
        <v>10.540810334703464</v>
      </c>
      <c r="O4" s="17">
        <f t="shared" si="3"/>
        <v>46.505181347150256</v>
      </c>
      <c r="P4" s="16">
        <f t="shared" si="4"/>
        <v>10.781381381381381</v>
      </c>
      <c r="Q4" s="16">
        <f t="shared" si="5"/>
        <v>0.17536627485933931</v>
      </c>
      <c r="R4" s="2" t="s">
        <v>23</v>
      </c>
      <c r="S4" s="21" t="s">
        <v>24</v>
      </c>
      <c r="T4" s="21" t="s">
        <v>17</v>
      </c>
      <c r="U4" s="8">
        <v>17951</v>
      </c>
      <c r="V4" s="11">
        <v>4</v>
      </c>
      <c r="W4" t="str">
        <f>IF(Table1[[#This Row],[Satisfaction Rating]]&lt;2, "Low", IF(Table1[[#This Row],[Satisfaction Rating]]&lt;4, "Medium", "High"))</f>
        <v>High</v>
      </c>
    </row>
    <row r="5" spans="1:23" ht="15.75" customHeight="1" x14ac:dyDescent="0.15">
      <c r="A5" s="2" t="s">
        <v>25</v>
      </c>
      <c r="B5" s="23">
        <v>45421.395462962966</v>
      </c>
      <c r="C5" s="23">
        <v>45421.395462962966</v>
      </c>
      <c r="D5" s="23" t="str">
        <f>IF(Table1[[#This Row],[Duration of Campaign]]=0, "Ongoing","Completed")</f>
        <v>Ongoing</v>
      </c>
      <c r="E5" s="25">
        <f>Table1[[#This Row],[End Date]]-Table1[[#This Row],[Start Date]]</f>
        <v>0</v>
      </c>
      <c r="F5" s="8">
        <v>2883</v>
      </c>
      <c r="G5" s="21" t="s">
        <v>19</v>
      </c>
      <c r="H5" s="11">
        <v>7926</v>
      </c>
      <c r="I5" s="11">
        <v>1726</v>
      </c>
      <c r="J5" s="11">
        <v>84</v>
      </c>
      <c r="K5" s="13">
        <v>2137</v>
      </c>
      <c r="L5" s="16">
        <f t="shared" si="0"/>
        <v>0.21776431995962656</v>
      </c>
      <c r="M5" s="16">
        <f t="shared" si="1"/>
        <v>4.8667439165701043E-2</v>
      </c>
      <c r="N5" s="17">
        <f t="shared" si="2"/>
        <v>7.5150637311703363</v>
      </c>
      <c r="O5" s="17">
        <f t="shared" si="3"/>
        <v>154.41666666666666</v>
      </c>
      <c r="P5" s="16">
        <f t="shared" si="4"/>
        <v>4.4991328477280614</v>
      </c>
      <c r="Q5" s="16">
        <f t="shared" si="5"/>
        <v>0.16475213938786523</v>
      </c>
      <c r="R5" s="2" t="s">
        <v>26</v>
      </c>
      <c r="S5" s="21" t="s">
        <v>16</v>
      </c>
      <c r="T5" s="21" t="s">
        <v>27</v>
      </c>
      <c r="U5" s="8">
        <v>12971</v>
      </c>
      <c r="V5" s="11">
        <v>4</v>
      </c>
      <c r="W5" t="str">
        <f>IF(Table1[[#This Row],[Satisfaction Rating]]&lt;2, "Low", IF(Table1[[#This Row],[Satisfaction Rating]]&lt;4, "Medium", "High"))</f>
        <v>High</v>
      </c>
    </row>
    <row r="6" spans="1:23" ht="15.75" customHeight="1" x14ac:dyDescent="0.15">
      <c r="A6" s="2" t="s">
        <v>28</v>
      </c>
      <c r="B6" s="23">
        <v>45129.570902777778</v>
      </c>
      <c r="C6" s="23">
        <v>45606.619675925926</v>
      </c>
      <c r="D6" s="23" t="str">
        <f>IF(Table1[[#This Row],[Duration of Campaign]]=0, "Ongoing","Completed")</f>
        <v>Completed</v>
      </c>
      <c r="E6" s="25">
        <f>Table1[[#This Row],[End Date]]-Table1[[#This Row],[Start Date]]</f>
        <v>477.04877314814803</v>
      </c>
      <c r="F6" s="8">
        <v>9896</v>
      </c>
      <c r="G6" s="21" t="s">
        <v>14</v>
      </c>
      <c r="H6" s="11">
        <v>15176</v>
      </c>
      <c r="I6" s="11">
        <v>1603</v>
      </c>
      <c r="J6" s="11">
        <v>499</v>
      </c>
      <c r="K6" s="13">
        <v>11513</v>
      </c>
      <c r="L6" s="16">
        <f t="shared" si="0"/>
        <v>0.10562730627306273</v>
      </c>
      <c r="M6" s="16">
        <f t="shared" si="1"/>
        <v>0.31129132875857768</v>
      </c>
      <c r="N6" s="17">
        <f t="shared" si="2"/>
        <v>1.8041172800998129</v>
      </c>
      <c r="O6" s="17">
        <f t="shared" si="3"/>
        <v>5.7955911823647295</v>
      </c>
      <c r="P6" s="16">
        <f t="shared" si="4"/>
        <v>0.29223928860145515</v>
      </c>
      <c r="Q6" s="16">
        <f t="shared" si="5"/>
        <v>3.9809820193637622</v>
      </c>
      <c r="R6" s="2" t="s">
        <v>29</v>
      </c>
      <c r="S6" s="21" t="s">
        <v>30</v>
      </c>
      <c r="T6" s="21" t="s">
        <v>17</v>
      </c>
      <c r="U6" s="8">
        <v>2892</v>
      </c>
      <c r="V6" s="11">
        <v>4</v>
      </c>
      <c r="W6" t="str">
        <f>IF(Table1[[#This Row],[Satisfaction Rating]]&lt;2, "Low", IF(Table1[[#This Row],[Satisfaction Rating]]&lt;4, "Medium", "High"))</f>
        <v>High</v>
      </c>
    </row>
    <row r="7" spans="1:23" ht="15.75" customHeight="1" x14ac:dyDescent="0.15">
      <c r="A7" s="2" t="s">
        <v>31</v>
      </c>
      <c r="B7" s="23">
        <v>45653.359837962962</v>
      </c>
      <c r="C7" s="23">
        <v>45653.359837962962</v>
      </c>
      <c r="D7" s="23" t="str">
        <f>IF(Table1[[#This Row],[Duration of Campaign]]=0, "Ongoing","Completed")</f>
        <v>Ongoing</v>
      </c>
      <c r="E7" s="25">
        <f>Table1[[#This Row],[End Date]]-Table1[[#This Row],[Start Date]]</f>
        <v>0</v>
      </c>
      <c r="F7" s="8">
        <v>6576</v>
      </c>
      <c r="G7" s="21" t="s">
        <v>14</v>
      </c>
      <c r="H7" s="11">
        <v>14195</v>
      </c>
      <c r="I7" s="11">
        <v>1340</v>
      </c>
      <c r="J7" s="11">
        <v>128</v>
      </c>
      <c r="K7" s="13">
        <v>1074</v>
      </c>
      <c r="L7" s="16">
        <f t="shared" si="0"/>
        <v>9.4399436421275101E-2</v>
      </c>
      <c r="M7" s="16">
        <f t="shared" si="1"/>
        <v>9.5522388059701493E-2</v>
      </c>
      <c r="N7" s="17">
        <f t="shared" si="2"/>
        <v>12.394029850746268</v>
      </c>
      <c r="O7" s="17">
        <f t="shared" si="3"/>
        <v>129.75</v>
      </c>
      <c r="P7" s="16">
        <f t="shared" si="4"/>
        <v>2.5255474452554743</v>
      </c>
      <c r="Q7" s="16">
        <f t="shared" si="5"/>
        <v>6.4667630057803474E-2</v>
      </c>
      <c r="R7" s="2" t="s">
        <v>32</v>
      </c>
      <c r="S7" s="21" t="s">
        <v>30</v>
      </c>
      <c r="T7" s="21" t="s">
        <v>27</v>
      </c>
      <c r="U7" s="8">
        <v>16608</v>
      </c>
      <c r="V7" s="11">
        <v>2</v>
      </c>
      <c r="W7" t="str">
        <f>IF(Table1[[#This Row],[Satisfaction Rating]]&lt;2, "Low", IF(Table1[[#This Row],[Satisfaction Rating]]&lt;4, "Medium", "High"))</f>
        <v>Medium</v>
      </c>
    </row>
    <row r="8" spans="1:23" ht="15.75" customHeight="1" x14ac:dyDescent="0.15">
      <c r="A8" s="2" t="s">
        <v>33</v>
      </c>
      <c r="B8" s="23">
        <v>45034.877372685187</v>
      </c>
      <c r="C8" s="23">
        <v>45319.280046296299</v>
      </c>
      <c r="D8" s="23" t="str">
        <f>IF(Table1[[#This Row],[Duration of Campaign]]=0, "Ongoing","Completed")</f>
        <v>Completed</v>
      </c>
      <c r="E8" s="25">
        <f>Table1[[#This Row],[End Date]]-Table1[[#This Row],[Start Date]]</f>
        <v>284.40267361111182</v>
      </c>
      <c r="F8" s="8">
        <v>2580</v>
      </c>
      <c r="G8" s="21" t="s">
        <v>14</v>
      </c>
      <c r="H8" s="11">
        <v>6310</v>
      </c>
      <c r="I8" s="11">
        <v>664</v>
      </c>
      <c r="J8" s="11">
        <v>424</v>
      </c>
      <c r="K8" s="13">
        <v>7255</v>
      </c>
      <c r="L8" s="16">
        <f t="shared" si="0"/>
        <v>0.105229793977813</v>
      </c>
      <c r="M8" s="16">
        <f t="shared" si="1"/>
        <v>0.63855421686746983</v>
      </c>
      <c r="N8" s="17">
        <f t="shared" si="2"/>
        <v>2.7379518072289155</v>
      </c>
      <c r="O8" s="17">
        <f t="shared" si="3"/>
        <v>4.2877358490566042</v>
      </c>
      <c r="P8" s="16">
        <f t="shared" si="4"/>
        <v>0.70465116279069773</v>
      </c>
      <c r="Q8" s="16">
        <f t="shared" si="5"/>
        <v>3.9906490649064907</v>
      </c>
      <c r="R8" s="2" t="s">
        <v>34</v>
      </c>
      <c r="S8" s="21" t="s">
        <v>35</v>
      </c>
      <c r="T8" s="21" t="s">
        <v>27</v>
      </c>
      <c r="U8" s="8">
        <v>1818</v>
      </c>
      <c r="V8" s="11">
        <v>2</v>
      </c>
      <c r="W8" t="str">
        <f>IF(Table1[[#This Row],[Satisfaction Rating]]&lt;2, "Low", IF(Table1[[#This Row],[Satisfaction Rating]]&lt;4, "Medium", "High"))</f>
        <v>Medium</v>
      </c>
    </row>
    <row r="9" spans="1:23" ht="15.75" customHeight="1" x14ac:dyDescent="0.15">
      <c r="A9" s="2" t="s">
        <v>36</v>
      </c>
      <c r="B9" s="23">
        <v>45392.695902777778</v>
      </c>
      <c r="C9" s="23">
        <v>45392.695902777778</v>
      </c>
      <c r="D9" s="23" t="str">
        <f>IF(Table1[[#This Row],[Duration of Campaign]]=0, "Ongoing","Completed")</f>
        <v>Ongoing</v>
      </c>
      <c r="E9" s="25">
        <f>Table1[[#This Row],[End Date]]-Table1[[#This Row],[Start Date]]</f>
        <v>0</v>
      </c>
      <c r="F9" s="8">
        <v>8487</v>
      </c>
      <c r="G9" s="21" t="s">
        <v>37</v>
      </c>
      <c r="H9" s="11">
        <v>3619</v>
      </c>
      <c r="I9" s="11">
        <v>395</v>
      </c>
      <c r="J9" s="11">
        <v>329</v>
      </c>
      <c r="K9" s="13">
        <v>6899</v>
      </c>
      <c r="L9" s="16">
        <f t="shared" si="0"/>
        <v>0.10914617297596022</v>
      </c>
      <c r="M9" s="16">
        <f t="shared" si="1"/>
        <v>0.83291139240506329</v>
      </c>
      <c r="N9" s="17">
        <f t="shared" si="2"/>
        <v>23.703797468354431</v>
      </c>
      <c r="O9" s="17">
        <f t="shared" si="3"/>
        <v>28.458966565349545</v>
      </c>
      <c r="P9" s="16">
        <f t="shared" si="4"/>
        <v>1.1032166843407565</v>
      </c>
      <c r="Q9" s="16">
        <f t="shared" si="5"/>
        <v>0.73683648403289548</v>
      </c>
      <c r="R9" s="2" t="s">
        <v>38</v>
      </c>
      <c r="S9" s="21" t="s">
        <v>24</v>
      </c>
      <c r="T9" s="21" t="s">
        <v>27</v>
      </c>
      <c r="U9" s="8">
        <v>9363</v>
      </c>
      <c r="V9" s="11">
        <v>1</v>
      </c>
      <c r="W9" t="str">
        <f>IF(Table1[[#This Row],[Satisfaction Rating]]&lt;2, "Low", IF(Table1[[#This Row],[Satisfaction Rating]]&lt;4, "Medium", "High"))</f>
        <v>Low</v>
      </c>
    </row>
    <row r="10" spans="1:23" ht="15.75" customHeight="1" x14ac:dyDescent="0.15">
      <c r="A10" s="2" t="s">
        <v>39</v>
      </c>
      <c r="B10" s="23">
        <v>45116.4996875</v>
      </c>
      <c r="C10" s="23">
        <v>45407.077685185184</v>
      </c>
      <c r="D10" s="23" t="str">
        <f>IF(Table1[[#This Row],[Duration of Campaign]]=0, "Ongoing","Completed")</f>
        <v>Completed</v>
      </c>
      <c r="E10" s="25">
        <f>Table1[[#This Row],[End Date]]-Table1[[#This Row],[Start Date]]</f>
        <v>290.57799768518453</v>
      </c>
      <c r="F10" s="8">
        <v>2452</v>
      </c>
      <c r="G10" s="21" t="s">
        <v>19</v>
      </c>
      <c r="H10" s="11">
        <v>2749</v>
      </c>
      <c r="I10" s="11">
        <v>1229</v>
      </c>
      <c r="J10" s="11">
        <v>163</v>
      </c>
      <c r="K10" s="13">
        <v>4265</v>
      </c>
      <c r="L10" s="16">
        <f t="shared" si="0"/>
        <v>0.44707166242269919</v>
      </c>
      <c r="M10" s="16">
        <f t="shared" si="1"/>
        <v>0.13262815296989422</v>
      </c>
      <c r="N10" s="17">
        <f t="shared" si="2"/>
        <v>14.959316517493898</v>
      </c>
      <c r="O10" s="17">
        <f t="shared" si="3"/>
        <v>112.79141104294479</v>
      </c>
      <c r="P10" s="16">
        <f t="shared" si="4"/>
        <v>7.4979608482871125</v>
      </c>
      <c r="Q10" s="16">
        <f t="shared" si="5"/>
        <v>0.23198259450639108</v>
      </c>
      <c r="R10" s="2" t="s">
        <v>40</v>
      </c>
      <c r="S10" s="21" t="s">
        <v>24</v>
      </c>
      <c r="T10" s="21" t="s">
        <v>17</v>
      </c>
      <c r="U10" s="8">
        <v>18385</v>
      </c>
      <c r="V10" s="11">
        <v>4</v>
      </c>
      <c r="W10" t="str">
        <f>IF(Table1[[#This Row],[Satisfaction Rating]]&lt;2, "Low", IF(Table1[[#This Row],[Satisfaction Rating]]&lt;4, "Medium", "High"))</f>
        <v>High</v>
      </c>
    </row>
    <row r="11" spans="1:23" ht="15.75" customHeight="1" x14ac:dyDescent="0.15">
      <c r="A11" s="2" t="s">
        <v>41</v>
      </c>
      <c r="B11" s="23">
        <v>45383.444872685184</v>
      </c>
      <c r="C11" s="23">
        <v>45383.444872685184</v>
      </c>
      <c r="D11" s="23" t="str">
        <f>IF(Table1[[#This Row],[Duration of Campaign]]=0, "Ongoing","Completed")</f>
        <v>Ongoing</v>
      </c>
      <c r="E11" s="25">
        <f>Table1[[#This Row],[End Date]]-Table1[[#This Row],[Start Date]]</f>
        <v>0</v>
      </c>
      <c r="F11" s="8">
        <v>2112</v>
      </c>
      <c r="G11" s="21" t="s">
        <v>19</v>
      </c>
      <c r="H11" s="11">
        <v>18727</v>
      </c>
      <c r="I11" s="11">
        <v>1018</v>
      </c>
      <c r="J11" s="11">
        <v>179</v>
      </c>
      <c r="K11" s="13">
        <v>671</v>
      </c>
      <c r="L11" s="16">
        <f t="shared" si="0"/>
        <v>5.436001495167405E-2</v>
      </c>
      <c r="M11" s="16">
        <f t="shared" si="1"/>
        <v>0.17583497053045186</v>
      </c>
      <c r="N11" s="17">
        <f t="shared" si="2"/>
        <v>18.390962671905697</v>
      </c>
      <c r="O11" s="17">
        <f t="shared" si="3"/>
        <v>104.59217877094972</v>
      </c>
      <c r="P11" s="16">
        <f t="shared" si="4"/>
        <v>8.8645833333333339</v>
      </c>
      <c r="Q11" s="16">
        <f t="shared" si="5"/>
        <v>3.5840188014101056E-2</v>
      </c>
      <c r="R11" s="2" t="s">
        <v>42</v>
      </c>
      <c r="S11" s="21" t="s">
        <v>24</v>
      </c>
      <c r="T11" s="21" t="s">
        <v>17</v>
      </c>
      <c r="U11" s="8">
        <v>18722</v>
      </c>
      <c r="V11" s="11">
        <v>5</v>
      </c>
      <c r="W11" t="str">
        <f>IF(Table1[[#This Row],[Satisfaction Rating]]&lt;2, "Low", IF(Table1[[#This Row],[Satisfaction Rating]]&lt;4, "Medium", "High"))</f>
        <v>High</v>
      </c>
    </row>
    <row r="12" spans="1:23" ht="15.75" customHeight="1" x14ac:dyDescent="0.15">
      <c r="A12" s="2" t="s">
        <v>43</v>
      </c>
      <c r="B12" s="23">
        <v>45103.523506944446</v>
      </c>
      <c r="C12" s="23">
        <v>45358.708391203705</v>
      </c>
      <c r="D12" s="23" t="str">
        <f>IF(Table1[[#This Row],[Duration of Campaign]]=0, "Ongoing","Completed")</f>
        <v>Completed</v>
      </c>
      <c r="E12" s="25">
        <f>Table1[[#This Row],[End Date]]-Table1[[#This Row],[Start Date]]</f>
        <v>255.18488425925898</v>
      </c>
      <c r="F12" s="8">
        <v>5739</v>
      </c>
      <c r="G12" s="21" t="s">
        <v>19</v>
      </c>
      <c r="H12" s="11">
        <v>10638</v>
      </c>
      <c r="I12" s="11">
        <v>1902</v>
      </c>
      <c r="J12" s="11">
        <v>446</v>
      </c>
      <c r="K12" s="13">
        <v>4312</v>
      </c>
      <c r="L12" s="16">
        <f t="shared" si="0"/>
        <v>0.17879300620417371</v>
      </c>
      <c r="M12" s="16">
        <f t="shared" si="1"/>
        <v>0.23449001051524712</v>
      </c>
      <c r="N12" s="17">
        <f t="shared" si="2"/>
        <v>2.0893796004206098</v>
      </c>
      <c r="O12" s="17">
        <f t="shared" si="3"/>
        <v>8.9103139013452921</v>
      </c>
      <c r="P12" s="16">
        <f t="shared" si="4"/>
        <v>0.69245513155602023</v>
      </c>
      <c r="Q12" s="16">
        <f t="shared" si="5"/>
        <v>1.0850528434826372</v>
      </c>
      <c r="R12" s="2" t="s">
        <v>44</v>
      </c>
      <c r="S12" s="21" t="s">
        <v>16</v>
      </c>
      <c r="T12" s="21" t="s">
        <v>45</v>
      </c>
      <c r="U12" s="8">
        <v>3974</v>
      </c>
      <c r="V12" s="11">
        <v>4</v>
      </c>
      <c r="W12" t="str">
        <f>IF(Table1[[#This Row],[Satisfaction Rating]]&lt;2, "Low", IF(Table1[[#This Row],[Satisfaction Rating]]&lt;4, "Medium", "High"))</f>
        <v>High</v>
      </c>
    </row>
    <row r="13" spans="1:23" ht="15.75" customHeight="1" x14ac:dyDescent="0.15">
      <c r="A13" s="2" t="s">
        <v>46</v>
      </c>
      <c r="B13" s="23">
        <v>45214.932615740741</v>
      </c>
      <c r="C13" s="23">
        <v>45256.754745370374</v>
      </c>
      <c r="D13" s="23" t="str">
        <f>IF(Table1[[#This Row],[Duration of Campaign]]=0, "Ongoing","Completed")</f>
        <v>Completed</v>
      </c>
      <c r="E13" s="25">
        <f>Table1[[#This Row],[End Date]]-Table1[[#This Row],[Start Date]]</f>
        <v>41.8221296296324</v>
      </c>
      <c r="F13" s="8">
        <v>8988</v>
      </c>
      <c r="G13" s="21" t="s">
        <v>19</v>
      </c>
      <c r="H13" s="11">
        <v>1787</v>
      </c>
      <c r="I13" s="11">
        <v>1527</v>
      </c>
      <c r="J13" s="11">
        <v>103</v>
      </c>
      <c r="K13" s="13">
        <v>7600</v>
      </c>
      <c r="L13" s="16">
        <f t="shared" si="0"/>
        <v>0.85450475657526581</v>
      </c>
      <c r="M13" s="16">
        <f t="shared" si="1"/>
        <v>6.7452521283562536E-2</v>
      </c>
      <c r="N13" s="17">
        <f t="shared" si="2"/>
        <v>8.4014407334643089</v>
      </c>
      <c r="O13" s="17">
        <f t="shared" si="3"/>
        <v>124.55339805825243</v>
      </c>
      <c r="P13" s="16">
        <f t="shared" si="4"/>
        <v>1.4273475745438362</v>
      </c>
      <c r="Q13" s="16">
        <f t="shared" si="5"/>
        <v>0.5924078260191753</v>
      </c>
      <c r="R13" s="2" t="s">
        <v>47</v>
      </c>
      <c r="S13" s="21" t="s">
        <v>24</v>
      </c>
      <c r="T13" s="21" t="s">
        <v>17</v>
      </c>
      <c r="U13" s="8">
        <v>12829</v>
      </c>
      <c r="V13" s="11">
        <v>1</v>
      </c>
      <c r="W13" t="str">
        <f>IF(Table1[[#This Row],[Satisfaction Rating]]&lt;2, "Low", IF(Table1[[#This Row],[Satisfaction Rating]]&lt;4, "Medium", "High"))</f>
        <v>Low</v>
      </c>
    </row>
    <row r="14" spans="1:23" ht="15.75" customHeight="1" x14ac:dyDescent="0.15">
      <c r="A14" s="2" t="s">
        <v>48</v>
      </c>
      <c r="B14" s="23">
        <v>45501.199444444443</v>
      </c>
      <c r="C14" s="23">
        <v>45501.199444444443</v>
      </c>
      <c r="D14" s="23" t="str">
        <f>IF(Table1[[#This Row],[Duration of Campaign]]=0, "Ongoing","Completed")</f>
        <v>Ongoing</v>
      </c>
      <c r="E14" s="25">
        <f>Table1[[#This Row],[End Date]]-Table1[[#This Row],[Start Date]]</f>
        <v>0</v>
      </c>
      <c r="F14" s="8">
        <v>8686</v>
      </c>
      <c r="G14" s="21" t="s">
        <v>14</v>
      </c>
      <c r="H14" s="11">
        <v>13836</v>
      </c>
      <c r="I14" s="11">
        <v>1032</v>
      </c>
      <c r="J14" s="11">
        <v>135</v>
      </c>
      <c r="K14" s="13">
        <v>9430</v>
      </c>
      <c r="L14" s="16">
        <f t="shared" si="0"/>
        <v>7.4588031222896797E-2</v>
      </c>
      <c r="M14" s="16">
        <f t="shared" si="1"/>
        <v>0.1308139534883721</v>
      </c>
      <c r="N14" s="17">
        <f t="shared" si="2"/>
        <v>1.8914728682170543</v>
      </c>
      <c r="O14" s="17">
        <f t="shared" si="3"/>
        <v>14.459259259259259</v>
      </c>
      <c r="P14" s="16">
        <f t="shared" si="4"/>
        <v>0.22472944968915495</v>
      </c>
      <c r="Q14" s="16">
        <f t="shared" si="5"/>
        <v>4.8309426229508201</v>
      </c>
      <c r="R14" s="2" t="s">
        <v>49</v>
      </c>
      <c r="S14" s="21" t="s">
        <v>35</v>
      </c>
      <c r="T14" s="21" t="s">
        <v>17</v>
      </c>
      <c r="U14" s="8">
        <v>1952</v>
      </c>
      <c r="V14" s="11">
        <v>2</v>
      </c>
      <c r="W14" t="str">
        <f>IF(Table1[[#This Row],[Satisfaction Rating]]&lt;2, "Low", IF(Table1[[#This Row],[Satisfaction Rating]]&lt;4, "Medium", "High"))</f>
        <v>Medium</v>
      </c>
    </row>
    <row r="15" spans="1:23" ht="15.75" customHeight="1" x14ac:dyDescent="0.15">
      <c r="A15" s="2" t="s">
        <v>50</v>
      </c>
      <c r="B15" s="23">
        <v>45205.994247685187</v>
      </c>
      <c r="C15" s="23">
        <v>45305.833171296297</v>
      </c>
      <c r="D15" s="23" t="str">
        <f>IF(Table1[[#This Row],[Duration of Campaign]]=0, "Ongoing","Completed")</f>
        <v>Completed</v>
      </c>
      <c r="E15" s="25">
        <f>Table1[[#This Row],[End Date]]-Table1[[#This Row],[Start Date]]</f>
        <v>99.838923611110658</v>
      </c>
      <c r="F15" s="8">
        <v>1141</v>
      </c>
      <c r="G15" s="21" t="s">
        <v>14</v>
      </c>
      <c r="H15" s="11">
        <v>16637</v>
      </c>
      <c r="I15" s="11">
        <v>1223</v>
      </c>
      <c r="J15" s="11">
        <v>332</v>
      </c>
      <c r="K15" s="13">
        <v>10732</v>
      </c>
      <c r="L15" s="16">
        <f t="shared" si="0"/>
        <v>7.3510849311774956E-2</v>
      </c>
      <c r="M15" s="16">
        <f t="shared" si="1"/>
        <v>0.27146361406377761</v>
      </c>
      <c r="N15" s="17">
        <f t="shared" si="2"/>
        <v>8.6573998364677021</v>
      </c>
      <c r="O15" s="17">
        <f t="shared" si="3"/>
        <v>31.891566265060241</v>
      </c>
      <c r="P15" s="16">
        <f t="shared" si="4"/>
        <v>9.2795793163891318</v>
      </c>
      <c r="Q15" s="16">
        <f t="shared" si="5"/>
        <v>1.0136003022289384</v>
      </c>
      <c r="R15" s="2" t="s">
        <v>51</v>
      </c>
      <c r="S15" s="21" t="s">
        <v>16</v>
      </c>
      <c r="T15" s="21" t="s">
        <v>45</v>
      </c>
      <c r="U15" s="8">
        <v>10588</v>
      </c>
      <c r="V15" s="11">
        <v>3</v>
      </c>
      <c r="W15" t="str">
        <f>IF(Table1[[#This Row],[Satisfaction Rating]]&lt;2, "Low", IF(Table1[[#This Row],[Satisfaction Rating]]&lt;4, "Medium", "High"))</f>
        <v>Medium</v>
      </c>
    </row>
    <row r="16" spans="1:23" ht="15.75" customHeight="1" x14ac:dyDescent="0.15">
      <c r="A16" s="2" t="s">
        <v>52</v>
      </c>
      <c r="B16" s="23">
        <v>45463.751377314817</v>
      </c>
      <c r="C16" s="23">
        <v>45539.536030092589</v>
      </c>
      <c r="D16" s="23" t="str">
        <f>IF(Table1[[#This Row],[Duration of Campaign]]=0, "Ongoing","Completed")</f>
        <v>Completed</v>
      </c>
      <c r="E16" s="25">
        <f>Table1[[#This Row],[End Date]]-Table1[[#This Row],[Start Date]]</f>
        <v>75.784652777772862</v>
      </c>
      <c r="F16" s="8">
        <v>2097</v>
      </c>
      <c r="G16" s="21" t="s">
        <v>53</v>
      </c>
      <c r="H16" s="11">
        <v>9164</v>
      </c>
      <c r="I16" s="11">
        <v>601</v>
      </c>
      <c r="J16" s="11">
        <v>271</v>
      </c>
      <c r="K16" s="13">
        <v>11325</v>
      </c>
      <c r="L16" s="16">
        <f t="shared" si="0"/>
        <v>6.5582714971628112E-2</v>
      </c>
      <c r="M16" s="16">
        <f t="shared" si="1"/>
        <v>0.45091514143094841</v>
      </c>
      <c r="N16" s="17">
        <f t="shared" si="2"/>
        <v>15.668885191347753</v>
      </c>
      <c r="O16" s="17">
        <f t="shared" si="3"/>
        <v>34.749077490774908</v>
      </c>
      <c r="P16" s="16">
        <f t="shared" si="4"/>
        <v>4.4907010014306152</v>
      </c>
      <c r="Q16" s="16">
        <f t="shared" si="5"/>
        <v>1.2026122969098438</v>
      </c>
      <c r="R16" s="2" t="s">
        <v>54</v>
      </c>
      <c r="S16" s="21" t="s">
        <v>30</v>
      </c>
      <c r="T16" s="21" t="s">
        <v>45</v>
      </c>
      <c r="U16" s="8">
        <v>9417</v>
      </c>
      <c r="V16" s="11">
        <v>4</v>
      </c>
      <c r="W16" s="3" t="str">
        <f>IF(Table1[[#This Row],[Satisfaction Rating]]&lt;2, "Low", IF(Table1[[#This Row],[Satisfaction Rating]]&lt;4, "Medium", "High"))</f>
        <v>High</v>
      </c>
    </row>
    <row r="17" spans="1:23" ht="15.75" customHeight="1" x14ac:dyDescent="0.15">
      <c r="A17" s="2" t="s">
        <v>55</v>
      </c>
      <c r="B17" s="23">
        <v>45487.569976851853</v>
      </c>
      <c r="C17" s="23">
        <v>45506.56590277778</v>
      </c>
      <c r="D17" s="23" t="str">
        <f>IF(Table1[[#This Row],[Duration of Campaign]]=0, "Ongoing","Completed")</f>
        <v>Completed</v>
      </c>
      <c r="E17" s="25">
        <f>Table1[[#This Row],[End Date]]-Table1[[#This Row],[Start Date]]</f>
        <v>18.995925925926713</v>
      </c>
      <c r="F17" s="8">
        <v>1860</v>
      </c>
      <c r="G17" s="21" t="s">
        <v>37</v>
      </c>
      <c r="H17" s="11">
        <v>17013</v>
      </c>
      <c r="I17" s="11">
        <v>1737</v>
      </c>
      <c r="J17" s="11">
        <v>409</v>
      </c>
      <c r="K17" s="13">
        <v>10043</v>
      </c>
      <c r="L17" s="16">
        <f t="shared" si="0"/>
        <v>0.10209839534473637</v>
      </c>
      <c r="M17" s="16">
        <f t="shared" si="1"/>
        <v>0.23546344271732872</v>
      </c>
      <c r="N17" s="17">
        <f t="shared" si="2"/>
        <v>9.0725388601036272</v>
      </c>
      <c r="O17" s="17">
        <f t="shared" si="3"/>
        <v>38.530562347188265</v>
      </c>
      <c r="P17" s="16">
        <f t="shared" si="4"/>
        <v>8.4725806451612904</v>
      </c>
      <c r="Q17" s="16">
        <f t="shared" si="5"/>
        <v>0.63728662986230089</v>
      </c>
      <c r="R17" s="2" t="s">
        <v>56</v>
      </c>
      <c r="S17" s="21" t="s">
        <v>30</v>
      </c>
      <c r="T17" s="21" t="s">
        <v>27</v>
      </c>
      <c r="U17" s="8">
        <v>15759</v>
      </c>
      <c r="V17" s="11">
        <v>1</v>
      </c>
      <c r="W17" t="str">
        <f>IF(Table1[[#This Row],[Satisfaction Rating]]&lt;2, "Low", IF(Table1[[#This Row],[Satisfaction Rating]]&lt;4, "Medium", "High"))</f>
        <v>Low</v>
      </c>
    </row>
    <row r="18" spans="1:23" ht="15.75" customHeight="1" x14ac:dyDescent="0.15">
      <c r="A18" s="2" t="s">
        <v>57</v>
      </c>
      <c r="B18" s="23">
        <v>44951.611631944441</v>
      </c>
      <c r="C18" s="23">
        <v>45283.172199074077</v>
      </c>
      <c r="D18" s="23" t="str">
        <f>IF(Table1[[#This Row],[Duration of Campaign]]=0, "Ongoing","Completed")</f>
        <v>Completed</v>
      </c>
      <c r="E18" s="25">
        <f>Table1[[#This Row],[End Date]]-Table1[[#This Row],[Start Date]]</f>
        <v>331.56056712963618</v>
      </c>
      <c r="F18" s="8">
        <v>2969</v>
      </c>
      <c r="G18" s="21" t="s">
        <v>37</v>
      </c>
      <c r="H18" s="11">
        <v>2652</v>
      </c>
      <c r="I18" s="11">
        <v>237</v>
      </c>
      <c r="J18" s="11">
        <v>303</v>
      </c>
      <c r="K18" s="13">
        <v>13662</v>
      </c>
      <c r="L18" s="16">
        <f t="shared" si="0"/>
        <v>8.9366515837104074E-2</v>
      </c>
      <c r="M18" s="16">
        <f t="shared" si="1"/>
        <v>1.2784810126582278</v>
      </c>
      <c r="N18" s="17">
        <f t="shared" si="2"/>
        <v>60.801687763713083</v>
      </c>
      <c r="O18" s="17">
        <f t="shared" si="3"/>
        <v>47.557755775577554</v>
      </c>
      <c r="P18" s="16">
        <f t="shared" si="4"/>
        <v>4.8534860222297072</v>
      </c>
      <c r="Q18" s="16">
        <f t="shared" si="5"/>
        <v>0.94809160305343509</v>
      </c>
      <c r="R18" s="2" t="s">
        <v>58</v>
      </c>
      <c r="S18" s="21" t="s">
        <v>21</v>
      </c>
      <c r="T18" s="21" t="s">
        <v>45</v>
      </c>
      <c r="U18" s="8">
        <v>14410</v>
      </c>
      <c r="V18" s="11">
        <v>4</v>
      </c>
      <c r="W18" t="str">
        <f>IF(Table1[[#This Row],[Satisfaction Rating]]&lt;2, "Low", IF(Table1[[#This Row],[Satisfaction Rating]]&lt;4, "Medium", "High"))</f>
        <v>High</v>
      </c>
    </row>
    <row r="19" spans="1:23" ht="15.75" customHeight="1" x14ac:dyDescent="0.15">
      <c r="A19" s="2" t="s">
        <v>59</v>
      </c>
      <c r="B19" s="23">
        <v>45467.934907407405</v>
      </c>
      <c r="C19" s="23">
        <v>45467.934907407405</v>
      </c>
      <c r="D19" s="23" t="str">
        <f>IF(Table1[[#This Row],[Duration of Campaign]]=0, "Ongoing","Completed")</f>
        <v>Ongoing</v>
      </c>
      <c r="E19" s="25">
        <f>Table1[[#This Row],[End Date]]-Table1[[#This Row],[Start Date]]</f>
        <v>0</v>
      </c>
      <c r="F19" s="8">
        <v>7893</v>
      </c>
      <c r="G19" s="21" t="s">
        <v>53</v>
      </c>
      <c r="H19" s="11">
        <v>14819</v>
      </c>
      <c r="I19" s="11">
        <v>1091</v>
      </c>
      <c r="J19" s="11">
        <v>143</v>
      </c>
      <c r="K19" s="13">
        <v>1597</v>
      </c>
      <c r="L19" s="16">
        <f t="shared" si="0"/>
        <v>7.3621701869221942E-2</v>
      </c>
      <c r="M19" s="16">
        <f t="shared" si="1"/>
        <v>0.13107241063244729</v>
      </c>
      <c r="N19" s="17">
        <f t="shared" si="2"/>
        <v>1.3519706691109075</v>
      </c>
      <c r="O19" s="17">
        <f t="shared" si="3"/>
        <v>10.314685314685315</v>
      </c>
      <c r="P19" s="16">
        <f t="shared" si="4"/>
        <v>0.18687444571138984</v>
      </c>
      <c r="Q19" s="16">
        <f t="shared" si="5"/>
        <v>1.0827118644067797</v>
      </c>
      <c r="R19" s="2" t="s">
        <v>60</v>
      </c>
      <c r="S19" s="21" t="s">
        <v>16</v>
      </c>
      <c r="T19" s="21" t="s">
        <v>17</v>
      </c>
      <c r="U19" s="8">
        <v>1475</v>
      </c>
      <c r="V19" s="11">
        <v>2</v>
      </c>
      <c r="W19" t="str">
        <f>IF(Table1[[#This Row],[Satisfaction Rating]]&lt;2, "Low", IF(Table1[[#This Row],[Satisfaction Rating]]&lt;4, "Medium", "High"))</f>
        <v>Medium</v>
      </c>
    </row>
    <row r="20" spans="1:23" ht="15.75" customHeight="1" x14ac:dyDescent="0.15">
      <c r="A20" s="2" t="s">
        <v>61</v>
      </c>
      <c r="B20" s="23">
        <v>45003.584432870368</v>
      </c>
      <c r="C20" s="23">
        <v>45414.333935185183</v>
      </c>
      <c r="D20" s="23" t="str">
        <f>IF(Table1[[#This Row],[Duration of Campaign]]=0, "Ongoing","Completed")</f>
        <v>Completed</v>
      </c>
      <c r="E20" s="25">
        <f>Table1[[#This Row],[End Date]]-Table1[[#This Row],[Start Date]]</f>
        <v>410.74950231481489</v>
      </c>
      <c r="F20" s="8">
        <v>1624</v>
      </c>
      <c r="G20" s="21" t="s">
        <v>19</v>
      </c>
      <c r="H20" s="11">
        <v>19892</v>
      </c>
      <c r="I20" s="11">
        <v>633</v>
      </c>
      <c r="J20" s="11">
        <v>483</v>
      </c>
      <c r="K20" s="13">
        <v>4694</v>
      </c>
      <c r="L20" s="16">
        <f t="shared" si="0"/>
        <v>3.1821837924793886E-2</v>
      </c>
      <c r="M20" s="16">
        <f t="shared" si="1"/>
        <v>0.76303317535545023</v>
      </c>
      <c r="N20" s="17">
        <f t="shared" si="2"/>
        <v>11.898894154818326</v>
      </c>
      <c r="O20" s="17">
        <f t="shared" si="3"/>
        <v>15.594202898550725</v>
      </c>
      <c r="P20" s="16">
        <f t="shared" si="4"/>
        <v>4.6379310344827589</v>
      </c>
      <c r="Q20" s="16">
        <f t="shared" si="5"/>
        <v>0.62320764737121614</v>
      </c>
      <c r="R20" s="2" t="s">
        <v>62</v>
      </c>
      <c r="S20" s="21" t="s">
        <v>35</v>
      </c>
      <c r="T20" s="21" t="s">
        <v>27</v>
      </c>
      <c r="U20" s="8">
        <v>7532</v>
      </c>
      <c r="V20" s="11">
        <v>1</v>
      </c>
      <c r="W20" t="str">
        <f>IF(Table1[[#This Row],[Satisfaction Rating]]&lt;2, "Low", IF(Table1[[#This Row],[Satisfaction Rating]]&lt;4, "Medium", "High"))</f>
        <v>Low</v>
      </c>
    </row>
    <row r="21" spans="1:23" ht="15.75" customHeight="1" x14ac:dyDescent="0.15">
      <c r="A21" s="2" t="s">
        <v>63</v>
      </c>
      <c r="B21" s="23">
        <v>45107.992789351854</v>
      </c>
      <c r="C21" s="23">
        <v>45472.643194444441</v>
      </c>
      <c r="D21" s="23" t="str">
        <f>IF(Table1[[#This Row],[Duration of Campaign]]=0, "Ongoing","Completed")</f>
        <v>Completed</v>
      </c>
      <c r="E21" s="25">
        <f>Table1[[#This Row],[End Date]]-Table1[[#This Row],[Start Date]]</f>
        <v>364.65040509258688</v>
      </c>
      <c r="F21" s="8">
        <v>1950</v>
      </c>
      <c r="G21" s="21" t="s">
        <v>19</v>
      </c>
      <c r="H21" s="11">
        <v>10576</v>
      </c>
      <c r="I21" s="11">
        <v>1808</v>
      </c>
      <c r="J21" s="11">
        <v>96</v>
      </c>
      <c r="K21" s="13">
        <v>8192</v>
      </c>
      <c r="L21" s="16">
        <f t="shared" si="0"/>
        <v>0.17095310136157338</v>
      </c>
      <c r="M21" s="16">
        <f t="shared" si="1"/>
        <v>5.3097345132743362E-2</v>
      </c>
      <c r="N21" s="17">
        <f t="shared" si="2"/>
        <v>8.3871681415929196</v>
      </c>
      <c r="O21" s="17">
        <f t="shared" si="3"/>
        <v>157.95833333333334</v>
      </c>
      <c r="P21" s="16">
        <f t="shared" si="4"/>
        <v>7.7764102564102568</v>
      </c>
      <c r="Q21" s="16">
        <f t="shared" si="5"/>
        <v>0.54022685307306784</v>
      </c>
      <c r="R21" s="2" t="s">
        <v>64</v>
      </c>
      <c r="S21" s="21" t="s">
        <v>35</v>
      </c>
      <c r="T21" s="21" t="s">
        <v>27</v>
      </c>
      <c r="U21" s="8">
        <v>15164</v>
      </c>
      <c r="V21" s="11">
        <v>1</v>
      </c>
      <c r="W21" t="str">
        <f>IF(Table1[[#This Row],[Satisfaction Rating]]&lt;2, "Low", IF(Table1[[#This Row],[Satisfaction Rating]]&lt;4, "Medium", "High"))</f>
        <v>Low</v>
      </c>
    </row>
    <row r="22" spans="1:23" ht="15.75" customHeight="1" x14ac:dyDescent="0.15">
      <c r="A22" s="2" t="s">
        <v>65</v>
      </c>
      <c r="B22" s="23">
        <v>45305.63726851852</v>
      </c>
      <c r="C22" s="23">
        <v>45305.63726851852</v>
      </c>
      <c r="D22" s="23" t="str">
        <f>IF(Table1[[#This Row],[Duration of Campaign]]=0, "Ongoing","Completed")</f>
        <v>Ongoing</v>
      </c>
      <c r="E22" s="25">
        <f>Table1[[#This Row],[End Date]]-Table1[[#This Row],[Start Date]]</f>
        <v>0</v>
      </c>
      <c r="F22" s="8">
        <v>1704</v>
      </c>
      <c r="G22" s="21" t="s">
        <v>53</v>
      </c>
      <c r="H22" s="11">
        <v>3050</v>
      </c>
      <c r="I22" s="11">
        <v>1811</v>
      </c>
      <c r="J22" s="11">
        <v>249</v>
      </c>
      <c r="K22" s="13">
        <v>836</v>
      </c>
      <c r="L22" s="16">
        <f t="shared" si="0"/>
        <v>0.59377049180327868</v>
      </c>
      <c r="M22" s="16">
        <f t="shared" si="1"/>
        <v>0.13749309773605742</v>
      </c>
      <c r="N22" s="17">
        <f t="shared" si="2"/>
        <v>3.962451684152402</v>
      </c>
      <c r="O22" s="17">
        <f t="shared" si="3"/>
        <v>28.819277108433734</v>
      </c>
      <c r="P22" s="16">
        <f t="shared" si="4"/>
        <v>4.211267605633803</v>
      </c>
      <c r="Q22" s="16">
        <f t="shared" si="5"/>
        <v>0.1164994425863991</v>
      </c>
      <c r="R22" s="2" t="s">
        <v>66</v>
      </c>
      <c r="S22" s="21" t="s">
        <v>24</v>
      </c>
      <c r="T22" s="21" t="s">
        <v>17</v>
      </c>
      <c r="U22" s="8">
        <v>7176</v>
      </c>
      <c r="V22" s="11">
        <v>2</v>
      </c>
      <c r="W22" t="str">
        <f>IF(Table1[[#This Row],[Satisfaction Rating]]&lt;2, "Low", IF(Table1[[#This Row],[Satisfaction Rating]]&lt;4, "Medium", "High"))</f>
        <v>Medium</v>
      </c>
    </row>
    <row r="23" spans="1:23" ht="13" x14ac:dyDescent="0.15">
      <c r="A23" s="2" t="s">
        <v>67</v>
      </c>
      <c r="B23" s="23">
        <v>45442.905659722222</v>
      </c>
      <c r="C23" s="23">
        <v>45442.905659722222</v>
      </c>
      <c r="D23" s="23" t="str">
        <f>IF(Table1[[#This Row],[Duration of Campaign]]=0, "Ongoing","Completed")</f>
        <v>Ongoing</v>
      </c>
      <c r="E23" s="25">
        <f>Table1[[#This Row],[End Date]]-Table1[[#This Row],[Start Date]]</f>
        <v>0</v>
      </c>
      <c r="F23" s="8">
        <v>5600</v>
      </c>
      <c r="G23" s="21" t="s">
        <v>37</v>
      </c>
      <c r="H23" s="11">
        <v>13567</v>
      </c>
      <c r="I23" s="11">
        <v>1671</v>
      </c>
      <c r="J23" s="11">
        <v>174</v>
      </c>
      <c r="K23" s="13">
        <v>13357</v>
      </c>
      <c r="L23" s="16">
        <f t="shared" si="0"/>
        <v>0.12316650696543083</v>
      </c>
      <c r="M23" s="16">
        <f t="shared" si="1"/>
        <v>0.10412926391382406</v>
      </c>
      <c r="N23" s="17">
        <f t="shared" si="2"/>
        <v>11.533812088569718</v>
      </c>
      <c r="O23" s="17">
        <f t="shared" si="3"/>
        <v>110.76436781609195</v>
      </c>
      <c r="P23" s="16">
        <f t="shared" si="4"/>
        <v>3.4416071428571429</v>
      </c>
      <c r="Q23" s="16">
        <f t="shared" si="5"/>
        <v>0.69304207959321329</v>
      </c>
      <c r="R23" s="2" t="s">
        <v>68</v>
      </c>
      <c r="S23" s="21" t="s">
        <v>35</v>
      </c>
      <c r="T23" s="21" t="s">
        <v>17</v>
      </c>
      <c r="U23" s="8">
        <v>19273</v>
      </c>
      <c r="V23" s="11">
        <v>4</v>
      </c>
      <c r="W23" t="str">
        <f>IF(Table1[[#This Row],[Satisfaction Rating]]&lt;2, "Low", IF(Table1[[#This Row],[Satisfaction Rating]]&lt;4, "Medium", "High"))</f>
        <v>High</v>
      </c>
    </row>
    <row r="24" spans="1:23" ht="13" x14ac:dyDescent="0.15">
      <c r="A24" s="2" t="s">
        <v>69</v>
      </c>
      <c r="B24" s="23">
        <v>45091.978738425925</v>
      </c>
      <c r="C24" s="23">
        <v>45655.297939814816</v>
      </c>
      <c r="D24" s="23" t="str">
        <f>IF(Table1[[#This Row],[Duration of Campaign]]=0, "Ongoing","Completed")</f>
        <v>Completed</v>
      </c>
      <c r="E24" s="25">
        <f>Table1[[#This Row],[End Date]]-Table1[[#This Row],[Start Date]]</f>
        <v>563.31920138889109</v>
      </c>
      <c r="F24" s="8">
        <v>6106</v>
      </c>
      <c r="G24" s="21" t="s">
        <v>19</v>
      </c>
      <c r="H24" s="11">
        <v>19338</v>
      </c>
      <c r="I24" s="11">
        <v>1514</v>
      </c>
      <c r="J24" s="11">
        <v>385</v>
      </c>
      <c r="K24" s="13">
        <v>6256</v>
      </c>
      <c r="L24" s="16">
        <f t="shared" si="0"/>
        <v>7.8291446892129482E-2</v>
      </c>
      <c r="M24" s="16">
        <f t="shared" si="1"/>
        <v>0.25429326287978865</v>
      </c>
      <c r="N24" s="17">
        <f t="shared" si="2"/>
        <v>3.2780713342140024</v>
      </c>
      <c r="O24" s="17">
        <f t="shared" si="3"/>
        <v>12.890909090909091</v>
      </c>
      <c r="P24" s="16">
        <f t="shared" si="4"/>
        <v>0.81280707500818872</v>
      </c>
      <c r="Q24" s="16">
        <f t="shared" si="5"/>
        <v>1.2605279065081605</v>
      </c>
      <c r="R24" s="2" t="s">
        <v>70</v>
      </c>
      <c r="S24" s="21" t="s">
        <v>21</v>
      </c>
      <c r="T24" s="21" t="s">
        <v>17</v>
      </c>
      <c r="U24" s="8">
        <v>4963</v>
      </c>
      <c r="V24" s="11">
        <v>2</v>
      </c>
      <c r="W24" t="str">
        <f>IF(Table1[[#This Row],[Satisfaction Rating]]&lt;2, "Low", IF(Table1[[#This Row],[Satisfaction Rating]]&lt;4, "Medium", "High"))</f>
        <v>Medium</v>
      </c>
    </row>
    <row r="25" spans="1:23" ht="13" x14ac:dyDescent="0.15">
      <c r="A25" s="2" t="s">
        <v>71</v>
      </c>
      <c r="B25" s="23">
        <v>45487.104768518519</v>
      </c>
      <c r="C25" s="23">
        <v>45588.239768518521</v>
      </c>
      <c r="D25" s="23" t="str">
        <f>IF(Table1[[#This Row],[Duration of Campaign]]=0, "Ongoing","Completed")</f>
        <v>Completed</v>
      </c>
      <c r="E25" s="25">
        <f>Table1[[#This Row],[End Date]]-Table1[[#This Row],[Start Date]]</f>
        <v>101.13500000000204</v>
      </c>
      <c r="F25" s="8">
        <v>6528</v>
      </c>
      <c r="G25" s="21" t="s">
        <v>14</v>
      </c>
      <c r="H25" s="11">
        <v>14851</v>
      </c>
      <c r="I25" s="11">
        <v>1892</v>
      </c>
      <c r="J25" s="11">
        <v>344</v>
      </c>
      <c r="K25" s="13">
        <v>13299</v>
      </c>
      <c r="L25" s="16">
        <f t="shared" si="0"/>
        <v>0.12739882836172647</v>
      </c>
      <c r="M25" s="16">
        <f t="shared" si="1"/>
        <v>0.18181818181818182</v>
      </c>
      <c r="N25" s="17">
        <f t="shared" si="2"/>
        <v>3.3705073995771668</v>
      </c>
      <c r="O25" s="17">
        <f t="shared" si="3"/>
        <v>18.537790697674417</v>
      </c>
      <c r="P25" s="16">
        <f t="shared" si="4"/>
        <v>0.97686887254901966</v>
      </c>
      <c r="Q25" s="16">
        <f t="shared" si="5"/>
        <v>2.0854633840363808</v>
      </c>
      <c r="R25" s="2" t="s">
        <v>72</v>
      </c>
      <c r="S25" s="21" t="s">
        <v>35</v>
      </c>
      <c r="T25" s="21" t="s">
        <v>45</v>
      </c>
      <c r="U25" s="8">
        <v>6377</v>
      </c>
      <c r="V25" s="11">
        <v>4</v>
      </c>
      <c r="W25" t="str">
        <f>IF(Table1[[#This Row],[Satisfaction Rating]]&lt;2, "Low", IF(Table1[[#This Row],[Satisfaction Rating]]&lt;4, "Medium", "High"))</f>
        <v>High</v>
      </c>
    </row>
    <row r="26" spans="1:23" ht="13" x14ac:dyDescent="0.15">
      <c r="A26" s="2" t="s">
        <v>73</v>
      </c>
      <c r="B26" s="23">
        <v>45000.519618055558</v>
      </c>
      <c r="C26" s="23">
        <v>45225.492627314816</v>
      </c>
      <c r="D26" s="23" t="str">
        <f>IF(Table1[[#This Row],[Duration of Campaign]]=0, "Ongoing","Completed")</f>
        <v>Completed</v>
      </c>
      <c r="E26" s="25">
        <f>Table1[[#This Row],[End Date]]-Table1[[#This Row],[Start Date]]</f>
        <v>224.97300925925811</v>
      </c>
      <c r="F26" s="8">
        <v>6053</v>
      </c>
      <c r="G26" s="21" t="s">
        <v>53</v>
      </c>
      <c r="H26" s="11">
        <v>13853</v>
      </c>
      <c r="I26" s="11">
        <v>1010</v>
      </c>
      <c r="J26" s="11">
        <v>368</v>
      </c>
      <c r="K26" s="13">
        <v>1838</v>
      </c>
      <c r="L26" s="16">
        <f t="shared" si="0"/>
        <v>7.2908395293438247E-2</v>
      </c>
      <c r="M26" s="16">
        <f t="shared" si="1"/>
        <v>0.36435643564356435</v>
      </c>
      <c r="N26" s="17">
        <f t="shared" si="2"/>
        <v>16.016831683168316</v>
      </c>
      <c r="O26" s="17">
        <f t="shared" si="3"/>
        <v>43.959239130434781</v>
      </c>
      <c r="P26" s="16">
        <f t="shared" si="4"/>
        <v>2.6725590616223363</v>
      </c>
      <c r="Q26" s="16">
        <f t="shared" si="5"/>
        <v>0.11361809977128021</v>
      </c>
      <c r="R26" s="2" t="s">
        <v>74</v>
      </c>
      <c r="S26" s="21" t="s">
        <v>30</v>
      </c>
      <c r="T26" s="21" t="s">
        <v>17</v>
      </c>
      <c r="U26" s="8">
        <v>16177</v>
      </c>
      <c r="V26" s="11">
        <v>1</v>
      </c>
      <c r="W26" t="str">
        <f>IF(Table1[[#This Row],[Satisfaction Rating]]&lt;2, "Low", IF(Table1[[#This Row],[Satisfaction Rating]]&lt;4, "Medium", "High"))</f>
        <v>Low</v>
      </c>
    </row>
    <row r="27" spans="1:23" ht="13" x14ac:dyDescent="0.15">
      <c r="A27" s="2" t="s">
        <v>75</v>
      </c>
      <c r="B27" s="23">
        <v>45063.169004629628</v>
      </c>
      <c r="C27" s="23">
        <v>45115.09443287037</v>
      </c>
      <c r="D27" s="23" t="str">
        <f>IF(Table1[[#This Row],[Duration of Campaign]]=0, "Ongoing","Completed")</f>
        <v>Completed</v>
      </c>
      <c r="E27" s="25">
        <f>Table1[[#This Row],[End Date]]-Table1[[#This Row],[Start Date]]</f>
        <v>51.925428240741894</v>
      </c>
      <c r="F27" s="8">
        <v>4549</v>
      </c>
      <c r="G27" s="21" t="s">
        <v>14</v>
      </c>
      <c r="H27" s="11">
        <v>6912</v>
      </c>
      <c r="I27" s="11">
        <v>1739</v>
      </c>
      <c r="J27" s="11">
        <v>287</v>
      </c>
      <c r="K27" s="13">
        <v>11590</v>
      </c>
      <c r="L27" s="16">
        <f t="shared" si="0"/>
        <v>0.25159143518518517</v>
      </c>
      <c r="M27" s="16">
        <f t="shared" si="1"/>
        <v>0.16503737780333524</v>
      </c>
      <c r="N27" s="17">
        <f t="shared" si="2"/>
        <v>6.2524439332949973</v>
      </c>
      <c r="O27" s="17">
        <f t="shared" si="3"/>
        <v>37.88501742160279</v>
      </c>
      <c r="P27" s="16">
        <f t="shared" si="4"/>
        <v>2.3901956473950321</v>
      </c>
      <c r="Q27" s="16">
        <f t="shared" si="5"/>
        <v>1.0659431619608204</v>
      </c>
      <c r="R27" s="2" t="s">
        <v>76</v>
      </c>
      <c r="S27" s="21" t="s">
        <v>35</v>
      </c>
      <c r="T27" s="21" t="s">
        <v>17</v>
      </c>
      <c r="U27" s="8">
        <v>10873</v>
      </c>
      <c r="V27" s="11">
        <v>3</v>
      </c>
      <c r="W27" t="str">
        <f>IF(Table1[[#This Row],[Satisfaction Rating]]&lt;2, "Low", IF(Table1[[#This Row],[Satisfaction Rating]]&lt;4, "Medium", "High"))</f>
        <v>Medium</v>
      </c>
    </row>
    <row r="28" spans="1:23" ht="13" x14ac:dyDescent="0.15">
      <c r="A28" s="2" t="s">
        <v>77</v>
      </c>
      <c r="B28" s="23">
        <v>45558.752523148149</v>
      </c>
      <c r="C28" s="23">
        <v>45558.752523148149</v>
      </c>
      <c r="D28" s="23" t="str">
        <f>IF(Table1[[#This Row],[Duration of Campaign]]=0, "Ongoing","Completed")</f>
        <v>Ongoing</v>
      </c>
      <c r="E28" s="25">
        <f>Table1[[#This Row],[End Date]]-Table1[[#This Row],[Start Date]]</f>
        <v>0</v>
      </c>
      <c r="F28" s="8">
        <v>6545</v>
      </c>
      <c r="G28" s="21" t="s">
        <v>37</v>
      </c>
      <c r="H28" s="11">
        <v>1735</v>
      </c>
      <c r="I28" s="11">
        <v>1304</v>
      </c>
      <c r="J28" s="11">
        <v>177</v>
      </c>
      <c r="K28" s="13">
        <v>8444</v>
      </c>
      <c r="L28" s="16">
        <f t="shared" si="0"/>
        <v>0.75158501440922187</v>
      </c>
      <c r="M28" s="16">
        <f t="shared" si="1"/>
        <v>0.1357361963190184</v>
      </c>
      <c r="N28" s="17">
        <f t="shared" si="2"/>
        <v>2.5030674846625769</v>
      </c>
      <c r="O28" s="17">
        <f t="shared" si="3"/>
        <v>18.440677966101696</v>
      </c>
      <c r="P28" s="16">
        <f t="shared" si="4"/>
        <v>0.4987012987012987</v>
      </c>
      <c r="Q28" s="16">
        <f t="shared" si="5"/>
        <v>2.5870098039215685</v>
      </c>
      <c r="R28" s="2" t="s">
        <v>78</v>
      </c>
      <c r="S28" s="21" t="s">
        <v>21</v>
      </c>
      <c r="T28" s="21" t="s">
        <v>27</v>
      </c>
      <c r="U28" s="8">
        <v>3264</v>
      </c>
      <c r="V28" s="11">
        <v>5</v>
      </c>
      <c r="W28" t="str">
        <f>IF(Table1[[#This Row],[Satisfaction Rating]]&lt;2, "Low", IF(Table1[[#This Row],[Satisfaction Rating]]&lt;4, "Medium", "High"))</f>
        <v>High</v>
      </c>
    </row>
    <row r="29" spans="1:23" ht="13" x14ac:dyDescent="0.15">
      <c r="A29" s="2" t="s">
        <v>79</v>
      </c>
      <c r="B29" s="23">
        <v>45199.113287037035</v>
      </c>
      <c r="C29" s="23">
        <v>45199.113287037035</v>
      </c>
      <c r="D29" s="23" t="str">
        <f>IF(Table1[[#This Row],[Duration of Campaign]]=0, "Ongoing","Completed")</f>
        <v>Ongoing</v>
      </c>
      <c r="E29" s="25">
        <f>Table1[[#This Row],[End Date]]-Table1[[#This Row],[Start Date]]</f>
        <v>0</v>
      </c>
      <c r="F29" s="8">
        <v>1092</v>
      </c>
      <c r="G29" s="21" t="s">
        <v>19</v>
      </c>
      <c r="H29" s="11">
        <v>4713</v>
      </c>
      <c r="I29" s="11">
        <v>320</v>
      </c>
      <c r="J29" s="11">
        <v>184</v>
      </c>
      <c r="K29" s="13">
        <v>11643</v>
      </c>
      <c r="L29" s="16">
        <f t="shared" si="0"/>
        <v>6.7897305325694893E-2</v>
      </c>
      <c r="M29" s="16">
        <f t="shared" si="1"/>
        <v>0.57499999999999996</v>
      </c>
      <c r="N29" s="17">
        <f t="shared" si="2"/>
        <v>7.2125000000000004</v>
      </c>
      <c r="O29" s="17">
        <f t="shared" si="3"/>
        <v>12.543478260869565</v>
      </c>
      <c r="P29" s="16">
        <f t="shared" si="4"/>
        <v>2.1135531135531136</v>
      </c>
      <c r="Q29" s="16">
        <f t="shared" si="5"/>
        <v>5.0446273830155981</v>
      </c>
      <c r="R29" s="2" t="s">
        <v>80</v>
      </c>
      <c r="S29" s="21" t="s">
        <v>21</v>
      </c>
      <c r="T29" s="21" t="s">
        <v>17</v>
      </c>
      <c r="U29" s="8">
        <v>2308</v>
      </c>
      <c r="V29" s="11">
        <v>3</v>
      </c>
      <c r="W29" t="str">
        <f>IF(Table1[[#This Row],[Satisfaction Rating]]&lt;2, "Low", IF(Table1[[#This Row],[Satisfaction Rating]]&lt;4, "Medium", "High"))</f>
        <v>Medium</v>
      </c>
    </row>
    <row r="30" spans="1:23" ht="13" x14ac:dyDescent="0.15">
      <c r="A30" s="2" t="s">
        <v>81</v>
      </c>
      <c r="B30" s="23">
        <v>45323.302928240744</v>
      </c>
      <c r="C30" s="23">
        <v>45636.676365740743</v>
      </c>
      <c r="D30" s="23" t="str">
        <f>IF(Table1[[#This Row],[Duration of Campaign]]=0, "Ongoing","Completed")</f>
        <v>Completed</v>
      </c>
      <c r="E30" s="25">
        <f>Table1[[#This Row],[End Date]]-Table1[[#This Row],[Start Date]]</f>
        <v>313.37343749999854</v>
      </c>
      <c r="F30" s="8">
        <v>4780</v>
      </c>
      <c r="G30" s="21" t="s">
        <v>14</v>
      </c>
      <c r="H30" s="11">
        <v>3644</v>
      </c>
      <c r="I30" s="11">
        <v>1208</v>
      </c>
      <c r="J30" s="11">
        <v>251</v>
      </c>
      <c r="K30" s="13">
        <v>14695</v>
      </c>
      <c r="L30" s="16">
        <f t="shared" si="0"/>
        <v>0.33150384193194293</v>
      </c>
      <c r="M30" s="16">
        <f t="shared" si="1"/>
        <v>0.20778145695364239</v>
      </c>
      <c r="N30" s="17">
        <f t="shared" si="2"/>
        <v>4.0778145695364234</v>
      </c>
      <c r="O30" s="17">
        <f t="shared" si="3"/>
        <v>19.625498007968126</v>
      </c>
      <c r="P30" s="16">
        <f t="shared" si="4"/>
        <v>1.0305439330543933</v>
      </c>
      <c r="Q30" s="16">
        <f t="shared" si="5"/>
        <v>2.9831506293138448</v>
      </c>
      <c r="R30" s="2" t="s">
        <v>82</v>
      </c>
      <c r="S30" s="21" t="s">
        <v>16</v>
      </c>
      <c r="T30" s="21" t="s">
        <v>17</v>
      </c>
      <c r="U30" s="8">
        <v>4926</v>
      </c>
      <c r="V30" s="11">
        <v>5</v>
      </c>
      <c r="W30" t="str">
        <f>IF(Table1[[#This Row],[Satisfaction Rating]]&lt;2, "Low", IF(Table1[[#This Row],[Satisfaction Rating]]&lt;4, "Medium", "High"))</f>
        <v>High</v>
      </c>
    </row>
    <row r="31" spans="1:23" ht="13" x14ac:dyDescent="0.15">
      <c r="A31" s="2" t="s">
        <v>83</v>
      </c>
      <c r="B31" s="23">
        <v>45090.012488425928</v>
      </c>
      <c r="C31" s="23">
        <v>45355.746238425927</v>
      </c>
      <c r="D31" s="23" t="str">
        <f>IF(Table1[[#This Row],[Duration of Campaign]]=0, "Ongoing","Completed")</f>
        <v>Completed</v>
      </c>
      <c r="E31" s="25">
        <f>Table1[[#This Row],[End Date]]-Table1[[#This Row],[Start Date]]</f>
        <v>265.73374999999942</v>
      </c>
      <c r="F31" s="8">
        <v>7056</v>
      </c>
      <c r="G31" s="21" t="s">
        <v>37</v>
      </c>
      <c r="H31" s="11">
        <v>9331</v>
      </c>
      <c r="I31" s="11">
        <v>153</v>
      </c>
      <c r="J31" s="11">
        <v>282</v>
      </c>
      <c r="K31" s="13">
        <v>7872</v>
      </c>
      <c r="L31" s="16">
        <f t="shared" si="0"/>
        <v>1.639695638195263E-2</v>
      </c>
      <c r="M31" s="16">
        <f t="shared" si="1"/>
        <v>1.8431372549019607</v>
      </c>
      <c r="N31" s="17">
        <f t="shared" si="2"/>
        <v>5.8692810457516336</v>
      </c>
      <c r="O31" s="17">
        <f t="shared" si="3"/>
        <v>3.1843971631205674</v>
      </c>
      <c r="P31" s="16">
        <f t="shared" si="4"/>
        <v>0.12726757369614514</v>
      </c>
      <c r="Q31" s="16">
        <f t="shared" si="5"/>
        <v>8.7661469933184861</v>
      </c>
      <c r="R31" s="2" t="s">
        <v>84</v>
      </c>
      <c r="S31" s="21" t="s">
        <v>30</v>
      </c>
      <c r="T31" s="21" t="s">
        <v>27</v>
      </c>
      <c r="U31" s="8">
        <v>898</v>
      </c>
      <c r="V31" s="11">
        <v>5</v>
      </c>
      <c r="W31" t="str">
        <f>IF(Table1[[#This Row],[Satisfaction Rating]]&lt;2, "Low", IF(Table1[[#This Row],[Satisfaction Rating]]&lt;4, "Medium", "High"))</f>
        <v>High</v>
      </c>
    </row>
    <row r="32" spans="1:23" ht="13" x14ac:dyDescent="0.15">
      <c r="A32" s="2" t="s">
        <v>85</v>
      </c>
      <c r="B32" s="23">
        <v>45421.456701388888</v>
      </c>
      <c r="C32" s="23">
        <v>45421.456701388888</v>
      </c>
      <c r="D32" s="23" t="str">
        <f>IF(Table1[[#This Row],[Duration of Campaign]]=0, "Ongoing","Completed")</f>
        <v>Ongoing</v>
      </c>
      <c r="E32" s="25">
        <f>Table1[[#This Row],[End Date]]-Table1[[#This Row],[Start Date]]</f>
        <v>0</v>
      </c>
      <c r="F32" s="8">
        <v>7807</v>
      </c>
      <c r="G32" s="21" t="s">
        <v>14</v>
      </c>
      <c r="H32" s="11">
        <v>4416</v>
      </c>
      <c r="I32" s="11">
        <v>922</v>
      </c>
      <c r="J32" s="11">
        <v>470</v>
      </c>
      <c r="K32" s="13">
        <v>4232</v>
      </c>
      <c r="L32" s="16">
        <f t="shared" si="0"/>
        <v>0.20878623188405798</v>
      </c>
      <c r="M32" s="16">
        <f t="shared" si="1"/>
        <v>0.50976138828633411</v>
      </c>
      <c r="N32" s="17">
        <f t="shared" si="2"/>
        <v>12.951193058568331</v>
      </c>
      <c r="O32" s="17">
        <f t="shared" si="3"/>
        <v>25.406382978723403</v>
      </c>
      <c r="P32" s="16">
        <f t="shared" si="4"/>
        <v>1.529524785448956</v>
      </c>
      <c r="Q32" s="16">
        <f t="shared" si="5"/>
        <v>0.35440917846076542</v>
      </c>
      <c r="R32" s="2" t="s">
        <v>86</v>
      </c>
      <c r="S32" s="21" t="s">
        <v>24</v>
      </c>
      <c r="T32" s="21" t="s">
        <v>17</v>
      </c>
      <c r="U32" s="8">
        <v>11941</v>
      </c>
      <c r="V32" s="11">
        <v>1</v>
      </c>
      <c r="W32" t="str">
        <f>IF(Table1[[#This Row],[Satisfaction Rating]]&lt;2, "Low", IF(Table1[[#This Row],[Satisfaction Rating]]&lt;4, "Medium", "High"))</f>
        <v>Low</v>
      </c>
    </row>
    <row r="33" spans="1:23" ht="13" x14ac:dyDescent="0.15">
      <c r="A33" s="2" t="s">
        <v>87</v>
      </c>
      <c r="B33" s="23">
        <v>45398.062476851854</v>
      </c>
      <c r="C33" s="23">
        <v>45398.062476851854</v>
      </c>
      <c r="D33" s="23" t="str">
        <f>IF(Table1[[#This Row],[Duration of Campaign]]=0, "Ongoing","Completed")</f>
        <v>Ongoing</v>
      </c>
      <c r="E33" s="25">
        <f>Table1[[#This Row],[End Date]]-Table1[[#This Row],[Start Date]]</f>
        <v>0</v>
      </c>
      <c r="F33" s="8">
        <v>9746</v>
      </c>
      <c r="G33" s="21" t="s">
        <v>53</v>
      </c>
      <c r="H33" s="11">
        <v>1611</v>
      </c>
      <c r="I33" s="11">
        <v>1430</v>
      </c>
      <c r="J33" s="11">
        <v>368</v>
      </c>
      <c r="K33" s="13">
        <v>6214</v>
      </c>
      <c r="L33" s="16">
        <f t="shared" si="0"/>
        <v>0.88764742396027307</v>
      </c>
      <c r="M33" s="16">
        <f t="shared" si="1"/>
        <v>0.25734265734265732</v>
      </c>
      <c r="N33" s="17">
        <f t="shared" si="2"/>
        <v>3.6923076923076925</v>
      </c>
      <c r="O33" s="17">
        <f t="shared" si="3"/>
        <v>14.347826086956522</v>
      </c>
      <c r="P33" s="16">
        <f t="shared" si="4"/>
        <v>0.54176072234762984</v>
      </c>
      <c r="Q33" s="16">
        <f t="shared" si="5"/>
        <v>1.1768939393939395</v>
      </c>
      <c r="R33" s="2" t="s">
        <v>88</v>
      </c>
      <c r="S33" s="21" t="s">
        <v>35</v>
      </c>
      <c r="T33" s="21" t="s">
        <v>45</v>
      </c>
      <c r="U33" s="8">
        <v>5280</v>
      </c>
      <c r="V33" s="11">
        <v>1</v>
      </c>
      <c r="W33" t="str">
        <f>IF(Table1[[#This Row],[Satisfaction Rating]]&lt;2, "Low", IF(Table1[[#This Row],[Satisfaction Rating]]&lt;4, "Medium", "High"))</f>
        <v>Low</v>
      </c>
    </row>
    <row r="34" spans="1:23" ht="13" x14ac:dyDescent="0.15">
      <c r="A34" s="2" t="s">
        <v>89</v>
      </c>
      <c r="B34" s="23">
        <v>44938.410787037035</v>
      </c>
      <c r="C34" s="23">
        <v>45311.59642361111</v>
      </c>
      <c r="D34" s="23" t="str">
        <f>IF(Table1[[#This Row],[Duration of Campaign]]=0, "Ongoing","Completed")</f>
        <v>Completed</v>
      </c>
      <c r="E34" s="25">
        <f>Table1[[#This Row],[End Date]]-Table1[[#This Row],[Start Date]]</f>
        <v>373.18563657407503</v>
      </c>
      <c r="F34" s="8">
        <v>5215</v>
      </c>
      <c r="G34" s="21" t="s">
        <v>19</v>
      </c>
      <c r="H34" s="11">
        <v>2584</v>
      </c>
      <c r="I34" s="11">
        <v>182</v>
      </c>
      <c r="J34" s="11">
        <v>192</v>
      </c>
      <c r="K34" s="13">
        <v>14543</v>
      </c>
      <c r="L34" s="16">
        <f t="shared" si="0"/>
        <v>7.0433436532507734E-2</v>
      </c>
      <c r="M34" s="16">
        <f t="shared" si="1"/>
        <v>1.054945054945055</v>
      </c>
      <c r="N34" s="17">
        <f t="shared" si="2"/>
        <v>40.57692307692308</v>
      </c>
      <c r="O34" s="17">
        <f t="shared" si="3"/>
        <v>38.463541666666664</v>
      </c>
      <c r="P34" s="16">
        <f t="shared" si="4"/>
        <v>1.4161073825503356</v>
      </c>
      <c r="Q34" s="16">
        <f t="shared" si="5"/>
        <v>1.9692620176032498</v>
      </c>
      <c r="R34" s="2" t="s">
        <v>90</v>
      </c>
      <c r="S34" s="21" t="s">
        <v>21</v>
      </c>
      <c r="T34" s="21" t="s">
        <v>27</v>
      </c>
      <c r="U34" s="8">
        <v>7385</v>
      </c>
      <c r="V34" s="11">
        <v>5</v>
      </c>
      <c r="W34" t="str">
        <f>IF(Table1[[#This Row],[Satisfaction Rating]]&lt;2, "Low", IF(Table1[[#This Row],[Satisfaction Rating]]&lt;4, "Medium", "High"))</f>
        <v>High</v>
      </c>
    </row>
    <row r="35" spans="1:23" ht="13" x14ac:dyDescent="0.15">
      <c r="A35" s="2" t="s">
        <v>91</v>
      </c>
      <c r="B35" s="23">
        <v>45617.073182870372</v>
      </c>
      <c r="C35" s="23">
        <v>45617.073182870372</v>
      </c>
      <c r="D35" s="23" t="str">
        <f>IF(Table1[[#This Row],[Duration of Campaign]]=0, "Ongoing","Completed")</f>
        <v>Ongoing</v>
      </c>
      <c r="E35" s="25">
        <f>Table1[[#This Row],[End Date]]-Table1[[#This Row],[Start Date]]</f>
        <v>0</v>
      </c>
      <c r="F35" s="8">
        <v>9587</v>
      </c>
      <c r="G35" s="21" t="s">
        <v>19</v>
      </c>
      <c r="H35" s="11">
        <v>16932</v>
      </c>
      <c r="I35" s="11">
        <v>1105</v>
      </c>
      <c r="J35" s="11">
        <v>97</v>
      </c>
      <c r="K35" s="13">
        <v>4456</v>
      </c>
      <c r="L35" s="16">
        <f t="shared" si="0"/>
        <v>6.5261044176706834E-2</v>
      </c>
      <c r="M35" s="16">
        <f t="shared" si="1"/>
        <v>8.7782805429864247E-2</v>
      </c>
      <c r="N35" s="17">
        <f t="shared" si="2"/>
        <v>10.109502262443439</v>
      </c>
      <c r="O35" s="17">
        <f t="shared" si="3"/>
        <v>115.16494845360825</v>
      </c>
      <c r="P35" s="16">
        <f t="shared" si="4"/>
        <v>1.1652237404819026</v>
      </c>
      <c r="Q35" s="16">
        <f t="shared" si="5"/>
        <v>0.39888998299167489</v>
      </c>
      <c r="R35" s="2" t="s">
        <v>92</v>
      </c>
      <c r="S35" s="21" t="s">
        <v>30</v>
      </c>
      <c r="T35" s="21" t="s">
        <v>17</v>
      </c>
      <c r="U35" s="8">
        <v>11171</v>
      </c>
      <c r="V35" s="11">
        <v>3</v>
      </c>
      <c r="W35" t="str">
        <f>IF(Table1[[#This Row],[Satisfaction Rating]]&lt;2, "Low", IF(Table1[[#This Row],[Satisfaction Rating]]&lt;4, "Medium", "High"))</f>
        <v>Medium</v>
      </c>
    </row>
    <row r="36" spans="1:23" ht="13" x14ac:dyDescent="0.15">
      <c r="A36" s="2" t="s">
        <v>93</v>
      </c>
      <c r="B36" s="23">
        <v>45155.431493055556</v>
      </c>
      <c r="C36" s="23">
        <v>45155.431493055556</v>
      </c>
      <c r="D36" s="23" t="str">
        <f>IF(Table1[[#This Row],[Duration of Campaign]]=0, "Ongoing","Completed")</f>
        <v>Ongoing</v>
      </c>
      <c r="E36" s="25">
        <f>Table1[[#This Row],[End Date]]-Table1[[#This Row],[Start Date]]</f>
        <v>0</v>
      </c>
      <c r="F36" s="8">
        <v>5625</v>
      </c>
      <c r="G36" s="21" t="s">
        <v>19</v>
      </c>
      <c r="H36" s="11">
        <v>18293</v>
      </c>
      <c r="I36" s="11">
        <v>359</v>
      </c>
      <c r="J36" s="11">
        <v>330</v>
      </c>
      <c r="K36" s="13">
        <v>9099</v>
      </c>
      <c r="L36" s="16">
        <f t="shared" si="0"/>
        <v>1.962499316678511E-2</v>
      </c>
      <c r="M36" s="16">
        <f t="shared" si="1"/>
        <v>0.91922005571030641</v>
      </c>
      <c r="N36" s="17">
        <f t="shared" si="2"/>
        <v>54.902506963788298</v>
      </c>
      <c r="O36" s="17">
        <f t="shared" si="3"/>
        <v>59.727272727272727</v>
      </c>
      <c r="P36" s="16">
        <f t="shared" si="4"/>
        <v>3.504</v>
      </c>
      <c r="Q36" s="16">
        <f t="shared" si="5"/>
        <v>0.46164383561643835</v>
      </c>
      <c r="R36" s="2" t="s">
        <v>94</v>
      </c>
      <c r="S36" s="21" t="s">
        <v>16</v>
      </c>
      <c r="T36" s="21" t="s">
        <v>17</v>
      </c>
      <c r="U36" s="8">
        <v>19710</v>
      </c>
      <c r="V36" s="11">
        <v>2</v>
      </c>
      <c r="W36" t="str">
        <f>IF(Table1[[#This Row],[Satisfaction Rating]]&lt;2, "Low", IF(Table1[[#This Row],[Satisfaction Rating]]&lt;4, "Medium", "High"))</f>
        <v>Medium</v>
      </c>
    </row>
    <row r="37" spans="1:23" ht="13" x14ac:dyDescent="0.15">
      <c r="A37" s="2" t="s">
        <v>95</v>
      </c>
      <c r="B37" s="23">
        <v>45203.460439814815</v>
      </c>
      <c r="C37" s="23">
        <v>45367.124513888892</v>
      </c>
      <c r="D37" s="23" t="str">
        <f>IF(Table1[[#This Row],[Duration of Campaign]]=0, "Ongoing","Completed")</f>
        <v>Completed</v>
      </c>
      <c r="E37" s="25">
        <f>Table1[[#This Row],[End Date]]-Table1[[#This Row],[Start Date]]</f>
        <v>163.66407407407678</v>
      </c>
      <c r="F37" s="8">
        <v>3366</v>
      </c>
      <c r="G37" s="21" t="s">
        <v>53</v>
      </c>
      <c r="H37" s="11">
        <v>15705</v>
      </c>
      <c r="I37" s="11">
        <v>381</v>
      </c>
      <c r="J37" s="11">
        <v>240</v>
      </c>
      <c r="K37" s="13">
        <v>875</v>
      </c>
      <c r="L37" s="16">
        <f t="shared" si="0"/>
        <v>2.425978987583572E-2</v>
      </c>
      <c r="M37" s="16">
        <f t="shared" si="1"/>
        <v>0.62992125984251968</v>
      </c>
      <c r="N37" s="17">
        <f t="shared" si="2"/>
        <v>41.897637795275593</v>
      </c>
      <c r="O37" s="17">
        <f t="shared" si="3"/>
        <v>66.512500000000003</v>
      </c>
      <c r="P37" s="16">
        <f t="shared" si="4"/>
        <v>4.7424242424242422</v>
      </c>
      <c r="Q37" s="16">
        <f t="shared" si="5"/>
        <v>5.4814257971559234E-2</v>
      </c>
      <c r="R37" s="2" t="s">
        <v>96</v>
      </c>
      <c r="S37" s="21" t="s">
        <v>24</v>
      </c>
      <c r="T37" s="21" t="s">
        <v>17</v>
      </c>
      <c r="U37" s="8">
        <v>15963</v>
      </c>
      <c r="V37" s="11">
        <v>3</v>
      </c>
      <c r="W37" t="str">
        <f>IF(Table1[[#This Row],[Satisfaction Rating]]&lt;2, "Low", IF(Table1[[#This Row],[Satisfaction Rating]]&lt;4, "Medium", "High"))</f>
        <v>Medium</v>
      </c>
    </row>
    <row r="38" spans="1:23" ht="13" x14ac:dyDescent="0.15">
      <c r="A38" s="2" t="s">
        <v>97</v>
      </c>
      <c r="B38" s="23">
        <v>45043.539004629631</v>
      </c>
      <c r="C38" s="23">
        <v>45544.358680555553</v>
      </c>
      <c r="D38" s="23" t="str">
        <f>IF(Table1[[#This Row],[Duration of Campaign]]=0, "Ongoing","Completed")</f>
        <v>Completed</v>
      </c>
      <c r="E38" s="25">
        <f>Table1[[#This Row],[End Date]]-Table1[[#This Row],[Start Date]]</f>
        <v>500.81967592592264</v>
      </c>
      <c r="F38" s="8">
        <v>9689</v>
      </c>
      <c r="G38" s="21" t="s">
        <v>53</v>
      </c>
      <c r="H38" s="11">
        <v>4059</v>
      </c>
      <c r="I38" s="11">
        <v>984</v>
      </c>
      <c r="J38" s="11">
        <v>267</v>
      </c>
      <c r="K38" s="13">
        <v>3568</v>
      </c>
      <c r="L38" s="16">
        <f t="shared" si="0"/>
        <v>0.24242424242424243</v>
      </c>
      <c r="M38" s="16">
        <f t="shared" si="1"/>
        <v>0.27134146341463417</v>
      </c>
      <c r="N38" s="17">
        <f t="shared" si="2"/>
        <v>9.0243902439024382</v>
      </c>
      <c r="O38" s="17">
        <f t="shared" si="3"/>
        <v>33.258426966292134</v>
      </c>
      <c r="P38" s="16">
        <f t="shared" si="4"/>
        <v>0.91650325110950559</v>
      </c>
      <c r="Q38" s="16">
        <f t="shared" si="5"/>
        <v>0.40180180180180181</v>
      </c>
      <c r="R38" s="2" t="s">
        <v>98</v>
      </c>
      <c r="S38" s="21" t="s">
        <v>21</v>
      </c>
      <c r="T38" s="21" t="s">
        <v>27</v>
      </c>
      <c r="U38" s="8">
        <v>8880</v>
      </c>
      <c r="V38" s="11">
        <v>2</v>
      </c>
      <c r="W38" t="str">
        <f>IF(Table1[[#This Row],[Satisfaction Rating]]&lt;2, "Low", IF(Table1[[#This Row],[Satisfaction Rating]]&lt;4, "Medium", "High"))</f>
        <v>Medium</v>
      </c>
    </row>
    <row r="39" spans="1:23" ht="13" x14ac:dyDescent="0.15">
      <c r="A39" s="2" t="s">
        <v>99</v>
      </c>
      <c r="B39" s="23">
        <v>45396.503437500003</v>
      </c>
      <c r="C39" s="23">
        <v>45533.672048611108</v>
      </c>
      <c r="D39" s="23" t="str">
        <f>IF(Table1[[#This Row],[Duration of Campaign]]=0, "Ongoing","Completed")</f>
        <v>Completed</v>
      </c>
      <c r="E39" s="25">
        <f>Table1[[#This Row],[End Date]]-Table1[[#This Row],[Start Date]]</f>
        <v>137.16861111110484</v>
      </c>
      <c r="F39" s="8">
        <v>5201</v>
      </c>
      <c r="G39" s="21" t="s">
        <v>14</v>
      </c>
      <c r="H39" s="11">
        <v>16403</v>
      </c>
      <c r="I39" s="11">
        <v>447</v>
      </c>
      <c r="J39" s="11">
        <v>437</v>
      </c>
      <c r="K39" s="13">
        <v>8058</v>
      </c>
      <c r="L39" s="16">
        <f t="shared" si="0"/>
        <v>2.7251112601353412E-2</v>
      </c>
      <c r="M39" s="16">
        <f t="shared" si="1"/>
        <v>0.97762863534675615</v>
      </c>
      <c r="N39" s="17">
        <f t="shared" si="2"/>
        <v>29.029082774049218</v>
      </c>
      <c r="O39" s="17">
        <f t="shared" si="3"/>
        <v>29.693363844393591</v>
      </c>
      <c r="P39" s="16">
        <f t="shared" si="4"/>
        <v>2.4949048259950009</v>
      </c>
      <c r="Q39" s="16">
        <f t="shared" si="5"/>
        <v>0.62099260172626392</v>
      </c>
      <c r="R39" s="2" t="s">
        <v>100</v>
      </c>
      <c r="S39" s="21" t="s">
        <v>24</v>
      </c>
      <c r="T39" s="21" t="s">
        <v>27</v>
      </c>
      <c r="U39" s="8">
        <v>12976</v>
      </c>
      <c r="V39" s="11">
        <v>5</v>
      </c>
      <c r="W39" t="str">
        <f>IF(Table1[[#This Row],[Satisfaction Rating]]&lt;2, "Low", IF(Table1[[#This Row],[Satisfaction Rating]]&lt;4, "Medium", "High"))</f>
        <v>High</v>
      </c>
    </row>
    <row r="40" spans="1:23" ht="13" x14ac:dyDescent="0.15">
      <c r="A40" s="2" t="s">
        <v>101</v>
      </c>
      <c r="B40" s="23">
        <v>45543.825532407405</v>
      </c>
      <c r="C40" s="23">
        <v>45543.825532407405</v>
      </c>
      <c r="D40" s="23" t="str">
        <f>IF(Table1[[#This Row],[Duration of Campaign]]=0, "Ongoing","Completed")</f>
        <v>Ongoing</v>
      </c>
      <c r="E40" s="25">
        <f>Table1[[#This Row],[End Date]]-Table1[[#This Row],[Start Date]]</f>
        <v>0</v>
      </c>
      <c r="F40" s="8">
        <v>4944</v>
      </c>
      <c r="G40" s="21" t="s">
        <v>19</v>
      </c>
      <c r="H40" s="11">
        <v>11642</v>
      </c>
      <c r="I40" s="11">
        <v>302</v>
      </c>
      <c r="J40" s="11">
        <v>146</v>
      </c>
      <c r="K40" s="13">
        <v>5588</v>
      </c>
      <c r="L40" s="16">
        <f t="shared" si="0"/>
        <v>2.5940560041230028E-2</v>
      </c>
      <c r="M40" s="16">
        <f t="shared" si="1"/>
        <v>0.48344370860927155</v>
      </c>
      <c r="N40" s="17">
        <f t="shared" si="2"/>
        <v>10.235099337748345</v>
      </c>
      <c r="O40" s="17">
        <f t="shared" si="3"/>
        <v>21.171232876712327</v>
      </c>
      <c r="P40" s="16">
        <f t="shared" si="4"/>
        <v>0.62520226537216828</v>
      </c>
      <c r="Q40" s="16">
        <f t="shared" si="5"/>
        <v>1.8078291814946619</v>
      </c>
      <c r="R40" s="2" t="s">
        <v>102</v>
      </c>
      <c r="S40" s="21" t="s">
        <v>21</v>
      </c>
      <c r="T40" s="21" t="s">
        <v>27</v>
      </c>
      <c r="U40" s="8">
        <v>3091</v>
      </c>
      <c r="V40" s="11">
        <v>4</v>
      </c>
      <c r="W40" t="str">
        <f>IF(Table1[[#This Row],[Satisfaction Rating]]&lt;2, "Low", IF(Table1[[#This Row],[Satisfaction Rating]]&lt;4, "Medium", "High"))</f>
        <v>High</v>
      </c>
    </row>
    <row r="41" spans="1:23" ht="13" x14ac:dyDescent="0.15">
      <c r="A41" s="2" t="s">
        <v>103</v>
      </c>
      <c r="B41" s="23">
        <v>45243.322175925925</v>
      </c>
      <c r="C41" s="23">
        <v>45647.327986111108</v>
      </c>
      <c r="D41" s="23" t="str">
        <f>IF(Table1[[#This Row],[Duration of Campaign]]=0, "Ongoing","Completed")</f>
        <v>Completed</v>
      </c>
      <c r="E41" s="25">
        <f>Table1[[#This Row],[End Date]]-Table1[[#This Row],[Start Date]]</f>
        <v>404.00581018518278</v>
      </c>
      <c r="F41" s="8">
        <v>2196</v>
      </c>
      <c r="G41" s="21" t="s">
        <v>53</v>
      </c>
      <c r="H41" s="11">
        <v>12915</v>
      </c>
      <c r="I41" s="11">
        <v>1174</v>
      </c>
      <c r="J41" s="11">
        <v>145</v>
      </c>
      <c r="K41" s="13">
        <v>14307</v>
      </c>
      <c r="L41" s="16">
        <f t="shared" si="0"/>
        <v>9.0902051877661635E-2</v>
      </c>
      <c r="M41" s="16">
        <f t="shared" si="1"/>
        <v>0.12350936967632027</v>
      </c>
      <c r="N41" s="17">
        <f t="shared" si="2"/>
        <v>12.420783645655877</v>
      </c>
      <c r="O41" s="17">
        <f t="shared" si="3"/>
        <v>100.56551724137931</v>
      </c>
      <c r="P41" s="16">
        <f t="shared" si="4"/>
        <v>6.6402550091074684</v>
      </c>
      <c r="Q41" s="16">
        <f t="shared" si="5"/>
        <v>0.98114113290357974</v>
      </c>
      <c r="R41" s="2" t="s">
        <v>104</v>
      </c>
      <c r="S41" s="21" t="s">
        <v>21</v>
      </c>
      <c r="T41" s="21" t="s">
        <v>45</v>
      </c>
      <c r="U41" s="8">
        <v>14582</v>
      </c>
      <c r="V41" s="11">
        <v>3</v>
      </c>
      <c r="W41" t="str">
        <f>IF(Table1[[#This Row],[Satisfaction Rating]]&lt;2, "Low", IF(Table1[[#This Row],[Satisfaction Rating]]&lt;4, "Medium", "High"))</f>
        <v>Medium</v>
      </c>
    </row>
    <row r="42" spans="1:23" ht="13" x14ac:dyDescent="0.15">
      <c r="A42" s="2" t="s">
        <v>105</v>
      </c>
      <c r="B42" s="23">
        <v>45597.319201388891</v>
      </c>
      <c r="C42" s="23">
        <v>45597.319201388891</v>
      </c>
      <c r="D42" s="23" t="str">
        <f>IF(Table1[[#This Row],[Duration of Campaign]]=0, "Ongoing","Completed")</f>
        <v>Ongoing</v>
      </c>
      <c r="E42" s="25">
        <f>Table1[[#This Row],[End Date]]-Table1[[#This Row],[Start Date]]</f>
        <v>0</v>
      </c>
      <c r="F42" s="8">
        <v>7885</v>
      </c>
      <c r="G42" s="21" t="s">
        <v>19</v>
      </c>
      <c r="H42" s="11">
        <v>1511</v>
      </c>
      <c r="I42" s="11">
        <v>196</v>
      </c>
      <c r="J42" s="11">
        <v>459</v>
      </c>
      <c r="K42" s="13">
        <v>4173</v>
      </c>
      <c r="L42" s="16">
        <f t="shared" si="0"/>
        <v>0.12971542025148908</v>
      </c>
      <c r="M42" s="16">
        <f t="shared" si="1"/>
        <v>2.3418367346938775</v>
      </c>
      <c r="N42" s="17">
        <f t="shared" si="2"/>
        <v>17.877551020408163</v>
      </c>
      <c r="O42" s="17">
        <f t="shared" si="3"/>
        <v>7.6339869281045756</v>
      </c>
      <c r="P42" s="16">
        <f t="shared" si="4"/>
        <v>0.44438807863031071</v>
      </c>
      <c r="Q42" s="16">
        <f t="shared" si="5"/>
        <v>1.1909246575342465</v>
      </c>
      <c r="R42" s="2" t="s">
        <v>106</v>
      </c>
      <c r="S42" s="21" t="s">
        <v>24</v>
      </c>
      <c r="T42" s="21" t="s">
        <v>27</v>
      </c>
      <c r="U42" s="8">
        <v>3504</v>
      </c>
      <c r="V42" s="11">
        <v>5</v>
      </c>
      <c r="W42" t="str">
        <f>IF(Table1[[#This Row],[Satisfaction Rating]]&lt;2, "Low", IF(Table1[[#This Row],[Satisfaction Rating]]&lt;4, "Medium", "High"))</f>
        <v>High</v>
      </c>
    </row>
    <row r="43" spans="1:23" ht="13" x14ac:dyDescent="0.15">
      <c r="A43" s="2" t="s">
        <v>107</v>
      </c>
      <c r="B43" s="23">
        <v>45519.402291666665</v>
      </c>
      <c r="C43" s="23">
        <v>45519.402291666665</v>
      </c>
      <c r="D43" s="23" t="str">
        <f>IF(Table1[[#This Row],[Duration of Campaign]]=0, "Ongoing","Completed")</f>
        <v>Ongoing</v>
      </c>
      <c r="E43" s="25">
        <f>Table1[[#This Row],[End Date]]-Table1[[#This Row],[Start Date]]</f>
        <v>0</v>
      </c>
      <c r="F43" s="8">
        <v>9316</v>
      </c>
      <c r="G43" s="21" t="s">
        <v>14</v>
      </c>
      <c r="H43" s="11">
        <v>9370</v>
      </c>
      <c r="I43" s="11">
        <v>1824</v>
      </c>
      <c r="J43" s="11">
        <v>377</v>
      </c>
      <c r="K43" s="13">
        <v>4251</v>
      </c>
      <c r="L43" s="16">
        <f t="shared" si="0"/>
        <v>0.19466382070437566</v>
      </c>
      <c r="M43" s="16">
        <f t="shared" si="1"/>
        <v>0.20668859649122806</v>
      </c>
      <c r="N43" s="17">
        <f t="shared" si="2"/>
        <v>8.6951754385964914</v>
      </c>
      <c r="O43" s="17">
        <f t="shared" si="3"/>
        <v>42.068965517241381</v>
      </c>
      <c r="P43" s="16">
        <f t="shared" si="4"/>
        <v>1.7024474023185916</v>
      </c>
      <c r="Q43" s="16">
        <f t="shared" si="5"/>
        <v>0.2680327868852459</v>
      </c>
      <c r="R43" s="2" t="s">
        <v>108</v>
      </c>
      <c r="S43" s="21" t="s">
        <v>35</v>
      </c>
      <c r="T43" s="21" t="s">
        <v>45</v>
      </c>
      <c r="U43" s="8">
        <v>15860</v>
      </c>
      <c r="V43" s="11">
        <v>2</v>
      </c>
      <c r="W43" t="str">
        <f>IF(Table1[[#This Row],[Satisfaction Rating]]&lt;2, "Low", IF(Table1[[#This Row],[Satisfaction Rating]]&lt;4, "Medium", "High"))</f>
        <v>Medium</v>
      </c>
    </row>
    <row r="44" spans="1:23" ht="13" x14ac:dyDescent="0.15">
      <c r="A44" s="2" t="s">
        <v>109</v>
      </c>
      <c r="B44" s="23">
        <v>45569.269675925927</v>
      </c>
      <c r="C44" s="23">
        <v>45569.269675925927</v>
      </c>
      <c r="D44" s="23" t="str">
        <f>IF(Table1[[#This Row],[Duration of Campaign]]=0, "Ongoing","Completed")</f>
        <v>Ongoing</v>
      </c>
      <c r="E44" s="25">
        <f>Table1[[#This Row],[End Date]]-Table1[[#This Row],[Start Date]]</f>
        <v>0</v>
      </c>
      <c r="F44" s="8">
        <v>7090</v>
      </c>
      <c r="G44" s="21" t="s">
        <v>53</v>
      </c>
      <c r="H44" s="11">
        <v>19404</v>
      </c>
      <c r="I44" s="11">
        <v>207</v>
      </c>
      <c r="J44" s="11">
        <v>61</v>
      </c>
      <c r="K44" s="13">
        <v>11931</v>
      </c>
      <c r="L44" s="16">
        <f t="shared" si="0"/>
        <v>1.0667903525046383E-2</v>
      </c>
      <c r="M44" s="16">
        <f t="shared" si="1"/>
        <v>0.29468599033816423</v>
      </c>
      <c r="N44" s="17">
        <f t="shared" si="2"/>
        <v>92.787439613526573</v>
      </c>
      <c r="O44" s="17">
        <f t="shared" si="3"/>
        <v>314.86885245901641</v>
      </c>
      <c r="P44" s="16">
        <f t="shared" si="4"/>
        <v>2.7090267983074754</v>
      </c>
      <c r="Q44" s="16">
        <f t="shared" si="5"/>
        <v>0.62117977820586245</v>
      </c>
      <c r="R44" s="2" t="s">
        <v>110</v>
      </c>
      <c r="S44" s="21" t="s">
        <v>24</v>
      </c>
      <c r="T44" s="21" t="s">
        <v>27</v>
      </c>
      <c r="U44" s="8">
        <v>19207</v>
      </c>
      <c r="V44" s="11">
        <v>2</v>
      </c>
      <c r="W44" t="str">
        <f>IF(Table1[[#This Row],[Satisfaction Rating]]&lt;2, "Low", IF(Table1[[#This Row],[Satisfaction Rating]]&lt;4, "Medium", "High"))</f>
        <v>Medium</v>
      </c>
    </row>
    <row r="45" spans="1:23" ht="13" x14ac:dyDescent="0.15">
      <c r="A45" s="2" t="s">
        <v>111</v>
      </c>
      <c r="B45" s="23">
        <v>45089.894467592596</v>
      </c>
      <c r="C45" s="23">
        <v>45411.435578703706</v>
      </c>
      <c r="D45" s="23" t="str">
        <f>IF(Table1[[#This Row],[Duration of Campaign]]=0, "Ongoing","Completed")</f>
        <v>Completed</v>
      </c>
      <c r="E45" s="25">
        <f>Table1[[#This Row],[End Date]]-Table1[[#This Row],[Start Date]]</f>
        <v>321.54111111110979</v>
      </c>
      <c r="F45" s="8">
        <v>9579</v>
      </c>
      <c r="G45" s="21" t="s">
        <v>37</v>
      </c>
      <c r="H45" s="11">
        <v>1899</v>
      </c>
      <c r="I45" s="11">
        <v>603</v>
      </c>
      <c r="J45" s="11">
        <v>486</v>
      </c>
      <c r="K45" s="13">
        <v>5661</v>
      </c>
      <c r="L45" s="16">
        <f t="shared" si="0"/>
        <v>0.31753554502369669</v>
      </c>
      <c r="M45" s="16">
        <f t="shared" si="1"/>
        <v>0.80597014925373134</v>
      </c>
      <c r="N45" s="17">
        <f t="shared" si="2"/>
        <v>9.0497512437810954</v>
      </c>
      <c r="O45" s="17">
        <f t="shared" si="3"/>
        <v>11.228395061728396</v>
      </c>
      <c r="P45" s="16">
        <f t="shared" si="4"/>
        <v>0.56968368305668649</v>
      </c>
      <c r="Q45" s="16">
        <f t="shared" si="5"/>
        <v>1.0373831775700935</v>
      </c>
      <c r="R45" s="2" t="s">
        <v>112</v>
      </c>
      <c r="S45" s="21" t="s">
        <v>16</v>
      </c>
      <c r="T45" s="21" t="s">
        <v>45</v>
      </c>
      <c r="U45" s="8">
        <v>5457</v>
      </c>
      <c r="V45" s="11">
        <v>5</v>
      </c>
      <c r="W45" t="str">
        <f>IF(Table1[[#This Row],[Satisfaction Rating]]&lt;2, "Low", IF(Table1[[#This Row],[Satisfaction Rating]]&lt;4, "Medium", "High"))</f>
        <v>High</v>
      </c>
    </row>
    <row r="46" spans="1:23" ht="13" x14ac:dyDescent="0.15">
      <c r="A46" s="2" t="s">
        <v>113</v>
      </c>
      <c r="B46" s="23">
        <v>45450.894942129627</v>
      </c>
      <c r="C46" s="23">
        <v>45450.894942129627</v>
      </c>
      <c r="D46" s="23" t="str">
        <f>IF(Table1[[#This Row],[Duration of Campaign]]=0, "Ongoing","Completed")</f>
        <v>Ongoing</v>
      </c>
      <c r="E46" s="25">
        <f>Table1[[#This Row],[End Date]]-Table1[[#This Row],[Start Date]]</f>
        <v>0</v>
      </c>
      <c r="F46" s="8">
        <v>1701</v>
      </c>
      <c r="G46" s="21" t="s">
        <v>37</v>
      </c>
      <c r="H46" s="11">
        <v>12620</v>
      </c>
      <c r="I46" s="11">
        <v>588</v>
      </c>
      <c r="J46" s="11">
        <v>116</v>
      </c>
      <c r="K46" s="13">
        <v>13139</v>
      </c>
      <c r="L46" s="16">
        <f t="shared" si="0"/>
        <v>4.6592709984152138E-2</v>
      </c>
      <c r="M46" s="16">
        <f t="shared" si="1"/>
        <v>0.19727891156462585</v>
      </c>
      <c r="N46" s="17">
        <f t="shared" si="2"/>
        <v>22.945578231292519</v>
      </c>
      <c r="O46" s="17">
        <f t="shared" si="3"/>
        <v>116.31034482758621</v>
      </c>
      <c r="P46" s="16">
        <f t="shared" si="4"/>
        <v>7.93180482069371</v>
      </c>
      <c r="Q46" s="16">
        <f t="shared" si="5"/>
        <v>0.97383634746516456</v>
      </c>
      <c r="R46" s="2" t="s">
        <v>114</v>
      </c>
      <c r="S46" s="21" t="s">
        <v>16</v>
      </c>
      <c r="T46" s="21" t="s">
        <v>17</v>
      </c>
      <c r="U46" s="8">
        <v>13492</v>
      </c>
      <c r="V46" s="11">
        <v>5</v>
      </c>
      <c r="W46" t="str">
        <f>IF(Table1[[#This Row],[Satisfaction Rating]]&lt;2, "Low", IF(Table1[[#This Row],[Satisfaction Rating]]&lt;4, "Medium", "High"))</f>
        <v>High</v>
      </c>
    </row>
    <row r="47" spans="1:23" ht="13" x14ac:dyDescent="0.15">
      <c r="A47" s="2" t="s">
        <v>115</v>
      </c>
      <c r="B47" s="23">
        <v>45570.400127314817</v>
      </c>
      <c r="C47" s="23">
        <v>45570.400127314817</v>
      </c>
      <c r="D47" s="23" t="str">
        <f>IF(Table1[[#This Row],[Duration of Campaign]]=0, "Ongoing","Completed")</f>
        <v>Ongoing</v>
      </c>
      <c r="E47" s="25">
        <f>Table1[[#This Row],[End Date]]-Table1[[#This Row],[Start Date]]</f>
        <v>0</v>
      </c>
      <c r="F47" s="8">
        <v>9860</v>
      </c>
      <c r="G47" s="21" t="s">
        <v>37</v>
      </c>
      <c r="H47" s="11">
        <v>2801</v>
      </c>
      <c r="I47" s="11">
        <v>1327</v>
      </c>
      <c r="J47" s="11">
        <v>202</v>
      </c>
      <c r="K47" s="13">
        <v>13898</v>
      </c>
      <c r="L47" s="16">
        <f t="shared" si="0"/>
        <v>0.4737593716529811</v>
      </c>
      <c r="M47" s="16">
        <f t="shared" si="1"/>
        <v>0.1522230595327807</v>
      </c>
      <c r="N47" s="17">
        <f t="shared" si="2"/>
        <v>8.3496608892238129</v>
      </c>
      <c r="O47" s="17">
        <f t="shared" si="3"/>
        <v>54.851485148514854</v>
      </c>
      <c r="P47" s="16">
        <f t="shared" si="4"/>
        <v>1.1237322515212982</v>
      </c>
      <c r="Q47" s="16">
        <f t="shared" si="5"/>
        <v>1.254332129963899</v>
      </c>
      <c r="R47" s="2" t="s">
        <v>116</v>
      </c>
      <c r="S47" s="21" t="s">
        <v>24</v>
      </c>
      <c r="T47" s="21" t="s">
        <v>45</v>
      </c>
      <c r="U47" s="8">
        <v>11080</v>
      </c>
      <c r="V47" s="11">
        <v>4</v>
      </c>
      <c r="W47" t="str">
        <f>IF(Table1[[#This Row],[Satisfaction Rating]]&lt;2, "Low", IF(Table1[[#This Row],[Satisfaction Rating]]&lt;4, "Medium", "High"))</f>
        <v>High</v>
      </c>
    </row>
    <row r="48" spans="1:23" ht="13" x14ac:dyDescent="0.15">
      <c r="A48" s="2" t="s">
        <v>117</v>
      </c>
      <c r="B48" s="23">
        <v>45489.007418981484</v>
      </c>
      <c r="C48" s="23">
        <v>45489.007418981484</v>
      </c>
      <c r="D48" s="23" t="str">
        <f>IF(Table1[[#This Row],[Duration of Campaign]]=0, "Ongoing","Completed")</f>
        <v>Ongoing</v>
      </c>
      <c r="E48" s="25">
        <f>Table1[[#This Row],[End Date]]-Table1[[#This Row],[Start Date]]</f>
        <v>0</v>
      </c>
      <c r="F48" s="8">
        <v>2182</v>
      </c>
      <c r="G48" s="21" t="s">
        <v>37</v>
      </c>
      <c r="H48" s="11">
        <v>16206</v>
      </c>
      <c r="I48" s="11">
        <v>473</v>
      </c>
      <c r="J48" s="11">
        <v>219</v>
      </c>
      <c r="K48" s="13">
        <v>3226</v>
      </c>
      <c r="L48" s="16">
        <f t="shared" si="0"/>
        <v>2.9186720967542885E-2</v>
      </c>
      <c r="M48" s="16">
        <f t="shared" si="1"/>
        <v>0.46300211416490489</v>
      </c>
      <c r="N48" s="17">
        <f t="shared" si="2"/>
        <v>41.329809725158562</v>
      </c>
      <c r="O48" s="17">
        <f t="shared" si="3"/>
        <v>89.264840182648399</v>
      </c>
      <c r="P48" s="16">
        <f t="shared" si="4"/>
        <v>8.9592117323556373</v>
      </c>
      <c r="Q48" s="16">
        <f t="shared" si="5"/>
        <v>0.16502122870735075</v>
      </c>
      <c r="R48" s="2" t="s">
        <v>118</v>
      </c>
      <c r="S48" s="21" t="s">
        <v>30</v>
      </c>
      <c r="T48" s="21" t="s">
        <v>27</v>
      </c>
      <c r="U48" s="8">
        <v>19549</v>
      </c>
      <c r="V48" s="11">
        <v>5</v>
      </c>
      <c r="W48" t="str">
        <f>IF(Table1[[#This Row],[Satisfaction Rating]]&lt;2, "Low", IF(Table1[[#This Row],[Satisfaction Rating]]&lt;4, "Medium", "High"))</f>
        <v>High</v>
      </c>
    </row>
    <row r="49" spans="1:23" ht="13" x14ac:dyDescent="0.15">
      <c r="A49" s="2" t="s">
        <v>119</v>
      </c>
      <c r="B49" s="23">
        <v>45437.513310185182</v>
      </c>
      <c r="C49" s="23">
        <v>45437.513310185182</v>
      </c>
      <c r="D49" s="23" t="str">
        <f>IF(Table1[[#This Row],[Duration of Campaign]]=0, "Ongoing","Completed")</f>
        <v>Ongoing</v>
      </c>
      <c r="E49" s="25">
        <f>Table1[[#This Row],[End Date]]-Table1[[#This Row],[Start Date]]</f>
        <v>0</v>
      </c>
      <c r="F49" s="8">
        <v>1836</v>
      </c>
      <c r="G49" s="21" t="s">
        <v>14</v>
      </c>
      <c r="H49" s="11">
        <v>9781</v>
      </c>
      <c r="I49" s="11">
        <v>559</v>
      </c>
      <c r="J49" s="11">
        <v>335</v>
      </c>
      <c r="K49" s="13">
        <v>9167</v>
      </c>
      <c r="L49" s="16">
        <f t="shared" si="0"/>
        <v>5.7151620488702586E-2</v>
      </c>
      <c r="M49" s="16">
        <f t="shared" si="1"/>
        <v>0.59928443649373886</v>
      </c>
      <c r="N49" s="17">
        <f t="shared" si="2"/>
        <v>19.677996422182467</v>
      </c>
      <c r="O49" s="17">
        <f t="shared" si="3"/>
        <v>32.835820895522389</v>
      </c>
      <c r="P49" s="16">
        <f t="shared" si="4"/>
        <v>5.9912854030501093</v>
      </c>
      <c r="Q49" s="16">
        <f t="shared" si="5"/>
        <v>0.83336363636363642</v>
      </c>
      <c r="R49" s="2" t="s">
        <v>120</v>
      </c>
      <c r="S49" s="21" t="s">
        <v>21</v>
      </c>
      <c r="T49" s="21" t="s">
        <v>45</v>
      </c>
      <c r="U49" s="8">
        <v>11000</v>
      </c>
      <c r="V49" s="11">
        <v>4</v>
      </c>
      <c r="W49" t="str">
        <f>IF(Table1[[#This Row],[Satisfaction Rating]]&lt;2, "Low", IF(Table1[[#This Row],[Satisfaction Rating]]&lt;4, "Medium", "High"))</f>
        <v>High</v>
      </c>
    </row>
    <row r="50" spans="1:23" ht="13" x14ac:dyDescent="0.15">
      <c r="A50" s="2" t="s">
        <v>121</v>
      </c>
      <c r="B50" s="23">
        <v>45024.949675925927</v>
      </c>
      <c r="C50" s="23">
        <v>45331.222094907411</v>
      </c>
      <c r="D50" s="23" t="str">
        <f>IF(Table1[[#This Row],[Duration of Campaign]]=0, "Ongoing","Completed")</f>
        <v>Completed</v>
      </c>
      <c r="E50" s="25">
        <f>Table1[[#This Row],[End Date]]-Table1[[#This Row],[Start Date]]</f>
        <v>306.2724189814835</v>
      </c>
      <c r="F50" s="8">
        <v>7769</v>
      </c>
      <c r="G50" s="21" t="s">
        <v>14</v>
      </c>
      <c r="H50" s="11">
        <v>14964</v>
      </c>
      <c r="I50" s="11">
        <v>602</v>
      </c>
      <c r="J50" s="11">
        <v>495</v>
      </c>
      <c r="K50" s="13">
        <v>8712</v>
      </c>
      <c r="L50" s="16">
        <f t="shared" si="0"/>
        <v>4.0229885057471264E-2</v>
      </c>
      <c r="M50" s="16">
        <f t="shared" si="1"/>
        <v>0.82225913621262459</v>
      </c>
      <c r="N50" s="17">
        <f t="shared" si="2"/>
        <v>5.9235880398671092</v>
      </c>
      <c r="O50" s="17">
        <f t="shared" si="3"/>
        <v>7.2040404040404038</v>
      </c>
      <c r="P50" s="16">
        <f t="shared" si="4"/>
        <v>0.45900373278414208</v>
      </c>
      <c r="Q50" s="16">
        <f t="shared" si="5"/>
        <v>2.4430734716769491</v>
      </c>
      <c r="R50" s="2" t="s">
        <v>122</v>
      </c>
      <c r="S50" s="21" t="s">
        <v>24</v>
      </c>
      <c r="T50" s="21" t="s">
        <v>27</v>
      </c>
      <c r="U50" s="8">
        <v>3566</v>
      </c>
      <c r="V50" s="11">
        <v>2</v>
      </c>
      <c r="W50" t="str">
        <f>IF(Table1[[#This Row],[Satisfaction Rating]]&lt;2, "Low", IF(Table1[[#This Row],[Satisfaction Rating]]&lt;4, "Medium", "High"))</f>
        <v>Medium</v>
      </c>
    </row>
    <row r="51" spans="1:23" ht="13" x14ac:dyDescent="0.15">
      <c r="A51" s="2" t="s">
        <v>123</v>
      </c>
      <c r="B51" s="23">
        <v>45154.210405092592</v>
      </c>
      <c r="C51" s="23">
        <v>45154.210405092592</v>
      </c>
      <c r="D51" s="23" t="str">
        <f>IF(Table1[[#This Row],[Duration of Campaign]]=0, "Ongoing","Completed")</f>
        <v>Ongoing</v>
      </c>
      <c r="E51" s="25">
        <f>Table1[[#This Row],[End Date]]-Table1[[#This Row],[Start Date]]</f>
        <v>0</v>
      </c>
      <c r="F51" s="8">
        <v>9873</v>
      </c>
      <c r="G51" s="21" t="s">
        <v>19</v>
      </c>
      <c r="H51" s="11">
        <v>12982</v>
      </c>
      <c r="I51" s="11">
        <v>637</v>
      </c>
      <c r="J51" s="11">
        <v>284</v>
      </c>
      <c r="K51" s="13">
        <v>4137</v>
      </c>
      <c r="L51" s="16">
        <f t="shared" si="0"/>
        <v>4.9067940224926825E-2</v>
      </c>
      <c r="M51" s="16">
        <f t="shared" si="1"/>
        <v>0.44583987441130296</v>
      </c>
      <c r="N51" s="17">
        <f t="shared" si="2"/>
        <v>2.0753532182103611</v>
      </c>
      <c r="O51" s="17">
        <f t="shared" si="3"/>
        <v>4.654929577464789</v>
      </c>
      <c r="P51" s="16">
        <f t="shared" si="4"/>
        <v>0.13390053681758332</v>
      </c>
      <c r="Q51" s="16">
        <f t="shared" si="5"/>
        <v>3.1293494704992435</v>
      </c>
      <c r="R51" s="2" t="s">
        <v>124</v>
      </c>
      <c r="S51" s="21" t="s">
        <v>16</v>
      </c>
      <c r="T51" s="21" t="s">
        <v>45</v>
      </c>
      <c r="U51" s="8">
        <v>1322</v>
      </c>
      <c r="V51" s="11">
        <v>1</v>
      </c>
      <c r="W51" t="str">
        <f>IF(Table1[[#This Row],[Satisfaction Rating]]&lt;2, "Low", IF(Table1[[#This Row],[Satisfaction Rating]]&lt;4, "Medium", "High"))</f>
        <v>Low</v>
      </c>
    </row>
    <row r="52" spans="1:23" ht="13" x14ac:dyDescent="0.15">
      <c r="A52" s="2" t="s">
        <v>125</v>
      </c>
      <c r="B52" s="23">
        <v>45153.848009259258</v>
      </c>
      <c r="C52" s="23">
        <v>45153.848009259258</v>
      </c>
      <c r="D52" s="23" t="str">
        <f>IF(Table1[[#This Row],[Duration of Campaign]]=0, "Ongoing","Completed")</f>
        <v>Ongoing</v>
      </c>
      <c r="E52" s="25">
        <f>Table1[[#This Row],[End Date]]-Table1[[#This Row],[Start Date]]</f>
        <v>0</v>
      </c>
      <c r="F52" s="8">
        <v>7642</v>
      </c>
      <c r="G52" s="21" t="s">
        <v>53</v>
      </c>
      <c r="H52" s="11">
        <v>19272</v>
      </c>
      <c r="I52" s="11">
        <v>1411</v>
      </c>
      <c r="J52" s="11">
        <v>361</v>
      </c>
      <c r="K52" s="13">
        <v>8299</v>
      </c>
      <c r="L52" s="16">
        <f t="shared" si="0"/>
        <v>7.3215026982150266E-2</v>
      </c>
      <c r="M52" s="16">
        <f t="shared" si="1"/>
        <v>0.25584691708008506</v>
      </c>
      <c r="N52" s="17">
        <f t="shared" si="2"/>
        <v>13.119064493267187</v>
      </c>
      <c r="O52" s="17">
        <f t="shared" si="3"/>
        <v>51.277008310249307</v>
      </c>
      <c r="P52" s="16">
        <f t="shared" si="4"/>
        <v>2.4222716566343889</v>
      </c>
      <c r="Q52" s="16">
        <f t="shared" si="5"/>
        <v>0.4483280211765977</v>
      </c>
      <c r="R52" s="2" t="s">
        <v>126</v>
      </c>
      <c r="S52" s="21" t="s">
        <v>35</v>
      </c>
      <c r="T52" s="21" t="s">
        <v>27</v>
      </c>
      <c r="U52" s="8">
        <v>18511</v>
      </c>
      <c r="V52" s="11">
        <v>4</v>
      </c>
      <c r="W52" t="str">
        <f>IF(Table1[[#This Row],[Satisfaction Rating]]&lt;2, "Low", IF(Table1[[#This Row],[Satisfaction Rating]]&lt;4, "Medium", "High"))</f>
        <v>High</v>
      </c>
    </row>
    <row r="53" spans="1:23" ht="13" x14ac:dyDescent="0.15">
      <c r="A53" s="2" t="s">
        <v>127</v>
      </c>
      <c r="B53" s="23">
        <v>45057.413437499999</v>
      </c>
      <c r="C53" s="23">
        <v>45138.715763888889</v>
      </c>
      <c r="D53" s="23" t="str">
        <f>IF(Table1[[#This Row],[Duration of Campaign]]=0, "Ongoing","Completed")</f>
        <v>Completed</v>
      </c>
      <c r="E53" s="25">
        <f>Table1[[#This Row],[End Date]]-Table1[[#This Row],[Start Date]]</f>
        <v>81.302326388889924</v>
      </c>
      <c r="F53" s="8">
        <v>7632</v>
      </c>
      <c r="G53" s="21" t="s">
        <v>19</v>
      </c>
      <c r="H53" s="11">
        <v>12676</v>
      </c>
      <c r="I53" s="11">
        <v>1315</v>
      </c>
      <c r="J53" s="11">
        <v>265</v>
      </c>
      <c r="K53" s="13">
        <v>10333</v>
      </c>
      <c r="L53" s="16">
        <f t="shared" si="0"/>
        <v>0.10373934995266645</v>
      </c>
      <c r="M53" s="16">
        <f t="shared" si="1"/>
        <v>0.20152091254752852</v>
      </c>
      <c r="N53" s="17">
        <f t="shared" si="2"/>
        <v>11.638022813688213</v>
      </c>
      <c r="O53" s="17">
        <f t="shared" si="3"/>
        <v>57.750943396226418</v>
      </c>
      <c r="P53" s="16">
        <f t="shared" si="4"/>
        <v>2.0052410901467503</v>
      </c>
      <c r="Q53" s="16">
        <f t="shared" si="5"/>
        <v>0.67518295870360689</v>
      </c>
      <c r="R53" s="2" t="s">
        <v>128</v>
      </c>
      <c r="S53" s="21" t="s">
        <v>21</v>
      </c>
      <c r="T53" s="21" t="s">
        <v>17</v>
      </c>
      <c r="U53" s="8">
        <v>15304</v>
      </c>
      <c r="V53" s="11">
        <v>2</v>
      </c>
      <c r="W53" t="str">
        <f>IF(Table1[[#This Row],[Satisfaction Rating]]&lt;2, "Low", IF(Table1[[#This Row],[Satisfaction Rating]]&lt;4, "Medium", "High"))</f>
        <v>Medium</v>
      </c>
    </row>
    <row r="54" spans="1:23" ht="13" x14ac:dyDescent="0.15">
      <c r="A54" s="2" t="s">
        <v>129</v>
      </c>
      <c r="B54" s="23">
        <v>45147.805995370371</v>
      </c>
      <c r="C54" s="23">
        <v>45147.805995370371</v>
      </c>
      <c r="D54" s="23" t="str">
        <f>IF(Table1[[#This Row],[Duration of Campaign]]=0, "Ongoing","Completed")</f>
        <v>Ongoing</v>
      </c>
      <c r="E54" s="25">
        <f>Table1[[#This Row],[End Date]]-Table1[[#This Row],[Start Date]]</f>
        <v>0</v>
      </c>
      <c r="F54" s="8">
        <v>4035</v>
      </c>
      <c r="G54" s="21" t="s">
        <v>14</v>
      </c>
      <c r="H54" s="11">
        <v>11715</v>
      </c>
      <c r="I54" s="11">
        <v>101</v>
      </c>
      <c r="J54" s="11">
        <v>239</v>
      </c>
      <c r="K54" s="13">
        <v>8828</v>
      </c>
      <c r="L54" s="16">
        <f t="shared" si="0"/>
        <v>8.6214255228339743E-3</v>
      </c>
      <c r="M54" s="16">
        <f t="shared" si="1"/>
        <v>2.3663366336633662</v>
      </c>
      <c r="N54" s="17">
        <f t="shared" si="2"/>
        <v>108.52475247524752</v>
      </c>
      <c r="O54" s="17">
        <f t="shared" si="3"/>
        <v>45.861924686192467</v>
      </c>
      <c r="P54" s="16">
        <f t="shared" si="4"/>
        <v>2.7164807930607187</v>
      </c>
      <c r="Q54" s="16">
        <f t="shared" si="5"/>
        <v>0.80540096706504882</v>
      </c>
      <c r="R54" s="2" t="s">
        <v>130</v>
      </c>
      <c r="S54" s="21" t="s">
        <v>24</v>
      </c>
      <c r="T54" s="21" t="s">
        <v>17</v>
      </c>
      <c r="U54" s="8">
        <v>10961</v>
      </c>
      <c r="V54" s="11">
        <v>4</v>
      </c>
      <c r="W54" t="str">
        <f>IF(Table1[[#This Row],[Satisfaction Rating]]&lt;2, "Low", IF(Table1[[#This Row],[Satisfaction Rating]]&lt;4, "Medium", "High"))</f>
        <v>High</v>
      </c>
    </row>
    <row r="55" spans="1:23" ht="13" x14ac:dyDescent="0.15">
      <c r="A55" s="2" t="s">
        <v>131</v>
      </c>
      <c r="B55" s="23">
        <v>45393.831307870372</v>
      </c>
      <c r="C55" s="23">
        <v>45393.831307870372</v>
      </c>
      <c r="D55" s="23" t="str">
        <f>IF(Table1[[#This Row],[Duration of Campaign]]=0, "Ongoing","Completed")</f>
        <v>Ongoing</v>
      </c>
      <c r="E55" s="25">
        <f>Table1[[#This Row],[End Date]]-Table1[[#This Row],[Start Date]]</f>
        <v>0</v>
      </c>
      <c r="F55" s="8">
        <v>9075</v>
      </c>
      <c r="G55" s="21" t="s">
        <v>14</v>
      </c>
      <c r="H55" s="11">
        <v>10653</v>
      </c>
      <c r="I55" s="11">
        <v>1598</v>
      </c>
      <c r="J55" s="11">
        <v>97</v>
      </c>
      <c r="K55" s="13">
        <v>11468</v>
      </c>
      <c r="L55" s="16">
        <f t="shared" si="0"/>
        <v>0.15000469351356424</v>
      </c>
      <c r="M55" s="16">
        <f t="shared" si="1"/>
        <v>6.07008760951189E-2</v>
      </c>
      <c r="N55" s="17">
        <f t="shared" si="2"/>
        <v>0.33979974968710891</v>
      </c>
      <c r="O55" s="17">
        <f t="shared" si="3"/>
        <v>5.5979381443298966</v>
      </c>
      <c r="P55" s="16">
        <f t="shared" si="4"/>
        <v>5.9834710743801652E-2</v>
      </c>
      <c r="Q55" s="16">
        <f t="shared" si="5"/>
        <v>21.119705340699817</v>
      </c>
      <c r="R55" s="2" t="s">
        <v>132</v>
      </c>
      <c r="S55" s="21" t="s">
        <v>35</v>
      </c>
      <c r="T55" s="21" t="s">
        <v>17</v>
      </c>
      <c r="U55" s="8">
        <v>543</v>
      </c>
      <c r="V55" s="11">
        <v>5</v>
      </c>
      <c r="W55" t="str">
        <f>IF(Table1[[#This Row],[Satisfaction Rating]]&lt;2, "Low", IF(Table1[[#This Row],[Satisfaction Rating]]&lt;4, "Medium", "High"))</f>
        <v>High</v>
      </c>
    </row>
    <row r="56" spans="1:23" ht="13" x14ac:dyDescent="0.15">
      <c r="A56" s="2" t="s">
        <v>133</v>
      </c>
      <c r="B56" s="23">
        <v>45239.952939814815</v>
      </c>
      <c r="C56" s="23">
        <v>45476.580381944441</v>
      </c>
      <c r="D56" s="23" t="str">
        <f>IF(Table1[[#This Row],[Duration of Campaign]]=0, "Ongoing","Completed")</f>
        <v>Completed</v>
      </c>
      <c r="E56" s="25">
        <f>Table1[[#This Row],[End Date]]-Table1[[#This Row],[Start Date]]</f>
        <v>236.62744212962571</v>
      </c>
      <c r="F56" s="8">
        <v>6588</v>
      </c>
      <c r="G56" s="21" t="s">
        <v>37</v>
      </c>
      <c r="H56" s="11">
        <v>14597</v>
      </c>
      <c r="I56" s="11">
        <v>1162</v>
      </c>
      <c r="J56" s="11">
        <v>287</v>
      </c>
      <c r="K56" s="13">
        <v>1008</v>
      </c>
      <c r="L56" s="16">
        <f t="shared" si="0"/>
        <v>7.9605398369527985E-2</v>
      </c>
      <c r="M56" s="16">
        <f t="shared" si="1"/>
        <v>0.24698795180722891</v>
      </c>
      <c r="N56" s="17">
        <f t="shared" si="2"/>
        <v>6.4328743545611013</v>
      </c>
      <c r="O56" s="17">
        <f t="shared" si="3"/>
        <v>26.045296167247386</v>
      </c>
      <c r="P56" s="16">
        <f t="shared" si="4"/>
        <v>1.1346387370977535</v>
      </c>
      <c r="Q56" s="16">
        <f t="shared" si="5"/>
        <v>0.13484949832775919</v>
      </c>
      <c r="R56" s="2" t="s">
        <v>134</v>
      </c>
      <c r="S56" s="21" t="s">
        <v>21</v>
      </c>
      <c r="T56" s="21" t="s">
        <v>27</v>
      </c>
      <c r="U56" s="8">
        <v>7475</v>
      </c>
      <c r="V56" s="11">
        <v>5</v>
      </c>
      <c r="W56" t="str">
        <f>IF(Table1[[#This Row],[Satisfaction Rating]]&lt;2, "Low", IF(Table1[[#This Row],[Satisfaction Rating]]&lt;4, "Medium", "High"))</f>
        <v>High</v>
      </c>
    </row>
    <row r="57" spans="1:23" ht="13" x14ac:dyDescent="0.15">
      <c r="A57" s="2" t="s">
        <v>135</v>
      </c>
      <c r="B57" s="23">
        <v>45362.562696759262</v>
      </c>
      <c r="C57" s="23">
        <v>45516.854166666664</v>
      </c>
      <c r="D57" s="23" t="str">
        <f>IF(Table1[[#This Row],[Duration of Campaign]]=0, "Ongoing","Completed")</f>
        <v>Completed</v>
      </c>
      <c r="E57" s="25">
        <f>Table1[[#This Row],[End Date]]-Table1[[#This Row],[Start Date]]</f>
        <v>154.29146990740264</v>
      </c>
      <c r="F57" s="8">
        <v>6042</v>
      </c>
      <c r="G57" s="21" t="s">
        <v>14</v>
      </c>
      <c r="H57" s="11">
        <v>17042</v>
      </c>
      <c r="I57" s="11">
        <v>1834</v>
      </c>
      <c r="J57" s="11">
        <v>426</v>
      </c>
      <c r="K57" s="13">
        <v>1632</v>
      </c>
      <c r="L57" s="16">
        <f t="shared" si="0"/>
        <v>0.10761647693932637</v>
      </c>
      <c r="M57" s="16">
        <f t="shared" si="1"/>
        <v>0.23227917121046893</v>
      </c>
      <c r="N57" s="17">
        <f t="shared" si="2"/>
        <v>6.808069792802617</v>
      </c>
      <c r="O57" s="17">
        <f t="shared" si="3"/>
        <v>29.309859154929576</v>
      </c>
      <c r="P57" s="16">
        <f t="shared" si="4"/>
        <v>2.0665342601787486</v>
      </c>
      <c r="Q57" s="16">
        <f t="shared" si="5"/>
        <v>0.13070639115809707</v>
      </c>
      <c r="R57" s="2" t="s">
        <v>136</v>
      </c>
      <c r="S57" s="21" t="s">
        <v>24</v>
      </c>
      <c r="T57" s="21" t="s">
        <v>17</v>
      </c>
      <c r="U57" s="8">
        <v>12486</v>
      </c>
      <c r="V57" s="11">
        <v>5</v>
      </c>
      <c r="W57" t="str">
        <f>IF(Table1[[#This Row],[Satisfaction Rating]]&lt;2, "Low", IF(Table1[[#This Row],[Satisfaction Rating]]&lt;4, "Medium", "High"))</f>
        <v>High</v>
      </c>
    </row>
    <row r="58" spans="1:23" ht="13" x14ac:dyDescent="0.15">
      <c r="A58" s="2" t="s">
        <v>137</v>
      </c>
      <c r="B58" s="23">
        <v>45025.468472222223</v>
      </c>
      <c r="C58" s="23">
        <v>45025.468472222223</v>
      </c>
      <c r="D58" s="23" t="str">
        <f>IF(Table1[[#This Row],[Duration of Campaign]]=0, "Ongoing","Completed")</f>
        <v>Ongoing</v>
      </c>
      <c r="E58" s="25">
        <f>Table1[[#This Row],[End Date]]-Table1[[#This Row],[Start Date]]</f>
        <v>0</v>
      </c>
      <c r="F58" s="8">
        <v>1953</v>
      </c>
      <c r="G58" s="21" t="s">
        <v>53</v>
      </c>
      <c r="H58" s="11">
        <v>5166</v>
      </c>
      <c r="I58" s="11">
        <v>1007</v>
      </c>
      <c r="J58" s="11">
        <v>423</v>
      </c>
      <c r="K58" s="13">
        <v>9876</v>
      </c>
      <c r="L58" s="16">
        <f t="shared" si="0"/>
        <v>0.19492837785520711</v>
      </c>
      <c r="M58" s="16">
        <f t="shared" si="1"/>
        <v>0.42005958291956308</v>
      </c>
      <c r="N58" s="17">
        <f t="shared" si="2"/>
        <v>15.067527308838134</v>
      </c>
      <c r="O58" s="17">
        <f t="shared" si="3"/>
        <v>35.869976359338061</v>
      </c>
      <c r="P58" s="16">
        <f t="shared" si="4"/>
        <v>7.7690732206861242</v>
      </c>
      <c r="Q58" s="16">
        <f t="shared" si="5"/>
        <v>0.65089303367824425</v>
      </c>
      <c r="R58" s="2" t="s">
        <v>138</v>
      </c>
      <c r="S58" s="21" t="s">
        <v>21</v>
      </c>
      <c r="T58" s="21" t="s">
        <v>27</v>
      </c>
      <c r="U58" s="8">
        <v>15173</v>
      </c>
      <c r="V58" s="11">
        <v>4</v>
      </c>
      <c r="W58" t="str">
        <f>IF(Table1[[#This Row],[Satisfaction Rating]]&lt;2, "Low", IF(Table1[[#This Row],[Satisfaction Rating]]&lt;4, "Medium", "High"))</f>
        <v>High</v>
      </c>
    </row>
    <row r="59" spans="1:23" ht="13" x14ac:dyDescent="0.15">
      <c r="A59" s="2" t="s">
        <v>139</v>
      </c>
      <c r="B59" s="23">
        <v>44994.891157407408</v>
      </c>
      <c r="C59" s="23">
        <v>45559.413472222222</v>
      </c>
      <c r="D59" s="23" t="str">
        <f>IF(Table1[[#This Row],[Duration of Campaign]]=0, "Ongoing","Completed")</f>
        <v>Completed</v>
      </c>
      <c r="E59" s="25">
        <f>Table1[[#This Row],[End Date]]-Table1[[#This Row],[Start Date]]</f>
        <v>564.52231481481431</v>
      </c>
      <c r="F59" s="8">
        <v>8366</v>
      </c>
      <c r="G59" s="21" t="s">
        <v>14</v>
      </c>
      <c r="H59" s="11">
        <v>15485</v>
      </c>
      <c r="I59" s="11">
        <v>1280</v>
      </c>
      <c r="J59" s="11">
        <v>74</v>
      </c>
      <c r="K59" s="13">
        <v>3220</v>
      </c>
      <c r="L59" s="16">
        <f t="shared" si="0"/>
        <v>8.2660639328382302E-2</v>
      </c>
      <c r="M59" s="16">
        <f t="shared" si="1"/>
        <v>5.7812500000000003E-2</v>
      </c>
      <c r="N59" s="17">
        <f t="shared" si="2"/>
        <v>4.34765625</v>
      </c>
      <c r="O59" s="17">
        <f t="shared" si="3"/>
        <v>75.202702702702709</v>
      </c>
      <c r="P59" s="16">
        <f t="shared" si="4"/>
        <v>0.66519244561319624</v>
      </c>
      <c r="Q59" s="16">
        <f t="shared" si="5"/>
        <v>0.57861635220125784</v>
      </c>
      <c r="R59" s="2" t="s">
        <v>140</v>
      </c>
      <c r="S59" s="21" t="s">
        <v>16</v>
      </c>
      <c r="T59" s="21" t="s">
        <v>27</v>
      </c>
      <c r="U59" s="8">
        <v>5565</v>
      </c>
      <c r="V59" s="11">
        <v>3</v>
      </c>
      <c r="W59" t="str">
        <f>IF(Table1[[#This Row],[Satisfaction Rating]]&lt;2, "Low", IF(Table1[[#This Row],[Satisfaction Rating]]&lt;4, "Medium", "High"))</f>
        <v>Medium</v>
      </c>
    </row>
    <row r="60" spans="1:23" ht="13" x14ac:dyDescent="0.15">
      <c r="A60" s="2" t="s">
        <v>141</v>
      </c>
      <c r="B60" s="23">
        <v>45434.965717592589</v>
      </c>
      <c r="C60" s="23">
        <v>45471.060844907406</v>
      </c>
      <c r="D60" s="23" t="str">
        <f>IF(Table1[[#This Row],[Duration of Campaign]]=0, "Ongoing","Completed")</f>
        <v>Completed</v>
      </c>
      <c r="E60" s="25">
        <f>Table1[[#This Row],[End Date]]-Table1[[#This Row],[Start Date]]</f>
        <v>36.095127314816636</v>
      </c>
      <c r="F60" s="8">
        <v>2672</v>
      </c>
      <c r="G60" s="21" t="s">
        <v>37</v>
      </c>
      <c r="H60" s="11">
        <v>11712</v>
      </c>
      <c r="I60" s="11">
        <v>724</v>
      </c>
      <c r="J60" s="11">
        <v>458</v>
      </c>
      <c r="K60" s="13">
        <v>11219</v>
      </c>
      <c r="L60" s="16">
        <f t="shared" si="0"/>
        <v>6.1816939890710382E-2</v>
      </c>
      <c r="M60" s="16">
        <f t="shared" si="1"/>
        <v>0.63259668508287292</v>
      </c>
      <c r="N60" s="17">
        <f t="shared" si="2"/>
        <v>18.933701657458563</v>
      </c>
      <c r="O60" s="17">
        <f t="shared" si="3"/>
        <v>29.930131004366814</v>
      </c>
      <c r="P60" s="16">
        <f t="shared" si="4"/>
        <v>5.1302395209580842</v>
      </c>
      <c r="Q60" s="16">
        <f t="shared" si="5"/>
        <v>0.8184271957980741</v>
      </c>
      <c r="R60" s="2" t="s">
        <v>142</v>
      </c>
      <c r="S60" s="21" t="s">
        <v>30</v>
      </c>
      <c r="T60" s="21" t="s">
        <v>27</v>
      </c>
      <c r="U60" s="8">
        <v>13708</v>
      </c>
      <c r="V60" s="11">
        <v>4</v>
      </c>
      <c r="W60" t="str">
        <f>IF(Table1[[#This Row],[Satisfaction Rating]]&lt;2, "Low", IF(Table1[[#This Row],[Satisfaction Rating]]&lt;4, "Medium", "High"))</f>
        <v>High</v>
      </c>
    </row>
    <row r="61" spans="1:23" ht="13" x14ac:dyDescent="0.15">
      <c r="A61" s="2" t="s">
        <v>143</v>
      </c>
      <c r="B61" s="23">
        <v>45470.526388888888</v>
      </c>
      <c r="C61" s="23">
        <v>45470.526388888888</v>
      </c>
      <c r="D61" s="23" t="str">
        <f>IF(Table1[[#This Row],[Duration of Campaign]]=0, "Ongoing","Completed")</f>
        <v>Ongoing</v>
      </c>
      <c r="E61" s="25">
        <f>Table1[[#This Row],[End Date]]-Table1[[#This Row],[Start Date]]</f>
        <v>0</v>
      </c>
      <c r="F61" s="8">
        <v>5638</v>
      </c>
      <c r="G61" s="21" t="s">
        <v>19</v>
      </c>
      <c r="H61" s="11">
        <v>1565</v>
      </c>
      <c r="I61" s="11">
        <v>756</v>
      </c>
      <c r="J61" s="11">
        <v>291</v>
      </c>
      <c r="K61" s="13">
        <v>8026</v>
      </c>
      <c r="L61" s="16">
        <f t="shared" si="0"/>
        <v>0.48306709265175718</v>
      </c>
      <c r="M61" s="16">
        <f t="shared" si="1"/>
        <v>0.38492063492063494</v>
      </c>
      <c r="N61" s="17">
        <f t="shared" si="2"/>
        <v>6.5886243386243386</v>
      </c>
      <c r="O61" s="17">
        <f t="shared" si="3"/>
        <v>17.116838487972508</v>
      </c>
      <c r="P61" s="16">
        <f t="shared" si="4"/>
        <v>0.88346931536005679</v>
      </c>
      <c r="Q61" s="16">
        <f t="shared" si="5"/>
        <v>1.6113230275045172</v>
      </c>
      <c r="R61" s="2" t="s">
        <v>144</v>
      </c>
      <c r="S61" s="21" t="s">
        <v>21</v>
      </c>
      <c r="T61" s="21" t="s">
        <v>45</v>
      </c>
      <c r="U61" s="8">
        <v>4981</v>
      </c>
      <c r="V61" s="11">
        <v>2</v>
      </c>
      <c r="W61" t="str">
        <f>IF(Table1[[#This Row],[Satisfaction Rating]]&lt;2, "Low", IF(Table1[[#This Row],[Satisfaction Rating]]&lt;4, "Medium", "High"))</f>
        <v>Medium</v>
      </c>
    </row>
    <row r="62" spans="1:23" ht="13" x14ac:dyDescent="0.15">
      <c r="A62" s="2" t="s">
        <v>145</v>
      </c>
      <c r="B62" s="23">
        <v>45228.540798611109</v>
      </c>
      <c r="C62" s="23">
        <v>45228.540798611109</v>
      </c>
      <c r="D62" s="23" t="str">
        <f>IF(Table1[[#This Row],[Duration of Campaign]]=0, "Ongoing","Completed")</f>
        <v>Ongoing</v>
      </c>
      <c r="E62" s="25">
        <f>Table1[[#This Row],[End Date]]-Table1[[#This Row],[Start Date]]</f>
        <v>0</v>
      </c>
      <c r="F62" s="8">
        <v>4977</v>
      </c>
      <c r="G62" s="21" t="s">
        <v>37</v>
      </c>
      <c r="H62" s="11">
        <v>4429</v>
      </c>
      <c r="I62" s="11">
        <v>1818</v>
      </c>
      <c r="J62" s="11">
        <v>18</v>
      </c>
      <c r="K62" s="13">
        <v>3835</v>
      </c>
      <c r="L62" s="16">
        <f t="shared" si="0"/>
        <v>0.41047640550914427</v>
      </c>
      <c r="M62" s="16">
        <f t="shared" si="1"/>
        <v>9.9009900990099011E-3</v>
      </c>
      <c r="N62" s="17">
        <f t="shared" si="2"/>
        <v>6.6386138613861387</v>
      </c>
      <c r="O62" s="17">
        <f t="shared" si="3"/>
        <v>670.5</v>
      </c>
      <c r="P62" s="16">
        <f t="shared" si="4"/>
        <v>2.4249547920433998</v>
      </c>
      <c r="Q62" s="16">
        <f t="shared" si="5"/>
        <v>0.31775623498218575</v>
      </c>
      <c r="R62" s="2" t="s">
        <v>146</v>
      </c>
      <c r="S62" s="21" t="s">
        <v>24</v>
      </c>
      <c r="T62" s="21" t="s">
        <v>17</v>
      </c>
      <c r="U62" s="8">
        <v>12069</v>
      </c>
      <c r="V62" s="11">
        <v>4</v>
      </c>
      <c r="W62" t="str">
        <f>IF(Table1[[#This Row],[Satisfaction Rating]]&lt;2, "Low", IF(Table1[[#This Row],[Satisfaction Rating]]&lt;4, "Medium", "High"))</f>
        <v>High</v>
      </c>
    </row>
    <row r="63" spans="1:23" ht="13" x14ac:dyDescent="0.15">
      <c r="A63" s="2" t="s">
        <v>147</v>
      </c>
      <c r="B63" s="23">
        <v>44987.653368055559</v>
      </c>
      <c r="C63" s="23">
        <v>45368.155775462961</v>
      </c>
      <c r="D63" s="23" t="str">
        <f>IF(Table1[[#This Row],[Duration of Campaign]]=0, "Ongoing","Completed")</f>
        <v>Completed</v>
      </c>
      <c r="E63" s="25">
        <f>Table1[[#This Row],[End Date]]-Table1[[#This Row],[Start Date]]</f>
        <v>380.50240740740264</v>
      </c>
      <c r="F63" s="8">
        <v>8332</v>
      </c>
      <c r="G63" s="21" t="s">
        <v>14</v>
      </c>
      <c r="H63" s="11">
        <v>2345</v>
      </c>
      <c r="I63" s="11">
        <v>1168</v>
      </c>
      <c r="J63" s="11">
        <v>495</v>
      </c>
      <c r="K63" s="13">
        <v>13522</v>
      </c>
      <c r="L63" s="16">
        <f t="shared" si="0"/>
        <v>0.49808102345415778</v>
      </c>
      <c r="M63" s="16">
        <f t="shared" si="1"/>
        <v>0.4238013698630137</v>
      </c>
      <c r="N63" s="17">
        <f t="shared" si="2"/>
        <v>7.8621575342465757</v>
      </c>
      <c r="O63" s="17">
        <f t="shared" si="3"/>
        <v>18.551515151515151</v>
      </c>
      <c r="P63" s="16">
        <f t="shared" si="4"/>
        <v>1.1021363418146903</v>
      </c>
      <c r="Q63" s="16">
        <f t="shared" si="5"/>
        <v>1.4725035391484265</v>
      </c>
      <c r="R63" s="2" t="s">
        <v>148</v>
      </c>
      <c r="S63" s="21" t="s">
        <v>35</v>
      </c>
      <c r="T63" s="21" t="s">
        <v>17</v>
      </c>
      <c r="U63" s="8">
        <v>9183</v>
      </c>
      <c r="V63" s="11">
        <v>5</v>
      </c>
      <c r="W63" t="str">
        <f>IF(Table1[[#This Row],[Satisfaction Rating]]&lt;2, "Low", IF(Table1[[#This Row],[Satisfaction Rating]]&lt;4, "Medium", "High"))</f>
        <v>High</v>
      </c>
    </row>
    <row r="64" spans="1:23" ht="13" x14ac:dyDescent="0.15">
      <c r="A64" s="2" t="s">
        <v>149</v>
      </c>
      <c r="B64" s="23">
        <v>45619.883043981485</v>
      </c>
      <c r="C64" s="23">
        <v>45619.883043981485</v>
      </c>
      <c r="D64" s="23" t="str">
        <f>IF(Table1[[#This Row],[Duration of Campaign]]=0, "Ongoing","Completed")</f>
        <v>Ongoing</v>
      </c>
      <c r="E64" s="25">
        <f>Table1[[#This Row],[End Date]]-Table1[[#This Row],[Start Date]]</f>
        <v>0</v>
      </c>
      <c r="F64" s="8">
        <v>4294</v>
      </c>
      <c r="G64" s="21" t="s">
        <v>14</v>
      </c>
      <c r="H64" s="11">
        <v>17009</v>
      </c>
      <c r="I64" s="11">
        <v>837</v>
      </c>
      <c r="J64" s="11">
        <v>119</v>
      </c>
      <c r="K64" s="13">
        <v>5063</v>
      </c>
      <c r="L64" s="16">
        <f t="shared" si="0"/>
        <v>4.9209242165912166E-2</v>
      </c>
      <c r="M64" s="16">
        <f t="shared" si="1"/>
        <v>0.14217443249701314</v>
      </c>
      <c r="N64" s="17">
        <f t="shared" si="2"/>
        <v>22.285543608124254</v>
      </c>
      <c r="O64" s="17">
        <f t="shared" si="3"/>
        <v>156.74789915966386</v>
      </c>
      <c r="P64" s="16">
        <f t="shared" si="4"/>
        <v>4.3439683278993941</v>
      </c>
      <c r="Q64" s="16">
        <f t="shared" si="5"/>
        <v>0.27143086902911062</v>
      </c>
      <c r="R64" s="2" t="s">
        <v>150</v>
      </c>
      <c r="S64" s="21" t="s">
        <v>16</v>
      </c>
      <c r="T64" s="21" t="s">
        <v>27</v>
      </c>
      <c r="U64" s="8">
        <v>18653</v>
      </c>
      <c r="V64" s="11">
        <v>2</v>
      </c>
      <c r="W64" t="str">
        <f>IF(Table1[[#This Row],[Satisfaction Rating]]&lt;2, "Low", IF(Table1[[#This Row],[Satisfaction Rating]]&lt;4, "Medium", "High"))</f>
        <v>Medium</v>
      </c>
    </row>
    <row r="65" spans="1:23" ht="13" x14ac:dyDescent="0.15">
      <c r="A65" s="2" t="s">
        <v>151</v>
      </c>
      <c r="B65" s="23">
        <v>45486.498854166668</v>
      </c>
      <c r="C65" s="23">
        <v>45544.031192129631</v>
      </c>
      <c r="D65" s="23" t="str">
        <f>IF(Table1[[#This Row],[Duration of Campaign]]=0, "Ongoing","Completed")</f>
        <v>Completed</v>
      </c>
      <c r="E65" s="25">
        <f>Table1[[#This Row],[End Date]]-Table1[[#This Row],[Start Date]]</f>
        <v>57.532337962962629</v>
      </c>
      <c r="F65" s="8">
        <v>3484</v>
      </c>
      <c r="G65" s="21" t="s">
        <v>53</v>
      </c>
      <c r="H65" s="11">
        <v>9889</v>
      </c>
      <c r="I65" s="11">
        <v>1893</v>
      </c>
      <c r="J65" s="11">
        <v>329</v>
      </c>
      <c r="K65" s="13">
        <v>12904</v>
      </c>
      <c r="L65" s="16">
        <f t="shared" si="0"/>
        <v>0.19142481545151177</v>
      </c>
      <c r="M65" s="16">
        <f t="shared" si="1"/>
        <v>0.17379820390913894</v>
      </c>
      <c r="N65" s="17">
        <f t="shared" si="2"/>
        <v>1.7913365029054411</v>
      </c>
      <c r="O65" s="17">
        <f t="shared" si="3"/>
        <v>10.306990881458967</v>
      </c>
      <c r="P65" s="16">
        <f t="shared" si="4"/>
        <v>0.97330654420206664</v>
      </c>
      <c r="Q65" s="16">
        <f t="shared" si="5"/>
        <v>3.8053671483338247</v>
      </c>
      <c r="R65" s="2" t="s">
        <v>152</v>
      </c>
      <c r="S65" s="21" t="s">
        <v>21</v>
      </c>
      <c r="T65" s="21" t="s">
        <v>45</v>
      </c>
      <c r="U65" s="8">
        <v>3391</v>
      </c>
      <c r="V65" s="11">
        <v>5</v>
      </c>
      <c r="W65" t="str">
        <f>IF(Table1[[#This Row],[Satisfaction Rating]]&lt;2, "Low", IF(Table1[[#This Row],[Satisfaction Rating]]&lt;4, "Medium", "High"))</f>
        <v>High</v>
      </c>
    </row>
    <row r="66" spans="1:23" ht="13" x14ac:dyDescent="0.15">
      <c r="A66" s="2" t="s">
        <v>153</v>
      </c>
      <c r="B66" s="23">
        <v>45282.487939814811</v>
      </c>
      <c r="C66" s="23">
        <v>45420.583703703705</v>
      </c>
      <c r="D66" s="23" t="str">
        <f>IF(Table1[[#This Row],[Duration of Campaign]]=0, "Ongoing","Completed")</f>
        <v>Completed</v>
      </c>
      <c r="E66" s="25">
        <f>Table1[[#This Row],[End Date]]-Table1[[#This Row],[Start Date]]</f>
        <v>138.095763888894</v>
      </c>
      <c r="F66" s="8">
        <v>7354</v>
      </c>
      <c r="G66" s="21" t="s">
        <v>14</v>
      </c>
      <c r="H66" s="11">
        <v>14296</v>
      </c>
      <c r="I66" s="11">
        <v>698</v>
      </c>
      <c r="J66" s="11">
        <v>222</v>
      </c>
      <c r="K66" s="13">
        <v>13779</v>
      </c>
      <c r="L66" s="16">
        <f t="shared" si="0"/>
        <v>4.8824846110800221E-2</v>
      </c>
      <c r="M66" s="16">
        <f t="shared" si="1"/>
        <v>0.31805157593123207</v>
      </c>
      <c r="N66" s="17">
        <f t="shared" si="2"/>
        <v>6.0802292263610314</v>
      </c>
      <c r="O66" s="17">
        <f t="shared" si="3"/>
        <v>19.117117117117118</v>
      </c>
      <c r="P66" s="16">
        <f t="shared" si="4"/>
        <v>0.57710089747076421</v>
      </c>
      <c r="Q66" s="16">
        <f t="shared" si="5"/>
        <v>3.2467012252591894</v>
      </c>
      <c r="R66" s="2" t="s">
        <v>154</v>
      </c>
      <c r="S66" s="21" t="s">
        <v>16</v>
      </c>
      <c r="T66" s="21" t="s">
        <v>45</v>
      </c>
      <c r="U66" s="8">
        <v>4244</v>
      </c>
      <c r="V66" s="11">
        <v>1</v>
      </c>
      <c r="W66" t="str">
        <f>IF(Table1[[#This Row],[Satisfaction Rating]]&lt;2, "Low", IF(Table1[[#This Row],[Satisfaction Rating]]&lt;4, "Medium", "High"))</f>
        <v>Low</v>
      </c>
    </row>
    <row r="67" spans="1:23" ht="13" x14ac:dyDescent="0.15">
      <c r="A67" s="2" t="s">
        <v>155</v>
      </c>
      <c r="B67" s="23">
        <v>45039.724386574075</v>
      </c>
      <c r="C67" s="23">
        <v>45289.40353009259</v>
      </c>
      <c r="D67" s="23" t="str">
        <f>IF(Table1[[#This Row],[Duration of Campaign]]=0, "Ongoing","Completed")</f>
        <v>Completed</v>
      </c>
      <c r="E67" s="25">
        <f>Table1[[#This Row],[End Date]]-Table1[[#This Row],[Start Date]]</f>
        <v>249.67914351851505</v>
      </c>
      <c r="F67" s="8">
        <v>9963</v>
      </c>
      <c r="G67" s="21" t="s">
        <v>14</v>
      </c>
      <c r="H67" s="11">
        <v>14218</v>
      </c>
      <c r="I67" s="11">
        <v>888</v>
      </c>
      <c r="J67" s="11">
        <v>82</v>
      </c>
      <c r="K67" s="13">
        <v>7338</v>
      </c>
      <c r="L67" s="16">
        <f t="shared" ref="L67:L130" si="6">I67/H67</f>
        <v>6.2456041637361091E-2</v>
      </c>
      <c r="M67" s="16">
        <f t="shared" ref="M67:M130" si="7">J67/I67</f>
        <v>9.2342342342342343E-2</v>
      </c>
      <c r="N67" s="17">
        <f t="shared" ref="N67:N130" si="8">U67/I67</f>
        <v>16.206081081081081</v>
      </c>
      <c r="O67" s="17">
        <f t="shared" ref="O67:O130" si="9">U67/J67</f>
        <v>175.5</v>
      </c>
      <c r="P67" s="16">
        <f t="shared" ref="P67:P130" si="10">U67/F67</f>
        <v>1.4444444444444444</v>
      </c>
      <c r="Q67" s="16">
        <f t="shared" ref="Q67:Q130" si="11">K67/U67</f>
        <v>0.50990202209714408</v>
      </c>
      <c r="R67" s="2" t="s">
        <v>156</v>
      </c>
      <c r="S67" s="21" t="s">
        <v>24</v>
      </c>
      <c r="T67" s="21" t="s">
        <v>45</v>
      </c>
      <c r="U67" s="8">
        <v>14391</v>
      </c>
      <c r="V67" s="11">
        <v>2</v>
      </c>
      <c r="W67" t="str">
        <f>IF(Table1[[#This Row],[Satisfaction Rating]]&lt;2, "Low", IF(Table1[[#This Row],[Satisfaction Rating]]&lt;4, "Medium", "High"))</f>
        <v>Medium</v>
      </c>
    </row>
    <row r="68" spans="1:23" ht="13" x14ac:dyDescent="0.15">
      <c r="A68" s="2" t="s">
        <v>157</v>
      </c>
      <c r="B68" s="23">
        <v>45168.764930555553</v>
      </c>
      <c r="C68" s="23">
        <v>45168.764930555553</v>
      </c>
      <c r="D68" s="23" t="str">
        <f>IF(Table1[[#This Row],[Duration of Campaign]]=0, "Ongoing","Completed")</f>
        <v>Ongoing</v>
      </c>
      <c r="E68" s="25">
        <f>Table1[[#This Row],[End Date]]-Table1[[#This Row],[Start Date]]</f>
        <v>0</v>
      </c>
      <c r="F68" s="8">
        <v>6144</v>
      </c>
      <c r="G68" s="21" t="s">
        <v>14</v>
      </c>
      <c r="H68" s="11">
        <v>16755</v>
      </c>
      <c r="I68" s="11">
        <v>143</v>
      </c>
      <c r="J68" s="11">
        <v>135</v>
      </c>
      <c r="K68" s="13">
        <v>4664</v>
      </c>
      <c r="L68" s="16">
        <f t="shared" si="6"/>
        <v>8.5347657415696804E-3</v>
      </c>
      <c r="M68" s="16">
        <f t="shared" si="7"/>
        <v>0.94405594405594406</v>
      </c>
      <c r="N68" s="17">
        <f t="shared" si="8"/>
        <v>88.055944055944053</v>
      </c>
      <c r="O68" s="17">
        <f t="shared" si="9"/>
        <v>93.274074074074079</v>
      </c>
      <c r="P68" s="16">
        <f t="shared" si="10"/>
        <v>2.0494791666666665</v>
      </c>
      <c r="Q68" s="16">
        <f t="shared" si="11"/>
        <v>0.37039390088945362</v>
      </c>
      <c r="R68" s="2" t="s">
        <v>158</v>
      </c>
      <c r="S68" s="21" t="s">
        <v>30</v>
      </c>
      <c r="T68" s="21" t="s">
        <v>45</v>
      </c>
      <c r="U68" s="8">
        <v>12592</v>
      </c>
      <c r="V68" s="11">
        <v>3</v>
      </c>
      <c r="W68" t="str">
        <f>IF(Table1[[#This Row],[Satisfaction Rating]]&lt;2, "Low", IF(Table1[[#This Row],[Satisfaction Rating]]&lt;4, "Medium", "High"))</f>
        <v>Medium</v>
      </c>
    </row>
    <row r="69" spans="1:23" ht="13" x14ac:dyDescent="0.15">
      <c r="A69" s="2" t="s">
        <v>159</v>
      </c>
      <c r="B69" s="23">
        <v>45503.797349537039</v>
      </c>
      <c r="C69" s="23">
        <v>45503.797349537039</v>
      </c>
      <c r="D69" s="23" t="str">
        <f>IF(Table1[[#This Row],[Duration of Campaign]]=0, "Ongoing","Completed")</f>
        <v>Ongoing</v>
      </c>
      <c r="E69" s="25">
        <f>Table1[[#This Row],[End Date]]-Table1[[#This Row],[Start Date]]</f>
        <v>0</v>
      </c>
      <c r="F69" s="8">
        <v>9854</v>
      </c>
      <c r="G69" s="21" t="s">
        <v>14</v>
      </c>
      <c r="H69" s="11">
        <v>18392</v>
      </c>
      <c r="I69" s="11">
        <v>1610</v>
      </c>
      <c r="J69" s="11">
        <v>314</v>
      </c>
      <c r="K69" s="13">
        <v>12249</v>
      </c>
      <c r="L69" s="16">
        <f t="shared" si="6"/>
        <v>8.7538060026098305E-2</v>
      </c>
      <c r="M69" s="16">
        <f t="shared" si="7"/>
        <v>0.19503105590062111</v>
      </c>
      <c r="N69" s="17">
        <f t="shared" si="8"/>
        <v>11.362732919254658</v>
      </c>
      <c r="O69" s="17">
        <f t="shared" si="9"/>
        <v>58.261146496815286</v>
      </c>
      <c r="P69" s="16">
        <f t="shared" si="10"/>
        <v>1.8565049725999594</v>
      </c>
      <c r="Q69" s="16">
        <f t="shared" si="11"/>
        <v>0.66956379140701872</v>
      </c>
      <c r="R69" s="2" t="s">
        <v>160</v>
      </c>
      <c r="S69" s="21" t="s">
        <v>30</v>
      </c>
      <c r="T69" s="21" t="s">
        <v>17</v>
      </c>
      <c r="U69" s="8">
        <v>18294</v>
      </c>
      <c r="V69" s="11">
        <v>4</v>
      </c>
      <c r="W69" t="str">
        <f>IF(Table1[[#This Row],[Satisfaction Rating]]&lt;2, "Low", IF(Table1[[#This Row],[Satisfaction Rating]]&lt;4, "Medium", "High"))</f>
        <v>High</v>
      </c>
    </row>
    <row r="70" spans="1:23" ht="13" x14ac:dyDescent="0.15">
      <c r="A70" s="2" t="s">
        <v>161</v>
      </c>
      <c r="B70" s="23">
        <v>45465.089062500003</v>
      </c>
      <c r="C70" s="23">
        <v>45465.089062500003</v>
      </c>
      <c r="D70" s="23" t="str">
        <f>IF(Table1[[#This Row],[Duration of Campaign]]=0, "Ongoing","Completed")</f>
        <v>Ongoing</v>
      </c>
      <c r="E70" s="25">
        <f>Table1[[#This Row],[End Date]]-Table1[[#This Row],[Start Date]]</f>
        <v>0</v>
      </c>
      <c r="F70" s="8">
        <v>4881</v>
      </c>
      <c r="G70" s="21" t="s">
        <v>14</v>
      </c>
      <c r="H70" s="11">
        <v>9572</v>
      </c>
      <c r="I70" s="11">
        <v>1399</v>
      </c>
      <c r="J70" s="11">
        <v>115</v>
      </c>
      <c r="K70" s="13">
        <v>4262</v>
      </c>
      <c r="L70" s="16">
        <f t="shared" si="6"/>
        <v>0.14615545340576683</v>
      </c>
      <c r="M70" s="16">
        <f t="shared" si="7"/>
        <v>8.2201572551822727E-2</v>
      </c>
      <c r="N70" s="17">
        <f t="shared" si="8"/>
        <v>8.521801286633309</v>
      </c>
      <c r="O70" s="17">
        <f t="shared" si="9"/>
        <v>103.66956521739131</v>
      </c>
      <c r="P70" s="16">
        <f t="shared" si="10"/>
        <v>2.4425322679778736</v>
      </c>
      <c r="Q70" s="16">
        <f t="shared" si="11"/>
        <v>0.3574903539674551</v>
      </c>
      <c r="R70" s="2" t="s">
        <v>162</v>
      </c>
      <c r="S70" s="21" t="s">
        <v>24</v>
      </c>
      <c r="T70" s="21" t="s">
        <v>45</v>
      </c>
      <c r="U70" s="8">
        <v>11922</v>
      </c>
      <c r="V70" s="11">
        <v>5</v>
      </c>
      <c r="W70" t="str">
        <f>IF(Table1[[#This Row],[Satisfaction Rating]]&lt;2, "Low", IF(Table1[[#This Row],[Satisfaction Rating]]&lt;4, "Medium", "High"))</f>
        <v>High</v>
      </c>
    </row>
    <row r="71" spans="1:23" ht="13" x14ac:dyDescent="0.15">
      <c r="A71" s="2" t="s">
        <v>163</v>
      </c>
      <c r="B71" s="23">
        <v>45625.009502314817</v>
      </c>
      <c r="C71" s="23">
        <v>45625.009502314817</v>
      </c>
      <c r="D71" s="23" t="str">
        <f>IF(Table1[[#This Row],[Duration of Campaign]]=0, "Ongoing","Completed")</f>
        <v>Ongoing</v>
      </c>
      <c r="E71" s="25">
        <f>Table1[[#This Row],[End Date]]-Table1[[#This Row],[Start Date]]</f>
        <v>0</v>
      </c>
      <c r="F71" s="8">
        <v>3918</v>
      </c>
      <c r="G71" s="21" t="s">
        <v>19</v>
      </c>
      <c r="H71" s="11">
        <v>5586</v>
      </c>
      <c r="I71" s="11">
        <v>1151</v>
      </c>
      <c r="J71" s="11">
        <v>102</v>
      </c>
      <c r="K71" s="13">
        <v>1404</v>
      </c>
      <c r="L71" s="16">
        <f t="shared" si="6"/>
        <v>0.20605084138918725</v>
      </c>
      <c r="M71" s="16">
        <f t="shared" si="7"/>
        <v>8.8618592528236312E-2</v>
      </c>
      <c r="N71" s="17">
        <f t="shared" si="8"/>
        <v>11.280625543006082</v>
      </c>
      <c r="O71" s="17">
        <f t="shared" si="9"/>
        <v>127.29411764705883</v>
      </c>
      <c r="P71" s="16">
        <f t="shared" si="10"/>
        <v>3.313935681470138</v>
      </c>
      <c r="Q71" s="16">
        <f t="shared" si="11"/>
        <v>0.10813308687615526</v>
      </c>
      <c r="R71" s="2" t="s">
        <v>164</v>
      </c>
      <c r="S71" s="21" t="s">
        <v>21</v>
      </c>
      <c r="T71" s="21" t="s">
        <v>17</v>
      </c>
      <c r="U71" s="8">
        <v>12984</v>
      </c>
      <c r="V71" s="11">
        <v>2</v>
      </c>
      <c r="W71" t="str">
        <f>IF(Table1[[#This Row],[Satisfaction Rating]]&lt;2, "Low", IF(Table1[[#This Row],[Satisfaction Rating]]&lt;4, "Medium", "High"))</f>
        <v>Medium</v>
      </c>
    </row>
    <row r="72" spans="1:23" ht="13" x14ac:dyDescent="0.15">
      <c r="A72" s="2" t="s">
        <v>165</v>
      </c>
      <c r="B72" s="23">
        <v>45635.661840277775</v>
      </c>
      <c r="C72" s="23">
        <v>45635.661840277775</v>
      </c>
      <c r="D72" s="23" t="str">
        <f>IF(Table1[[#This Row],[Duration of Campaign]]=0, "Ongoing","Completed")</f>
        <v>Ongoing</v>
      </c>
      <c r="E72" s="25">
        <f>Table1[[#This Row],[End Date]]-Table1[[#This Row],[Start Date]]</f>
        <v>0</v>
      </c>
      <c r="F72" s="8">
        <v>3791</v>
      </c>
      <c r="G72" s="21" t="s">
        <v>37</v>
      </c>
      <c r="H72" s="11">
        <v>14243</v>
      </c>
      <c r="I72" s="11">
        <v>1190</v>
      </c>
      <c r="J72" s="11">
        <v>199</v>
      </c>
      <c r="K72" s="13">
        <v>8666</v>
      </c>
      <c r="L72" s="16">
        <f t="shared" si="6"/>
        <v>8.3549813943691639E-2</v>
      </c>
      <c r="M72" s="16">
        <f t="shared" si="7"/>
        <v>0.16722689075630251</v>
      </c>
      <c r="N72" s="17">
        <f t="shared" si="8"/>
        <v>16.604201680672269</v>
      </c>
      <c r="O72" s="17">
        <f t="shared" si="9"/>
        <v>99.291457286432163</v>
      </c>
      <c r="P72" s="16">
        <f t="shared" si="10"/>
        <v>5.2120812450540752</v>
      </c>
      <c r="Q72" s="16">
        <f t="shared" si="11"/>
        <v>0.43858494863100361</v>
      </c>
      <c r="R72" s="2" t="s">
        <v>166</v>
      </c>
      <c r="S72" s="21" t="s">
        <v>24</v>
      </c>
      <c r="T72" s="21" t="s">
        <v>45</v>
      </c>
      <c r="U72" s="8">
        <v>19759</v>
      </c>
      <c r="V72" s="11">
        <v>4</v>
      </c>
      <c r="W72" t="str">
        <f>IF(Table1[[#This Row],[Satisfaction Rating]]&lt;2, "Low", IF(Table1[[#This Row],[Satisfaction Rating]]&lt;4, "Medium", "High"))</f>
        <v>High</v>
      </c>
    </row>
    <row r="73" spans="1:23" ht="13" x14ac:dyDescent="0.15">
      <c r="A73" s="2" t="s">
        <v>167</v>
      </c>
      <c r="B73" s="23">
        <v>45368.744675925926</v>
      </c>
      <c r="C73" s="23">
        <v>45368.744675925926</v>
      </c>
      <c r="D73" s="23" t="str">
        <f>IF(Table1[[#This Row],[Duration of Campaign]]=0, "Ongoing","Completed")</f>
        <v>Ongoing</v>
      </c>
      <c r="E73" s="25">
        <f>Table1[[#This Row],[End Date]]-Table1[[#This Row],[Start Date]]</f>
        <v>0</v>
      </c>
      <c r="F73" s="8">
        <v>3584</v>
      </c>
      <c r="G73" s="21" t="s">
        <v>37</v>
      </c>
      <c r="H73" s="11">
        <v>5731</v>
      </c>
      <c r="I73" s="11">
        <v>476</v>
      </c>
      <c r="J73" s="11">
        <v>387</v>
      </c>
      <c r="K73" s="13">
        <v>5937</v>
      </c>
      <c r="L73" s="16">
        <f t="shared" si="6"/>
        <v>8.3057058105042755E-2</v>
      </c>
      <c r="M73" s="16">
        <f t="shared" si="7"/>
        <v>0.81302521008403361</v>
      </c>
      <c r="N73" s="17">
        <f t="shared" si="8"/>
        <v>4.3046218487394956</v>
      </c>
      <c r="O73" s="17">
        <f t="shared" si="9"/>
        <v>5.2945736434108523</v>
      </c>
      <c r="P73" s="16">
        <f t="shared" si="10"/>
        <v>0.5717075892857143</v>
      </c>
      <c r="Q73" s="16">
        <f t="shared" si="11"/>
        <v>2.8975109809663251</v>
      </c>
      <c r="R73" s="2" t="s">
        <v>168</v>
      </c>
      <c r="S73" s="21" t="s">
        <v>30</v>
      </c>
      <c r="T73" s="21" t="s">
        <v>17</v>
      </c>
      <c r="U73" s="8">
        <v>2049</v>
      </c>
      <c r="V73" s="11">
        <v>5</v>
      </c>
      <c r="W73" t="str">
        <f>IF(Table1[[#This Row],[Satisfaction Rating]]&lt;2, "Low", IF(Table1[[#This Row],[Satisfaction Rating]]&lt;4, "Medium", "High"))</f>
        <v>High</v>
      </c>
    </row>
    <row r="74" spans="1:23" ht="13" x14ac:dyDescent="0.15">
      <c r="A74" s="2" t="s">
        <v>169</v>
      </c>
      <c r="B74" s="23">
        <v>45333.020972222221</v>
      </c>
      <c r="C74" s="23">
        <v>45333.020972222221</v>
      </c>
      <c r="D74" s="23" t="str">
        <f>IF(Table1[[#This Row],[Duration of Campaign]]=0, "Ongoing","Completed")</f>
        <v>Ongoing</v>
      </c>
      <c r="E74" s="25">
        <f>Table1[[#This Row],[End Date]]-Table1[[#This Row],[Start Date]]</f>
        <v>0</v>
      </c>
      <c r="F74" s="8">
        <v>1613</v>
      </c>
      <c r="G74" s="21" t="s">
        <v>19</v>
      </c>
      <c r="H74" s="11">
        <v>11944</v>
      </c>
      <c r="I74" s="11">
        <v>667</v>
      </c>
      <c r="J74" s="11">
        <v>217</v>
      </c>
      <c r="K74" s="13">
        <v>10203</v>
      </c>
      <c r="L74" s="16">
        <f t="shared" si="6"/>
        <v>5.5843938379102481E-2</v>
      </c>
      <c r="M74" s="16">
        <f t="shared" si="7"/>
        <v>0.32533733133433285</v>
      </c>
      <c r="N74" s="17">
        <f t="shared" si="8"/>
        <v>28.923538230884557</v>
      </c>
      <c r="O74" s="17">
        <f t="shared" si="9"/>
        <v>88.903225806451616</v>
      </c>
      <c r="P74" s="16">
        <f t="shared" si="10"/>
        <v>11.960322380657161</v>
      </c>
      <c r="Q74" s="16">
        <f t="shared" si="11"/>
        <v>0.52887207132490155</v>
      </c>
      <c r="R74" s="2" t="s">
        <v>170</v>
      </c>
      <c r="S74" s="21" t="s">
        <v>21</v>
      </c>
      <c r="T74" s="21" t="s">
        <v>17</v>
      </c>
      <c r="U74" s="8">
        <v>19292</v>
      </c>
      <c r="V74" s="11">
        <v>3</v>
      </c>
      <c r="W74" t="str">
        <f>IF(Table1[[#This Row],[Satisfaction Rating]]&lt;2, "Low", IF(Table1[[#This Row],[Satisfaction Rating]]&lt;4, "Medium", "High"))</f>
        <v>Medium</v>
      </c>
    </row>
    <row r="75" spans="1:23" ht="13" x14ac:dyDescent="0.15">
      <c r="A75" s="2" t="s">
        <v>171</v>
      </c>
      <c r="B75" s="23">
        <v>45299.36986111111</v>
      </c>
      <c r="C75" s="23">
        <v>45471.091990740744</v>
      </c>
      <c r="D75" s="23" t="str">
        <f>IF(Table1[[#This Row],[Duration of Campaign]]=0, "Ongoing","Completed")</f>
        <v>Completed</v>
      </c>
      <c r="E75" s="25">
        <f>Table1[[#This Row],[End Date]]-Table1[[#This Row],[Start Date]]</f>
        <v>171.72212962963386</v>
      </c>
      <c r="F75" s="8">
        <v>6972</v>
      </c>
      <c r="G75" s="21" t="s">
        <v>53</v>
      </c>
      <c r="H75" s="11">
        <v>16890</v>
      </c>
      <c r="I75" s="11">
        <v>174</v>
      </c>
      <c r="J75" s="11">
        <v>252</v>
      </c>
      <c r="K75" s="13">
        <v>8176</v>
      </c>
      <c r="L75" s="16">
        <f t="shared" si="6"/>
        <v>1.0301953818827708E-2</v>
      </c>
      <c r="M75" s="16">
        <f t="shared" si="7"/>
        <v>1.4482758620689655</v>
      </c>
      <c r="N75" s="17">
        <f t="shared" si="8"/>
        <v>74.281609195402297</v>
      </c>
      <c r="O75" s="17">
        <f t="shared" si="9"/>
        <v>51.289682539682538</v>
      </c>
      <c r="P75" s="16">
        <f t="shared" si="10"/>
        <v>1.8538439472174413</v>
      </c>
      <c r="Q75" s="16">
        <f t="shared" si="11"/>
        <v>0.63257253384912959</v>
      </c>
      <c r="R75" s="2" t="s">
        <v>172</v>
      </c>
      <c r="S75" s="21" t="s">
        <v>35</v>
      </c>
      <c r="T75" s="21" t="s">
        <v>45</v>
      </c>
      <c r="U75" s="8">
        <v>12925</v>
      </c>
      <c r="V75" s="11">
        <v>4</v>
      </c>
      <c r="W75" t="str">
        <f>IF(Table1[[#This Row],[Satisfaction Rating]]&lt;2, "Low", IF(Table1[[#This Row],[Satisfaction Rating]]&lt;4, "Medium", "High"))</f>
        <v>High</v>
      </c>
    </row>
    <row r="76" spans="1:23" ht="13" x14ac:dyDescent="0.15">
      <c r="A76" s="2" t="s">
        <v>173</v>
      </c>
      <c r="B76" s="23">
        <v>45354.642175925925</v>
      </c>
      <c r="C76" s="23">
        <v>45595.767337962963</v>
      </c>
      <c r="D76" s="23" t="str">
        <f>IF(Table1[[#This Row],[Duration of Campaign]]=0, "Ongoing","Completed")</f>
        <v>Completed</v>
      </c>
      <c r="E76" s="25">
        <f>Table1[[#This Row],[End Date]]-Table1[[#This Row],[Start Date]]</f>
        <v>241.12516203703854</v>
      </c>
      <c r="F76" s="8">
        <v>6557</v>
      </c>
      <c r="G76" s="21" t="s">
        <v>53</v>
      </c>
      <c r="H76" s="11">
        <v>11062</v>
      </c>
      <c r="I76" s="11">
        <v>233</v>
      </c>
      <c r="J76" s="11">
        <v>212</v>
      </c>
      <c r="K76" s="13">
        <v>8987</v>
      </c>
      <c r="L76" s="16">
        <f t="shared" si="6"/>
        <v>2.1063098897125293E-2</v>
      </c>
      <c r="M76" s="16">
        <f t="shared" si="7"/>
        <v>0.90987124463519309</v>
      </c>
      <c r="N76" s="17">
        <f t="shared" si="8"/>
        <v>38.480686695278969</v>
      </c>
      <c r="O76" s="17">
        <f t="shared" si="9"/>
        <v>42.29245283018868</v>
      </c>
      <c r="P76" s="16">
        <f t="shared" si="10"/>
        <v>1.3673936251334451</v>
      </c>
      <c r="Q76" s="16">
        <f t="shared" si="11"/>
        <v>1.0023421815748383</v>
      </c>
      <c r="R76" s="2" t="s">
        <v>174</v>
      </c>
      <c r="S76" s="21" t="s">
        <v>21</v>
      </c>
      <c r="T76" s="21" t="s">
        <v>17</v>
      </c>
      <c r="U76" s="8">
        <v>8966</v>
      </c>
      <c r="V76" s="11">
        <v>5</v>
      </c>
      <c r="W76" t="str">
        <f>IF(Table1[[#This Row],[Satisfaction Rating]]&lt;2, "Low", IF(Table1[[#This Row],[Satisfaction Rating]]&lt;4, "Medium", "High"))</f>
        <v>High</v>
      </c>
    </row>
    <row r="77" spans="1:23" ht="13" x14ac:dyDescent="0.15">
      <c r="A77" s="2" t="s">
        <v>175</v>
      </c>
      <c r="B77" s="23">
        <v>45545.160983796297</v>
      </c>
      <c r="C77" s="23">
        <v>45545.160983796297</v>
      </c>
      <c r="D77" s="23" t="str">
        <f>IF(Table1[[#This Row],[Duration of Campaign]]=0, "Ongoing","Completed")</f>
        <v>Ongoing</v>
      </c>
      <c r="E77" s="25">
        <f>Table1[[#This Row],[End Date]]-Table1[[#This Row],[Start Date]]</f>
        <v>0</v>
      </c>
      <c r="F77" s="8">
        <v>4429</v>
      </c>
      <c r="G77" s="21" t="s">
        <v>37</v>
      </c>
      <c r="H77" s="11">
        <v>18797</v>
      </c>
      <c r="I77" s="11">
        <v>1440</v>
      </c>
      <c r="J77" s="11">
        <v>95</v>
      </c>
      <c r="K77" s="13">
        <v>10494</v>
      </c>
      <c r="L77" s="16">
        <f t="shared" si="6"/>
        <v>7.6607969356812258E-2</v>
      </c>
      <c r="M77" s="16">
        <f t="shared" si="7"/>
        <v>6.5972222222222224E-2</v>
      </c>
      <c r="N77" s="17">
        <f t="shared" si="8"/>
        <v>9.1416666666666675</v>
      </c>
      <c r="O77" s="17">
        <f t="shared" si="9"/>
        <v>138.56842105263158</v>
      </c>
      <c r="P77" s="16">
        <f t="shared" si="10"/>
        <v>2.9722284940167079</v>
      </c>
      <c r="Q77" s="16">
        <f t="shared" si="11"/>
        <v>0.79717411121239745</v>
      </c>
      <c r="R77" s="2" t="s">
        <v>176</v>
      </c>
      <c r="S77" s="21" t="s">
        <v>30</v>
      </c>
      <c r="T77" s="21" t="s">
        <v>45</v>
      </c>
      <c r="U77" s="8">
        <v>13164</v>
      </c>
      <c r="V77" s="11">
        <v>5</v>
      </c>
      <c r="W77" t="str">
        <f>IF(Table1[[#This Row],[Satisfaction Rating]]&lt;2, "Low", IF(Table1[[#This Row],[Satisfaction Rating]]&lt;4, "Medium", "High"))</f>
        <v>High</v>
      </c>
    </row>
    <row r="78" spans="1:23" ht="13" x14ac:dyDescent="0.15">
      <c r="A78" s="2" t="s">
        <v>177</v>
      </c>
      <c r="B78" s="23">
        <v>45433.681956018518</v>
      </c>
      <c r="C78" s="23">
        <v>45433.681956018518</v>
      </c>
      <c r="D78" s="23" t="str">
        <f>IF(Table1[[#This Row],[Duration of Campaign]]=0, "Ongoing","Completed")</f>
        <v>Ongoing</v>
      </c>
      <c r="E78" s="25">
        <f>Table1[[#This Row],[End Date]]-Table1[[#This Row],[Start Date]]</f>
        <v>0</v>
      </c>
      <c r="F78" s="8">
        <v>2400</v>
      </c>
      <c r="G78" s="21" t="s">
        <v>19</v>
      </c>
      <c r="H78" s="11">
        <v>2699</v>
      </c>
      <c r="I78" s="11">
        <v>1542</v>
      </c>
      <c r="J78" s="11">
        <v>306</v>
      </c>
      <c r="K78" s="13">
        <v>14392</v>
      </c>
      <c r="L78" s="16">
        <f t="shared" si="6"/>
        <v>0.57132271211559837</v>
      </c>
      <c r="M78" s="16">
        <f t="shared" si="7"/>
        <v>0.19844357976653695</v>
      </c>
      <c r="N78" s="17">
        <f t="shared" si="8"/>
        <v>9.1057068741893641</v>
      </c>
      <c r="O78" s="17">
        <f t="shared" si="9"/>
        <v>45.885620915032682</v>
      </c>
      <c r="P78" s="16">
        <f t="shared" si="10"/>
        <v>5.8504166666666668</v>
      </c>
      <c r="Q78" s="16">
        <f t="shared" si="11"/>
        <v>1.0249982195000356</v>
      </c>
      <c r="R78" s="2" t="s">
        <v>178</v>
      </c>
      <c r="S78" s="21" t="s">
        <v>24</v>
      </c>
      <c r="T78" s="21" t="s">
        <v>17</v>
      </c>
      <c r="U78" s="8">
        <v>14041</v>
      </c>
      <c r="V78" s="11">
        <v>2</v>
      </c>
      <c r="W78" t="str">
        <f>IF(Table1[[#This Row],[Satisfaction Rating]]&lt;2, "Low", IF(Table1[[#This Row],[Satisfaction Rating]]&lt;4, "Medium", "High"))</f>
        <v>Medium</v>
      </c>
    </row>
    <row r="79" spans="1:23" ht="13" x14ac:dyDescent="0.15">
      <c r="A79" s="2" t="s">
        <v>179</v>
      </c>
      <c r="B79" s="23">
        <v>45517.480729166666</v>
      </c>
      <c r="C79" s="23">
        <v>45517.480729166666</v>
      </c>
      <c r="D79" s="23" t="str">
        <f>IF(Table1[[#This Row],[Duration of Campaign]]=0, "Ongoing","Completed")</f>
        <v>Ongoing</v>
      </c>
      <c r="E79" s="25">
        <f>Table1[[#This Row],[End Date]]-Table1[[#This Row],[Start Date]]</f>
        <v>0</v>
      </c>
      <c r="F79" s="8">
        <v>3565</v>
      </c>
      <c r="G79" s="21" t="s">
        <v>53</v>
      </c>
      <c r="H79" s="11">
        <v>7034</v>
      </c>
      <c r="I79" s="11">
        <v>434</v>
      </c>
      <c r="J79" s="11">
        <v>255</v>
      </c>
      <c r="K79" s="13">
        <v>6390</v>
      </c>
      <c r="L79" s="16">
        <f t="shared" si="6"/>
        <v>6.1700312766562411E-2</v>
      </c>
      <c r="M79" s="16">
        <f t="shared" si="7"/>
        <v>0.5875576036866359</v>
      </c>
      <c r="N79" s="17">
        <f t="shared" si="8"/>
        <v>26.875576036866359</v>
      </c>
      <c r="O79" s="17">
        <f t="shared" si="9"/>
        <v>45.741176470588236</v>
      </c>
      <c r="P79" s="16">
        <f t="shared" si="10"/>
        <v>3.2718092566619914</v>
      </c>
      <c r="Q79" s="16">
        <f t="shared" si="11"/>
        <v>0.5478395061728395</v>
      </c>
      <c r="R79" s="2" t="s">
        <v>180</v>
      </c>
      <c r="S79" s="21" t="s">
        <v>30</v>
      </c>
      <c r="T79" s="21" t="s">
        <v>27</v>
      </c>
      <c r="U79" s="8">
        <v>11664</v>
      </c>
      <c r="V79" s="11">
        <v>4</v>
      </c>
      <c r="W79" t="str">
        <f>IF(Table1[[#This Row],[Satisfaction Rating]]&lt;2, "Low", IF(Table1[[#This Row],[Satisfaction Rating]]&lt;4, "Medium", "High"))</f>
        <v>High</v>
      </c>
    </row>
    <row r="80" spans="1:23" ht="13" x14ac:dyDescent="0.15">
      <c r="A80" s="2" t="s">
        <v>181</v>
      </c>
      <c r="B80" s="23">
        <v>45514.580497685187</v>
      </c>
      <c r="C80" s="23">
        <v>45548.584479166668</v>
      </c>
      <c r="D80" s="23" t="str">
        <f>IF(Table1[[#This Row],[Duration of Campaign]]=0, "Ongoing","Completed")</f>
        <v>Completed</v>
      </c>
      <c r="E80" s="25">
        <f>Table1[[#This Row],[End Date]]-Table1[[#This Row],[Start Date]]</f>
        <v>34.003981481480878</v>
      </c>
      <c r="F80" s="8">
        <v>3316</v>
      </c>
      <c r="G80" s="21" t="s">
        <v>37</v>
      </c>
      <c r="H80" s="11">
        <v>14750</v>
      </c>
      <c r="I80" s="11">
        <v>1722</v>
      </c>
      <c r="J80" s="11">
        <v>231</v>
      </c>
      <c r="K80" s="13">
        <v>1438</v>
      </c>
      <c r="L80" s="16">
        <f t="shared" si="6"/>
        <v>0.1167457627118644</v>
      </c>
      <c r="M80" s="16">
        <f t="shared" si="7"/>
        <v>0.13414634146341464</v>
      </c>
      <c r="N80" s="17">
        <f t="shared" si="8"/>
        <v>9.0969802555168418</v>
      </c>
      <c r="O80" s="17">
        <f t="shared" si="9"/>
        <v>67.813852813852819</v>
      </c>
      <c r="P80" s="16">
        <f t="shared" si="10"/>
        <v>4.7240651387213513</v>
      </c>
      <c r="Q80" s="16">
        <f t="shared" si="11"/>
        <v>9.1796999680817115E-2</v>
      </c>
      <c r="R80" s="2" t="s">
        <v>182</v>
      </c>
      <c r="S80" s="21" t="s">
        <v>30</v>
      </c>
      <c r="T80" s="21" t="s">
        <v>45</v>
      </c>
      <c r="U80" s="8">
        <v>15665</v>
      </c>
      <c r="V80" s="11">
        <v>4</v>
      </c>
      <c r="W80" t="str">
        <f>IF(Table1[[#This Row],[Satisfaction Rating]]&lt;2, "Low", IF(Table1[[#This Row],[Satisfaction Rating]]&lt;4, "Medium", "High"))</f>
        <v>High</v>
      </c>
    </row>
    <row r="81" spans="1:23" ht="13" x14ac:dyDescent="0.15">
      <c r="A81" s="2" t="s">
        <v>183</v>
      </c>
      <c r="B81" s="23">
        <v>45452.251550925925</v>
      </c>
      <c r="C81" s="23">
        <v>45452.251550925925</v>
      </c>
      <c r="D81" s="23" t="str">
        <f>IF(Table1[[#This Row],[Duration of Campaign]]=0, "Ongoing","Completed")</f>
        <v>Ongoing</v>
      </c>
      <c r="E81" s="25">
        <f>Table1[[#This Row],[End Date]]-Table1[[#This Row],[Start Date]]</f>
        <v>0</v>
      </c>
      <c r="F81" s="8">
        <v>9801</v>
      </c>
      <c r="G81" s="21" t="s">
        <v>37</v>
      </c>
      <c r="H81" s="11">
        <v>12755</v>
      </c>
      <c r="I81" s="11">
        <v>645</v>
      </c>
      <c r="J81" s="11">
        <v>54</v>
      </c>
      <c r="K81" s="13">
        <v>4937</v>
      </c>
      <c r="L81" s="16">
        <f t="shared" si="6"/>
        <v>5.0568404547236379E-2</v>
      </c>
      <c r="M81" s="16">
        <f t="shared" si="7"/>
        <v>8.3720930232558138E-2</v>
      </c>
      <c r="N81" s="17">
        <f t="shared" si="8"/>
        <v>5.6930232558139533</v>
      </c>
      <c r="O81" s="17">
        <f t="shared" si="9"/>
        <v>68</v>
      </c>
      <c r="P81" s="16">
        <f t="shared" si="10"/>
        <v>0.37465564738292012</v>
      </c>
      <c r="Q81" s="16">
        <f t="shared" si="11"/>
        <v>1.3444989106753813</v>
      </c>
      <c r="R81" s="2" t="s">
        <v>184</v>
      </c>
      <c r="S81" s="21" t="s">
        <v>16</v>
      </c>
      <c r="T81" s="21" t="s">
        <v>27</v>
      </c>
      <c r="U81" s="8">
        <v>3672</v>
      </c>
      <c r="V81" s="11">
        <v>2</v>
      </c>
      <c r="W81" t="str">
        <f>IF(Table1[[#This Row],[Satisfaction Rating]]&lt;2, "Low", IF(Table1[[#This Row],[Satisfaction Rating]]&lt;4, "Medium", "High"))</f>
        <v>Medium</v>
      </c>
    </row>
    <row r="82" spans="1:23" ht="13" x14ac:dyDescent="0.15">
      <c r="A82" s="2" t="s">
        <v>185</v>
      </c>
      <c r="B82" s="23">
        <v>45513.054722222223</v>
      </c>
      <c r="C82" s="23">
        <v>45513.054722222223</v>
      </c>
      <c r="D82" s="23" t="str">
        <f>IF(Table1[[#This Row],[Duration of Campaign]]=0, "Ongoing","Completed")</f>
        <v>Ongoing</v>
      </c>
      <c r="E82" s="25">
        <f>Table1[[#This Row],[End Date]]-Table1[[#This Row],[Start Date]]</f>
        <v>0</v>
      </c>
      <c r="F82" s="8">
        <v>7863</v>
      </c>
      <c r="G82" s="21" t="s">
        <v>37</v>
      </c>
      <c r="H82" s="11">
        <v>17622</v>
      </c>
      <c r="I82" s="11">
        <v>550</v>
      </c>
      <c r="J82" s="11">
        <v>446</v>
      </c>
      <c r="K82" s="13">
        <v>7468</v>
      </c>
      <c r="L82" s="16">
        <f t="shared" si="6"/>
        <v>3.1210986267166042E-2</v>
      </c>
      <c r="M82" s="16">
        <f t="shared" si="7"/>
        <v>0.81090909090909091</v>
      </c>
      <c r="N82" s="17">
        <f t="shared" si="8"/>
        <v>31.098181818181818</v>
      </c>
      <c r="O82" s="17">
        <f t="shared" si="9"/>
        <v>38.349775784753362</v>
      </c>
      <c r="P82" s="16">
        <f t="shared" si="10"/>
        <v>2.1752511763957778</v>
      </c>
      <c r="Q82" s="16">
        <f t="shared" si="11"/>
        <v>0.43662301216089805</v>
      </c>
      <c r="R82" s="2" t="s">
        <v>186</v>
      </c>
      <c r="S82" s="21" t="s">
        <v>16</v>
      </c>
      <c r="T82" s="21" t="s">
        <v>45</v>
      </c>
      <c r="U82" s="8">
        <v>17104</v>
      </c>
      <c r="V82" s="11">
        <v>1</v>
      </c>
      <c r="W82" t="str">
        <f>IF(Table1[[#This Row],[Satisfaction Rating]]&lt;2, "Low", IF(Table1[[#This Row],[Satisfaction Rating]]&lt;4, "Medium", "High"))</f>
        <v>Low</v>
      </c>
    </row>
    <row r="83" spans="1:23" ht="13" x14ac:dyDescent="0.15">
      <c r="A83" s="2" t="s">
        <v>187</v>
      </c>
      <c r="B83" s="23">
        <v>45273.726111111115</v>
      </c>
      <c r="C83" s="23">
        <v>45273.726111111115</v>
      </c>
      <c r="D83" s="23" t="str">
        <f>IF(Table1[[#This Row],[Duration of Campaign]]=0, "Ongoing","Completed")</f>
        <v>Ongoing</v>
      </c>
      <c r="E83" s="25">
        <f>Table1[[#This Row],[End Date]]-Table1[[#This Row],[Start Date]]</f>
        <v>0</v>
      </c>
      <c r="F83" s="8">
        <v>6697</v>
      </c>
      <c r="G83" s="21" t="s">
        <v>37</v>
      </c>
      <c r="H83" s="11">
        <v>15673</v>
      </c>
      <c r="I83" s="11">
        <v>828</v>
      </c>
      <c r="J83" s="11">
        <v>21</v>
      </c>
      <c r="K83" s="13">
        <v>9841</v>
      </c>
      <c r="L83" s="16">
        <f t="shared" si="6"/>
        <v>5.2829707139666941E-2</v>
      </c>
      <c r="M83" s="16">
        <f t="shared" si="7"/>
        <v>2.5362318840579712E-2</v>
      </c>
      <c r="N83" s="17">
        <f t="shared" si="8"/>
        <v>7.7463768115942031</v>
      </c>
      <c r="O83" s="17">
        <f t="shared" si="9"/>
        <v>305.42857142857144</v>
      </c>
      <c r="P83" s="16">
        <f t="shared" si="10"/>
        <v>0.95774227265939971</v>
      </c>
      <c r="Q83" s="16">
        <f t="shared" si="11"/>
        <v>1.5342999688182102</v>
      </c>
      <c r="R83" s="2" t="s">
        <v>188</v>
      </c>
      <c r="S83" s="21" t="s">
        <v>21</v>
      </c>
      <c r="T83" s="21" t="s">
        <v>17</v>
      </c>
      <c r="U83" s="8">
        <v>6414</v>
      </c>
      <c r="V83" s="11">
        <v>5</v>
      </c>
      <c r="W83" t="str">
        <f>IF(Table1[[#This Row],[Satisfaction Rating]]&lt;2, "Low", IF(Table1[[#This Row],[Satisfaction Rating]]&lt;4, "Medium", "High"))</f>
        <v>High</v>
      </c>
    </row>
    <row r="84" spans="1:23" ht="13" x14ac:dyDescent="0.15">
      <c r="A84" s="2" t="s">
        <v>189</v>
      </c>
      <c r="B84" s="23">
        <v>45150.64949074074</v>
      </c>
      <c r="C84" s="23">
        <v>45403.584479166668</v>
      </c>
      <c r="D84" s="23" t="str">
        <f>IF(Table1[[#This Row],[Duration of Campaign]]=0, "Ongoing","Completed")</f>
        <v>Completed</v>
      </c>
      <c r="E84" s="25">
        <f>Table1[[#This Row],[End Date]]-Table1[[#This Row],[Start Date]]</f>
        <v>252.93498842592817</v>
      </c>
      <c r="F84" s="8">
        <v>7160</v>
      </c>
      <c r="G84" s="21" t="s">
        <v>19</v>
      </c>
      <c r="H84" s="11">
        <v>4174</v>
      </c>
      <c r="I84" s="11">
        <v>738</v>
      </c>
      <c r="J84" s="11">
        <v>118</v>
      </c>
      <c r="K84" s="13">
        <v>6809</v>
      </c>
      <c r="L84" s="16">
        <f t="shared" si="6"/>
        <v>0.17680881648298993</v>
      </c>
      <c r="M84" s="16">
        <f t="shared" si="7"/>
        <v>0.15989159891598917</v>
      </c>
      <c r="N84" s="17">
        <f t="shared" si="8"/>
        <v>22.372628726287264</v>
      </c>
      <c r="O84" s="17">
        <f t="shared" si="9"/>
        <v>139.92372881355934</v>
      </c>
      <c r="P84" s="16">
        <f t="shared" si="10"/>
        <v>2.3060055865921787</v>
      </c>
      <c r="Q84" s="16">
        <f t="shared" si="11"/>
        <v>0.41239173884077279</v>
      </c>
      <c r="R84" s="2" t="s">
        <v>190</v>
      </c>
      <c r="S84" s="21" t="s">
        <v>35</v>
      </c>
      <c r="T84" s="21" t="s">
        <v>27</v>
      </c>
      <c r="U84" s="8">
        <v>16511</v>
      </c>
      <c r="V84" s="11">
        <v>3</v>
      </c>
      <c r="W84" t="str">
        <f>IF(Table1[[#This Row],[Satisfaction Rating]]&lt;2, "Low", IF(Table1[[#This Row],[Satisfaction Rating]]&lt;4, "Medium", "High"))</f>
        <v>Medium</v>
      </c>
    </row>
    <row r="85" spans="1:23" ht="13" x14ac:dyDescent="0.15">
      <c r="A85" s="2" t="s">
        <v>191</v>
      </c>
      <c r="B85" s="23">
        <v>45044.434270833335</v>
      </c>
      <c r="C85" s="23">
        <v>45370.609861111108</v>
      </c>
      <c r="D85" s="23" t="str">
        <f>IF(Table1[[#This Row],[Duration of Campaign]]=0, "Ongoing","Completed")</f>
        <v>Completed</v>
      </c>
      <c r="E85" s="25">
        <f>Table1[[#This Row],[End Date]]-Table1[[#This Row],[Start Date]]</f>
        <v>326.17559027777315</v>
      </c>
      <c r="F85" s="8">
        <v>1746</v>
      </c>
      <c r="G85" s="21" t="s">
        <v>19</v>
      </c>
      <c r="H85" s="11">
        <v>13723</v>
      </c>
      <c r="I85" s="11">
        <v>1826</v>
      </c>
      <c r="J85" s="11">
        <v>57</v>
      </c>
      <c r="K85" s="13">
        <v>9352</v>
      </c>
      <c r="L85" s="16">
        <f t="shared" si="6"/>
        <v>0.13306128397580705</v>
      </c>
      <c r="M85" s="16">
        <f t="shared" si="7"/>
        <v>3.12157721796276E-2</v>
      </c>
      <c r="N85" s="17">
        <f t="shared" si="8"/>
        <v>1.0580503833515882</v>
      </c>
      <c r="O85" s="17">
        <f t="shared" si="9"/>
        <v>33.89473684210526</v>
      </c>
      <c r="P85" s="16">
        <f t="shared" si="10"/>
        <v>1.1065292096219932</v>
      </c>
      <c r="Q85" s="16">
        <f t="shared" si="11"/>
        <v>4.8405797101449277</v>
      </c>
      <c r="R85" s="2" t="s">
        <v>192</v>
      </c>
      <c r="S85" s="21" t="s">
        <v>21</v>
      </c>
      <c r="T85" s="21" t="s">
        <v>27</v>
      </c>
      <c r="U85" s="8">
        <v>1932</v>
      </c>
      <c r="V85" s="11">
        <v>3</v>
      </c>
      <c r="W85" t="str">
        <f>IF(Table1[[#This Row],[Satisfaction Rating]]&lt;2, "Low", IF(Table1[[#This Row],[Satisfaction Rating]]&lt;4, "Medium", "High"))</f>
        <v>Medium</v>
      </c>
    </row>
    <row r="86" spans="1:23" ht="13" x14ac:dyDescent="0.15">
      <c r="A86" s="2" t="s">
        <v>193</v>
      </c>
      <c r="B86" s="23">
        <v>45031.778171296297</v>
      </c>
      <c r="C86" s="23">
        <v>45551.85260416667</v>
      </c>
      <c r="D86" s="23" t="str">
        <f>IF(Table1[[#This Row],[Duration of Campaign]]=0, "Ongoing","Completed")</f>
        <v>Completed</v>
      </c>
      <c r="E86" s="25">
        <f>Table1[[#This Row],[End Date]]-Table1[[#This Row],[Start Date]]</f>
        <v>520.07443287037313</v>
      </c>
      <c r="F86" s="8">
        <v>2762</v>
      </c>
      <c r="G86" s="21" t="s">
        <v>14</v>
      </c>
      <c r="H86" s="11">
        <v>3702</v>
      </c>
      <c r="I86" s="11">
        <v>1475</v>
      </c>
      <c r="J86" s="11">
        <v>196</v>
      </c>
      <c r="K86" s="13">
        <v>4723</v>
      </c>
      <c r="L86" s="16">
        <f t="shared" si="6"/>
        <v>0.39843327930848188</v>
      </c>
      <c r="M86" s="16">
        <f t="shared" si="7"/>
        <v>0.13288135593220338</v>
      </c>
      <c r="N86" s="17">
        <f t="shared" si="8"/>
        <v>5.1349152542372885</v>
      </c>
      <c r="O86" s="17">
        <f t="shared" si="9"/>
        <v>38.642857142857146</v>
      </c>
      <c r="P86" s="16">
        <f t="shared" si="10"/>
        <v>2.7422157856625633</v>
      </c>
      <c r="Q86" s="16">
        <f t="shared" si="11"/>
        <v>0.62358067071560597</v>
      </c>
      <c r="R86" s="2" t="s">
        <v>194</v>
      </c>
      <c r="S86" s="21" t="s">
        <v>24</v>
      </c>
      <c r="T86" s="21" t="s">
        <v>27</v>
      </c>
      <c r="U86" s="8">
        <v>7574</v>
      </c>
      <c r="V86" s="11">
        <v>2</v>
      </c>
      <c r="W86" t="str">
        <f>IF(Table1[[#This Row],[Satisfaction Rating]]&lt;2, "Low", IF(Table1[[#This Row],[Satisfaction Rating]]&lt;4, "Medium", "High"))</f>
        <v>Medium</v>
      </c>
    </row>
    <row r="87" spans="1:23" ht="13" x14ac:dyDescent="0.15">
      <c r="A87" s="2" t="s">
        <v>195</v>
      </c>
      <c r="B87" s="23">
        <v>44996.680138888885</v>
      </c>
      <c r="C87" s="23">
        <v>45032.87060185185</v>
      </c>
      <c r="D87" s="23" t="str">
        <f>IF(Table1[[#This Row],[Duration of Campaign]]=0, "Ongoing","Completed")</f>
        <v>Completed</v>
      </c>
      <c r="E87" s="25">
        <f>Table1[[#This Row],[End Date]]-Table1[[#This Row],[Start Date]]</f>
        <v>36.190462962964375</v>
      </c>
      <c r="F87" s="8">
        <v>5405</v>
      </c>
      <c r="G87" s="21" t="s">
        <v>37</v>
      </c>
      <c r="H87" s="11">
        <v>12061</v>
      </c>
      <c r="I87" s="11">
        <v>1206</v>
      </c>
      <c r="J87" s="11">
        <v>223</v>
      </c>
      <c r="K87" s="13">
        <v>14650</v>
      </c>
      <c r="L87" s="16">
        <f t="shared" si="6"/>
        <v>9.9991708813531213E-2</v>
      </c>
      <c r="M87" s="16">
        <f t="shared" si="7"/>
        <v>0.18490878938640132</v>
      </c>
      <c r="N87" s="17">
        <f t="shared" si="8"/>
        <v>9.1210613598673298</v>
      </c>
      <c r="O87" s="17">
        <f t="shared" si="9"/>
        <v>49.327354260089685</v>
      </c>
      <c r="P87" s="16">
        <f t="shared" si="10"/>
        <v>2.0351526364477337</v>
      </c>
      <c r="Q87" s="16">
        <f t="shared" si="11"/>
        <v>1.3318181818181818</v>
      </c>
      <c r="R87" s="2" t="s">
        <v>196</v>
      </c>
      <c r="S87" s="21" t="s">
        <v>30</v>
      </c>
      <c r="T87" s="21" t="s">
        <v>45</v>
      </c>
      <c r="U87" s="8">
        <v>11000</v>
      </c>
      <c r="V87" s="11">
        <v>2</v>
      </c>
      <c r="W87" t="str">
        <f>IF(Table1[[#This Row],[Satisfaction Rating]]&lt;2, "Low", IF(Table1[[#This Row],[Satisfaction Rating]]&lt;4, "Medium", "High"))</f>
        <v>Medium</v>
      </c>
    </row>
    <row r="88" spans="1:23" ht="13" x14ac:dyDescent="0.15">
      <c r="A88" s="2" t="s">
        <v>197</v>
      </c>
      <c r="B88" s="23">
        <v>45600.861446759256</v>
      </c>
      <c r="C88" s="23">
        <v>45600.861446759256</v>
      </c>
      <c r="D88" s="23" t="str">
        <f>IF(Table1[[#This Row],[Duration of Campaign]]=0, "Ongoing","Completed")</f>
        <v>Ongoing</v>
      </c>
      <c r="E88" s="25">
        <f>Table1[[#This Row],[End Date]]-Table1[[#This Row],[Start Date]]</f>
        <v>0</v>
      </c>
      <c r="F88" s="8">
        <v>7044</v>
      </c>
      <c r="G88" s="21" t="s">
        <v>19</v>
      </c>
      <c r="H88" s="11">
        <v>2141</v>
      </c>
      <c r="I88" s="11">
        <v>1280</v>
      </c>
      <c r="J88" s="11">
        <v>203</v>
      </c>
      <c r="K88" s="13">
        <v>10362</v>
      </c>
      <c r="L88" s="16">
        <f t="shared" si="6"/>
        <v>0.59785147127510507</v>
      </c>
      <c r="M88" s="16">
        <f t="shared" si="7"/>
        <v>0.15859375000000001</v>
      </c>
      <c r="N88" s="17">
        <f t="shared" si="8"/>
        <v>1.3687499999999999</v>
      </c>
      <c r="O88" s="17">
        <f t="shared" si="9"/>
        <v>8.6305418719211815</v>
      </c>
      <c r="P88" s="16">
        <f t="shared" si="10"/>
        <v>0.24872231686541738</v>
      </c>
      <c r="Q88" s="16">
        <f t="shared" si="11"/>
        <v>5.9143835616438354</v>
      </c>
      <c r="R88" s="2" t="s">
        <v>198</v>
      </c>
      <c r="S88" s="21" t="s">
        <v>21</v>
      </c>
      <c r="T88" s="21" t="s">
        <v>17</v>
      </c>
      <c r="U88" s="8">
        <v>1752</v>
      </c>
      <c r="V88" s="11">
        <v>1</v>
      </c>
      <c r="W88" t="str">
        <f>IF(Table1[[#This Row],[Satisfaction Rating]]&lt;2, "Low", IF(Table1[[#This Row],[Satisfaction Rating]]&lt;4, "Medium", "High"))</f>
        <v>Low</v>
      </c>
    </row>
    <row r="89" spans="1:23" ht="13" x14ac:dyDescent="0.15">
      <c r="A89" s="2" t="s">
        <v>199</v>
      </c>
      <c r="B89" s="23">
        <v>45592.151678240742</v>
      </c>
      <c r="C89" s="23">
        <v>45592.151678240742</v>
      </c>
      <c r="D89" s="23" t="str">
        <f>IF(Table1[[#This Row],[Duration of Campaign]]=0, "Ongoing","Completed")</f>
        <v>Ongoing</v>
      </c>
      <c r="E89" s="25">
        <f>Table1[[#This Row],[End Date]]-Table1[[#This Row],[Start Date]]</f>
        <v>0</v>
      </c>
      <c r="F89" s="8">
        <v>2950</v>
      </c>
      <c r="G89" s="21" t="s">
        <v>37</v>
      </c>
      <c r="H89" s="11">
        <v>17874</v>
      </c>
      <c r="I89" s="11">
        <v>1078</v>
      </c>
      <c r="J89" s="11">
        <v>235</v>
      </c>
      <c r="K89" s="13">
        <v>12351</v>
      </c>
      <c r="L89" s="16">
        <f t="shared" si="6"/>
        <v>6.0311066353362426E-2</v>
      </c>
      <c r="M89" s="16">
        <f t="shared" si="7"/>
        <v>0.21799628942486085</v>
      </c>
      <c r="N89" s="17">
        <f t="shared" si="8"/>
        <v>7.304267161410019</v>
      </c>
      <c r="O89" s="17">
        <f t="shared" si="9"/>
        <v>33.506382978723401</v>
      </c>
      <c r="P89" s="16">
        <f t="shared" si="10"/>
        <v>2.6691525423728812</v>
      </c>
      <c r="Q89" s="16">
        <f t="shared" si="11"/>
        <v>1.5685801371602743</v>
      </c>
      <c r="R89" s="2" t="s">
        <v>200</v>
      </c>
      <c r="S89" s="21" t="s">
        <v>16</v>
      </c>
      <c r="T89" s="21" t="s">
        <v>45</v>
      </c>
      <c r="U89" s="8">
        <v>7874</v>
      </c>
      <c r="V89" s="11">
        <v>4</v>
      </c>
      <c r="W89" t="str">
        <f>IF(Table1[[#This Row],[Satisfaction Rating]]&lt;2, "Low", IF(Table1[[#This Row],[Satisfaction Rating]]&lt;4, "Medium", "High"))</f>
        <v>High</v>
      </c>
    </row>
    <row r="90" spans="1:23" ht="13" x14ac:dyDescent="0.15">
      <c r="A90" s="2" t="s">
        <v>201</v>
      </c>
      <c r="B90" s="23">
        <v>44950.3284375</v>
      </c>
      <c r="C90" s="23">
        <v>45215.508113425924</v>
      </c>
      <c r="D90" s="23" t="str">
        <f>IF(Table1[[#This Row],[Duration of Campaign]]=0, "Ongoing","Completed")</f>
        <v>Completed</v>
      </c>
      <c r="E90" s="25">
        <f>Table1[[#This Row],[End Date]]-Table1[[#This Row],[Start Date]]</f>
        <v>265.17967592592322</v>
      </c>
      <c r="F90" s="8">
        <v>3944</v>
      </c>
      <c r="G90" s="21" t="s">
        <v>53</v>
      </c>
      <c r="H90" s="11">
        <v>13936</v>
      </c>
      <c r="I90" s="11">
        <v>152</v>
      </c>
      <c r="J90" s="11">
        <v>279</v>
      </c>
      <c r="K90" s="13">
        <v>1492</v>
      </c>
      <c r="L90" s="16">
        <f t="shared" si="6"/>
        <v>1.0907003444316877E-2</v>
      </c>
      <c r="M90" s="16">
        <f t="shared" si="7"/>
        <v>1.8355263157894737</v>
      </c>
      <c r="N90" s="17">
        <f t="shared" si="8"/>
        <v>28.842105263157894</v>
      </c>
      <c r="O90" s="17">
        <f t="shared" si="9"/>
        <v>15.713261648745521</v>
      </c>
      <c r="P90" s="16">
        <f t="shared" si="10"/>
        <v>1.1115618661257607</v>
      </c>
      <c r="Q90" s="16">
        <f t="shared" si="11"/>
        <v>0.34032846715328469</v>
      </c>
      <c r="R90" s="2" t="s">
        <v>202</v>
      </c>
      <c r="S90" s="21" t="s">
        <v>24</v>
      </c>
      <c r="T90" s="21" t="s">
        <v>27</v>
      </c>
      <c r="U90" s="8">
        <v>4384</v>
      </c>
      <c r="V90" s="11">
        <v>5</v>
      </c>
      <c r="W90" t="str">
        <f>IF(Table1[[#This Row],[Satisfaction Rating]]&lt;2, "Low", IF(Table1[[#This Row],[Satisfaction Rating]]&lt;4, "Medium", "High"))</f>
        <v>High</v>
      </c>
    </row>
    <row r="91" spans="1:23" ht="13" x14ac:dyDescent="0.15">
      <c r="A91" s="2" t="s">
        <v>203</v>
      </c>
      <c r="B91" s="23">
        <v>44980.777280092596</v>
      </c>
      <c r="C91" s="23">
        <v>45203.233194444445</v>
      </c>
      <c r="D91" s="23" t="str">
        <f>IF(Table1[[#This Row],[Duration of Campaign]]=0, "Ongoing","Completed")</f>
        <v>Completed</v>
      </c>
      <c r="E91" s="25">
        <f>Table1[[#This Row],[End Date]]-Table1[[#This Row],[Start Date]]</f>
        <v>222.45591435184906</v>
      </c>
      <c r="F91" s="8">
        <v>3082</v>
      </c>
      <c r="G91" s="21" t="s">
        <v>37</v>
      </c>
      <c r="H91" s="11">
        <v>16376</v>
      </c>
      <c r="I91" s="11">
        <v>1790</v>
      </c>
      <c r="J91" s="11">
        <v>86</v>
      </c>
      <c r="K91" s="13">
        <v>5897</v>
      </c>
      <c r="L91" s="16">
        <f t="shared" si="6"/>
        <v>0.10930630190522717</v>
      </c>
      <c r="M91" s="16">
        <f t="shared" si="7"/>
        <v>4.8044692737430165E-2</v>
      </c>
      <c r="N91" s="17">
        <f t="shared" si="8"/>
        <v>5.976536312849162</v>
      </c>
      <c r="O91" s="17">
        <f t="shared" si="9"/>
        <v>124.3953488372093</v>
      </c>
      <c r="P91" s="16">
        <f t="shared" si="10"/>
        <v>3.4711226476314083</v>
      </c>
      <c r="Q91" s="16">
        <f t="shared" si="11"/>
        <v>0.55122452794914933</v>
      </c>
      <c r="R91" s="2" t="s">
        <v>204</v>
      </c>
      <c r="S91" s="21" t="s">
        <v>30</v>
      </c>
      <c r="T91" s="21" t="s">
        <v>45</v>
      </c>
      <c r="U91" s="8">
        <v>10698</v>
      </c>
      <c r="V91" s="11">
        <v>4</v>
      </c>
      <c r="W91" t="str">
        <f>IF(Table1[[#This Row],[Satisfaction Rating]]&lt;2, "Low", IF(Table1[[#This Row],[Satisfaction Rating]]&lt;4, "Medium", "High"))</f>
        <v>High</v>
      </c>
    </row>
    <row r="92" spans="1:23" ht="13" x14ac:dyDescent="0.15">
      <c r="A92" s="2" t="s">
        <v>205</v>
      </c>
      <c r="B92" s="23">
        <v>45557.083958333336</v>
      </c>
      <c r="C92" s="23">
        <v>45557.083958333336</v>
      </c>
      <c r="D92" s="23" t="str">
        <f>IF(Table1[[#This Row],[Duration of Campaign]]=0, "Ongoing","Completed")</f>
        <v>Ongoing</v>
      </c>
      <c r="E92" s="25">
        <f>Table1[[#This Row],[End Date]]-Table1[[#This Row],[Start Date]]</f>
        <v>0</v>
      </c>
      <c r="F92" s="8">
        <v>5530</v>
      </c>
      <c r="G92" s="21" t="s">
        <v>37</v>
      </c>
      <c r="H92" s="11">
        <v>18904</v>
      </c>
      <c r="I92" s="11">
        <v>355</v>
      </c>
      <c r="J92" s="11">
        <v>369</v>
      </c>
      <c r="K92" s="13">
        <v>14423</v>
      </c>
      <c r="L92" s="16">
        <f t="shared" si="6"/>
        <v>1.8779094371561573E-2</v>
      </c>
      <c r="M92" s="16">
        <f t="shared" si="7"/>
        <v>1.0394366197183098</v>
      </c>
      <c r="N92" s="17">
        <f t="shared" si="8"/>
        <v>34.101408450704227</v>
      </c>
      <c r="O92" s="17">
        <f t="shared" si="9"/>
        <v>32.807588075880759</v>
      </c>
      <c r="P92" s="16">
        <f t="shared" si="10"/>
        <v>2.1891500904159131</v>
      </c>
      <c r="Q92" s="16">
        <f t="shared" si="11"/>
        <v>1.1913926978357838</v>
      </c>
      <c r="R92" s="2" t="s">
        <v>206</v>
      </c>
      <c r="S92" s="21" t="s">
        <v>16</v>
      </c>
      <c r="T92" s="21" t="s">
        <v>45</v>
      </c>
      <c r="U92" s="8">
        <v>12106</v>
      </c>
      <c r="V92" s="11">
        <v>3</v>
      </c>
      <c r="W92" t="str">
        <f>IF(Table1[[#This Row],[Satisfaction Rating]]&lt;2, "Low", IF(Table1[[#This Row],[Satisfaction Rating]]&lt;4, "Medium", "High"))</f>
        <v>Medium</v>
      </c>
    </row>
    <row r="93" spans="1:23" ht="13" x14ac:dyDescent="0.15">
      <c r="A93" s="2" t="s">
        <v>207</v>
      </c>
      <c r="B93" s="23">
        <v>45361.977523148147</v>
      </c>
      <c r="C93" s="23">
        <v>45361.977523148147</v>
      </c>
      <c r="D93" s="23" t="str">
        <f>IF(Table1[[#This Row],[Duration of Campaign]]=0, "Ongoing","Completed")</f>
        <v>Ongoing</v>
      </c>
      <c r="E93" s="25">
        <f>Table1[[#This Row],[End Date]]-Table1[[#This Row],[Start Date]]</f>
        <v>0</v>
      </c>
      <c r="F93" s="8">
        <v>4168</v>
      </c>
      <c r="G93" s="21" t="s">
        <v>53</v>
      </c>
      <c r="H93" s="11">
        <v>2896</v>
      </c>
      <c r="I93" s="11">
        <v>440</v>
      </c>
      <c r="J93" s="11">
        <v>194</v>
      </c>
      <c r="K93" s="13">
        <v>12094</v>
      </c>
      <c r="L93" s="16">
        <f t="shared" si="6"/>
        <v>0.15193370165745856</v>
      </c>
      <c r="M93" s="16">
        <f t="shared" si="7"/>
        <v>0.44090909090909092</v>
      </c>
      <c r="N93" s="17">
        <f t="shared" si="8"/>
        <v>32.877272727272725</v>
      </c>
      <c r="O93" s="17">
        <f t="shared" si="9"/>
        <v>74.567010309278345</v>
      </c>
      <c r="P93" s="16">
        <f t="shared" si="10"/>
        <v>3.4707293666026873</v>
      </c>
      <c r="Q93" s="16">
        <f t="shared" si="11"/>
        <v>0.83602931010645654</v>
      </c>
      <c r="R93" s="2" t="s">
        <v>208</v>
      </c>
      <c r="S93" s="21" t="s">
        <v>24</v>
      </c>
      <c r="T93" s="21" t="s">
        <v>27</v>
      </c>
      <c r="U93" s="8">
        <v>14466</v>
      </c>
      <c r="V93" s="11">
        <v>1</v>
      </c>
      <c r="W93" t="str">
        <f>IF(Table1[[#This Row],[Satisfaction Rating]]&lt;2, "Low", IF(Table1[[#This Row],[Satisfaction Rating]]&lt;4, "Medium", "High"))</f>
        <v>Low</v>
      </c>
    </row>
    <row r="94" spans="1:23" ht="13" x14ac:dyDescent="0.15">
      <c r="A94" s="2" t="s">
        <v>209</v>
      </c>
      <c r="B94" s="23">
        <v>45045.036666666667</v>
      </c>
      <c r="C94" s="23">
        <v>45559.738310185188</v>
      </c>
      <c r="D94" s="23" t="str">
        <f>IF(Table1[[#This Row],[Duration of Campaign]]=0, "Ongoing","Completed")</f>
        <v>Completed</v>
      </c>
      <c r="E94" s="25">
        <f>Table1[[#This Row],[End Date]]-Table1[[#This Row],[Start Date]]</f>
        <v>514.70164351852145</v>
      </c>
      <c r="F94" s="8">
        <v>3110</v>
      </c>
      <c r="G94" s="21" t="s">
        <v>14</v>
      </c>
      <c r="H94" s="11">
        <v>19956</v>
      </c>
      <c r="I94" s="11">
        <v>694</v>
      </c>
      <c r="J94" s="11">
        <v>55</v>
      </c>
      <c r="K94" s="13">
        <v>13873</v>
      </c>
      <c r="L94" s="16">
        <f t="shared" si="6"/>
        <v>3.4776508318300259E-2</v>
      </c>
      <c r="M94" s="16">
        <f t="shared" si="7"/>
        <v>7.9250720461095103E-2</v>
      </c>
      <c r="N94" s="17">
        <f t="shared" si="8"/>
        <v>21.354466858789625</v>
      </c>
      <c r="O94" s="17">
        <f t="shared" si="9"/>
        <v>269.45454545454544</v>
      </c>
      <c r="P94" s="16">
        <f t="shared" si="10"/>
        <v>4.765273311897106</v>
      </c>
      <c r="Q94" s="16">
        <f t="shared" si="11"/>
        <v>0.93609986504723341</v>
      </c>
      <c r="R94" s="2" t="s">
        <v>210</v>
      </c>
      <c r="S94" s="21" t="s">
        <v>24</v>
      </c>
      <c r="T94" s="21" t="s">
        <v>45</v>
      </c>
      <c r="U94" s="8">
        <v>14820</v>
      </c>
      <c r="V94" s="11">
        <v>4</v>
      </c>
      <c r="W94" t="str">
        <f>IF(Table1[[#This Row],[Satisfaction Rating]]&lt;2, "Low", IF(Table1[[#This Row],[Satisfaction Rating]]&lt;4, "Medium", "High"))</f>
        <v>High</v>
      </c>
    </row>
    <row r="95" spans="1:23" ht="13" x14ac:dyDescent="0.15">
      <c r="A95" s="2" t="s">
        <v>211</v>
      </c>
      <c r="B95" s="23">
        <v>45429.520439814813</v>
      </c>
      <c r="C95" s="23">
        <v>45429.520439814813</v>
      </c>
      <c r="D95" s="23" t="str">
        <f>IF(Table1[[#This Row],[Duration of Campaign]]=0, "Ongoing","Completed")</f>
        <v>Ongoing</v>
      </c>
      <c r="E95" s="25">
        <f>Table1[[#This Row],[End Date]]-Table1[[#This Row],[Start Date]]</f>
        <v>0</v>
      </c>
      <c r="F95" s="8">
        <v>2041</v>
      </c>
      <c r="G95" s="21" t="s">
        <v>14</v>
      </c>
      <c r="H95" s="11">
        <v>12551</v>
      </c>
      <c r="I95" s="11">
        <v>1197</v>
      </c>
      <c r="J95" s="11">
        <v>334</v>
      </c>
      <c r="K95" s="13">
        <v>2031</v>
      </c>
      <c r="L95" s="16">
        <f t="shared" si="6"/>
        <v>9.5370886781929731E-2</v>
      </c>
      <c r="M95" s="16">
        <f t="shared" si="7"/>
        <v>0.27903091060985796</v>
      </c>
      <c r="N95" s="17">
        <f t="shared" si="8"/>
        <v>13.487050960735171</v>
      </c>
      <c r="O95" s="17">
        <f t="shared" si="9"/>
        <v>48.335329341317369</v>
      </c>
      <c r="P95" s="16">
        <f t="shared" si="10"/>
        <v>7.9098481136697698</v>
      </c>
      <c r="Q95" s="16">
        <f t="shared" si="11"/>
        <v>0.12580525272547077</v>
      </c>
      <c r="R95" s="2" t="s">
        <v>212</v>
      </c>
      <c r="S95" s="21" t="s">
        <v>30</v>
      </c>
      <c r="T95" s="21" t="s">
        <v>17</v>
      </c>
      <c r="U95" s="8">
        <v>16144</v>
      </c>
      <c r="V95" s="11">
        <v>2</v>
      </c>
      <c r="W95" t="str">
        <f>IF(Table1[[#This Row],[Satisfaction Rating]]&lt;2, "Low", IF(Table1[[#This Row],[Satisfaction Rating]]&lt;4, "Medium", "High"))</f>
        <v>Medium</v>
      </c>
    </row>
    <row r="96" spans="1:23" ht="13" x14ac:dyDescent="0.15">
      <c r="A96" s="2" t="s">
        <v>213</v>
      </c>
      <c r="B96" s="23">
        <v>45483.328414351854</v>
      </c>
      <c r="C96" s="23">
        <v>45539.421261574076</v>
      </c>
      <c r="D96" s="23" t="str">
        <f>IF(Table1[[#This Row],[Duration of Campaign]]=0, "Ongoing","Completed")</f>
        <v>Completed</v>
      </c>
      <c r="E96" s="25">
        <f>Table1[[#This Row],[End Date]]-Table1[[#This Row],[Start Date]]</f>
        <v>56.09284722222219</v>
      </c>
      <c r="F96" s="8">
        <v>9620</v>
      </c>
      <c r="G96" s="21" t="s">
        <v>37</v>
      </c>
      <c r="H96" s="11">
        <v>7844</v>
      </c>
      <c r="I96" s="11">
        <v>1705</v>
      </c>
      <c r="J96" s="11">
        <v>164</v>
      </c>
      <c r="K96" s="13">
        <v>12548</v>
      </c>
      <c r="L96" s="16">
        <f t="shared" si="6"/>
        <v>0.21736359000509944</v>
      </c>
      <c r="M96" s="16">
        <f t="shared" si="7"/>
        <v>9.6187683284457481E-2</v>
      </c>
      <c r="N96" s="17">
        <f t="shared" si="8"/>
        <v>8.8076246334310859</v>
      </c>
      <c r="O96" s="17">
        <f t="shared" si="9"/>
        <v>91.567073170731703</v>
      </c>
      <c r="P96" s="16">
        <f t="shared" si="10"/>
        <v>1.561018711018711</v>
      </c>
      <c r="Q96" s="16">
        <f t="shared" si="11"/>
        <v>0.83558633548644867</v>
      </c>
      <c r="R96" s="2" t="s">
        <v>214</v>
      </c>
      <c r="S96" s="21" t="s">
        <v>16</v>
      </c>
      <c r="T96" s="21" t="s">
        <v>45</v>
      </c>
      <c r="U96" s="8">
        <v>15017</v>
      </c>
      <c r="V96" s="11">
        <v>3</v>
      </c>
      <c r="W96" t="str">
        <f>IF(Table1[[#This Row],[Satisfaction Rating]]&lt;2, "Low", IF(Table1[[#This Row],[Satisfaction Rating]]&lt;4, "Medium", "High"))</f>
        <v>Medium</v>
      </c>
    </row>
    <row r="97" spans="1:23" ht="13" x14ac:dyDescent="0.15">
      <c r="A97" s="2" t="s">
        <v>215</v>
      </c>
      <c r="B97" s="23">
        <v>45002.792141203703</v>
      </c>
      <c r="C97" s="23">
        <v>45482.721296296295</v>
      </c>
      <c r="D97" s="23" t="str">
        <f>IF(Table1[[#This Row],[Duration of Campaign]]=0, "Ongoing","Completed")</f>
        <v>Completed</v>
      </c>
      <c r="E97" s="25">
        <f>Table1[[#This Row],[End Date]]-Table1[[#This Row],[Start Date]]</f>
        <v>479.92915509259183</v>
      </c>
      <c r="F97" s="8">
        <v>9793</v>
      </c>
      <c r="G97" s="21" t="s">
        <v>37</v>
      </c>
      <c r="H97" s="11">
        <v>14815</v>
      </c>
      <c r="I97" s="11">
        <v>923</v>
      </c>
      <c r="J97" s="11">
        <v>199</v>
      </c>
      <c r="K97" s="13">
        <v>10155</v>
      </c>
      <c r="L97" s="16">
        <f t="shared" si="6"/>
        <v>6.2301721228484645E-2</v>
      </c>
      <c r="M97" s="16">
        <f t="shared" si="7"/>
        <v>0.21560130010834236</v>
      </c>
      <c r="N97" s="17">
        <f t="shared" si="8"/>
        <v>19.722643553629471</v>
      </c>
      <c r="O97" s="17">
        <f t="shared" si="9"/>
        <v>91.477386934673362</v>
      </c>
      <c r="P97" s="16">
        <f t="shared" si="10"/>
        <v>1.8588787909731441</v>
      </c>
      <c r="Q97" s="16">
        <f t="shared" si="11"/>
        <v>0.5578444297956493</v>
      </c>
      <c r="R97" s="2" t="s">
        <v>216</v>
      </c>
      <c r="S97" s="21" t="s">
        <v>30</v>
      </c>
      <c r="T97" s="21" t="s">
        <v>17</v>
      </c>
      <c r="U97" s="8">
        <v>18204</v>
      </c>
      <c r="V97" s="11">
        <v>5</v>
      </c>
      <c r="W97" t="str">
        <f>IF(Table1[[#This Row],[Satisfaction Rating]]&lt;2, "Low", IF(Table1[[#This Row],[Satisfaction Rating]]&lt;4, "Medium", "High"))</f>
        <v>High</v>
      </c>
    </row>
    <row r="98" spans="1:23" ht="13" x14ac:dyDescent="0.15">
      <c r="A98" s="2" t="s">
        <v>217</v>
      </c>
      <c r="B98" s="23">
        <v>45147.665451388886</v>
      </c>
      <c r="C98" s="23">
        <v>45565.813287037039</v>
      </c>
      <c r="D98" s="23" t="str">
        <f>IF(Table1[[#This Row],[Duration of Campaign]]=0, "Ongoing","Completed")</f>
        <v>Completed</v>
      </c>
      <c r="E98" s="25">
        <f>Table1[[#This Row],[End Date]]-Table1[[#This Row],[Start Date]]</f>
        <v>418.14783564815298</v>
      </c>
      <c r="F98" s="8">
        <v>3959</v>
      </c>
      <c r="G98" s="21" t="s">
        <v>14</v>
      </c>
      <c r="H98" s="11">
        <v>19920</v>
      </c>
      <c r="I98" s="11">
        <v>1208</v>
      </c>
      <c r="J98" s="11">
        <v>162</v>
      </c>
      <c r="K98" s="13">
        <v>10600</v>
      </c>
      <c r="L98" s="16">
        <f t="shared" si="6"/>
        <v>6.0642570281124498E-2</v>
      </c>
      <c r="M98" s="16">
        <f t="shared" si="7"/>
        <v>0.13410596026490065</v>
      </c>
      <c r="N98" s="17">
        <f t="shared" si="8"/>
        <v>2.3543046357615895</v>
      </c>
      <c r="O98" s="17">
        <f t="shared" si="9"/>
        <v>17.555555555555557</v>
      </c>
      <c r="P98" s="16">
        <f t="shared" si="10"/>
        <v>0.71836322303612021</v>
      </c>
      <c r="Q98" s="16">
        <f t="shared" si="11"/>
        <v>3.7271448663853728</v>
      </c>
      <c r="R98" s="2" t="s">
        <v>218</v>
      </c>
      <c r="S98" s="21" t="s">
        <v>16</v>
      </c>
      <c r="T98" s="21" t="s">
        <v>17</v>
      </c>
      <c r="U98" s="8">
        <v>2844</v>
      </c>
      <c r="V98" s="11">
        <v>5</v>
      </c>
      <c r="W98" t="str">
        <f>IF(Table1[[#This Row],[Satisfaction Rating]]&lt;2, "Low", IF(Table1[[#This Row],[Satisfaction Rating]]&lt;4, "Medium", "High"))</f>
        <v>High</v>
      </c>
    </row>
    <row r="99" spans="1:23" ht="13" x14ac:dyDescent="0.15">
      <c r="A99" s="2" t="s">
        <v>219</v>
      </c>
      <c r="B99" s="23">
        <v>45275.597928240742</v>
      </c>
      <c r="C99" s="23">
        <v>45390.749756944446</v>
      </c>
      <c r="D99" s="23" t="str">
        <f>IF(Table1[[#This Row],[Duration of Campaign]]=0, "Ongoing","Completed")</f>
        <v>Completed</v>
      </c>
      <c r="E99" s="25">
        <f>Table1[[#This Row],[End Date]]-Table1[[#This Row],[Start Date]]</f>
        <v>115.15182870370336</v>
      </c>
      <c r="F99" s="8">
        <v>8779</v>
      </c>
      <c r="G99" s="21" t="s">
        <v>19</v>
      </c>
      <c r="H99" s="11">
        <v>9421</v>
      </c>
      <c r="I99" s="11">
        <v>132</v>
      </c>
      <c r="J99" s="11">
        <v>241</v>
      </c>
      <c r="K99" s="13">
        <v>11863</v>
      </c>
      <c r="L99" s="16">
        <f t="shared" si="6"/>
        <v>1.401125145950536E-2</v>
      </c>
      <c r="M99" s="16">
        <f t="shared" si="7"/>
        <v>1.8257575757575757</v>
      </c>
      <c r="N99" s="17">
        <f t="shared" si="8"/>
        <v>85.25</v>
      </c>
      <c r="O99" s="17">
        <f t="shared" si="9"/>
        <v>46.692946058091287</v>
      </c>
      <c r="P99" s="16">
        <f t="shared" si="10"/>
        <v>1.2818088620571819</v>
      </c>
      <c r="Q99" s="16">
        <f t="shared" si="11"/>
        <v>1.0542077668177374</v>
      </c>
      <c r="R99" s="2" t="s">
        <v>220</v>
      </c>
      <c r="S99" s="21" t="s">
        <v>16</v>
      </c>
      <c r="T99" s="21" t="s">
        <v>45</v>
      </c>
      <c r="U99" s="8">
        <v>11253</v>
      </c>
      <c r="V99" s="11">
        <v>2</v>
      </c>
      <c r="W99" t="str">
        <f>IF(Table1[[#This Row],[Satisfaction Rating]]&lt;2, "Low", IF(Table1[[#This Row],[Satisfaction Rating]]&lt;4, "Medium", "High"))</f>
        <v>Medium</v>
      </c>
    </row>
    <row r="100" spans="1:23" ht="13" x14ac:dyDescent="0.15">
      <c r="A100" s="2" t="s">
        <v>221</v>
      </c>
      <c r="B100" s="23">
        <v>45129.175925925927</v>
      </c>
      <c r="C100" s="23">
        <v>45129.175925925927</v>
      </c>
      <c r="D100" s="23" t="str">
        <f>IF(Table1[[#This Row],[Duration of Campaign]]=0, "Ongoing","Completed")</f>
        <v>Ongoing</v>
      </c>
      <c r="E100" s="25">
        <f>Table1[[#This Row],[End Date]]-Table1[[#This Row],[Start Date]]</f>
        <v>0</v>
      </c>
      <c r="F100" s="8">
        <v>6556</v>
      </c>
      <c r="G100" s="21" t="s">
        <v>14</v>
      </c>
      <c r="H100" s="11">
        <v>1519</v>
      </c>
      <c r="I100" s="11">
        <v>1821</v>
      </c>
      <c r="J100" s="11">
        <v>348</v>
      </c>
      <c r="K100" s="13">
        <v>2838</v>
      </c>
      <c r="L100" s="16">
        <f t="shared" si="6"/>
        <v>1.1988150098749177</v>
      </c>
      <c r="M100" s="16">
        <f t="shared" si="7"/>
        <v>0.19110378912685339</v>
      </c>
      <c r="N100" s="17">
        <f t="shared" si="8"/>
        <v>4.5299286106534868</v>
      </c>
      <c r="O100" s="17">
        <f t="shared" si="9"/>
        <v>23.704022988505749</v>
      </c>
      <c r="P100" s="16">
        <f t="shared" si="10"/>
        <v>1.2582367297132397</v>
      </c>
      <c r="Q100" s="16">
        <f t="shared" si="11"/>
        <v>0.34404170202448781</v>
      </c>
      <c r="R100" s="2" t="s">
        <v>222</v>
      </c>
      <c r="S100" s="21" t="s">
        <v>35</v>
      </c>
      <c r="T100" s="21" t="s">
        <v>45</v>
      </c>
      <c r="U100" s="8">
        <v>8249</v>
      </c>
      <c r="V100" s="11">
        <v>5</v>
      </c>
      <c r="W100" t="str">
        <f>IF(Table1[[#This Row],[Satisfaction Rating]]&lt;2, "Low", IF(Table1[[#This Row],[Satisfaction Rating]]&lt;4, "Medium", "High"))</f>
        <v>High</v>
      </c>
    </row>
    <row r="101" spans="1:23" ht="13" x14ac:dyDescent="0.15">
      <c r="A101" s="2" t="s">
        <v>223</v>
      </c>
      <c r="B101" s="23">
        <v>45515.769687499997</v>
      </c>
      <c r="C101" s="23">
        <v>45515.769687499997</v>
      </c>
      <c r="D101" s="23" t="str">
        <f>IF(Table1[[#This Row],[Duration of Campaign]]=0, "Ongoing","Completed")</f>
        <v>Ongoing</v>
      </c>
      <c r="E101" s="25">
        <f>Table1[[#This Row],[End Date]]-Table1[[#This Row],[Start Date]]</f>
        <v>0</v>
      </c>
      <c r="F101" s="8">
        <v>9385</v>
      </c>
      <c r="G101" s="21" t="s">
        <v>53</v>
      </c>
      <c r="H101" s="11">
        <v>8723</v>
      </c>
      <c r="I101" s="11">
        <v>1107</v>
      </c>
      <c r="J101" s="11">
        <v>342</v>
      </c>
      <c r="K101" s="13">
        <v>2313</v>
      </c>
      <c r="L101" s="16">
        <f t="shared" si="6"/>
        <v>0.12690588100424166</v>
      </c>
      <c r="M101" s="16">
        <f t="shared" si="7"/>
        <v>0.30894308943089432</v>
      </c>
      <c r="N101" s="17">
        <f t="shared" si="8"/>
        <v>9.3911472448057811</v>
      </c>
      <c r="O101" s="17">
        <f t="shared" si="9"/>
        <v>30.397660818713451</v>
      </c>
      <c r="P101" s="16">
        <f t="shared" si="10"/>
        <v>1.1077250932338838</v>
      </c>
      <c r="Q101" s="16">
        <f t="shared" si="11"/>
        <v>0.22248941900731051</v>
      </c>
      <c r="R101" s="2" t="s">
        <v>224</v>
      </c>
      <c r="S101" s="21" t="s">
        <v>16</v>
      </c>
      <c r="T101" s="21" t="s">
        <v>45</v>
      </c>
      <c r="U101" s="8">
        <v>10396</v>
      </c>
      <c r="V101" s="11">
        <v>4</v>
      </c>
      <c r="W101" t="str">
        <f>IF(Table1[[#This Row],[Satisfaction Rating]]&lt;2, "Low", IF(Table1[[#This Row],[Satisfaction Rating]]&lt;4, "Medium", "High"))</f>
        <v>High</v>
      </c>
    </row>
    <row r="102" spans="1:23" ht="13" x14ac:dyDescent="0.15">
      <c r="A102" s="2" t="s">
        <v>225</v>
      </c>
      <c r="B102" s="23">
        <v>45203.109837962962</v>
      </c>
      <c r="C102" s="23">
        <v>45203.109837962962</v>
      </c>
      <c r="D102" s="23" t="str">
        <f>IF(Table1[[#This Row],[Duration of Campaign]]=0, "Ongoing","Completed")</f>
        <v>Ongoing</v>
      </c>
      <c r="E102" s="25">
        <f>Table1[[#This Row],[End Date]]-Table1[[#This Row],[Start Date]]</f>
        <v>0</v>
      </c>
      <c r="F102" s="8">
        <v>5686</v>
      </c>
      <c r="G102" s="21" t="s">
        <v>14</v>
      </c>
      <c r="H102" s="11">
        <v>14864</v>
      </c>
      <c r="I102" s="11">
        <v>581</v>
      </c>
      <c r="J102" s="11">
        <v>391</v>
      </c>
      <c r="K102" s="13">
        <v>6576</v>
      </c>
      <c r="L102" s="16">
        <f t="shared" si="6"/>
        <v>3.9087728740581272E-2</v>
      </c>
      <c r="M102" s="16">
        <f t="shared" si="7"/>
        <v>0.67297762478485368</v>
      </c>
      <c r="N102" s="17">
        <f t="shared" si="8"/>
        <v>19.542168674698797</v>
      </c>
      <c r="O102" s="17">
        <f t="shared" si="9"/>
        <v>29.038363171355499</v>
      </c>
      <c r="P102" s="16">
        <f t="shared" si="10"/>
        <v>1.9968343299331692</v>
      </c>
      <c r="Q102" s="16">
        <f t="shared" si="11"/>
        <v>0.57917914391403913</v>
      </c>
      <c r="R102" s="2" t="s">
        <v>226</v>
      </c>
      <c r="S102" s="21" t="s">
        <v>21</v>
      </c>
      <c r="T102" s="21" t="s">
        <v>45</v>
      </c>
      <c r="U102" s="8">
        <v>11354</v>
      </c>
      <c r="V102" s="11">
        <v>5</v>
      </c>
      <c r="W102" t="str">
        <f>IF(Table1[[#This Row],[Satisfaction Rating]]&lt;2, "Low", IF(Table1[[#This Row],[Satisfaction Rating]]&lt;4, "Medium", "High"))</f>
        <v>High</v>
      </c>
    </row>
    <row r="103" spans="1:23" ht="13" x14ac:dyDescent="0.15">
      <c r="A103" s="2" t="s">
        <v>227</v>
      </c>
      <c r="B103" s="23">
        <v>45387.593692129631</v>
      </c>
      <c r="C103" s="23">
        <v>45549.080729166664</v>
      </c>
      <c r="D103" s="23" t="str">
        <f>IF(Table1[[#This Row],[Duration of Campaign]]=0, "Ongoing","Completed")</f>
        <v>Completed</v>
      </c>
      <c r="E103" s="25">
        <f>Table1[[#This Row],[End Date]]-Table1[[#This Row],[Start Date]]</f>
        <v>161.48703703703359</v>
      </c>
      <c r="F103" s="8">
        <v>9511</v>
      </c>
      <c r="G103" s="21" t="s">
        <v>19</v>
      </c>
      <c r="H103" s="11">
        <v>13556</v>
      </c>
      <c r="I103" s="11">
        <v>1528</v>
      </c>
      <c r="J103" s="11">
        <v>420</v>
      </c>
      <c r="K103" s="13">
        <v>13463</v>
      </c>
      <c r="L103" s="16">
        <f t="shared" si="6"/>
        <v>0.11271761581587489</v>
      </c>
      <c r="M103" s="16">
        <f t="shared" si="7"/>
        <v>0.27486910994764396</v>
      </c>
      <c r="N103" s="17">
        <f t="shared" si="8"/>
        <v>1.7859947643979057</v>
      </c>
      <c r="O103" s="17">
        <f t="shared" si="9"/>
        <v>6.4976190476190476</v>
      </c>
      <c r="P103" s="16">
        <f t="shared" si="10"/>
        <v>0.28693092209021132</v>
      </c>
      <c r="Q103" s="16">
        <f t="shared" si="11"/>
        <v>4.9333089043605716</v>
      </c>
      <c r="R103" s="2" t="s">
        <v>228</v>
      </c>
      <c r="S103" s="21" t="s">
        <v>24</v>
      </c>
      <c r="T103" s="21" t="s">
        <v>17</v>
      </c>
      <c r="U103" s="8">
        <v>2729</v>
      </c>
      <c r="V103" s="11">
        <v>1</v>
      </c>
      <c r="W103" t="str">
        <f>IF(Table1[[#This Row],[Satisfaction Rating]]&lt;2, "Low", IF(Table1[[#This Row],[Satisfaction Rating]]&lt;4, "Medium", "High"))</f>
        <v>Low</v>
      </c>
    </row>
    <row r="104" spans="1:23" ht="13" x14ac:dyDescent="0.15">
      <c r="A104" s="2" t="s">
        <v>229</v>
      </c>
      <c r="B104" s="23">
        <v>45289.241979166669</v>
      </c>
      <c r="C104" s="23">
        <v>45289.241979166669</v>
      </c>
      <c r="D104" s="23" t="str">
        <f>IF(Table1[[#This Row],[Duration of Campaign]]=0, "Ongoing","Completed")</f>
        <v>Ongoing</v>
      </c>
      <c r="E104" s="25">
        <f>Table1[[#This Row],[End Date]]-Table1[[#This Row],[Start Date]]</f>
        <v>0</v>
      </c>
      <c r="F104" s="8">
        <v>1673</v>
      </c>
      <c r="G104" s="21" t="s">
        <v>53</v>
      </c>
      <c r="H104" s="11">
        <v>3765</v>
      </c>
      <c r="I104" s="11">
        <v>1775</v>
      </c>
      <c r="J104" s="11">
        <v>324</v>
      </c>
      <c r="K104" s="13">
        <v>509</v>
      </c>
      <c r="L104" s="16">
        <f t="shared" si="6"/>
        <v>0.4714475431606906</v>
      </c>
      <c r="M104" s="16">
        <f t="shared" si="7"/>
        <v>0.18253521126760563</v>
      </c>
      <c r="N104" s="17">
        <f t="shared" si="8"/>
        <v>0.75380281690140849</v>
      </c>
      <c r="O104" s="17">
        <f t="shared" si="9"/>
        <v>4.1296296296296298</v>
      </c>
      <c r="P104" s="16">
        <f t="shared" si="10"/>
        <v>0.79976090854751947</v>
      </c>
      <c r="Q104" s="16">
        <f t="shared" si="11"/>
        <v>0.38041853512705531</v>
      </c>
      <c r="R104" s="2" t="s">
        <v>230</v>
      </c>
      <c r="S104" s="21" t="s">
        <v>21</v>
      </c>
      <c r="T104" s="21" t="s">
        <v>17</v>
      </c>
      <c r="U104" s="8">
        <v>1338</v>
      </c>
      <c r="V104" s="11">
        <v>4</v>
      </c>
      <c r="W104" t="str">
        <f>IF(Table1[[#This Row],[Satisfaction Rating]]&lt;2, "Low", IF(Table1[[#This Row],[Satisfaction Rating]]&lt;4, "Medium", "High"))</f>
        <v>High</v>
      </c>
    </row>
    <row r="105" spans="1:23" ht="13" x14ac:dyDescent="0.15">
      <c r="A105" s="2" t="s">
        <v>231</v>
      </c>
      <c r="B105" s="23">
        <v>44960.869872685187</v>
      </c>
      <c r="C105" s="23">
        <v>45322.864560185182</v>
      </c>
      <c r="D105" s="23" t="str">
        <f>IF(Table1[[#This Row],[Duration of Campaign]]=0, "Ongoing","Completed")</f>
        <v>Completed</v>
      </c>
      <c r="E105" s="25">
        <f>Table1[[#This Row],[End Date]]-Table1[[#This Row],[Start Date]]</f>
        <v>361.99468749999505</v>
      </c>
      <c r="F105" s="8">
        <v>1030</v>
      </c>
      <c r="G105" s="21" t="s">
        <v>14</v>
      </c>
      <c r="H105" s="11">
        <v>8079</v>
      </c>
      <c r="I105" s="11">
        <v>1030</v>
      </c>
      <c r="J105" s="11">
        <v>450</v>
      </c>
      <c r="K105" s="13">
        <v>7476</v>
      </c>
      <c r="L105" s="16">
        <f t="shared" si="6"/>
        <v>0.1274910261170937</v>
      </c>
      <c r="M105" s="16">
        <f t="shared" si="7"/>
        <v>0.43689320388349512</v>
      </c>
      <c r="N105" s="17">
        <f t="shared" si="8"/>
        <v>18.99514563106796</v>
      </c>
      <c r="O105" s="17">
        <f t="shared" si="9"/>
        <v>43.477777777777774</v>
      </c>
      <c r="P105" s="16">
        <f t="shared" si="10"/>
        <v>18.99514563106796</v>
      </c>
      <c r="Q105" s="16">
        <f t="shared" si="11"/>
        <v>0.3821109123434705</v>
      </c>
      <c r="R105" s="2" t="s">
        <v>232</v>
      </c>
      <c r="S105" s="21" t="s">
        <v>35</v>
      </c>
      <c r="T105" s="21" t="s">
        <v>45</v>
      </c>
      <c r="U105" s="8">
        <v>19565</v>
      </c>
      <c r="V105" s="11">
        <v>1</v>
      </c>
      <c r="W105" t="str">
        <f>IF(Table1[[#This Row],[Satisfaction Rating]]&lt;2, "Low", IF(Table1[[#This Row],[Satisfaction Rating]]&lt;4, "Medium", "High"))</f>
        <v>Low</v>
      </c>
    </row>
    <row r="106" spans="1:23" ht="13" x14ac:dyDescent="0.15">
      <c r="A106" s="2" t="s">
        <v>233</v>
      </c>
      <c r="B106" s="23">
        <v>45227.906990740739</v>
      </c>
      <c r="C106" s="23">
        <v>45227.906990740739</v>
      </c>
      <c r="D106" s="23" t="str">
        <f>IF(Table1[[#This Row],[Duration of Campaign]]=0, "Ongoing","Completed")</f>
        <v>Ongoing</v>
      </c>
      <c r="E106" s="25">
        <f>Table1[[#This Row],[End Date]]-Table1[[#This Row],[Start Date]]</f>
        <v>0</v>
      </c>
      <c r="F106" s="8">
        <v>7138</v>
      </c>
      <c r="G106" s="21" t="s">
        <v>53</v>
      </c>
      <c r="H106" s="11">
        <v>15887</v>
      </c>
      <c r="I106" s="11">
        <v>360</v>
      </c>
      <c r="J106" s="11">
        <v>56</v>
      </c>
      <c r="K106" s="13">
        <v>7781</v>
      </c>
      <c r="L106" s="16">
        <f t="shared" si="6"/>
        <v>2.2660036507836597E-2</v>
      </c>
      <c r="M106" s="16">
        <f t="shared" si="7"/>
        <v>0.15555555555555556</v>
      </c>
      <c r="N106" s="17">
        <f t="shared" si="8"/>
        <v>27.722222222222221</v>
      </c>
      <c r="O106" s="17">
        <f t="shared" si="9"/>
        <v>178.21428571428572</v>
      </c>
      <c r="P106" s="16">
        <f t="shared" si="10"/>
        <v>1.3981507425049033</v>
      </c>
      <c r="Q106" s="16">
        <f t="shared" si="11"/>
        <v>0.77965931863727456</v>
      </c>
      <c r="R106" s="2" t="s">
        <v>234</v>
      </c>
      <c r="S106" s="21" t="s">
        <v>35</v>
      </c>
      <c r="T106" s="21" t="s">
        <v>17</v>
      </c>
      <c r="U106" s="8">
        <v>9980</v>
      </c>
      <c r="V106" s="11">
        <v>1</v>
      </c>
      <c r="W106" t="str">
        <f>IF(Table1[[#This Row],[Satisfaction Rating]]&lt;2, "Low", IF(Table1[[#This Row],[Satisfaction Rating]]&lt;4, "Medium", "High"))</f>
        <v>Low</v>
      </c>
    </row>
    <row r="107" spans="1:23" ht="13" x14ac:dyDescent="0.15">
      <c r="A107" s="2" t="s">
        <v>235</v>
      </c>
      <c r="B107" s="23">
        <v>45153.808506944442</v>
      </c>
      <c r="C107" s="23">
        <v>45402.674687500003</v>
      </c>
      <c r="D107" s="23" t="str">
        <f>IF(Table1[[#This Row],[Duration of Campaign]]=0, "Ongoing","Completed")</f>
        <v>Completed</v>
      </c>
      <c r="E107" s="25">
        <f>Table1[[#This Row],[End Date]]-Table1[[#This Row],[Start Date]]</f>
        <v>248.86618055556028</v>
      </c>
      <c r="F107" s="8">
        <v>7079</v>
      </c>
      <c r="G107" s="21" t="s">
        <v>19</v>
      </c>
      <c r="H107" s="11">
        <v>12778</v>
      </c>
      <c r="I107" s="11">
        <v>467</v>
      </c>
      <c r="J107" s="11">
        <v>145</v>
      </c>
      <c r="K107" s="13">
        <v>4349</v>
      </c>
      <c r="L107" s="16">
        <f t="shared" si="6"/>
        <v>3.6547190483643764E-2</v>
      </c>
      <c r="M107" s="16">
        <f t="shared" si="7"/>
        <v>0.31049250535331907</v>
      </c>
      <c r="N107" s="17">
        <f t="shared" si="8"/>
        <v>20.907922912205567</v>
      </c>
      <c r="O107" s="17">
        <f t="shared" si="9"/>
        <v>67.337931034482764</v>
      </c>
      <c r="P107" s="16">
        <f t="shared" si="10"/>
        <v>1.3792908602910015</v>
      </c>
      <c r="Q107" s="16">
        <f t="shared" si="11"/>
        <v>0.44541171650962719</v>
      </c>
      <c r="R107" s="2" t="s">
        <v>236</v>
      </c>
      <c r="S107" s="21" t="s">
        <v>16</v>
      </c>
      <c r="T107" s="21" t="s">
        <v>17</v>
      </c>
      <c r="U107" s="8">
        <v>9764</v>
      </c>
      <c r="V107" s="11">
        <v>1</v>
      </c>
      <c r="W107" t="str">
        <f>IF(Table1[[#This Row],[Satisfaction Rating]]&lt;2, "Low", IF(Table1[[#This Row],[Satisfaction Rating]]&lt;4, "Medium", "High"))</f>
        <v>Low</v>
      </c>
    </row>
    <row r="108" spans="1:23" ht="13" x14ac:dyDescent="0.15">
      <c r="A108" s="2" t="s">
        <v>237</v>
      </c>
      <c r="B108" s="23">
        <v>45171.935659722221</v>
      </c>
      <c r="C108" s="23">
        <v>45215.05159722222</v>
      </c>
      <c r="D108" s="23" t="str">
        <f>IF(Table1[[#This Row],[Duration of Campaign]]=0, "Ongoing","Completed")</f>
        <v>Completed</v>
      </c>
      <c r="E108" s="25">
        <f>Table1[[#This Row],[End Date]]-Table1[[#This Row],[Start Date]]</f>
        <v>43.115937499998836</v>
      </c>
      <c r="F108" s="8">
        <v>6157</v>
      </c>
      <c r="G108" s="21" t="s">
        <v>19</v>
      </c>
      <c r="H108" s="11">
        <v>1673</v>
      </c>
      <c r="I108" s="11">
        <v>1777</v>
      </c>
      <c r="J108" s="11">
        <v>486</v>
      </c>
      <c r="K108" s="13">
        <v>7042</v>
      </c>
      <c r="L108" s="16">
        <f t="shared" si="6"/>
        <v>1.0621637776449493</v>
      </c>
      <c r="M108" s="16">
        <f t="shared" si="7"/>
        <v>0.27349465391108613</v>
      </c>
      <c r="N108" s="17">
        <f t="shared" si="8"/>
        <v>4.5047833427124369</v>
      </c>
      <c r="O108" s="17">
        <f t="shared" si="9"/>
        <v>16.47119341563786</v>
      </c>
      <c r="P108" s="16">
        <f t="shared" si="10"/>
        <v>1.3001461750852688</v>
      </c>
      <c r="Q108" s="16">
        <f t="shared" si="11"/>
        <v>0.87970018738288569</v>
      </c>
      <c r="R108" s="2" t="s">
        <v>238</v>
      </c>
      <c r="S108" s="21" t="s">
        <v>21</v>
      </c>
      <c r="T108" s="21" t="s">
        <v>45</v>
      </c>
      <c r="U108" s="8">
        <v>8005</v>
      </c>
      <c r="V108" s="11">
        <v>1</v>
      </c>
      <c r="W108" t="str">
        <f>IF(Table1[[#This Row],[Satisfaction Rating]]&lt;2, "Low", IF(Table1[[#This Row],[Satisfaction Rating]]&lt;4, "Medium", "High"))</f>
        <v>Low</v>
      </c>
    </row>
    <row r="109" spans="1:23" ht="13" x14ac:dyDescent="0.15">
      <c r="A109" s="2" t="s">
        <v>239</v>
      </c>
      <c r="B109" s="23">
        <v>45337.904490740744</v>
      </c>
      <c r="C109" s="23">
        <v>45375.868414351855</v>
      </c>
      <c r="D109" s="23" t="str">
        <f>IF(Table1[[#This Row],[Duration of Campaign]]=0, "Ongoing","Completed")</f>
        <v>Completed</v>
      </c>
      <c r="E109" s="25">
        <f>Table1[[#This Row],[End Date]]-Table1[[#This Row],[Start Date]]</f>
        <v>37.963923611110658</v>
      </c>
      <c r="F109" s="8">
        <v>5699</v>
      </c>
      <c r="G109" s="21" t="s">
        <v>19</v>
      </c>
      <c r="H109" s="11">
        <v>17622</v>
      </c>
      <c r="I109" s="11">
        <v>1319</v>
      </c>
      <c r="J109" s="11">
        <v>457</v>
      </c>
      <c r="K109" s="13">
        <v>968</v>
      </c>
      <c r="L109" s="16">
        <f t="shared" si="6"/>
        <v>7.4849619793440014E-2</v>
      </c>
      <c r="M109" s="16">
        <f t="shared" si="7"/>
        <v>0.34647460197119029</v>
      </c>
      <c r="N109" s="17">
        <f t="shared" si="8"/>
        <v>13.794541319181198</v>
      </c>
      <c r="O109" s="17">
        <f t="shared" si="9"/>
        <v>39.814004376367613</v>
      </c>
      <c r="P109" s="16">
        <f t="shared" si="10"/>
        <v>3.192665379891209</v>
      </c>
      <c r="Q109" s="16">
        <f t="shared" si="11"/>
        <v>5.3201428964001096E-2</v>
      </c>
      <c r="R109" s="2" t="s">
        <v>240</v>
      </c>
      <c r="S109" s="21" t="s">
        <v>30</v>
      </c>
      <c r="T109" s="21" t="s">
        <v>45</v>
      </c>
      <c r="U109" s="8">
        <v>18195</v>
      </c>
      <c r="V109" s="11">
        <v>3</v>
      </c>
      <c r="W109" t="str">
        <f>IF(Table1[[#This Row],[Satisfaction Rating]]&lt;2, "Low", IF(Table1[[#This Row],[Satisfaction Rating]]&lt;4, "Medium", "High"))</f>
        <v>Medium</v>
      </c>
    </row>
    <row r="110" spans="1:23" ht="13" x14ac:dyDescent="0.15">
      <c r="A110" s="2" t="s">
        <v>241</v>
      </c>
      <c r="B110" s="23">
        <v>45436.052361111113</v>
      </c>
      <c r="C110" s="23">
        <v>45436.052361111113</v>
      </c>
      <c r="D110" s="23" t="str">
        <f>IF(Table1[[#This Row],[Duration of Campaign]]=0, "Ongoing","Completed")</f>
        <v>Ongoing</v>
      </c>
      <c r="E110" s="25">
        <f>Table1[[#This Row],[End Date]]-Table1[[#This Row],[Start Date]]</f>
        <v>0</v>
      </c>
      <c r="F110" s="8">
        <v>3947</v>
      </c>
      <c r="G110" s="21" t="s">
        <v>19</v>
      </c>
      <c r="H110" s="11">
        <v>19587</v>
      </c>
      <c r="I110" s="11">
        <v>559</v>
      </c>
      <c r="J110" s="11">
        <v>165</v>
      </c>
      <c r="K110" s="13">
        <v>10061</v>
      </c>
      <c r="L110" s="16">
        <f t="shared" si="6"/>
        <v>2.8539337315566446E-2</v>
      </c>
      <c r="M110" s="16">
        <f t="shared" si="7"/>
        <v>0.29516994633273702</v>
      </c>
      <c r="N110" s="17">
        <f t="shared" si="8"/>
        <v>13.010733452593918</v>
      </c>
      <c r="O110" s="17">
        <f t="shared" si="9"/>
        <v>44.078787878787878</v>
      </c>
      <c r="P110" s="16">
        <f t="shared" si="10"/>
        <v>1.8426653154294401</v>
      </c>
      <c r="Q110" s="16">
        <f t="shared" si="11"/>
        <v>1.3833356249140658</v>
      </c>
      <c r="R110" s="2" t="s">
        <v>242</v>
      </c>
      <c r="S110" s="21" t="s">
        <v>24</v>
      </c>
      <c r="T110" s="21" t="s">
        <v>17</v>
      </c>
      <c r="U110" s="8">
        <v>7273</v>
      </c>
      <c r="V110" s="11">
        <v>3</v>
      </c>
      <c r="W110" t="str">
        <f>IF(Table1[[#This Row],[Satisfaction Rating]]&lt;2, "Low", IF(Table1[[#This Row],[Satisfaction Rating]]&lt;4, "Medium", "High"))</f>
        <v>Medium</v>
      </c>
    </row>
    <row r="111" spans="1:23" ht="13" x14ac:dyDescent="0.15">
      <c r="A111" s="2" t="s">
        <v>243</v>
      </c>
      <c r="B111" s="23">
        <v>45089.748229166667</v>
      </c>
      <c r="C111" s="23">
        <v>45101.690694444442</v>
      </c>
      <c r="D111" s="23" t="str">
        <f>IF(Table1[[#This Row],[Duration of Campaign]]=0, "Ongoing","Completed")</f>
        <v>Completed</v>
      </c>
      <c r="E111" s="25">
        <f>Table1[[#This Row],[End Date]]-Table1[[#This Row],[Start Date]]</f>
        <v>11.942465277774318</v>
      </c>
      <c r="F111" s="8">
        <v>6938</v>
      </c>
      <c r="G111" s="21" t="s">
        <v>19</v>
      </c>
      <c r="H111" s="11">
        <v>18649</v>
      </c>
      <c r="I111" s="11">
        <v>433</v>
      </c>
      <c r="J111" s="11">
        <v>107</v>
      </c>
      <c r="K111" s="13">
        <v>5910</v>
      </c>
      <c r="L111" s="16">
        <f t="shared" si="6"/>
        <v>2.3218403131535201E-2</v>
      </c>
      <c r="M111" s="16">
        <f t="shared" si="7"/>
        <v>0.24711316397228639</v>
      </c>
      <c r="N111" s="17">
        <f t="shared" si="8"/>
        <v>3.840646651270208</v>
      </c>
      <c r="O111" s="17">
        <f t="shared" si="9"/>
        <v>15.542056074766355</v>
      </c>
      <c r="P111" s="16">
        <f t="shared" si="10"/>
        <v>0.23969443643701355</v>
      </c>
      <c r="Q111" s="16">
        <f t="shared" si="11"/>
        <v>3.5538184004810582</v>
      </c>
      <c r="R111" s="2" t="s">
        <v>244</v>
      </c>
      <c r="S111" s="21" t="s">
        <v>35</v>
      </c>
      <c r="T111" s="21" t="s">
        <v>27</v>
      </c>
      <c r="U111" s="8">
        <v>1663</v>
      </c>
      <c r="V111" s="11">
        <v>3</v>
      </c>
      <c r="W111" t="str">
        <f>IF(Table1[[#This Row],[Satisfaction Rating]]&lt;2, "Low", IF(Table1[[#This Row],[Satisfaction Rating]]&lt;4, "Medium", "High"))</f>
        <v>Medium</v>
      </c>
    </row>
    <row r="112" spans="1:23" ht="13" x14ac:dyDescent="0.15">
      <c r="A112" s="2" t="s">
        <v>245</v>
      </c>
      <c r="B112" s="23">
        <v>44930.652037037034</v>
      </c>
      <c r="C112" s="23">
        <v>45367.261793981481</v>
      </c>
      <c r="D112" s="23" t="str">
        <f>IF(Table1[[#This Row],[Duration of Campaign]]=0, "Ongoing","Completed")</f>
        <v>Completed</v>
      </c>
      <c r="E112" s="25">
        <f>Table1[[#This Row],[End Date]]-Table1[[#This Row],[Start Date]]</f>
        <v>436.60975694444642</v>
      </c>
      <c r="F112" s="8">
        <v>4643</v>
      </c>
      <c r="G112" s="21" t="s">
        <v>53</v>
      </c>
      <c r="H112" s="11">
        <v>2903</v>
      </c>
      <c r="I112" s="11">
        <v>849</v>
      </c>
      <c r="J112" s="11">
        <v>267</v>
      </c>
      <c r="K112" s="13">
        <v>895</v>
      </c>
      <c r="L112" s="16">
        <f t="shared" si="6"/>
        <v>0.29245607991732692</v>
      </c>
      <c r="M112" s="16">
        <f t="shared" si="7"/>
        <v>0.31448763250883394</v>
      </c>
      <c r="N112" s="17">
        <f t="shared" si="8"/>
        <v>9.0129564193168434</v>
      </c>
      <c r="O112" s="17">
        <f t="shared" si="9"/>
        <v>28.659176029962548</v>
      </c>
      <c r="P112" s="16">
        <f t="shared" si="10"/>
        <v>1.6480723670040922</v>
      </c>
      <c r="Q112" s="16">
        <f t="shared" si="11"/>
        <v>0.11696288552012546</v>
      </c>
      <c r="R112" s="2" t="s">
        <v>246</v>
      </c>
      <c r="S112" s="21" t="s">
        <v>16</v>
      </c>
      <c r="T112" s="21" t="s">
        <v>45</v>
      </c>
      <c r="U112" s="8">
        <v>7652</v>
      </c>
      <c r="V112" s="11">
        <v>5</v>
      </c>
      <c r="W112" t="str">
        <f>IF(Table1[[#This Row],[Satisfaction Rating]]&lt;2, "Low", IF(Table1[[#This Row],[Satisfaction Rating]]&lt;4, "Medium", "High"))</f>
        <v>High</v>
      </c>
    </row>
    <row r="113" spans="1:23" ht="13" x14ac:dyDescent="0.15">
      <c r="A113" s="2" t="s">
        <v>247</v>
      </c>
      <c r="B113" s="23">
        <v>45022.763240740744</v>
      </c>
      <c r="C113" s="23">
        <v>45414.987337962964</v>
      </c>
      <c r="D113" s="23" t="str">
        <f>IF(Table1[[#This Row],[Duration of Campaign]]=0, "Ongoing","Completed")</f>
        <v>Completed</v>
      </c>
      <c r="E113" s="25">
        <f>Table1[[#This Row],[End Date]]-Table1[[#This Row],[Start Date]]</f>
        <v>392.22409722222073</v>
      </c>
      <c r="F113" s="8">
        <v>1129</v>
      </c>
      <c r="G113" s="21" t="s">
        <v>53</v>
      </c>
      <c r="H113" s="11">
        <v>19332</v>
      </c>
      <c r="I113" s="11">
        <v>1492</v>
      </c>
      <c r="J113" s="11">
        <v>474</v>
      </c>
      <c r="K113" s="13">
        <v>14557</v>
      </c>
      <c r="L113" s="16">
        <f t="shared" si="6"/>
        <v>7.7177736395613497E-2</v>
      </c>
      <c r="M113" s="16">
        <f t="shared" si="7"/>
        <v>0.31769436997319034</v>
      </c>
      <c r="N113" s="17">
        <f t="shared" si="8"/>
        <v>1.0650134048257374</v>
      </c>
      <c r="O113" s="17">
        <f t="shared" si="9"/>
        <v>3.352320675105485</v>
      </c>
      <c r="P113" s="16">
        <f t="shared" si="10"/>
        <v>1.4074402125775023</v>
      </c>
      <c r="Q113" s="16">
        <f t="shared" si="11"/>
        <v>9.1611076148521082</v>
      </c>
      <c r="R113" s="2" t="s">
        <v>248</v>
      </c>
      <c r="S113" s="21" t="s">
        <v>30</v>
      </c>
      <c r="T113" s="21" t="s">
        <v>45</v>
      </c>
      <c r="U113" s="8">
        <v>1589</v>
      </c>
      <c r="V113" s="11">
        <v>1</v>
      </c>
      <c r="W113" t="str">
        <f>IF(Table1[[#This Row],[Satisfaction Rating]]&lt;2, "Low", IF(Table1[[#This Row],[Satisfaction Rating]]&lt;4, "Medium", "High"))</f>
        <v>Low</v>
      </c>
    </row>
    <row r="114" spans="1:23" ht="13" x14ac:dyDescent="0.15">
      <c r="A114" s="2" t="s">
        <v>249</v>
      </c>
      <c r="B114" s="23">
        <v>45575.970324074071</v>
      </c>
      <c r="C114" s="23">
        <v>45575.970324074071</v>
      </c>
      <c r="D114" s="23" t="str">
        <f>IF(Table1[[#This Row],[Duration of Campaign]]=0, "Ongoing","Completed")</f>
        <v>Ongoing</v>
      </c>
      <c r="E114" s="25">
        <f>Table1[[#This Row],[End Date]]-Table1[[#This Row],[Start Date]]</f>
        <v>0</v>
      </c>
      <c r="F114" s="8">
        <v>8949</v>
      </c>
      <c r="G114" s="21" t="s">
        <v>19</v>
      </c>
      <c r="H114" s="11">
        <v>13335</v>
      </c>
      <c r="I114" s="11">
        <v>1387</v>
      </c>
      <c r="J114" s="11">
        <v>248</v>
      </c>
      <c r="K114" s="13">
        <v>10563</v>
      </c>
      <c r="L114" s="16">
        <f t="shared" si="6"/>
        <v>0.10401199850018748</v>
      </c>
      <c r="M114" s="16">
        <f t="shared" si="7"/>
        <v>0.1788031723143475</v>
      </c>
      <c r="N114" s="17">
        <f t="shared" si="8"/>
        <v>10.996395097332371</v>
      </c>
      <c r="O114" s="17">
        <f t="shared" si="9"/>
        <v>61.5</v>
      </c>
      <c r="P114" s="16">
        <f t="shared" si="10"/>
        <v>1.7043245055313443</v>
      </c>
      <c r="Q114" s="16">
        <f t="shared" si="11"/>
        <v>0.69256490952006289</v>
      </c>
      <c r="R114" s="2" t="s">
        <v>250</v>
      </c>
      <c r="S114" s="21" t="s">
        <v>16</v>
      </c>
      <c r="T114" s="21" t="s">
        <v>45</v>
      </c>
      <c r="U114" s="8">
        <v>15252</v>
      </c>
      <c r="V114" s="11">
        <v>2</v>
      </c>
      <c r="W114" t="str">
        <f>IF(Table1[[#This Row],[Satisfaction Rating]]&lt;2, "Low", IF(Table1[[#This Row],[Satisfaction Rating]]&lt;4, "Medium", "High"))</f>
        <v>Medium</v>
      </c>
    </row>
    <row r="115" spans="1:23" ht="13" x14ac:dyDescent="0.15">
      <c r="A115" s="2" t="s">
        <v>251</v>
      </c>
      <c r="B115" s="23">
        <v>45488.686620370368</v>
      </c>
      <c r="C115" s="23">
        <v>45512.040081018517</v>
      </c>
      <c r="D115" s="23" t="str">
        <f>IF(Table1[[#This Row],[Duration of Campaign]]=0, "Ongoing","Completed")</f>
        <v>Completed</v>
      </c>
      <c r="E115" s="25">
        <f>Table1[[#This Row],[End Date]]-Table1[[#This Row],[Start Date]]</f>
        <v>23.35346064814803</v>
      </c>
      <c r="F115" s="8">
        <v>4333</v>
      </c>
      <c r="G115" s="21" t="s">
        <v>37</v>
      </c>
      <c r="H115" s="11">
        <v>16679</v>
      </c>
      <c r="I115" s="11">
        <v>1663</v>
      </c>
      <c r="J115" s="11">
        <v>249</v>
      </c>
      <c r="K115" s="13">
        <v>7461</v>
      </c>
      <c r="L115" s="16">
        <f t="shared" si="6"/>
        <v>9.970621739912465E-2</v>
      </c>
      <c r="M115" s="16">
        <f t="shared" si="7"/>
        <v>0.1497294046903187</v>
      </c>
      <c r="N115" s="17">
        <f t="shared" si="8"/>
        <v>5.2453397474443779</v>
      </c>
      <c r="O115" s="17">
        <f t="shared" si="9"/>
        <v>35.032128514056225</v>
      </c>
      <c r="P115" s="16">
        <f t="shared" si="10"/>
        <v>2.013154858066005</v>
      </c>
      <c r="Q115" s="16">
        <f t="shared" si="11"/>
        <v>0.85532500286598645</v>
      </c>
      <c r="R115" s="2" t="s">
        <v>252</v>
      </c>
      <c r="S115" s="21" t="s">
        <v>24</v>
      </c>
      <c r="T115" s="21" t="s">
        <v>17</v>
      </c>
      <c r="U115" s="8">
        <v>8723</v>
      </c>
      <c r="V115" s="11">
        <v>3</v>
      </c>
      <c r="W115" t="str">
        <f>IF(Table1[[#This Row],[Satisfaction Rating]]&lt;2, "Low", IF(Table1[[#This Row],[Satisfaction Rating]]&lt;4, "Medium", "High"))</f>
        <v>Medium</v>
      </c>
    </row>
    <row r="116" spans="1:23" ht="13" x14ac:dyDescent="0.15">
      <c r="A116" s="2" t="s">
        <v>253</v>
      </c>
      <c r="B116" s="23">
        <v>45542.50440972222</v>
      </c>
      <c r="C116" s="23">
        <v>45542.50440972222</v>
      </c>
      <c r="D116" s="23" t="str">
        <f>IF(Table1[[#This Row],[Duration of Campaign]]=0, "Ongoing","Completed")</f>
        <v>Ongoing</v>
      </c>
      <c r="E116" s="25">
        <f>Table1[[#This Row],[End Date]]-Table1[[#This Row],[Start Date]]</f>
        <v>0</v>
      </c>
      <c r="F116" s="8">
        <v>1255</v>
      </c>
      <c r="G116" s="21" t="s">
        <v>53</v>
      </c>
      <c r="H116" s="11">
        <v>19027</v>
      </c>
      <c r="I116" s="11">
        <v>188</v>
      </c>
      <c r="J116" s="11">
        <v>174</v>
      </c>
      <c r="K116" s="13">
        <v>1387</v>
      </c>
      <c r="L116" s="16">
        <f t="shared" si="6"/>
        <v>9.8806958532611545E-3</v>
      </c>
      <c r="M116" s="16">
        <f t="shared" si="7"/>
        <v>0.92553191489361697</v>
      </c>
      <c r="N116" s="17">
        <f t="shared" si="8"/>
        <v>32.468085106382979</v>
      </c>
      <c r="O116" s="17">
        <f t="shared" si="9"/>
        <v>35.080459770114942</v>
      </c>
      <c r="P116" s="16">
        <f t="shared" si="10"/>
        <v>4.8637450199203185</v>
      </c>
      <c r="Q116" s="16">
        <f t="shared" si="11"/>
        <v>0.22722804718217562</v>
      </c>
      <c r="R116" s="2" t="s">
        <v>254</v>
      </c>
      <c r="S116" s="21" t="s">
        <v>30</v>
      </c>
      <c r="T116" s="21" t="s">
        <v>45</v>
      </c>
      <c r="U116" s="8">
        <v>6104</v>
      </c>
      <c r="V116" s="11">
        <v>4</v>
      </c>
      <c r="W116" t="str">
        <f>IF(Table1[[#This Row],[Satisfaction Rating]]&lt;2, "Low", IF(Table1[[#This Row],[Satisfaction Rating]]&lt;4, "Medium", "High"))</f>
        <v>High</v>
      </c>
    </row>
    <row r="117" spans="1:23" ht="13" x14ac:dyDescent="0.15">
      <c r="A117" s="2" t="s">
        <v>255</v>
      </c>
      <c r="B117" s="23">
        <v>45205.700092592589</v>
      </c>
      <c r="C117" s="23">
        <v>45545.125474537039</v>
      </c>
      <c r="D117" s="23" t="str">
        <f>IF(Table1[[#This Row],[Duration of Campaign]]=0, "Ongoing","Completed")</f>
        <v>Completed</v>
      </c>
      <c r="E117" s="25">
        <f>Table1[[#This Row],[End Date]]-Table1[[#This Row],[Start Date]]</f>
        <v>339.42538194444933</v>
      </c>
      <c r="F117" s="8">
        <v>8055</v>
      </c>
      <c r="G117" s="21" t="s">
        <v>53</v>
      </c>
      <c r="H117" s="11">
        <v>6646</v>
      </c>
      <c r="I117" s="11">
        <v>1597</v>
      </c>
      <c r="J117" s="11">
        <v>225</v>
      </c>
      <c r="K117" s="13">
        <v>11491</v>
      </c>
      <c r="L117" s="16">
        <f t="shared" si="6"/>
        <v>0.2402949142341258</v>
      </c>
      <c r="M117" s="16">
        <f t="shared" si="7"/>
        <v>0.14088916718847841</v>
      </c>
      <c r="N117" s="17">
        <f t="shared" si="8"/>
        <v>9.8365685660613646</v>
      </c>
      <c r="O117" s="17">
        <f t="shared" si="9"/>
        <v>69.817777777777778</v>
      </c>
      <c r="P117" s="16">
        <f t="shared" si="10"/>
        <v>1.9502172563625078</v>
      </c>
      <c r="Q117" s="16">
        <f t="shared" si="11"/>
        <v>0.73149150168693111</v>
      </c>
      <c r="R117" s="2" t="s">
        <v>256</v>
      </c>
      <c r="S117" s="21" t="s">
        <v>21</v>
      </c>
      <c r="T117" s="21" t="s">
        <v>17</v>
      </c>
      <c r="U117" s="8">
        <v>15709</v>
      </c>
      <c r="V117" s="11">
        <v>1</v>
      </c>
      <c r="W117" t="str">
        <f>IF(Table1[[#This Row],[Satisfaction Rating]]&lt;2, "Low", IF(Table1[[#This Row],[Satisfaction Rating]]&lt;4, "Medium", "High"))</f>
        <v>Low</v>
      </c>
    </row>
    <row r="118" spans="1:23" ht="13" x14ac:dyDescent="0.15">
      <c r="A118" s="2" t="s">
        <v>257</v>
      </c>
      <c r="B118" s="23">
        <v>45484.920057870368</v>
      </c>
      <c r="C118" s="23">
        <v>45484.920057870368</v>
      </c>
      <c r="D118" s="23" t="str">
        <f>IF(Table1[[#This Row],[Duration of Campaign]]=0, "Ongoing","Completed")</f>
        <v>Ongoing</v>
      </c>
      <c r="E118" s="25">
        <f>Table1[[#This Row],[End Date]]-Table1[[#This Row],[Start Date]]</f>
        <v>0</v>
      </c>
      <c r="F118" s="8">
        <v>2712</v>
      </c>
      <c r="G118" s="21" t="s">
        <v>53</v>
      </c>
      <c r="H118" s="11">
        <v>5126</v>
      </c>
      <c r="I118" s="11">
        <v>692</v>
      </c>
      <c r="J118" s="11">
        <v>368</v>
      </c>
      <c r="K118" s="13">
        <v>917</v>
      </c>
      <c r="L118" s="16">
        <f t="shared" si="6"/>
        <v>0.13499804916113928</v>
      </c>
      <c r="M118" s="16">
        <f t="shared" si="7"/>
        <v>0.53179190751445082</v>
      </c>
      <c r="N118" s="17">
        <f t="shared" si="8"/>
        <v>10.544797687861271</v>
      </c>
      <c r="O118" s="17">
        <f t="shared" si="9"/>
        <v>19.828804347826086</v>
      </c>
      <c r="P118" s="16">
        <f t="shared" si="10"/>
        <v>2.6906342182890857</v>
      </c>
      <c r="Q118" s="16">
        <f t="shared" si="11"/>
        <v>0.12566808277374264</v>
      </c>
      <c r="R118" s="2" t="s">
        <v>258</v>
      </c>
      <c r="S118" s="21" t="s">
        <v>30</v>
      </c>
      <c r="T118" s="21" t="s">
        <v>27</v>
      </c>
      <c r="U118" s="8">
        <v>7297</v>
      </c>
      <c r="V118" s="11">
        <v>5</v>
      </c>
      <c r="W118" t="str">
        <f>IF(Table1[[#This Row],[Satisfaction Rating]]&lt;2, "Low", IF(Table1[[#This Row],[Satisfaction Rating]]&lt;4, "Medium", "High"))</f>
        <v>High</v>
      </c>
    </row>
    <row r="119" spans="1:23" ht="13" x14ac:dyDescent="0.15">
      <c r="A119" s="2" t="s">
        <v>259</v>
      </c>
      <c r="B119" s="23">
        <v>45062.107893518521</v>
      </c>
      <c r="C119" s="23">
        <v>45547.218877314815</v>
      </c>
      <c r="D119" s="23" t="str">
        <f>IF(Table1[[#This Row],[Duration of Campaign]]=0, "Ongoing","Completed")</f>
        <v>Completed</v>
      </c>
      <c r="E119" s="25">
        <f>Table1[[#This Row],[End Date]]-Table1[[#This Row],[Start Date]]</f>
        <v>485.11098379629402</v>
      </c>
      <c r="F119" s="8">
        <v>3068</v>
      </c>
      <c r="G119" s="21" t="s">
        <v>37</v>
      </c>
      <c r="H119" s="11">
        <v>15685</v>
      </c>
      <c r="I119" s="11">
        <v>1267</v>
      </c>
      <c r="J119" s="11">
        <v>153</v>
      </c>
      <c r="K119" s="13">
        <v>13206</v>
      </c>
      <c r="L119" s="16">
        <f t="shared" si="6"/>
        <v>8.0777813197322287E-2</v>
      </c>
      <c r="M119" s="16">
        <f t="shared" si="7"/>
        <v>0.12075769534333071</v>
      </c>
      <c r="N119" s="17">
        <f t="shared" si="8"/>
        <v>11.021310181531176</v>
      </c>
      <c r="O119" s="17">
        <f t="shared" si="9"/>
        <v>91.267973856209153</v>
      </c>
      <c r="P119" s="16">
        <f t="shared" si="10"/>
        <v>4.5514993481095178</v>
      </c>
      <c r="Q119" s="16">
        <f t="shared" si="11"/>
        <v>0.94571755943855629</v>
      </c>
      <c r="R119" s="2" t="s">
        <v>260</v>
      </c>
      <c r="S119" s="21" t="s">
        <v>30</v>
      </c>
      <c r="T119" s="21" t="s">
        <v>17</v>
      </c>
      <c r="U119" s="8">
        <v>13964</v>
      </c>
      <c r="V119" s="11">
        <v>1</v>
      </c>
      <c r="W119" t="str">
        <f>IF(Table1[[#This Row],[Satisfaction Rating]]&lt;2, "Low", IF(Table1[[#This Row],[Satisfaction Rating]]&lt;4, "Medium", "High"))</f>
        <v>Low</v>
      </c>
    </row>
    <row r="120" spans="1:23" ht="13" x14ac:dyDescent="0.15">
      <c r="A120" s="2" t="s">
        <v>261</v>
      </c>
      <c r="B120" s="23">
        <v>45445.180543981478</v>
      </c>
      <c r="C120" s="23">
        <v>45628.88386574074</v>
      </c>
      <c r="D120" s="23" t="str">
        <f>IF(Table1[[#This Row],[Duration of Campaign]]=0, "Ongoing","Completed")</f>
        <v>Completed</v>
      </c>
      <c r="E120" s="25">
        <f>Table1[[#This Row],[End Date]]-Table1[[#This Row],[Start Date]]</f>
        <v>183.7033217592616</v>
      </c>
      <c r="F120" s="8">
        <v>8132</v>
      </c>
      <c r="G120" s="21" t="s">
        <v>19</v>
      </c>
      <c r="H120" s="11">
        <v>12192</v>
      </c>
      <c r="I120" s="11">
        <v>1332</v>
      </c>
      <c r="J120" s="11">
        <v>417</v>
      </c>
      <c r="K120" s="13">
        <v>2172</v>
      </c>
      <c r="L120" s="16">
        <f t="shared" si="6"/>
        <v>0.10925196850393701</v>
      </c>
      <c r="M120" s="16">
        <f t="shared" si="7"/>
        <v>0.31306306306306309</v>
      </c>
      <c r="N120" s="17">
        <f t="shared" si="8"/>
        <v>1.5908408408408408</v>
      </c>
      <c r="O120" s="17">
        <f t="shared" si="9"/>
        <v>5.0815347721822546</v>
      </c>
      <c r="P120" s="16">
        <f t="shared" si="10"/>
        <v>0.26057550418101327</v>
      </c>
      <c r="Q120" s="16">
        <f t="shared" si="11"/>
        <v>1.025011798017933</v>
      </c>
      <c r="R120" s="2" t="s">
        <v>262</v>
      </c>
      <c r="S120" s="21" t="s">
        <v>35</v>
      </c>
      <c r="T120" s="21" t="s">
        <v>17</v>
      </c>
      <c r="U120" s="8">
        <v>2119</v>
      </c>
      <c r="V120" s="11">
        <v>2</v>
      </c>
      <c r="W120" t="str">
        <f>IF(Table1[[#This Row],[Satisfaction Rating]]&lt;2, "Low", IF(Table1[[#This Row],[Satisfaction Rating]]&lt;4, "Medium", "High"))</f>
        <v>Medium</v>
      </c>
    </row>
    <row r="121" spans="1:23" ht="13" x14ac:dyDescent="0.15">
      <c r="A121" s="2" t="s">
        <v>263</v>
      </c>
      <c r="B121" s="23">
        <v>45507.229166666664</v>
      </c>
      <c r="C121" s="23">
        <v>45606.559918981482</v>
      </c>
      <c r="D121" s="23" t="str">
        <f>IF(Table1[[#This Row],[Duration of Campaign]]=0, "Ongoing","Completed")</f>
        <v>Completed</v>
      </c>
      <c r="E121" s="25">
        <f>Table1[[#This Row],[End Date]]-Table1[[#This Row],[Start Date]]</f>
        <v>99.330752314817801</v>
      </c>
      <c r="F121" s="8">
        <v>2748</v>
      </c>
      <c r="G121" s="21" t="s">
        <v>53</v>
      </c>
      <c r="H121" s="11">
        <v>3968</v>
      </c>
      <c r="I121" s="11">
        <v>1206</v>
      </c>
      <c r="J121" s="11">
        <v>357</v>
      </c>
      <c r="K121" s="13">
        <v>6374</v>
      </c>
      <c r="L121" s="16">
        <f t="shared" si="6"/>
        <v>0.30393145161290325</v>
      </c>
      <c r="M121" s="16">
        <f t="shared" si="7"/>
        <v>0.29601990049751242</v>
      </c>
      <c r="N121" s="17">
        <f t="shared" si="8"/>
        <v>7.1011608623548925</v>
      </c>
      <c r="O121" s="17">
        <f t="shared" si="9"/>
        <v>23.988795518207283</v>
      </c>
      <c r="P121" s="16">
        <f t="shared" si="10"/>
        <v>3.1164483260553131</v>
      </c>
      <c r="Q121" s="16">
        <f t="shared" si="11"/>
        <v>0.74427837459131252</v>
      </c>
      <c r="R121" s="2" t="s">
        <v>264</v>
      </c>
      <c r="S121" s="21" t="s">
        <v>35</v>
      </c>
      <c r="T121" s="21" t="s">
        <v>27</v>
      </c>
      <c r="U121" s="8">
        <v>8564</v>
      </c>
      <c r="V121" s="11">
        <v>1</v>
      </c>
      <c r="W121" t="str">
        <f>IF(Table1[[#This Row],[Satisfaction Rating]]&lt;2, "Low", IF(Table1[[#This Row],[Satisfaction Rating]]&lt;4, "Medium", "High"))</f>
        <v>Low</v>
      </c>
    </row>
    <row r="122" spans="1:23" ht="13" x14ac:dyDescent="0.15">
      <c r="A122" s="2" t="s">
        <v>265</v>
      </c>
      <c r="B122" s="23">
        <v>45393.826203703706</v>
      </c>
      <c r="C122" s="23">
        <v>45393.826203703706</v>
      </c>
      <c r="D122" s="23" t="str">
        <f>IF(Table1[[#This Row],[Duration of Campaign]]=0, "Ongoing","Completed")</f>
        <v>Ongoing</v>
      </c>
      <c r="E122" s="25">
        <f>Table1[[#This Row],[End Date]]-Table1[[#This Row],[Start Date]]</f>
        <v>0</v>
      </c>
      <c r="F122" s="8">
        <v>3122</v>
      </c>
      <c r="G122" s="21" t="s">
        <v>19</v>
      </c>
      <c r="H122" s="11">
        <v>3248</v>
      </c>
      <c r="I122" s="11">
        <v>754</v>
      </c>
      <c r="J122" s="11">
        <v>97</v>
      </c>
      <c r="K122" s="13">
        <v>9770</v>
      </c>
      <c r="L122" s="16">
        <f t="shared" si="6"/>
        <v>0.23214285714285715</v>
      </c>
      <c r="M122" s="16">
        <f t="shared" si="7"/>
        <v>0.1286472148541114</v>
      </c>
      <c r="N122" s="17">
        <f t="shared" si="8"/>
        <v>16.575596816976127</v>
      </c>
      <c r="O122" s="17">
        <f t="shared" si="9"/>
        <v>128.84536082474227</v>
      </c>
      <c r="P122" s="16">
        <f t="shared" si="10"/>
        <v>4.003203074951954</v>
      </c>
      <c r="Q122" s="16">
        <f t="shared" si="11"/>
        <v>0.7817250760121619</v>
      </c>
      <c r="R122" s="2" t="s">
        <v>266</v>
      </c>
      <c r="S122" s="21" t="s">
        <v>16</v>
      </c>
      <c r="T122" s="21" t="s">
        <v>17</v>
      </c>
      <c r="U122" s="8">
        <v>12498</v>
      </c>
      <c r="V122" s="11">
        <v>5</v>
      </c>
      <c r="W122" t="str">
        <f>IF(Table1[[#This Row],[Satisfaction Rating]]&lt;2, "Low", IF(Table1[[#This Row],[Satisfaction Rating]]&lt;4, "Medium", "High"))</f>
        <v>High</v>
      </c>
    </row>
    <row r="123" spans="1:23" ht="13" x14ac:dyDescent="0.15">
      <c r="A123" s="2" t="s">
        <v>267</v>
      </c>
      <c r="B123" s="23">
        <v>45480.047199074077</v>
      </c>
      <c r="C123" s="23">
        <v>45480.047199074077</v>
      </c>
      <c r="D123" s="23" t="str">
        <f>IF(Table1[[#This Row],[Duration of Campaign]]=0, "Ongoing","Completed")</f>
        <v>Ongoing</v>
      </c>
      <c r="E123" s="25">
        <f>Table1[[#This Row],[End Date]]-Table1[[#This Row],[Start Date]]</f>
        <v>0</v>
      </c>
      <c r="F123" s="8">
        <v>5426</v>
      </c>
      <c r="G123" s="21" t="s">
        <v>14</v>
      </c>
      <c r="H123" s="11">
        <v>13502</v>
      </c>
      <c r="I123" s="11">
        <v>894</v>
      </c>
      <c r="J123" s="11">
        <v>431</v>
      </c>
      <c r="K123" s="13">
        <v>1297</v>
      </c>
      <c r="L123" s="16">
        <f t="shared" si="6"/>
        <v>6.6212412975855423E-2</v>
      </c>
      <c r="M123" s="16">
        <f t="shared" si="7"/>
        <v>0.48210290827740493</v>
      </c>
      <c r="N123" s="17">
        <f t="shared" si="8"/>
        <v>11.280760626398211</v>
      </c>
      <c r="O123" s="17">
        <f t="shared" si="9"/>
        <v>23.399071925754061</v>
      </c>
      <c r="P123" s="16">
        <f t="shared" si="10"/>
        <v>1.8586435680058975</v>
      </c>
      <c r="Q123" s="16">
        <f t="shared" si="11"/>
        <v>0.12860684184432325</v>
      </c>
      <c r="R123" s="2" t="s">
        <v>268</v>
      </c>
      <c r="S123" s="21" t="s">
        <v>24</v>
      </c>
      <c r="T123" s="21" t="s">
        <v>27</v>
      </c>
      <c r="U123" s="8">
        <v>10085</v>
      </c>
      <c r="V123" s="11">
        <v>5</v>
      </c>
      <c r="W123" t="str">
        <f>IF(Table1[[#This Row],[Satisfaction Rating]]&lt;2, "Low", IF(Table1[[#This Row],[Satisfaction Rating]]&lt;4, "Medium", "High"))</f>
        <v>High</v>
      </c>
    </row>
    <row r="124" spans="1:23" ht="13" x14ac:dyDescent="0.15">
      <c r="A124" s="2" t="s">
        <v>269</v>
      </c>
      <c r="B124" s="23">
        <v>45068.23201388889</v>
      </c>
      <c r="C124" s="23">
        <v>45473.540393518517</v>
      </c>
      <c r="D124" s="23" t="str">
        <f>IF(Table1[[#This Row],[Duration of Campaign]]=0, "Ongoing","Completed")</f>
        <v>Completed</v>
      </c>
      <c r="E124" s="25">
        <f>Table1[[#This Row],[End Date]]-Table1[[#This Row],[Start Date]]</f>
        <v>405.30837962962687</v>
      </c>
      <c r="F124" s="8">
        <v>1535</v>
      </c>
      <c r="G124" s="21" t="s">
        <v>37</v>
      </c>
      <c r="H124" s="11">
        <v>15698</v>
      </c>
      <c r="I124" s="11">
        <v>1645</v>
      </c>
      <c r="J124" s="11">
        <v>119</v>
      </c>
      <c r="K124" s="13">
        <v>5869</v>
      </c>
      <c r="L124" s="16">
        <f t="shared" si="6"/>
        <v>0.10479041916167664</v>
      </c>
      <c r="M124" s="16">
        <f t="shared" si="7"/>
        <v>7.2340425531914887E-2</v>
      </c>
      <c r="N124" s="17">
        <f t="shared" si="8"/>
        <v>10.293009118541033</v>
      </c>
      <c r="O124" s="17">
        <f t="shared" si="9"/>
        <v>142.28571428571428</v>
      </c>
      <c r="P124" s="16">
        <f t="shared" si="10"/>
        <v>11.030618892508143</v>
      </c>
      <c r="Q124" s="16">
        <f t="shared" si="11"/>
        <v>0.34662178124261755</v>
      </c>
      <c r="R124" s="2" t="s">
        <v>270</v>
      </c>
      <c r="S124" s="21" t="s">
        <v>16</v>
      </c>
      <c r="T124" s="21" t="s">
        <v>27</v>
      </c>
      <c r="U124" s="8">
        <v>16932</v>
      </c>
      <c r="V124" s="11">
        <v>5</v>
      </c>
      <c r="W124" t="str">
        <f>IF(Table1[[#This Row],[Satisfaction Rating]]&lt;2, "Low", IF(Table1[[#This Row],[Satisfaction Rating]]&lt;4, "Medium", "High"))</f>
        <v>High</v>
      </c>
    </row>
    <row r="125" spans="1:23" ht="13" x14ac:dyDescent="0.15">
      <c r="A125" s="2" t="s">
        <v>271</v>
      </c>
      <c r="B125" s="23">
        <v>45471.895995370367</v>
      </c>
      <c r="C125" s="23">
        <v>45471.895995370367</v>
      </c>
      <c r="D125" s="23" t="str">
        <f>IF(Table1[[#This Row],[Duration of Campaign]]=0, "Ongoing","Completed")</f>
        <v>Ongoing</v>
      </c>
      <c r="E125" s="25">
        <f>Table1[[#This Row],[End Date]]-Table1[[#This Row],[Start Date]]</f>
        <v>0</v>
      </c>
      <c r="F125" s="8">
        <v>4609</v>
      </c>
      <c r="G125" s="21" t="s">
        <v>14</v>
      </c>
      <c r="H125" s="11">
        <v>17030</v>
      </c>
      <c r="I125" s="11">
        <v>131</v>
      </c>
      <c r="J125" s="11">
        <v>71</v>
      </c>
      <c r="K125" s="13">
        <v>11246</v>
      </c>
      <c r="L125" s="16">
        <f t="shared" si="6"/>
        <v>7.6923076923076927E-3</v>
      </c>
      <c r="M125" s="16">
        <f t="shared" si="7"/>
        <v>0.5419847328244275</v>
      </c>
      <c r="N125" s="17">
        <f t="shared" si="8"/>
        <v>80.297709923664115</v>
      </c>
      <c r="O125" s="17">
        <f t="shared" si="9"/>
        <v>148.1549295774648</v>
      </c>
      <c r="P125" s="16">
        <f t="shared" si="10"/>
        <v>2.2822738121067476</v>
      </c>
      <c r="Q125" s="16">
        <f t="shared" si="11"/>
        <v>1.069113033558323</v>
      </c>
      <c r="R125" s="2" t="s">
        <v>272</v>
      </c>
      <c r="S125" s="21" t="s">
        <v>24</v>
      </c>
      <c r="T125" s="21" t="s">
        <v>17</v>
      </c>
      <c r="U125" s="8">
        <v>10519</v>
      </c>
      <c r="V125" s="11">
        <v>4</v>
      </c>
      <c r="W125" t="str">
        <f>IF(Table1[[#This Row],[Satisfaction Rating]]&lt;2, "Low", IF(Table1[[#This Row],[Satisfaction Rating]]&lt;4, "Medium", "High"))</f>
        <v>High</v>
      </c>
    </row>
    <row r="126" spans="1:23" ht="13" x14ac:dyDescent="0.15">
      <c r="A126" s="2" t="s">
        <v>273</v>
      </c>
      <c r="B126" s="23">
        <v>45439.503333333334</v>
      </c>
      <c r="C126" s="23">
        <v>45484.010104166664</v>
      </c>
      <c r="D126" s="23" t="str">
        <f>IF(Table1[[#This Row],[Duration of Campaign]]=0, "Ongoing","Completed")</f>
        <v>Completed</v>
      </c>
      <c r="E126" s="25">
        <f>Table1[[#This Row],[End Date]]-Table1[[#This Row],[Start Date]]</f>
        <v>44.506770833329938</v>
      </c>
      <c r="F126" s="8">
        <v>3494</v>
      </c>
      <c r="G126" s="21" t="s">
        <v>53</v>
      </c>
      <c r="H126" s="11">
        <v>12349</v>
      </c>
      <c r="I126" s="11">
        <v>871</v>
      </c>
      <c r="J126" s="11">
        <v>23</v>
      </c>
      <c r="K126" s="13">
        <v>14951</v>
      </c>
      <c r="L126" s="16">
        <f t="shared" si="6"/>
        <v>7.0532026884767993E-2</v>
      </c>
      <c r="M126" s="16">
        <f t="shared" si="7"/>
        <v>2.6406429391504019E-2</v>
      </c>
      <c r="N126" s="17">
        <f t="shared" si="8"/>
        <v>6.5510907003444316</v>
      </c>
      <c r="O126" s="17">
        <f t="shared" si="9"/>
        <v>248.08695652173913</v>
      </c>
      <c r="P126" s="16">
        <f t="shared" si="10"/>
        <v>1.633085289066972</v>
      </c>
      <c r="Q126" s="16">
        <f t="shared" si="11"/>
        <v>2.6202243252716437</v>
      </c>
      <c r="R126" s="2" t="s">
        <v>274</v>
      </c>
      <c r="S126" s="21" t="s">
        <v>24</v>
      </c>
      <c r="T126" s="21" t="s">
        <v>17</v>
      </c>
      <c r="U126" s="8">
        <v>5706</v>
      </c>
      <c r="V126" s="11">
        <v>2</v>
      </c>
      <c r="W126" t="str">
        <f>IF(Table1[[#This Row],[Satisfaction Rating]]&lt;2, "Low", IF(Table1[[#This Row],[Satisfaction Rating]]&lt;4, "Medium", "High"))</f>
        <v>Medium</v>
      </c>
    </row>
    <row r="127" spans="1:23" ht="13" x14ac:dyDescent="0.15">
      <c r="A127" s="2" t="s">
        <v>275</v>
      </c>
      <c r="B127" s="23">
        <v>45388.104490740741</v>
      </c>
      <c r="C127" s="23">
        <v>45535.163252314815</v>
      </c>
      <c r="D127" s="23" t="str">
        <f>IF(Table1[[#This Row],[Duration of Campaign]]=0, "Ongoing","Completed")</f>
        <v>Completed</v>
      </c>
      <c r="E127" s="25">
        <f>Table1[[#This Row],[End Date]]-Table1[[#This Row],[Start Date]]</f>
        <v>147.05876157407329</v>
      </c>
      <c r="F127" s="8">
        <v>2139</v>
      </c>
      <c r="G127" s="21" t="s">
        <v>53</v>
      </c>
      <c r="H127" s="11">
        <v>7670</v>
      </c>
      <c r="I127" s="11">
        <v>633</v>
      </c>
      <c r="J127" s="11">
        <v>321</v>
      </c>
      <c r="K127" s="13">
        <v>9153</v>
      </c>
      <c r="L127" s="16">
        <f t="shared" si="6"/>
        <v>8.2529335071707954E-2</v>
      </c>
      <c r="M127" s="16">
        <f t="shared" si="7"/>
        <v>0.50710900473933651</v>
      </c>
      <c r="N127" s="17">
        <f t="shared" si="8"/>
        <v>23.003159557661927</v>
      </c>
      <c r="O127" s="17">
        <f t="shared" si="9"/>
        <v>45.361370716510905</v>
      </c>
      <c r="P127" s="16">
        <f t="shared" si="10"/>
        <v>6.8073866292660119</v>
      </c>
      <c r="Q127" s="16">
        <f t="shared" si="11"/>
        <v>0.62859693702355612</v>
      </c>
      <c r="R127" s="2" t="s">
        <v>276</v>
      </c>
      <c r="S127" s="21" t="s">
        <v>24</v>
      </c>
      <c r="T127" s="21" t="s">
        <v>45</v>
      </c>
      <c r="U127" s="8">
        <v>14561</v>
      </c>
      <c r="V127" s="11">
        <v>1</v>
      </c>
      <c r="W127" t="str">
        <f>IF(Table1[[#This Row],[Satisfaction Rating]]&lt;2, "Low", IF(Table1[[#This Row],[Satisfaction Rating]]&lt;4, "Medium", "High"))</f>
        <v>Low</v>
      </c>
    </row>
    <row r="128" spans="1:23" ht="13" x14ac:dyDescent="0.15">
      <c r="A128" s="2" t="s">
        <v>277</v>
      </c>
      <c r="B128" s="23">
        <v>45323.327685185184</v>
      </c>
      <c r="C128" s="23">
        <v>45384.461157407408</v>
      </c>
      <c r="D128" s="23" t="str">
        <f>IF(Table1[[#This Row],[Duration of Campaign]]=0, "Ongoing","Completed")</f>
        <v>Completed</v>
      </c>
      <c r="E128" s="25">
        <f>Table1[[#This Row],[End Date]]-Table1[[#This Row],[Start Date]]</f>
        <v>61.133472222223645</v>
      </c>
      <c r="F128" s="8">
        <v>2827</v>
      </c>
      <c r="G128" s="21" t="s">
        <v>19</v>
      </c>
      <c r="H128" s="11">
        <v>18484</v>
      </c>
      <c r="I128" s="11">
        <v>1946</v>
      </c>
      <c r="J128" s="11">
        <v>245</v>
      </c>
      <c r="K128" s="13">
        <v>14289</v>
      </c>
      <c r="L128" s="16">
        <f t="shared" si="6"/>
        <v>0.105280242371781</v>
      </c>
      <c r="M128" s="16">
        <f t="shared" si="7"/>
        <v>0.12589928057553956</v>
      </c>
      <c r="N128" s="17">
        <f t="shared" si="8"/>
        <v>1.5817060637204523</v>
      </c>
      <c r="O128" s="17">
        <f t="shared" si="9"/>
        <v>12.56326530612245</v>
      </c>
      <c r="P128" s="16">
        <f t="shared" si="10"/>
        <v>1.0887866996816413</v>
      </c>
      <c r="Q128" s="16">
        <f t="shared" si="11"/>
        <v>4.6423001949317735</v>
      </c>
      <c r="R128" s="2" t="s">
        <v>278</v>
      </c>
      <c r="S128" s="21" t="s">
        <v>30</v>
      </c>
      <c r="T128" s="21" t="s">
        <v>17</v>
      </c>
      <c r="U128" s="8">
        <v>3078</v>
      </c>
      <c r="V128" s="11">
        <v>4</v>
      </c>
      <c r="W128" t="str">
        <f>IF(Table1[[#This Row],[Satisfaction Rating]]&lt;2, "Low", IF(Table1[[#This Row],[Satisfaction Rating]]&lt;4, "Medium", "High"))</f>
        <v>High</v>
      </c>
    </row>
    <row r="129" spans="1:23" ht="13" x14ac:dyDescent="0.15">
      <c r="A129" s="2" t="s">
        <v>279</v>
      </c>
      <c r="B129" s="23">
        <v>44995.284143518518</v>
      </c>
      <c r="C129" s="23">
        <v>44995.284143518518</v>
      </c>
      <c r="D129" s="23" t="str">
        <f>IF(Table1[[#This Row],[Duration of Campaign]]=0, "Ongoing","Completed")</f>
        <v>Ongoing</v>
      </c>
      <c r="E129" s="25">
        <f>Table1[[#This Row],[End Date]]-Table1[[#This Row],[Start Date]]</f>
        <v>0</v>
      </c>
      <c r="F129" s="8">
        <v>5269</v>
      </c>
      <c r="G129" s="21" t="s">
        <v>37</v>
      </c>
      <c r="H129" s="11">
        <v>7459</v>
      </c>
      <c r="I129" s="11">
        <v>1115</v>
      </c>
      <c r="J129" s="11">
        <v>415</v>
      </c>
      <c r="K129" s="13">
        <v>5438</v>
      </c>
      <c r="L129" s="16">
        <f t="shared" si="6"/>
        <v>0.14948384501943959</v>
      </c>
      <c r="M129" s="16">
        <f t="shared" si="7"/>
        <v>0.37219730941704038</v>
      </c>
      <c r="N129" s="17">
        <f t="shared" si="8"/>
        <v>9.2600896860986541</v>
      </c>
      <c r="O129" s="17">
        <f t="shared" si="9"/>
        <v>24.879518072289155</v>
      </c>
      <c r="P129" s="16">
        <f t="shared" si="10"/>
        <v>1.9595748718921997</v>
      </c>
      <c r="Q129" s="16">
        <f t="shared" si="11"/>
        <v>0.52668280871670703</v>
      </c>
      <c r="R129" s="2" t="s">
        <v>280</v>
      </c>
      <c r="S129" s="21" t="s">
        <v>30</v>
      </c>
      <c r="T129" s="21" t="s">
        <v>17</v>
      </c>
      <c r="U129" s="8">
        <v>10325</v>
      </c>
      <c r="V129" s="11">
        <v>1</v>
      </c>
      <c r="W129" t="str">
        <f>IF(Table1[[#This Row],[Satisfaction Rating]]&lt;2, "Low", IF(Table1[[#This Row],[Satisfaction Rating]]&lt;4, "Medium", "High"))</f>
        <v>Low</v>
      </c>
    </row>
    <row r="130" spans="1:23" ht="13" x14ac:dyDescent="0.15">
      <c r="A130" s="2" t="s">
        <v>281</v>
      </c>
      <c r="B130" s="23">
        <v>45223.406053240738</v>
      </c>
      <c r="C130" s="23">
        <v>45233.352361111109</v>
      </c>
      <c r="D130" s="23" t="str">
        <f>IF(Table1[[#This Row],[Duration of Campaign]]=0, "Ongoing","Completed")</f>
        <v>Completed</v>
      </c>
      <c r="E130" s="25">
        <f>Table1[[#This Row],[End Date]]-Table1[[#This Row],[Start Date]]</f>
        <v>9.9463078703702195</v>
      </c>
      <c r="F130" s="8">
        <v>1412</v>
      </c>
      <c r="G130" s="21" t="s">
        <v>53</v>
      </c>
      <c r="H130" s="11">
        <v>13283</v>
      </c>
      <c r="I130" s="11">
        <v>1535</v>
      </c>
      <c r="J130" s="11">
        <v>70</v>
      </c>
      <c r="K130" s="13">
        <v>759</v>
      </c>
      <c r="L130" s="16">
        <f t="shared" si="6"/>
        <v>0.11556124369494843</v>
      </c>
      <c r="M130" s="16">
        <f t="shared" si="7"/>
        <v>4.5602605863192182E-2</v>
      </c>
      <c r="N130" s="17">
        <f t="shared" si="8"/>
        <v>5.2540716612377851</v>
      </c>
      <c r="O130" s="17">
        <f t="shared" si="9"/>
        <v>115.21428571428571</v>
      </c>
      <c r="P130" s="16">
        <f t="shared" si="10"/>
        <v>5.7117563739376767</v>
      </c>
      <c r="Q130" s="16">
        <f t="shared" si="11"/>
        <v>9.4110353378797279E-2</v>
      </c>
      <c r="R130" s="2" t="s">
        <v>282</v>
      </c>
      <c r="S130" s="21" t="s">
        <v>16</v>
      </c>
      <c r="T130" s="21" t="s">
        <v>17</v>
      </c>
      <c r="U130" s="8">
        <v>8065</v>
      </c>
      <c r="V130" s="11">
        <v>3</v>
      </c>
      <c r="W130" t="str">
        <f>IF(Table1[[#This Row],[Satisfaction Rating]]&lt;2, "Low", IF(Table1[[#This Row],[Satisfaction Rating]]&lt;4, "Medium", "High"))</f>
        <v>Medium</v>
      </c>
    </row>
    <row r="131" spans="1:23" ht="13" x14ac:dyDescent="0.15">
      <c r="A131" s="2" t="s">
        <v>283</v>
      </c>
      <c r="B131" s="23">
        <v>45141.386689814812</v>
      </c>
      <c r="C131" s="23">
        <v>45141.386689814812</v>
      </c>
      <c r="D131" s="23" t="str">
        <f>IF(Table1[[#This Row],[Duration of Campaign]]=0, "Ongoing","Completed")</f>
        <v>Ongoing</v>
      </c>
      <c r="E131" s="25">
        <f>Table1[[#This Row],[End Date]]-Table1[[#This Row],[Start Date]]</f>
        <v>0</v>
      </c>
      <c r="F131" s="8">
        <v>9370</v>
      </c>
      <c r="G131" s="21" t="s">
        <v>53</v>
      </c>
      <c r="H131" s="11">
        <v>17177</v>
      </c>
      <c r="I131" s="11">
        <v>1307</v>
      </c>
      <c r="J131" s="11">
        <v>277</v>
      </c>
      <c r="K131" s="13">
        <v>3228</v>
      </c>
      <c r="L131" s="16">
        <f t="shared" ref="L131:L194" si="12">I131/H131</f>
        <v>7.6090120509984288E-2</v>
      </c>
      <c r="M131" s="16">
        <f t="shared" ref="M131:M194" si="13">J131/I131</f>
        <v>0.21193573068094873</v>
      </c>
      <c r="N131" s="17">
        <f t="shared" ref="N131:N194" si="14">U131/I131</f>
        <v>10.674062739097169</v>
      </c>
      <c r="O131" s="17">
        <f t="shared" ref="O131:O194" si="15">U131/J131</f>
        <v>50.364620938628157</v>
      </c>
      <c r="P131" s="16">
        <f t="shared" ref="P131:P194" si="16">U131/F131</f>
        <v>1.4889007470651014</v>
      </c>
      <c r="Q131" s="16">
        <f t="shared" ref="Q131:Q194" si="17">K131/U131</f>
        <v>0.23138126299190023</v>
      </c>
      <c r="R131" s="2" t="s">
        <v>284</v>
      </c>
      <c r="S131" s="21" t="s">
        <v>16</v>
      </c>
      <c r="T131" s="21" t="s">
        <v>45</v>
      </c>
      <c r="U131" s="8">
        <v>13951</v>
      </c>
      <c r="V131" s="11">
        <v>5</v>
      </c>
      <c r="W131" t="str">
        <f>IF(Table1[[#This Row],[Satisfaction Rating]]&lt;2, "Low", IF(Table1[[#This Row],[Satisfaction Rating]]&lt;4, "Medium", "High"))</f>
        <v>High</v>
      </c>
    </row>
    <row r="132" spans="1:23" ht="13" x14ac:dyDescent="0.15">
      <c r="A132" s="2" t="s">
        <v>285</v>
      </c>
      <c r="B132" s="23">
        <v>45623.185624999998</v>
      </c>
      <c r="C132" s="23">
        <v>45623.185624999998</v>
      </c>
      <c r="D132" s="23" t="str">
        <f>IF(Table1[[#This Row],[Duration of Campaign]]=0, "Ongoing","Completed")</f>
        <v>Ongoing</v>
      </c>
      <c r="E132" s="25">
        <f>Table1[[#This Row],[End Date]]-Table1[[#This Row],[Start Date]]</f>
        <v>0</v>
      </c>
      <c r="F132" s="8">
        <v>7101</v>
      </c>
      <c r="G132" s="21" t="s">
        <v>53</v>
      </c>
      <c r="H132" s="11">
        <v>14096</v>
      </c>
      <c r="I132" s="11">
        <v>1002</v>
      </c>
      <c r="J132" s="11">
        <v>346</v>
      </c>
      <c r="K132" s="13">
        <v>1517</v>
      </c>
      <c r="L132" s="16">
        <f t="shared" si="12"/>
        <v>7.1083995459704882E-2</v>
      </c>
      <c r="M132" s="16">
        <f t="shared" si="13"/>
        <v>0.34530938123752497</v>
      </c>
      <c r="N132" s="17">
        <f t="shared" si="14"/>
        <v>16.238522954091817</v>
      </c>
      <c r="O132" s="17">
        <f t="shared" si="15"/>
        <v>47.02601156069364</v>
      </c>
      <c r="P132" s="16">
        <f t="shared" si="16"/>
        <v>2.2913674130404167</v>
      </c>
      <c r="Q132" s="16">
        <f t="shared" si="17"/>
        <v>9.3233359965582935E-2</v>
      </c>
      <c r="R132" s="2" t="s">
        <v>286</v>
      </c>
      <c r="S132" s="21" t="s">
        <v>21</v>
      </c>
      <c r="T132" s="21" t="s">
        <v>45</v>
      </c>
      <c r="U132" s="8">
        <v>16271</v>
      </c>
      <c r="V132" s="11">
        <v>3</v>
      </c>
      <c r="W132" t="str">
        <f>IF(Table1[[#This Row],[Satisfaction Rating]]&lt;2, "Low", IF(Table1[[#This Row],[Satisfaction Rating]]&lt;4, "Medium", "High"))</f>
        <v>Medium</v>
      </c>
    </row>
    <row r="133" spans="1:23" ht="13" x14ac:dyDescent="0.15">
      <c r="A133" s="2" t="s">
        <v>287</v>
      </c>
      <c r="B133" s="23">
        <v>44940.36650462963</v>
      </c>
      <c r="C133" s="23">
        <v>45591.298611111109</v>
      </c>
      <c r="D133" s="23" t="str">
        <f>IF(Table1[[#This Row],[Duration of Campaign]]=0, "Ongoing","Completed")</f>
        <v>Completed</v>
      </c>
      <c r="E133" s="25">
        <f>Table1[[#This Row],[End Date]]-Table1[[#This Row],[Start Date]]</f>
        <v>650.93210648147942</v>
      </c>
      <c r="F133" s="8">
        <v>3317</v>
      </c>
      <c r="G133" s="21" t="s">
        <v>37</v>
      </c>
      <c r="H133" s="11">
        <v>2929</v>
      </c>
      <c r="I133" s="11">
        <v>1269</v>
      </c>
      <c r="J133" s="11">
        <v>121</v>
      </c>
      <c r="K133" s="13">
        <v>12466</v>
      </c>
      <c r="L133" s="16">
        <f t="shared" si="12"/>
        <v>0.43325367019460564</v>
      </c>
      <c r="M133" s="16">
        <f t="shared" si="13"/>
        <v>9.5350669818754924E-2</v>
      </c>
      <c r="N133" s="17">
        <f t="shared" si="14"/>
        <v>13.792750197005516</v>
      </c>
      <c r="O133" s="17">
        <f t="shared" si="15"/>
        <v>144.65289256198346</v>
      </c>
      <c r="P133" s="16">
        <f t="shared" si="16"/>
        <v>5.276756104914079</v>
      </c>
      <c r="Q133" s="16">
        <f t="shared" si="17"/>
        <v>0.71222076215505914</v>
      </c>
      <c r="R133" s="2" t="s">
        <v>288</v>
      </c>
      <c r="S133" s="21" t="s">
        <v>35</v>
      </c>
      <c r="T133" s="21" t="s">
        <v>45</v>
      </c>
      <c r="U133" s="8">
        <v>17503</v>
      </c>
      <c r="V133" s="11">
        <v>2</v>
      </c>
      <c r="W133" t="str">
        <f>IF(Table1[[#This Row],[Satisfaction Rating]]&lt;2, "Low", IF(Table1[[#This Row],[Satisfaction Rating]]&lt;4, "Medium", "High"))</f>
        <v>Medium</v>
      </c>
    </row>
    <row r="134" spans="1:23" ht="13" x14ac:dyDescent="0.15">
      <c r="A134" s="2" t="s">
        <v>289</v>
      </c>
      <c r="B134" s="23">
        <v>44999.571851851855</v>
      </c>
      <c r="C134" s="23">
        <v>45574.298715277779</v>
      </c>
      <c r="D134" s="23" t="str">
        <f>IF(Table1[[#This Row],[Duration of Campaign]]=0, "Ongoing","Completed")</f>
        <v>Completed</v>
      </c>
      <c r="E134" s="25">
        <f>Table1[[#This Row],[End Date]]-Table1[[#This Row],[Start Date]]</f>
        <v>574.72686342592351</v>
      </c>
      <c r="F134" s="8">
        <v>1649</v>
      </c>
      <c r="G134" s="21" t="s">
        <v>14</v>
      </c>
      <c r="H134" s="11">
        <v>7565</v>
      </c>
      <c r="I134" s="11">
        <v>1790</v>
      </c>
      <c r="J134" s="11">
        <v>230</v>
      </c>
      <c r="K134" s="13">
        <v>8687</v>
      </c>
      <c r="L134" s="16">
        <f t="shared" si="12"/>
        <v>0.23661599471249173</v>
      </c>
      <c r="M134" s="16">
        <f t="shared" si="13"/>
        <v>0.12849162011173185</v>
      </c>
      <c r="N134" s="17">
        <f t="shared" si="14"/>
        <v>3.3396648044692738</v>
      </c>
      <c r="O134" s="17">
        <f t="shared" si="15"/>
        <v>25.991304347826087</v>
      </c>
      <c r="P134" s="16">
        <f t="shared" si="16"/>
        <v>3.6252274105518496</v>
      </c>
      <c r="Q134" s="16">
        <f t="shared" si="17"/>
        <v>1.4531615925058547</v>
      </c>
      <c r="R134" s="2" t="s">
        <v>290</v>
      </c>
      <c r="S134" s="21" t="s">
        <v>16</v>
      </c>
      <c r="T134" s="21" t="s">
        <v>17</v>
      </c>
      <c r="U134" s="8">
        <v>5978</v>
      </c>
      <c r="V134" s="11">
        <v>5</v>
      </c>
      <c r="W134" t="str">
        <f>IF(Table1[[#This Row],[Satisfaction Rating]]&lt;2, "Low", IF(Table1[[#This Row],[Satisfaction Rating]]&lt;4, "Medium", "High"))</f>
        <v>High</v>
      </c>
    </row>
    <row r="135" spans="1:23" ht="13" x14ac:dyDescent="0.15">
      <c r="A135" s="2" t="s">
        <v>291</v>
      </c>
      <c r="B135" s="23">
        <v>45001.165775462963</v>
      </c>
      <c r="C135" s="23">
        <v>45036.656817129631</v>
      </c>
      <c r="D135" s="23" t="str">
        <f>IF(Table1[[#This Row],[Duration of Campaign]]=0, "Ongoing","Completed")</f>
        <v>Completed</v>
      </c>
      <c r="E135" s="25">
        <f>Table1[[#This Row],[End Date]]-Table1[[#This Row],[Start Date]]</f>
        <v>35.491041666668025</v>
      </c>
      <c r="F135" s="8">
        <v>1350</v>
      </c>
      <c r="G135" s="21" t="s">
        <v>53</v>
      </c>
      <c r="H135" s="11">
        <v>18976</v>
      </c>
      <c r="I135" s="11">
        <v>104</v>
      </c>
      <c r="J135" s="11">
        <v>11</v>
      </c>
      <c r="K135" s="13">
        <v>2792</v>
      </c>
      <c r="L135" s="16">
        <f t="shared" si="12"/>
        <v>5.4806070826306915E-3</v>
      </c>
      <c r="M135" s="16">
        <f t="shared" si="13"/>
        <v>0.10576923076923077</v>
      </c>
      <c r="N135" s="17">
        <f t="shared" si="14"/>
        <v>6.6057692307692308</v>
      </c>
      <c r="O135" s="17">
        <f t="shared" si="15"/>
        <v>62.454545454545453</v>
      </c>
      <c r="P135" s="16">
        <f t="shared" si="16"/>
        <v>0.50888888888888884</v>
      </c>
      <c r="Q135" s="16">
        <f t="shared" si="17"/>
        <v>4.0640465793304221</v>
      </c>
      <c r="R135" s="2" t="s">
        <v>292</v>
      </c>
      <c r="S135" s="21" t="s">
        <v>21</v>
      </c>
      <c r="T135" s="21" t="s">
        <v>27</v>
      </c>
      <c r="U135" s="8">
        <v>687</v>
      </c>
      <c r="V135" s="11">
        <v>2</v>
      </c>
      <c r="W135" t="str">
        <f>IF(Table1[[#This Row],[Satisfaction Rating]]&lt;2, "Low", IF(Table1[[#This Row],[Satisfaction Rating]]&lt;4, "Medium", "High"))</f>
        <v>Medium</v>
      </c>
    </row>
    <row r="136" spans="1:23" ht="13" x14ac:dyDescent="0.15">
      <c r="A136" s="2" t="s">
        <v>293</v>
      </c>
      <c r="B136" s="23">
        <v>45053.90116898148</v>
      </c>
      <c r="C136" s="23">
        <v>45121.967986111114</v>
      </c>
      <c r="D136" s="23" t="str">
        <f>IF(Table1[[#This Row],[Duration of Campaign]]=0, "Ongoing","Completed")</f>
        <v>Completed</v>
      </c>
      <c r="E136" s="25">
        <f>Table1[[#This Row],[End Date]]-Table1[[#This Row],[Start Date]]</f>
        <v>68.066817129634728</v>
      </c>
      <c r="F136" s="8">
        <v>3662</v>
      </c>
      <c r="G136" s="21" t="s">
        <v>14</v>
      </c>
      <c r="H136" s="11">
        <v>15683</v>
      </c>
      <c r="I136" s="11">
        <v>347</v>
      </c>
      <c r="J136" s="11">
        <v>466</v>
      </c>
      <c r="K136" s="13">
        <v>5318</v>
      </c>
      <c r="L136" s="16">
        <f t="shared" si="12"/>
        <v>2.2125868775106805E-2</v>
      </c>
      <c r="M136" s="16">
        <f t="shared" si="13"/>
        <v>1.3429394812680115</v>
      </c>
      <c r="N136" s="17">
        <f t="shared" si="14"/>
        <v>41.841498559077813</v>
      </c>
      <c r="O136" s="17">
        <f t="shared" si="15"/>
        <v>31.156652360515022</v>
      </c>
      <c r="P136" s="16">
        <f t="shared" si="16"/>
        <v>3.9647733478973239</v>
      </c>
      <c r="Q136" s="16">
        <f t="shared" si="17"/>
        <v>0.36627866932984365</v>
      </c>
      <c r="R136" s="2" t="s">
        <v>294</v>
      </c>
      <c r="S136" s="21" t="s">
        <v>35</v>
      </c>
      <c r="T136" s="21" t="s">
        <v>27</v>
      </c>
      <c r="U136" s="8">
        <v>14519</v>
      </c>
      <c r="V136" s="11">
        <v>4</v>
      </c>
      <c r="W136" t="str">
        <f>IF(Table1[[#This Row],[Satisfaction Rating]]&lt;2, "Low", IF(Table1[[#This Row],[Satisfaction Rating]]&lt;4, "Medium", "High"))</f>
        <v>High</v>
      </c>
    </row>
    <row r="137" spans="1:23" ht="13" x14ac:dyDescent="0.15">
      <c r="A137" s="2" t="s">
        <v>295</v>
      </c>
      <c r="B137" s="23">
        <v>45325.688148148147</v>
      </c>
      <c r="C137" s="23">
        <v>45325.688148148147</v>
      </c>
      <c r="D137" s="23" t="str">
        <f>IF(Table1[[#This Row],[Duration of Campaign]]=0, "Ongoing","Completed")</f>
        <v>Ongoing</v>
      </c>
      <c r="E137" s="25">
        <f>Table1[[#This Row],[End Date]]-Table1[[#This Row],[Start Date]]</f>
        <v>0</v>
      </c>
      <c r="F137" s="8">
        <v>2319</v>
      </c>
      <c r="G137" s="21" t="s">
        <v>14</v>
      </c>
      <c r="H137" s="11">
        <v>8052</v>
      </c>
      <c r="I137" s="11">
        <v>1684</v>
      </c>
      <c r="J137" s="11">
        <v>25</v>
      </c>
      <c r="K137" s="13">
        <v>9293</v>
      </c>
      <c r="L137" s="16">
        <f t="shared" si="12"/>
        <v>0.20914058618976653</v>
      </c>
      <c r="M137" s="16">
        <f t="shared" si="13"/>
        <v>1.4845605700712588E-2</v>
      </c>
      <c r="N137" s="17">
        <f t="shared" si="14"/>
        <v>11.065320665083135</v>
      </c>
      <c r="O137" s="17">
        <f t="shared" si="15"/>
        <v>745.36</v>
      </c>
      <c r="P137" s="16">
        <f t="shared" si="16"/>
        <v>8.0353600689952565</v>
      </c>
      <c r="Q137" s="16">
        <f t="shared" si="17"/>
        <v>0.49871203176988299</v>
      </c>
      <c r="R137" s="2" t="s">
        <v>296</v>
      </c>
      <c r="S137" s="21" t="s">
        <v>16</v>
      </c>
      <c r="T137" s="21" t="s">
        <v>45</v>
      </c>
      <c r="U137" s="8">
        <v>18634</v>
      </c>
      <c r="V137" s="11">
        <v>2</v>
      </c>
      <c r="W137" t="str">
        <f>IF(Table1[[#This Row],[Satisfaction Rating]]&lt;2, "Low", IF(Table1[[#This Row],[Satisfaction Rating]]&lt;4, "Medium", "High"))</f>
        <v>Medium</v>
      </c>
    </row>
    <row r="138" spans="1:23" ht="13" x14ac:dyDescent="0.15">
      <c r="A138" s="2" t="s">
        <v>297</v>
      </c>
      <c r="B138" s="23">
        <v>44972.911249999997</v>
      </c>
      <c r="C138" s="23">
        <v>45656.162627314814</v>
      </c>
      <c r="D138" s="23" t="str">
        <f>IF(Table1[[#This Row],[Duration of Campaign]]=0, "Ongoing","Completed")</f>
        <v>Completed</v>
      </c>
      <c r="E138" s="25">
        <f>Table1[[#This Row],[End Date]]-Table1[[#This Row],[Start Date]]</f>
        <v>683.25137731481664</v>
      </c>
      <c r="F138" s="8">
        <v>9921</v>
      </c>
      <c r="G138" s="21" t="s">
        <v>37</v>
      </c>
      <c r="H138" s="11">
        <v>14409</v>
      </c>
      <c r="I138" s="11">
        <v>457</v>
      </c>
      <c r="J138" s="11">
        <v>318</v>
      </c>
      <c r="K138" s="13">
        <v>11574</v>
      </c>
      <c r="L138" s="16">
        <f t="shared" si="12"/>
        <v>3.1716288430841837E-2</v>
      </c>
      <c r="M138" s="16">
        <f t="shared" si="13"/>
        <v>0.69584245076586437</v>
      </c>
      <c r="N138" s="17">
        <f t="shared" si="14"/>
        <v>29.584245076586434</v>
      </c>
      <c r="O138" s="17">
        <f t="shared" si="15"/>
        <v>42.515723270440255</v>
      </c>
      <c r="P138" s="16">
        <f t="shared" si="16"/>
        <v>1.3627658502167119</v>
      </c>
      <c r="Q138" s="16">
        <f t="shared" si="17"/>
        <v>0.8560650887573964</v>
      </c>
      <c r="R138" s="2" t="s">
        <v>298</v>
      </c>
      <c r="S138" s="21" t="s">
        <v>21</v>
      </c>
      <c r="T138" s="21" t="s">
        <v>45</v>
      </c>
      <c r="U138" s="8">
        <v>13520</v>
      </c>
      <c r="V138" s="11">
        <v>1</v>
      </c>
      <c r="W138" t="str">
        <f>IF(Table1[[#This Row],[Satisfaction Rating]]&lt;2, "Low", IF(Table1[[#This Row],[Satisfaction Rating]]&lt;4, "Medium", "High"))</f>
        <v>Low</v>
      </c>
    </row>
    <row r="139" spans="1:23" ht="13" x14ac:dyDescent="0.15">
      <c r="A139" s="2" t="s">
        <v>299</v>
      </c>
      <c r="B139" s="23">
        <v>45472.685312499998</v>
      </c>
      <c r="C139" s="23">
        <v>45472.685312499998</v>
      </c>
      <c r="D139" s="23" t="str">
        <f>IF(Table1[[#This Row],[Duration of Campaign]]=0, "Ongoing","Completed")</f>
        <v>Ongoing</v>
      </c>
      <c r="E139" s="25">
        <f>Table1[[#This Row],[End Date]]-Table1[[#This Row],[Start Date]]</f>
        <v>0</v>
      </c>
      <c r="F139" s="8">
        <v>9748</v>
      </c>
      <c r="G139" s="21" t="s">
        <v>19</v>
      </c>
      <c r="H139" s="11">
        <v>3368</v>
      </c>
      <c r="I139" s="11">
        <v>1154</v>
      </c>
      <c r="J139" s="11">
        <v>281</v>
      </c>
      <c r="K139" s="13">
        <v>8652</v>
      </c>
      <c r="L139" s="16">
        <f t="shared" si="12"/>
        <v>0.34263657957244653</v>
      </c>
      <c r="M139" s="16">
        <f t="shared" si="13"/>
        <v>0.24350086655112652</v>
      </c>
      <c r="N139" s="17">
        <f t="shared" si="14"/>
        <v>6.5961871750433279</v>
      </c>
      <c r="O139" s="17">
        <f t="shared" si="15"/>
        <v>27.088967971530248</v>
      </c>
      <c r="P139" s="16">
        <f t="shared" si="16"/>
        <v>0.78087812884694296</v>
      </c>
      <c r="Q139" s="16">
        <f t="shared" si="17"/>
        <v>1.1366263794009459</v>
      </c>
      <c r="R139" s="2" t="s">
        <v>300</v>
      </c>
      <c r="S139" s="21" t="s">
        <v>30</v>
      </c>
      <c r="T139" s="21" t="s">
        <v>27</v>
      </c>
      <c r="U139" s="8">
        <v>7612</v>
      </c>
      <c r="V139" s="11">
        <v>4</v>
      </c>
      <c r="W139" t="str">
        <f>IF(Table1[[#This Row],[Satisfaction Rating]]&lt;2, "Low", IF(Table1[[#This Row],[Satisfaction Rating]]&lt;4, "Medium", "High"))</f>
        <v>High</v>
      </c>
    </row>
    <row r="140" spans="1:23" ht="13" x14ac:dyDescent="0.15">
      <c r="A140" s="2" t="s">
        <v>301</v>
      </c>
      <c r="B140" s="23">
        <v>45291.417083333334</v>
      </c>
      <c r="C140" s="23">
        <v>45595.398923611108</v>
      </c>
      <c r="D140" s="23" t="str">
        <f>IF(Table1[[#This Row],[Duration of Campaign]]=0, "Ongoing","Completed")</f>
        <v>Completed</v>
      </c>
      <c r="E140" s="25">
        <f>Table1[[#This Row],[End Date]]-Table1[[#This Row],[Start Date]]</f>
        <v>303.98184027777461</v>
      </c>
      <c r="F140" s="8">
        <v>6629</v>
      </c>
      <c r="G140" s="21" t="s">
        <v>53</v>
      </c>
      <c r="H140" s="11">
        <v>6036</v>
      </c>
      <c r="I140" s="11">
        <v>1691</v>
      </c>
      <c r="J140" s="11">
        <v>495</v>
      </c>
      <c r="K140" s="13">
        <v>8610</v>
      </c>
      <c r="L140" s="16">
        <f t="shared" si="12"/>
        <v>0.28015241882041086</v>
      </c>
      <c r="M140" s="16">
        <f t="shared" si="13"/>
        <v>0.29272619751626255</v>
      </c>
      <c r="N140" s="17">
        <f t="shared" si="14"/>
        <v>4.6723832052040217</v>
      </c>
      <c r="O140" s="17">
        <f t="shared" si="15"/>
        <v>15.961616161616162</v>
      </c>
      <c r="P140" s="16">
        <f t="shared" si="16"/>
        <v>1.1918841454216322</v>
      </c>
      <c r="Q140" s="16">
        <f t="shared" si="17"/>
        <v>1.0897354765219593</v>
      </c>
      <c r="R140" s="2" t="s">
        <v>302</v>
      </c>
      <c r="S140" s="21" t="s">
        <v>21</v>
      </c>
      <c r="T140" s="21" t="s">
        <v>27</v>
      </c>
      <c r="U140" s="8">
        <v>7901</v>
      </c>
      <c r="V140" s="11">
        <v>3</v>
      </c>
      <c r="W140" t="str">
        <f>IF(Table1[[#This Row],[Satisfaction Rating]]&lt;2, "Low", IF(Table1[[#This Row],[Satisfaction Rating]]&lt;4, "Medium", "High"))</f>
        <v>Medium</v>
      </c>
    </row>
    <row r="141" spans="1:23" ht="13" x14ac:dyDescent="0.15">
      <c r="A141" s="2" t="s">
        <v>303</v>
      </c>
      <c r="B141" s="23">
        <v>45345.350960648146</v>
      </c>
      <c r="C141" s="23">
        <v>45345.350960648146</v>
      </c>
      <c r="D141" s="23" t="str">
        <f>IF(Table1[[#This Row],[Duration of Campaign]]=0, "Ongoing","Completed")</f>
        <v>Ongoing</v>
      </c>
      <c r="E141" s="25">
        <f>Table1[[#This Row],[End Date]]-Table1[[#This Row],[Start Date]]</f>
        <v>0</v>
      </c>
      <c r="F141" s="8">
        <v>2529</v>
      </c>
      <c r="G141" s="21" t="s">
        <v>19</v>
      </c>
      <c r="H141" s="11">
        <v>12957</v>
      </c>
      <c r="I141" s="11">
        <v>190</v>
      </c>
      <c r="J141" s="11">
        <v>444</v>
      </c>
      <c r="K141" s="13">
        <v>5434</v>
      </c>
      <c r="L141" s="16">
        <f t="shared" si="12"/>
        <v>1.4663888245735895E-2</v>
      </c>
      <c r="M141" s="16">
        <f t="shared" si="13"/>
        <v>2.3368421052631581</v>
      </c>
      <c r="N141" s="17">
        <f t="shared" si="14"/>
        <v>5.1105263157894738</v>
      </c>
      <c r="O141" s="17">
        <f t="shared" si="15"/>
        <v>2.1869369369369371</v>
      </c>
      <c r="P141" s="16">
        <f t="shared" si="16"/>
        <v>0.38394622380387505</v>
      </c>
      <c r="Q141" s="16">
        <f t="shared" si="17"/>
        <v>5.5962924819773425</v>
      </c>
      <c r="R141" s="2" t="s">
        <v>304</v>
      </c>
      <c r="S141" s="21" t="s">
        <v>21</v>
      </c>
      <c r="T141" s="21" t="s">
        <v>17</v>
      </c>
      <c r="U141" s="8">
        <v>971</v>
      </c>
      <c r="V141" s="11">
        <v>5</v>
      </c>
      <c r="W141" t="str">
        <f>IF(Table1[[#This Row],[Satisfaction Rating]]&lt;2, "Low", IF(Table1[[#This Row],[Satisfaction Rating]]&lt;4, "Medium", "High"))</f>
        <v>High</v>
      </c>
    </row>
    <row r="142" spans="1:23" ht="13" x14ac:dyDescent="0.15">
      <c r="A142" s="2" t="s">
        <v>305</v>
      </c>
      <c r="B142" s="23">
        <v>45502.645254629628</v>
      </c>
      <c r="C142" s="23">
        <v>45502.645254629628</v>
      </c>
      <c r="D142" s="23" t="str">
        <f>IF(Table1[[#This Row],[Duration of Campaign]]=0, "Ongoing","Completed")</f>
        <v>Ongoing</v>
      </c>
      <c r="E142" s="25">
        <f>Table1[[#This Row],[End Date]]-Table1[[#This Row],[Start Date]]</f>
        <v>0</v>
      </c>
      <c r="F142" s="8">
        <v>3679</v>
      </c>
      <c r="G142" s="21" t="s">
        <v>19</v>
      </c>
      <c r="H142" s="11">
        <v>6448</v>
      </c>
      <c r="I142" s="11">
        <v>1786</v>
      </c>
      <c r="J142" s="11">
        <v>186</v>
      </c>
      <c r="K142" s="13">
        <v>12966</v>
      </c>
      <c r="L142" s="16">
        <f t="shared" si="12"/>
        <v>0.27698511166253104</v>
      </c>
      <c r="M142" s="16">
        <f t="shared" si="13"/>
        <v>0.10414333706606943</v>
      </c>
      <c r="N142" s="17">
        <f t="shared" si="14"/>
        <v>3.0498320268756998</v>
      </c>
      <c r="O142" s="17">
        <f t="shared" si="15"/>
        <v>29.28494623655914</v>
      </c>
      <c r="P142" s="16">
        <f t="shared" si="16"/>
        <v>1.4805653710247351</v>
      </c>
      <c r="Q142" s="16">
        <f t="shared" si="17"/>
        <v>2.3803928768129246</v>
      </c>
      <c r="R142" s="2" t="s">
        <v>306</v>
      </c>
      <c r="S142" s="21" t="s">
        <v>16</v>
      </c>
      <c r="T142" s="21" t="s">
        <v>27</v>
      </c>
      <c r="U142" s="8">
        <v>5447</v>
      </c>
      <c r="V142" s="11">
        <v>1</v>
      </c>
      <c r="W142" t="str">
        <f>IF(Table1[[#This Row],[Satisfaction Rating]]&lt;2, "Low", IF(Table1[[#This Row],[Satisfaction Rating]]&lt;4, "Medium", "High"))</f>
        <v>Low</v>
      </c>
    </row>
    <row r="143" spans="1:23" ht="13" x14ac:dyDescent="0.15">
      <c r="A143" s="2" t="s">
        <v>307</v>
      </c>
      <c r="B143" s="23">
        <v>45325.901273148149</v>
      </c>
      <c r="C143" s="23">
        <v>45333.379641203705</v>
      </c>
      <c r="D143" s="23" t="str">
        <f>IF(Table1[[#This Row],[Duration of Campaign]]=0, "Ongoing","Completed")</f>
        <v>Completed</v>
      </c>
      <c r="E143" s="25">
        <f>Table1[[#This Row],[End Date]]-Table1[[#This Row],[Start Date]]</f>
        <v>7.4783680555556202</v>
      </c>
      <c r="F143" s="8">
        <v>5357</v>
      </c>
      <c r="G143" s="21" t="s">
        <v>19</v>
      </c>
      <c r="H143" s="11">
        <v>15017</v>
      </c>
      <c r="I143" s="11">
        <v>151</v>
      </c>
      <c r="J143" s="11">
        <v>145</v>
      </c>
      <c r="K143" s="13">
        <v>13313</v>
      </c>
      <c r="L143" s="16">
        <f t="shared" si="12"/>
        <v>1.0055270693214357E-2</v>
      </c>
      <c r="M143" s="16">
        <f t="shared" si="13"/>
        <v>0.96026490066225167</v>
      </c>
      <c r="N143" s="17">
        <f t="shared" si="14"/>
        <v>100.35761589403974</v>
      </c>
      <c r="O143" s="17">
        <f t="shared" si="15"/>
        <v>104.51034482758621</v>
      </c>
      <c r="P143" s="16">
        <f t="shared" si="16"/>
        <v>2.828822101922718</v>
      </c>
      <c r="Q143" s="16">
        <f t="shared" si="17"/>
        <v>0.87851392371651049</v>
      </c>
      <c r="R143" s="2" t="s">
        <v>308</v>
      </c>
      <c r="S143" s="21" t="s">
        <v>35</v>
      </c>
      <c r="T143" s="21" t="s">
        <v>27</v>
      </c>
      <c r="U143" s="8">
        <v>15154</v>
      </c>
      <c r="V143" s="11">
        <v>3</v>
      </c>
      <c r="W143" t="str">
        <f>IF(Table1[[#This Row],[Satisfaction Rating]]&lt;2, "Low", IF(Table1[[#This Row],[Satisfaction Rating]]&lt;4, "Medium", "High"))</f>
        <v>Medium</v>
      </c>
    </row>
    <row r="144" spans="1:23" ht="13" x14ac:dyDescent="0.15">
      <c r="A144" s="2" t="s">
        <v>309</v>
      </c>
      <c r="B144" s="23">
        <v>44970.935497685183</v>
      </c>
      <c r="C144" s="23">
        <v>45300.802233796298</v>
      </c>
      <c r="D144" s="23" t="str">
        <f>IF(Table1[[#This Row],[Duration of Campaign]]=0, "Ongoing","Completed")</f>
        <v>Completed</v>
      </c>
      <c r="E144" s="25">
        <f>Table1[[#This Row],[End Date]]-Table1[[#This Row],[Start Date]]</f>
        <v>329.86673611111473</v>
      </c>
      <c r="F144" s="8">
        <v>8206</v>
      </c>
      <c r="G144" s="21" t="s">
        <v>19</v>
      </c>
      <c r="H144" s="11">
        <v>1277</v>
      </c>
      <c r="I144" s="11">
        <v>440</v>
      </c>
      <c r="J144" s="11">
        <v>106</v>
      </c>
      <c r="K144" s="13">
        <v>13996</v>
      </c>
      <c r="L144" s="16">
        <f t="shared" si="12"/>
        <v>0.34455755677368832</v>
      </c>
      <c r="M144" s="16">
        <f t="shared" si="13"/>
        <v>0.24090909090909091</v>
      </c>
      <c r="N144" s="17">
        <f t="shared" si="14"/>
        <v>25.040909090909089</v>
      </c>
      <c r="O144" s="17">
        <f t="shared" si="15"/>
        <v>103.94339622641509</v>
      </c>
      <c r="P144" s="16">
        <f t="shared" si="16"/>
        <v>1.3426760906653668</v>
      </c>
      <c r="Q144" s="16">
        <f t="shared" si="17"/>
        <v>1.2702849882011253</v>
      </c>
      <c r="R144" s="2" t="s">
        <v>310</v>
      </c>
      <c r="S144" s="21" t="s">
        <v>21</v>
      </c>
      <c r="T144" s="21" t="s">
        <v>17</v>
      </c>
      <c r="U144" s="8">
        <v>11018</v>
      </c>
      <c r="V144" s="11">
        <v>3</v>
      </c>
      <c r="W144" t="str">
        <f>IF(Table1[[#This Row],[Satisfaction Rating]]&lt;2, "Low", IF(Table1[[#This Row],[Satisfaction Rating]]&lt;4, "Medium", "High"))</f>
        <v>Medium</v>
      </c>
    </row>
    <row r="145" spans="1:23" ht="13" x14ac:dyDescent="0.15">
      <c r="A145" s="2" t="s">
        <v>311</v>
      </c>
      <c r="B145" s="23">
        <v>45068.051377314812</v>
      </c>
      <c r="C145" s="23">
        <v>45644.354189814818</v>
      </c>
      <c r="D145" s="23" t="str">
        <f>IF(Table1[[#This Row],[Duration of Campaign]]=0, "Ongoing","Completed")</f>
        <v>Completed</v>
      </c>
      <c r="E145" s="25">
        <f>Table1[[#This Row],[End Date]]-Table1[[#This Row],[Start Date]]</f>
        <v>576.30281250000553</v>
      </c>
      <c r="F145" s="8">
        <v>9316</v>
      </c>
      <c r="G145" s="21" t="s">
        <v>37</v>
      </c>
      <c r="H145" s="11">
        <v>1848</v>
      </c>
      <c r="I145" s="11">
        <v>1557</v>
      </c>
      <c r="J145" s="11">
        <v>477</v>
      </c>
      <c r="K145" s="13">
        <v>5392</v>
      </c>
      <c r="L145" s="16">
        <f t="shared" si="12"/>
        <v>0.84253246753246758</v>
      </c>
      <c r="M145" s="16">
        <f t="shared" si="13"/>
        <v>0.30635838150289019</v>
      </c>
      <c r="N145" s="17">
        <f t="shared" si="14"/>
        <v>3.5016056518946694</v>
      </c>
      <c r="O145" s="17">
        <f t="shared" si="15"/>
        <v>11.429769392033544</v>
      </c>
      <c r="P145" s="16">
        <f t="shared" si="16"/>
        <v>0.58522971232288534</v>
      </c>
      <c r="Q145" s="16">
        <f t="shared" si="17"/>
        <v>0.98899486426999261</v>
      </c>
      <c r="R145" s="2" t="s">
        <v>312</v>
      </c>
      <c r="S145" s="21" t="s">
        <v>30</v>
      </c>
      <c r="T145" s="21" t="s">
        <v>45</v>
      </c>
      <c r="U145" s="8">
        <v>5452</v>
      </c>
      <c r="V145" s="11">
        <v>2</v>
      </c>
      <c r="W145" t="str">
        <f>IF(Table1[[#This Row],[Satisfaction Rating]]&lt;2, "Low", IF(Table1[[#This Row],[Satisfaction Rating]]&lt;4, "Medium", "High"))</f>
        <v>Medium</v>
      </c>
    </row>
    <row r="146" spans="1:23" ht="13" x14ac:dyDescent="0.15">
      <c r="A146" s="2" t="s">
        <v>313</v>
      </c>
      <c r="B146" s="23">
        <v>45515.098333333335</v>
      </c>
      <c r="C146" s="23">
        <v>45515.098333333335</v>
      </c>
      <c r="D146" s="23" t="str">
        <f>IF(Table1[[#This Row],[Duration of Campaign]]=0, "Ongoing","Completed")</f>
        <v>Ongoing</v>
      </c>
      <c r="E146" s="25">
        <f>Table1[[#This Row],[End Date]]-Table1[[#This Row],[Start Date]]</f>
        <v>0</v>
      </c>
      <c r="F146" s="8">
        <v>2566</v>
      </c>
      <c r="G146" s="21" t="s">
        <v>19</v>
      </c>
      <c r="H146" s="11">
        <v>4325</v>
      </c>
      <c r="I146" s="11">
        <v>109</v>
      </c>
      <c r="J146" s="11">
        <v>354</v>
      </c>
      <c r="K146" s="13">
        <v>13495</v>
      </c>
      <c r="L146" s="16">
        <f t="shared" si="12"/>
        <v>2.5202312138728325E-2</v>
      </c>
      <c r="M146" s="16">
        <f t="shared" si="13"/>
        <v>3.2477064220183487</v>
      </c>
      <c r="N146" s="17">
        <f t="shared" si="14"/>
        <v>33.990825688073393</v>
      </c>
      <c r="O146" s="17">
        <f t="shared" si="15"/>
        <v>10.466101694915254</v>
      </c>
      <c r="P146" s="16">
        <f t="shared" si="16"/>
        <v>1.4438815276695245</v>
      </c>
      <c r="Q146" s="16">
        <f t="shared" si="17"/>
        <v>3.642375168690958</v>
      </c>
      <c r="R146" s="2" t="s">
        <v>314</v>
      </c>
      <c r="S146" s="21" t="s">
        <v>35</v>
      </c>
      <c r="T146" s="21" t="s">
        <v>27</v>
      </c>
      <c r="U146" s="8">
        <v>3705</v>
      </c>
      <c r="V146" s="11">
        <v>4</v>
      </c>
      <c r="W146" t="str">
        <f>IF(Table1[[#This Row],[Satisfaction Rating]]&lt;2, "Low", IF(Table1[[#This Row],[Satisfaction Rating]]&lt;4, "Medium", "High"))</f>
        <v>High</v>
      </c>
    </row>
    <row r="147" spans="1:23" ht="13" x14ac:dyDescent="0.15">
      <c r="A147" s="2" t="s">
        <v>315</v>
      </c>
      <c r="B147" s="23">
        <v>45072.87228009259</v>
      </c>
      <c r="C147" s="23">
        <v>45535.398206018515</v>
      </c>
      <c r="D147" s="23" t="str">
        <f>IF(Table1[[#This Row],[Duration of Campaign]]=0, "Ongoing","Completed")</f>
        <v>Completed</v>
      </c>
      <c r="E147" s="25">
        <f>Table1[[#This Row],[End Date]]-Table1[[#This Row],[Start Date]]</f>
        <v>462.52592592592555</v>
      </c>
      <c r="F147" s="8">
        <v>3588</v>
      </c>
      <c r="G147" s="21" t="s">
        <v>19</v>
      </c>
      <c r="H147" s="11">
        <v>3274</v>
      </c>
      <c r="I147" s="11">
        <v>781</v>
      </c>
      <c r="J147" s="11">
        <v>23</v>
      </c>
      <c r="K147" s="13">
        <v>3300</v>
      </c>
      <c r="L147" s="16">
        <f t="shared" si="12"/>
        <v>0.23854612095296274</v>
      </c>
      <c r="M147" s="16">
        <f t="shared" si="13"/>
        <v>2.9449423815621E-2</v>
      </c>
      <c r="N147" s="17">
        <f t="shared" si="14"/>
        <v>4.3994878361075545</v>
      </c>
      <c r="O147" s="17">
        <f t="shared" si="15"/>
        <v>149.39130434782609</v>
      </c>
      <c r="P147" s="16">
        <f t="shared" si="16"/>
        <v>0.9576365663322185</v>
      </c>
      <c r="Q147" s="16">
        <f t="shared" si="17"/>
        <v>0.96041909196740394</v>
      </c>
      <c r="R147" s="2" t="s">
        <v>316</v>
      </c>
      <c r="S147" s="21" t="s">
        <v>21</v>
      </c>
      <c r="T147" s="21" t="s">
        <v>27</v>
      </c>
      <c r="U147" s="8">
        <v>3436</v>
      </c>
      <c r="V147" s="11">
        <v>3</v>
      </c>
      <c r="W147" t="str">
        <f>IF(Table1[[#This Row],[Satisfaction Rating]]&lt;2, "Low", IF(Table1[[#This Row],[Satisfaction Rating]]&lt;4, "Medium", "High"))</f>
        <v>Medium</v>
      </c>
    </row>
    <row r="148" spans="1:23" ht="13" x14ac:dyDescent="0.15">
      <c r="A148" s="2" t="s">
        <v>317</v>
      </c>
      <c r="B148" s="23">
        <v>45402.764166666668</v>
      </c>
      <c r="C148" s="23">
        <v>45546.199837962966</v>
      </c>
      <c r="D148" s="23" t="str">
        <f>IF(Table1[[#This Row],[Duration of Campaign]]=0, "Ongoing","Completed")</f>
        <v>Completed</v>
      </c>
      <c r="E148" s="25">
        <f>Table1[[#This Row],[End Date]]-Table1[[#This Row],[Start Date]]</f>
        <v>143.4356712962981</v>
      </c>
      <c r="F148" s="8">
        <v>7304</v>
      </c>
      <c r="G148" s="21" t="s">
        <v>53</v>
      </c>
      <c r="H148" s="11">
        <v>14863</v>
      </c>
      <c r="I148" s="11">
        <v>178</v>
      </c>
      <c r="J148" s="11">
        <v>236</v>
      </c>
      <c r="K148" s="13">
        <v>9720</v>
      </c>
      <c r="L148" s="16">
        <f t="shared" si="12"/>
        <v>1.1976047904191617E-2</v>
      </c>
      <c r="M148" s="16">
        <f t="shared" si="13"/>
        <v>1.3258426966292134</v>
      </c>
      <c r="N148" s="17">
        <f t="shared" si="14"/>
        <v>45.247191011235955</v>
      </c>
      <c r="O148" s="17">
        <f t="shared" si="15"/>
        <v>34.127118644067799</v>
      </c>
      <c r="P148" s="16">
        <f t="shared" si="16"/>
        <v>1.1026834611171961</v>
      </c>
      <c r="Q148" s="16">
        <f t="shared" si="17"/>
        <v>1.2068537372734045</v>
      </c>
      <c r="R148" s="2" t="s">
        <v>318</v>
      </c>
      <c r="S148" s="21" t="s">
        <v>30</v>
      </c>
      <c r="T148" s="21" t="s">
        <v>45</v>
      </c>
      <c r="U148" s="8">
        <v>8054</v>
      </c>
      <c r="V148" s="11">
        <v>2</v>
      </c>
      <c r="W148" t="str">
        <f>IF(Table1[[#This Row],[Satisfaction Rating]]&lt;2, "Low", IF(Table1[[#This Row],[Satisfaction Rating]]&lt;4, "Medium", "High"))</f>
        <v>Medium</v>
      </c>
    </row>
    <row r="149" spans="1:23" ht="13" x14ac:dyDescent="0.15">
      <c r="A149" s="2" t="s">
        <v>319</v>
      </c>
      <c r="B149" s="23">
        <v>44929.202164351853</v>
      </c>
      <c r="C149" s="23">
        <v>45549.620509259257</v>
      </c>
      <c r="D149" s="23" t="str">
        <f>IF(Table1[[#This Row],[Duration of Campaign]]=0, "Ongoing","Completed")</f>
        <v>Completed</v>
      </c>
      <c r="E149" s="25">
        <f>Table1[[#This Row],[End Date]]-Table1[[#This Row],[Start Date]]</f>
        <v>620.41834490740439</v>
      </c>
      <c r="F149" s="8">
        <v>8299</v>
      </c>
      <c r="G149" s="21" t="s">
        <v>19</v>
      </c>
      <c r="H149" s="11">
        <v>18516</v>
      </c>
      <c r="I149" s="11">
        <v>1507</v>
      </c>
      <c r="J149" s="11">
        <v>353</v>
      </c>
      <c r="K149" s="13">
        <v>11616</v>
      </c>
      <c r="L149" s="16">
        <f t="shared" si="12"/>
        <v>8.138906891337222E-2</v>
      </c>
      <c r="M149" s="16">
        <f t="shared" si="13"/>
        <v>0.23424021234240211</v>
      </c>
      <c r="N149" s="17">
        <f t="shared" si="14"/>
        <v>2.7438619774386197</v>
      </c>
      <c r="O149" s="17">
        <f t="shared" si="15"/>
        <v>11.713881019830028</v>
      </c>
      <c r="P149" s="16">
        <f t="shared" si="16"/>
        <v>0.49825280154235452</v>
      </c>
      <c r="Q149" s="16">
        <f t="shared" si="17"/>
        <v>2.8091898428053206</v>
      </c>
      <c r="R149" s="2" t="s">
        <v>320</v>
      </c>
      <c r="S149" s="21" t="s">
        <v>35</v>
      </c>
      <c r="T149" s="21" t="s">
        <v>27</v>
      </c>
      <c r="U149" s="8">
        <v>4135</v>
      </c>
      <c r="V149" s="11">
        <v>5</v>
      </c>
      <c r="W149" t="str">
        <f>IF(Table1[[#This Row],[Satisfaction Rating]]&lt;2, "Low", IF(Table1[[#This Row],[Satisfaction Rating]]&lt;4, "Medium", "High"))</f>
        <v>High</v>
      </c>
    </row>
    <row r="150" spans="1:23" ht="13" x14ac:dyDescent="0.15">
      <c r="A150" s="2" t="s">
        <v>321</v>
      </c>
      <c r="B150" s="23">
        <v>45145.661249999997</v>
      </c>
      <c r="C150" s="23">
        <v>45145.661249999997</v>
      </c>
      <c r="D150" s="23" t="str">
        <f>IF(Table1[[#This Row],[Duration of Campaign]]=0, "Ongoing","Completed")</f>
        <v>Ongoing</v>
      </c>
      <c r="E150" s="25">
        <f>Table1[[#This Row],[End Date]]-Table1[[#This Row],[Start Date]]</f>
        <v>0</v>
      </c>
      <c r="F150" s="8">
        <v>1485</v>
      </c>
      <c r="G150" s="21" t="s">
        <v>19</v>
      </c>
      <c r="H150" s="11">
        <v>18146</v>
      </c>
      <c r="I150" s="11">
        <v>1959</v>
      </c>
      <c r="J150" s="11">
        <v>157</v>
      </c>
      <c r="K150" s="13">
        <v>5590</v>
      </c>
      <c r="L150" s="16">
        <f t="shared" si="12"/>
        <v>0.10795767662294721</v>
      </c>
      <c r="M150" s="16">
        <f t="shared" si="13"/>
        <v>8.0142930066360391E-2</v>
      </c>
      <c r="N150" s="17">
        <f t="shared" si="14"/>
        <v>1.1250638080653395</v>
      </c>
      <c r="O150" s="17">
        <f t="shared" si="15"/>
        <v>14.038216560509554</v>
      </c>
      <c r="P150" s="16">
        <f t="shared" si="16"/>
        <v>1.4841750841750843</v>
      </c>
      <c r="Q150" s="16">
        <f t="shared" si="17"/>
        <v>2.5362976406533577</v>
      </c>
      <c r="R150" s="2" t="s">
        <v>322</v>
      </c>
      <c r="S150" s="21" t="s">
        <v>30</v>
      </c>
      <c r="T150" s="21" t="s">
        <v>45</v>
      </c>
      <c r="U150" s="8">
        <v>2204</v>
      </c>
      <c r="V150" s="11">
        <v>2</v>
      </c>
      <c r="W150" t="str">
        <f>IF(Table1[[#This Row],[Satisfaction Rating]]&lt;2, "Low", IF(Table1[[#This Row],[Satisfaction Rating]]&lt;4, "Medium", "High"))</f>
        <v>Medium</v>
      </c>
    </row>
    <row r="151" spans="1:23" ht="13" x14ac:dyDescent="0.15">
      <c r="A151" s="2" t="s">
        <v>323</v>
      </c>
      <c r="B151" s="23">
        <v>45629.81925925926</v>
      </c>
      <c r="C151" s="23">
        <v>45629.81925925926</v>
      </c>
      <c r="D151" s="23" t="str">
        <f>IF(Table1[[#This Row],[Duration of Campaign]]=0, "Ongoing","Completed")</f>
        <v>Ongoing</v>
      </c>
      <c r="E151" s="25">
        <f>Table1[[#This Row],[End Date]]-Table1[[#This Row],[Start Date]]</f>
        <v>0</v>
      </c>
      <c r="F151" s="8">
        <v>5767</v>
      </c>
      <c r="G151" s="21" t="s">
        <v>19</v>
      </c>
      <c r="H151" s="11">
        <v>16952</v>
      </c>
      <c r="I151" s="11">
        <v>920</v>
      </c>
      <c r="J151" s="11">
        <v>484</v>
      </c>
      <c r="K151" s="13">
        <v>12812</v>
      </c>
      <c r="L151" s="16">
        <f t="shared" si="12"/>
        <v>5.427088249174139E-2</v>
      </c>
      <c r="M151" s="16">
        <f t="shared" si="13"/>
        <v>0.52608695652173909</v>
      </c>
      <c r="N151" s="17">
        <f t="shared" si="14"/>
        <v>8.6695652173913036</v>
      </c>
      <c r="O151" s="17">
        <f t="shared" si="15"/>
        <v>16.479338842975206</v>
      </c>
      <c r="P151" s="16">
        <f t="shared" si="16"/>
        <v>1.3830414426911739</v>
      </c>
      <c r="Q151" s="16">
        <f t="shared" si="17"/>
        <v>1.6063189568706118</v>
      </c>
      <c r="R151" s="2" t="s">
        <v>324</v>
      </c>
      <c r="S151" s="21" t="s">
        <v>35</v>
      </c>
      <c r="T151" s="21" t="s">
        <v>27</v>
      </c>
      <c r="U151" s="8">
        <v>7976</v>
      </c>
      <c r="V151" s="11">
        <v>4</v>
      </c>
      <c r="W151" t="str">
        <f>IF(Table1[[#This Row],[Satisfaction Rating]]&lt;2, "Low", IF(Table1[[#This Row],[Satisfaction Rating]]&lt;4, "Medium", "High"))</f>
        <v>High</v>
      </c>
    </row>
    <row r="152" spans="1:23" ht="13" x14ac:dyDescent="0.15">
      <c r="A152" s="2" t="s">
        <v>325</v>
      </c>
      <c r="B152" s="23">
        <v>45487.404537037037</v>
      </c>
      <c r="C152" s="23">
        <v>45487.404537037037</v>
      </c>
      <c r="D152" s="23" t="str">
        <f>IF(Table1[[#This Row],[Duration of Campaign]]=0, "Ongoing","Completed")</f>
        <v>Ongoing</v>
      </c>
      <c r="E152" s="25">
        <f>Table1[[#This Row],[End Date]]-Table1[[#This Row],[Start Date]]</f>
        <v>0</v>
      </c>
      <c r="F152" s="8">
        <v>4967</v>
      </c>
      <c r="G152" s="21" t="s">
        <v>14</v>
      </c>
      <c r="H152" s="11">
        <v>6462</v>
      </c>
      <c r="I152" s="11">
        <v>724</v>
      </c>
      <c r="J152" s="11">
        <v>52</v>
      </c>
      <c r="K152" s="13">
        <v>7988</v>
      </c>
      <c r="L152" s="16">
        <f t="shared" si="12"/>
        <v>0.1120396162178892</v>
      </c>
      <c r="M152" s="16">
        <f t="shared" si="13"/>
        <v>7.18232044198895E-2</v>
      </c>
      <c r="N152" s="17">
        <f t="shared" si="14"/>
        <v>5.1436464088397793</v>
      </c>
      <c r="O152" s="17">
        <f t="shared" si="15"/>
        <v>71.615384615384613</v>
      </c>
      <c r="P152" s="16">
        <f t="shared" si="16"/>
        <v>0.74974833903764848</v>
      </c>
      <c r="Q152" s="16">
        <f t="shared" si="17"/>
        <v>2.1450053705692804</v>
      </c>
      <c r="R152" s="2" t="s">
        <v>326</v>
      </c>
      <c r="S152" s="21" t="s">
        <v>21</v>
      </c>
      <c r="T152" s="21" t="s">
        <v>45</v>
      </c>
      <c r="U152" s="8">
        <v>3724</v>
      </c>
      <c r="V152" s="11">
        <v>3</v>
      </c>
      <c r="W152" t="str">
        <f>IF(Table1[[#This Row],[Satisfaction Rating]]&lt;2, "Low", IF(Table1[[#This Row],[Satisfaction Rating]]&lt;4, "Medium", "High"))</f>
        <v>Medium</v>
      </c>
    </row>
    <row r="153" spans="1:23" ht="13" x14ac:dyDescent="0.15">
      <c r="A153" s="2" t="s">
        <v>327</v>
      </c>
      <c r="B153" s="23">
        <v>45055.56658564815</v>
      </c>
      <c r="C153" s="23">
        <v>45336.664375</v>
      </c>
      <c r="D153" s="23" t="str">
        <f>IF(Table1[[#This Row],[Duration of Campaign]]=0, "Ongoing","Completed")</f>
        <v>Completed</v>
      </c>
      <c r="E153" s="25">
        <f>Table1[[#This Row],[End Date]]-Table1[[#This Row],[Start Date]]</f>
        <v>281.09778935185022</v>
      </c>
      <c r="F153" s="8">
        <v>1796</v>
      </c>
      <c r="G153" s="21" t="s">
        <v>19</v>
      </c>
      <c r="H153" s="11">
        <v>9512</v>
      </c>
      <c r="I153" s="11">
        <v>1851</v>
      </c>
      <c r="J153" s="11">
        <v>21</v>
      </c>
      <c r="K153" s="13">
        <v>6988</v>
      </c>
      <c r="L153" s="16">
        <f t="shared" si="12"/>
        <v>0.19459629941126996</v>
      </c>
      <c r="M153" s="16">
        <f t="shared" si="13"/>
        <v>1.1345218800648298E-2</v>
      </c>
      <c r="N153" s="17">
        <f t="shared" si="14"/>
        <v>7.1318206374932469</v>
      </c>
      <c r="O153" s="17">
        <f t="shared" si="15"/>
        <v>628.61904761904759</v>
      </c>
      <c r="P153" s="16">
        <f t="shared" si="16"/>
        <v>7.3502227171492205</v>
      </c>
      <c r="Q153" s="16">
        <f t="shared" si="17"/>
        <v>0.52935383683054316</v>
      </c>
      <c r="R153" s="2" t="s">
        <v>328</v>
      </c>
      <c r="S153" s="21" t="s">
        <v>21</v>
      </c>
      <c r="T153" s="21" t="s">
        <v>27</v>
      </c>
      <c r="U153" s="8">
        <v>13201</v>
      </c>
      <c r="V153" s="11">
        <v>2</v>
      </c>
      <c r="W153" t="str">
        <f>IF(Table1[[#This Row],[Satisfaction Rating]]&lt;2, "Low", IF(Table1[[#This Row],[Satisfaction Rating]]&lt;4, "Medium", "High"))</f>
        <v>Medium</v>
      </c>
    </row>
    <row r="154" spans="1:23" ht="13" x14ac:dyDescent="0.15">
      <c r="A154" s="2" t="s">
        <v>329</v>
      </c>
      <c r="B154" s="23">
        <v>45374.736747685187</v>
      </c>
      <c r="C154" s="23">
        <v>45374.736747685187</v>
      </c>
      <c r="D154" s="23" t="str">
        <f>IF(Table1[[#This Row],[Duration of Campaign]]=0, "Ongoing","Completed")</f>
        <v>Ongoing</v>
      </c>
      <c r="E154" s="25">
        <f>Table1[[#This Row],[End Date]]-Table1[[#This Row],[Start Date]]</f>
        <v>0</v>
      </c>
      <c r="F154" s="8">
        <v>7241</v>
      </c>
      <c r="G154" s="21" t="s">
        <v>37</v>
      </c>
      <c r="H154" s="11">
        <v>13424</v>
      </c>
      <c r="I154" s="11">
        <v>1313</v>
      </c>
      <c r="J154" s="11">
        <v>86</v>
      </c>
      <c r="K154" s="13">
        <v>8293</v>
      </c>
      <c r="L154" s="16">
        <f t="shared" si="12"/>
        <v>9.780989272943981E-2</v>
      </c>
      <c r="M154" s="16">
        <f t="shared" si="13"/>
        <v>6.5498857578065506E-2</v>
      </c>
      <c r="N154" s="17">
        <f t="shared" si="14"/>
        <v>5.1287128712871288</v>
      </c>
      <c r="O154" s="17">
        <f t="shared" si="15"/>
        <v>78.302325581395351</v>
      </c>
      <c r="P154" s="16">
        <f t="shared" si="16"/>
        <v>0.9299820466786356</v>
      </c>
      <c r="Q154" s="16">
        <f t="shared" si="17"/>
        <v>1.2315117315117314</v>
      </c>
      <c r="R154" s="2" t="s">
        <v>330</v>
      </c>
      <c r="S154" s="21" t="s">
        <v>24</v>
      </c>
      <c r="T154" s="21" t="s">
        <v>17</v>
      </c>
      <c r="U154" s="8">
        <v>6734</v>
      </c>
      <c r="V154" s="11">
        <v>2</v>
      </c>
      <c r="W154" t="str">
        <f>IF(Table1[[#This Row],[Satisfaction Rating]]&lt;2, "Low", IF(Table1[[#This Row],[Satisfaction Rating]]&lt;4, "Medium", "High"))</f>
        <v>Medium</v>
      </c>
    </row>
    <row r="155" spans="1:23" ht="13" x14ac:dyDescent="0.15">
      <c r="A155" s="2" t="s">
        <v>331</v>
      </c>
      <c r="B155" s="23">
        <v>44967.804537037038</v>
      </c>
      <c r="C155" s="23">
        <v>45082.816550925927</v>
      </c>
      <c r="D155" s="23" t="str">
        <f>IF(Table1[[#This Row],[Duration of Campaign]]=0, "Ongoing","Completed")</f>
        <v>Completed</v>
      </c>
      <c r="E155" s="25">
        <f>Table1[[#This Row],[End Date]]-Table1[[#This Row],[Start Date]]</f>
        <v>115.01201388888876</v>
      </c>
      <c r="F155" s="8">
        <v>9853</v>
      </c>
      <c r="G155" s="21" t="s">
        <v>37</v>
      </c>
      <c r="H155" s="11">
        <v>3377</v>
      </c>
      <c r="I155" s="11">
        <v>341</v>
      </c>
      <c r="J155" s="11">
        <v>391</v>
      </c>
      <c r="K155" s="13">
        <v>6118</v>
      </c>
      <c r="L155" s="16">
        <f t="shared" si="12"/>
        <v>0.10097719869706841</v>
      </c>
      <c r="M155" s="16">
        <f t="shared" si="13"/>
        <v>1.1466275659824048</v>
      </c>
      <c r="N155" s="17">
        <f t="shared" si="14"/>
        <v>50.363636363636367</v>
      </c>
      <c r="O155" s="17">
        <f t="shared" si="15"/>
        <v>43.923273657289002</v>
      </c>
      <c r="P155" s="16">
        <f t="shared" si="16"/>
        <v>1.7430224297168375</v>
      </c>
      <c r="Q155" s="16">
        <f t="shared" si="17"/>
        <v>0.35623617095609644</v>
      </c>
      <c r="R155" s="2" t="s">
        <v>332</v>
      </c>
      <c r="S155" s="21" t="s">
        <v>24</v>
      </c>
      <c r="T155" s="21" t="s">
        <v>45</v>
      </c>
      <c r="U155" s="8">
        <v>17174</v>
      </c>
      <c r="V155" s="11">
        <v>3</v>
      </c>
      <c r="W155" t="str">
        <f>IF(Table1[[#This Row],[Satisfaction Rating]]&lt;2, "Low", IF(Table1[[#This Row],[Satisfaction Rating]]&lt;4, "Medium", "High"))</f>
        <v>Medium</v>
      </c>
    </row>
    <row r="156" spans="1:23" ht="13" x14ac:dyDescent="0.15">
      <c r="A156" s="2" t="s">
        <v>333</v>
      </c>
      <c r="B156" s="23">
        <v>44958.514351851853</v>
      </c>
      <c r="C156" s="23">
        <v>45574.743379629632</v>
      </c>
      <c r="D156" s="23" t="str">
        <f>IF(Table1[[#This Row],[Duration of Campaign]]=0, "Ongoing","Completed")</f>
        <v>Completed</v>
      </c>
      <c r="E156" s="25">
        <f>Table1[[#This Row],[End Date]]-Table1[[#This Row],[Start Date]]</f>
        <v>616.22902777777927</v>
      </c>
      <c r="F156" s="8">
        <v>9630</v>
      </c>
      <c r="G156" s="21" t="s">
        <v>19</v>
      </c>
      <c r="H156" s="11">
        <v>10943</v>
      </c>
      <c r="I156" s="11">
        <v>1060</v>
      </c>
      <c r="J156" s="11">
        <v>279</v>
      </c>
      <c r="K156" s="13">
        <v>13967</v>
      </c>
      <c r="L156" s="16">
        <f t="shared" si="12"/>
        <v>9.6865576167412953E-2</v>
      </c>
      <c r="M156" s="16">
        <f t="shared" si="13"/>
        <v>0.26320754716981132</v>
      </c>
      <c r="N156" s="17">
        <f t="shared" si="14"/>
        <v>7.2424528301886788</v>
      </c>
      <c r="O156" s="17">
        <f t="shared" si="15"/>
        <v>27.516129032258064</v>
      </c>
      <c r="P156" s="16">
        <f t="shared" si="16"/>
        <v>0.797196261682243</v>
      </c>
      <c r="Q156" s="16">
        <f t="shared" si="17"/>
        <v>1.8193304676305848</v>
      </c>
      <c r="R156" s="2" t="s">
        <v>334</v>
      </c>
      <c r="S156" s="21" t="s">
        <v>16</v>
      </c>
      <c r="T156" s="21" t="s">
        <v>45</v>
      </c>
      <c r="U156" s="8">
        <v>7677</v>
      </c>
      <c r="V156" s="11">
        <v>2</v>
      </c>
      <c r="W156" t="str">
        <f>IF(Table1[[#This Row],[Satisfaction Rating]]&lt;2, "Low", IF(Table1[[#This Row],[Satisfaction Rating]]&lt;4, "Medium", "High"))</f>
        <v>Medium</v>
      </c>
    </row>
    <row r="157" spans="1:23" ht="13" x14ac:dyDescent="0.15">
      <c r="A157" s="2" t="s">
        <v>335</v>
      </c>
      <c r="B157" s="23">
        <v>45099.202499999999</v>
      </c>
      <c r="C157" s="23">
        <v>45256.80064814815</v>
      </c>
      <c r="D157" s="23" t="str">
        <f>IF(Table1[[#This Row],[Duration of Campaign]]=0, "Ongoing","Completed")</f>
        <v>Completed</v>
      </c>
      <c r="E157" s="25">
        <f>Table1[[#This Row],[End Date]]-Table1[[#This Row],[Start Date]]</f>
        <v>157.59814814815036</v>
      </c>
      <c r="F157" s="8">
        <v>2928</v>
      </c>
      <c r="G157" s="21" t="s">
        <v>19</v>
      </c>
      <c r="H157" s="11">
        <v>4860</v>
      </c>
      <c r="I157" s="11">
        <v>1533</v>
      </c>
      <c r="J157" s="11">
        <v>109</v>
      </c>
      <c r="K157" s="13">
        <v>9269</v>
      </c>
      <c r="L157" s="16">
        <f t="shared" si="12"/>
        <v>0.3154320987654321</v>
      </c>
      <c r="M157" s="16">
        <f t="shared" si="13"/>
        <v>7.1102413568166989E-2</v>
      </c>
      <c r="N157" s="17">
        <f t="shared" si="14"/>
        <v>8.7971298108284408</v>
      </c>
      <c r="O157" s="17">
        <f t="shared" si="15"/>
        <v>123.72477064220183</v>
      </c>
      <c r="P157" s="16">
        <f t="shared" si="16"/>
        <v>4.6058743169398904</v>
      </c>
      <c r="Q157" s="16">
        <f t="shared" si="17"/>
        <v>0.68730535370013346</v>
      </c>
      <c r="R157" s="2" t="s">
        <v>336</v>
      </c>
      <c r="S157" s="21" t="s">
        <v>21</v>
      </c>
      <c r="T157" s="21" t="s">
        <v>17</v>
      </c>
      <c r="U157" s="8">
        <v>13486</v>
      </c>
      <c r="V157" s="11">
        <v>2</v>
      </c>
      <c r="W157" t="str">
        <f>IF(Table1[[#This Row],[Satisfaction Rating]]&lt;2, "Low", IF(Table1[[#This Row],[Satisfaction Rating]]&lt;4, "Medium", "High"))</f>
        <v>Medium</v>
      </c>
    </row>
    <row r="158" spans="1:23" ht="13" x14ac:dyDescent="0.15">
      <c r="A158" s="2" t="s">
        <v>337</v>
      </c>
      <c r="B158" s="23">
        <v>45456.19121527778</v>
      </c>
      <c r="C158" s="23">
        <v>45456.19121527778</v>
      </c>
      <c r="D158" s="23" t="str">
        <f>IF(Table1[[#This Row],[Duration of Campaign]]=0, "Ongoing","Completed")</f>
        <v>Ongoing</v>
      </c>
      <c r="E158" s="25">
        <f>Table1[[#This Row],[End Date]]-Table1[[#This Row],[Start Date]]</f>
        <v>0</v>
      </c>
      <c r="F158" s="8">
        <v>7021</v>
      </c>
      <c r="G158" s="21" t="s">
        <v>19</v>
      </c>
      <c r="H158" s="11">
        <v>10419</v>
      </c>
      <c r="I158" s="11">
        <v>1628</v>
      </c>
      <c r="J158" s="11">
        <v>312</v>
      </c>
      <c r="K158" s="13">
        <v>7525</v>
      </c>
      <c r="L158" s="16">
        <f t="shared" si="12"/>
        <v>0.15625299932815048</v>
      </c>
      <c r="M158" s="16">
        <f t="shared" si="13"/>
        <v>0.19164619164619165</v>
      </c>
      <c r="N158" s="17">
        <f t="shared" si="14"/>
        <v>8.0945945945945947</v>
      </c>
      <c r="O158" s="17">
        <f t="shared" si="15"/>
        <v>42.237179487179489</v>
      </c>
      <c r="P158" s="16">
        <f t="shared" si="16"/>
        <v>1.8769406067511751</v>
      </c>
      <c r="Q158" s="16">
        <f t="shared" si="17"/>
        <v>0.57102747002580057</v>
      </c>
      <c r="R158" s="2" t="s">
        <v>338</v>
      </c>
      <c r="S158" s="21" t="s">
        <v>16</v>
      </c>
      <c r="T158" s="21" t="s">
        <v>45</v>
      </c>
      <c r="U158" s="8">
        <v>13178</v>
      </c>
      <c r="V158" s="11">
        <v>2</v>
      </c>
      <c r="W158" t="str">
        <f>IF(Table1[[#This Row],[Satisfaction Rating]]&lt;2, "Low", IF(Table1[[#This Row],[Satisfaction Rating]]&lt;4, "Medium", "High"))</f>
        <v>Medium</v>
      </c>
    </row>
    <row r="159" spans="1:23" ht="13" x14ac:dyDescent="0.15">
      <c r="A159" s="2" t="s">
        <v>339</v>
      </c>
      <c r="B159" s="23">
        <v>44932.440520833334</v>
      </c>
      <c r="C159" s="23">
        <v>45057.618472222224</v>
      </c>
      <c r="D159" s="23" t="str">
        <f>IF(Table1[[#This Row],[Duration of Campaign]]=0, "Ongoing","Completed")</f>
        <v>Completed</v>
      </c>
      <c r="E159" s="25">
        <f>Table1[[#This Row],[End Date]]-Table1[[#This Row],[Start Date]]</f>
        <v>125.17795138889051</v>
      </c>
      <c r="F159" s="8">
        <v>1905</v>
      </c>
      <c r="G159" s="21" t="s">
        <v>14</v>
      </c>
      <c r="H159" s="11">
        <v>6310</v>
      </c>
      <c r="I159" s="11">
        <v>1394</v>
      </c>
      <c r="J159" s="11">
        <v>317</v>
      </c>
      <c r="K159" s="13">
        <v>10128</v>
      </c>
      <c r="L159" s="16">
        <f t="shared" si="12"/>
        <v>0.22091917591125199</v>
      </c>
      <c r="M159" s="16">
        <f t="shared" si="13"/>
        <v>0.22740315638450503</v>
      </c>
      <c r="N159" s="17">
        <f t="shared" si="14"/>
        <v>13.961262553802008</v>
      </c>
      <c r="O159" s="17">
        <f t="shared" si="15"/>
        <v>61.394321766561511</v>
      </c>
      <c r="P159" s="16">
        <f t="shared" si="16"/>
        <v>10.216272965879265</v>
      </c>
      <c r="Q159" s="16">
        <f t="shared" si="17"/>
        <v>0.52039872572191959</v>
      </c>
      <c r="R159" s="2" t="s">
        <v>340</v>
      </c>
      <c r="S159" s="21" t="s">
        <v>30</v>
      </c>
      <c r="T159" s="21" t="s">
        <v>45</v>
      </c>
      <c r="U159" s="8">
        <v>19462</v>
      </c>
      <c r="V159" s="11">
        <v>2</v>
      </c>
      <c r="W159" t="str">
        <f>IF(Table1[[#This Row],[Satisfaction Rating]]&lt;2, "Low", IF(Table1[[#This Row],[Satisfaction Rating]]&lt;4, "Medium", "High"))</f>
        <v>Medium</v>
      </c>
    </row>
    <row r="160" spans="1:23" ht="13" x14ac:dyDescent="0.15">
      <c r="A160" s="2" t="s">
        <v>341</v>
      </c>
      <c r="B160" s="23">
        <v>45245.173356481479</v>
      </c>
      <c r="C160" s="23">
        <v>45336.189814814818</v>
      </c>
      <c r="D160" s="23" t="str">
        <f>IF(Table1[[#This Row],[Duration of Campaign]]=0, "Ongoing","Completed")</f>
        <v>Completed</v>
      </c>
      <c r="E160" s="25">
        <f>Table1[[#This Row],[End Date]]-Table1[[#This Row],[Start Date]]</f>
        <v>91.01645833333896</v>
      </c>
      <c r="F160" s="8">
        <v>4907</v>
      </c>
      <c r="G160" s="21" t="s">
        <v>37</v>
      </c>
      <c r="H160" s="11">
        <v>14252</v>
      </c>
      <c r="I160" s="11">
        <v>1378</v>
      </c>
      <c r="J160" s="11">
        <v>109</v>
      </c>
      <c r="K160" s="13">
        <v>6784</v>
      </c>
      <c r="L160" s="16">
        <f t="shared" si="12"/>
        <v>9.6688184114510245E-2</v>
      </c>
      <c r="M160" s="16">
        <f t="shared" si="13"/>
        <v>7.9100145137880981E-2</v>
      </c>
      <c r="N160" s="17">
        <f t="shared" si="14"/>
        <v>8.6545718432510892</v>
      </c>
      <c r="O160" s="17">
        <f t="shared" si="15"/>
        <v>109.41284403669725</v>
      </c>
      <c r="P160" s="16">
        <f t="shared" si="16"/>
        <v>2.4304055431016915</v>
      </c>
      <c r="Q160" s="16">
        <f t="shared" si="17"/>
        <v>0.56884118732181788</v>
      </c>
      <c r="R160" s="2" t="s">
        <v>342</v>
      </c>
      <c r="S160" s="21" t="s">
        <v>21</v>
      </c>
      <c r="T160" s="21" t="s">
        <v>17</v>
      </c>
      <c r="U160" s="8">
        <v>11926</v>
      </c>
      <c r="V160" s="11">
        <v>5</v>
      </c>
      <c r="W160" t="str">
        <f>IF(Table1[[#This Row],[Satisfaction Rating]]&lt;2, "Low", IF(Table1[[#This Row],[Satisfaction Rating]]&lt;4, "Medium", "High"))</f>
        <v>High</v>
      </c>
    </row>
    <row r="161" spans="1:23" ht="13" x14ac:dyDescent="0.15">
      <c r="A161" s="2" t="s">
        <v>343</v>
      </c>
      <c r="B161" s="23">
        <v>45231.25953703704</v>
      </c>
      <c r="C161" s="23">
        <v>45231.25953703704</v>
      </c>
      <c r="D161" s="23" t="str">
        <f>IF(Table1[[#This Row],[Duration of Campaign]]=0, "Ongoing","Completed")</f>
        <v>Ongoing</v>
      </c>
      <c r="E161" s="25">
        <f>Table1[[#This Row],[End Date]]-Table1[[#This Row],[Start Date]]</f>
        <v>0</v>
      </c>
      <c r="F161" s="8">
        <v>4526</v>
      </c>
      <c r="G161" s="21" t="s">
        <v>14</v>
      </c>
      <c r="H161" s="11">
        <v>1631</v>
      </c>
      <c r="I161" s="11">
        <v>853</v>
      </c>
      <c r="J161" s="11">
        <v>28</v>
      </c>
      <c r="K161" s="13">
        <v>3598</v>
      </c>
      <c r="L161" s="16">
        <f t="shared" si="12"/>
        <v>0.52299202942979772</v>
      </c>
      <c r="M161" s="16">
        <f t="shared" si="13"/>
        <v>3.2825322391559206E-2</v>
      </c>
      <c r="N161" s="17">
        <f t="shared" si="14"/>
        <v>12.488862837045721</v>
      </c>
      <c r="O161" s="17">
        <f t="shared" si="15"/>
        <v>380.46428571428572</v>
      </c>
      <c r="P161" s="16">
        <f t="shared" si="16"/>
        <v>2.3537339814405658</v>
      </c>
      <c r="Q161" s="16">
        <f t="shared" si="17"/>
        <v>0.3377452360837323</v>
      </c>
      <c r="R161" s="2" t="s">
        <v>344</v>
      </c>
      <c r="S161" s="21" t="s">
        <v>16</v>
      </c>
      <c r="T161" s="21" t="s">
        <v>27</v>
      </c>
      <c r="U161" s="8">
        <v>10653</v>
      </c>
      <c r="V161" s="11">
        <v>1</v>
      </c>
      <c r="W161" t="str">
        <f>IF(Table1[[#This Row],[Satisfaction Rating]]&lt;2, "Low", IF(Table1[[#This Row],[Satisfaction Rating]]&lt;4, "Medium", "High"))</f>
        <v>Low</v>
      </c>
    </row>
    <row r="162" spans="1:23" ht="13" x14ac:dyDescent="0.15">
      <c r="A162" s="2" t="s">
        <v>345</v>
      </c>
      <c r="B162" s="23">
        <v>44976.786134259259</v>
      </c>
      <c r="C162" s="23">
        <v>45131.963020833333</v>
      </c>
      <c r="D162" s="23" t="str">
        <f>IF(Table1[[#This Row],[Duration of Campaign]]=0, "Ongoing","Completed")</f>
        <v>Completed</v>
      </c>
      <c r="E162" s="25">
        <f>Table1[[#This Row],[End Date]]-Table1[[#This Row],[Start Date]]</f>
        <v>155.17688657407416</v>
      </c>
      <c r="F162" s="8">
        <v>3930</v>
      </c>
      <c r="G162" s="21" t="s">
        <v>37</v>
      </c>
      <c r="H162" s="11">
        <v>2487</v>
      </c>
      <c r="I162" s="11">
        <v>1790</v>
      </c>
      <c r="J162" s="11">
        <v>214</v>
      </c>
      <c r="K162" s="13">
        <v>11632</v>
      </c>
      <c r="L162" s="16">
        <f t="shared" si="12"/>
        <v>0.7197426618415762</v>
      </c>
      <c r="M162" s="16">
        <f t="shared" si="13"/>
        <v>0.11955307262569832</v>
      </c>
      <c r="N162" s="17">
        <f t="shared" si="14"/>
        <v>2.0754189944134076</v>
      </c>
      <c r="O162" s="17">
        <f t="shared" si="15"/>
        <v>17.359813084112151</v>
      </c>
      <c r="P162" s="16">
        <f t="shared" si="16"/>
        <v>0.94529262086513999</v>
      </c>
      <c r="Q162" s="16">
        <f t="shared" si="17"/>
        <v>3.1310901749663524</v>
      </c>
      <c r="R162" s="2" t="s">
        <v>346</v>
      </c>
      <c r="S162" s="21" t="s">
        <v>35</v>
      </c>
      <c r="T162" s="21" t="s">
        <v>17</v>
      </c>
      <c r="U162" s="8">
        <v>3715</v>
      </c>
      <c r="V162" s="11">
        <v>1</v>
      </c>
      <c r="W162" t="str">
        <f>IF(Table1[[#This Row],[Satisfaction Rating]]&lt;2, "Low", IF(Table1[[#This Row],[Satisfaction Rating]]&lt;4, "Medium", "High"))</f>
        <v>Low</v>
      </c>
    </row>
    <row r="163" spans="1:23" ht="13" x14ac:dyDescent="0.15">
      <c r="A163" s="2" t="s">
        <v>347</v>
      </c>
      <c r="B163" s="23">
        <v>45354.535532407404</v>
      </c>
      <c r="C163" s="23">
        <v>45354.535532407404</v>
      </c>
      <c r="D163" s="23" t="str">
        <f>IF(Table1[[#This Row],[Duration of Campaign]]=0, "Ongoing","Completed")</f>
        <v>Ongoing</v>
      </c>
      <c r="E163" s="25">
        <f>Table1[[#This Row],[End Date]]-Table1[[#This Row],[Start Date]]</f>
        <v>0</v>
      </c>
      <c r="F163" s="8">
        <v>1557</v>
      </c>
      <c r="G163" s="21" t="s">
        <v>14</v>
      </c>
      <c r="H163" s="11">
        <v>19370</v>
      </c>
      <c r="I163" s="11">
        <v>605</v>
      </c>
      <c r="J163" s="11">
        <v>466</v>
      </c>
      <c r="K163" s="13">
        <v>9190</v>
      </c>
      <c r="L163" s="16">
        <f t="shared" si="12"/>
        <v>3.1233866804336603E-2</v>
      </c>
      <c r="M163" s="16">
        <f t="shared" si="13"/>
        <v>0.77024793388429758</v>
      </c>
      <c r="N163" s="17">
        <f t="shared" si="14"/>
        <v>11.8</v>
      </c>
      <c r="O163" s="17">
        <f t="shared" si="15"/>
        <v>15.319742489270386</v>
      </c>
      <c r="P163" s="16">
        <f t="shared" si="16"/>
        <v>4.5850995504174694</v>
      </c>
      <c r="Q163" s="16">
        <f t="shared" si="17"/>
        <v>1.2872951393752627</v>
      </c>
      <c r="R163" s="2" t="s">
        <v>348</v>
      </c>
      <c r="S163" s="21" t="s">
        <v>35</v>
      </c>
      <c r="T163" s="21" t="s">
        <v>27</v>
      </c>
      <c r="U163" s="8">
        <v>7139</v>
      </c>
      <c r="V163" s="11">
        <v>2</v>
      </c>
      <c r="W163" t="str">
        <f>IF(Table1[[#This Row],[Satisfaction Rating]]&lt;2, "Low", IF(Table1[[#This Row],[Satisfaction Rating]]&lt;4, "Medium", "High"))</f>
        <v>Medium</v>
      </c>
    </row>
    <row r="164" spans="1:23" ht="13" x14ac:dyDescent="0.15">
      <c r="A164" s="2" t="s">
        <v>349</v>
      </c>
      <c r="B164" s="23">
        <v>45005.588703703703</v>
      </c>
      <c r="C164" s="23">
        <v>45227.951817129629</v>
      </c>
      <c r="D164" s="23" t="str">
        <f>IF(Table1[[#This Row],[Duration of Campaign]]=0, "Ongoing","Completed")</f>
        <v>Completed</v>
      </c>
      <c r="E164" s="25">
        <f>Table1[[#This Row],[End Date]]-Table1[[#This Row],[Start Date]]</f>
        <v>222.36311342592671</v>
      </c>
      <c r="F164" s="8">
        <v>1489</v>
      </c>
      <c r="G164" s="21" t="s">
        <v>53</v>
      </c>
      <c r="H164" s="11">
        <v>17425</v>
      </c>
      <c r="I164" s="11">
        <v>499</v>
      </c>
      <c r="J164" s="11">
        <v>488</v>
      </c>
      <c r="K164" s="13">
        <v>13112</v>
      </c>
      <c r="L164" s="16">
        <f t="shared" si="12"/>
        <v>2.8637015781922525E-2</v>
      </c>
      <c r="M164" s="16">
        <f t="shared" si="13"/>
        <v>0.97795591182364727</v>
      </c>
      <c r="N164" s="17">
        <f t="shared" si="14"/>
        <v>7.4108216432865728</v>
      </c>
      <c r="O164" s="17">
        <f t="shared" si="15"/>
        <v>7.5778688524590168</v>
      </c>
      <c r="P164" s="16">
        <f t="shared" si="16"/>
        <v>2.4835460040295501</v>
      </c>
      <c r="Q164" s="16">
        <f t="shared" si="17"/>
        <v>3.5457003785830179</v>
      </c>
      <c r="R164" s="2" t="s">
        <v>350</v>
      </c>
      <c r="S164" s="21" t="s">
        <v>30</v>
      </c>
      <c r="T164" s="21" t="s">
        <v>45</v>
      </c>
      <c r="U164" s="8">
        <v>3698</v>
      </c>
      <c r="V164" s="11">
        <v>5</v>
      </c>
      <c r="W164" t="str">
        <f>IF(Table1[[#This Row],[Satisfaction Rating]]&lt;2, "Low", IF(Table1[[#This Row],[Satisfaction Rating]]&lt;4, "Medium", "High"))</f>
        <v>High</v>
      </c>
    </row>
    <row r="165" spans="1:23" ht="13" x14ac:dyDescent="0.15">
      <c r="A165" s="2" t="s">
        <v>351</v>
      </c>
      <c r="B165" s="23">
        <v>45052.515497685185</v>
      </c>
      <c r="C165" s="23">
        <v>45355.776886574073</v>
      </c>
      <c r="D165" s="23" t="str">
        <f>IF(Table1[[#This Row],[Duration of Campaign]]=0, "Ongoing","Completed")</f>
        <v>Completed</v>
      </c>
      <c r="E165" s="25">
        <f>Table1[[#This Row],[End Date]]-Table1[[#This Row],[Start Date]]</f>
        <v>303.26138888888818</v>
      </c>
      <c r="F165" s="8">
        <v>4579</v>
      </c>
      <c r="G165" s="21" t="s">
        <v>53</v>
      </c>
      <c r="H165" s="11">
        <v>7731</v>
      </c>
      <c r="I165" s="11">
        <v>1422</v>
      </c>
      <c r="J165" s="11">
        <v>235</v>
      </c>
      <c r="K165" s="13">
        <v>11466</v>
      </c>
      <c r="L165" s="16">
        <f t="shared" si="12"/>
        <v>0.18393480791618161</v>
      </c>
      <c r="M165" s="16">
        <f t="shared" si="13"/>
        <v>0.16526019690576652</v>
      </c>
      <c r="N165" s="17">
        <f t="shared" si="14"/>
        <v>8.4303797468354436</v>
      </c>
      <c r="O165" s="17">
        <f t="shared" si="15"/>
        <v>51.01276595744681</v>
      </c>
      <c r="P165" s="16">
        <f t="shared" si="16"/>
        <v>2.6180388731164008</v>
      </c>
      <c r="Q165" s="16">
        <f t="shared" si="17"/>
        <v>0.95645645645645649</v>
      </c>
      <c r="R165" s="2" t="s">
        <v>352</v>
      </c>
      <c r="S165" s="21" t="s">
        <v>35</v>
      </c>
      <c r="T165" s="21" t="s">
        <v>27</v>
      </c>
      <c r="U165" s="8">
        <v>11988</v>
      </c>
      <c r="V165" s="11">
        <v>4</v>
      </c>
      <c r="W165" t="str">
        <f>IF(Table1[[#This Row],[Satisfaction Rating]]&lt;2, "Low", IF(Table1[[#This Row],[Satisfaction Rating]]&lt;4, "Medium", "High"))</f>
        <v>High</v>
      </c>
    </row>
    <row r="166" spans="1:23" ht="13" x14ac:dyDescent="0.15">
      <c r="A166" s="2" t="s">
        <v>353</v>
      </c>
      <c r="B166" s="23">
        <v>45169.367361111108</v>
      </c>
      <c r="C166" s="23">
        <v>45640.778935185182</v>
      </c>
      <c r="D166" s="23" t="str">
        <f>IF(Table1[[#This Row],[Duration of Campaign]]=0, "Ongoing","Completed")</f>
        <v>Completed</v>
      </c>
      <c r="E166" s="25">
        <f>Table1[[#This Row],[End Date]]-Table1[[#This Row],[Start Date]]</f>
        <v>471.41157407407445</v>
      </c>
      <c r="F166" s="8">
        <v>2160</v>
      </c>
      <c r="G166" s="21" t="s">
        <v>14</v>
      </c>
      <c r="H166" s="11">
        <v>6391</v>
      </c>
      <c r="I166" s="11">
        <v>741</v>
      </c>
      <c r="J166" s="11">
        <v>327</v>
      </c>
      <c r="K166" s="13">
        <v>870</v>
      </c>
      <c r="L166" s="16">
        <f t="shared" si="12"/>
        <v>0.11594429666718824</v>
      </c>
      <c r="M166" s="16">
        <f t="shared" si="13"/>
        <v>0.44129554655870445</v>
      </c>
      <c r="N166" s="17">
        <f t="shared" si="14"/>
        <v>18.278002699055332</v>
      </c>
      <c r="O166" s="17">
        <f t="shared" si="15"/>
        <v>41.418960244648318</v>
      </c>
      <c r="P166" s="16">
        <f t="shared" si="16"/>
        <v>6.2703703703703706</v>
      </c>
      <c r="Q166" s="16">
        <f t="shared" si="17"/>
        <v>6.4235085646780862E-2</v>
      </c>
      <c r="R166" s="2" t="s">
        <v>354</v>
      </c>
      <c r="S166" s="21" t="s">
        <v>30</v>
      </c>
      <c r="T166" s="21" t="s">
        <v>17</v>
      </c>
      <c r="U166" s="8">
        <v>13544</v>
      </c>
      <c r="V166" s="11">
        <v>1</v>
      </c>
      <c r="W166" t="str">
        <f>IF(Table1[[#This Row],[Satisfaction Rating]]&lt;2, "Low", IF(Table1[[#This Row],[Satisfaction Rating]]&lt;4, "Medium", "High"))</f>
        <v>Low</v>
      </c>
    </row>
    <row r="167" spans="1:23" ht="13" x14ac:dyDescent="0.15">
      <c r="A167" s="2" t="s">
        <v>355</v>
      </c>
      <c r="B167" s="23">
        <v>45591.006655092591</v>
      </c>
      <c r="C167" s="23">
        <v>45591.006655092591</v>
      </c>
      <c r="D167" s="23" t="str">
        <f>IF(Table1[[#This Row],[Duration of Campaign]]=0, "Ongoing","Completed")</f>
        <v>Ongoing</v>
      </c>
      <c r="E167" s="25">
        <f>Table1[[#This Row],[End Date]]-Table1[[#This Row],[Start Date]]</f>
        <v>0</v>
      </c>
      <c r="F167" s="8">
        <v>9585</v>
      </c>
      <c r="G167" s="21" t="s">
        <v>37</v>
      </c>
      <c r="H167" s="11">
        <v>9394</v>
      </c>
      <c r="I167" s="11">
        <v>1368</v>
      </c>
      <c r="J167" s="11">
        <v>281</v>
      </c>
      <c r="K167" s="13">
        <v>7409</v>
      </c>
      <c r="L167" s="16">
        <f t="shared" si="12"/>
        <v>0.14562486693634236</v>
      </c>
      <c r="M167" s="16">
        <f t="shared" si="13"/>
        <v>0.20540935672514621</v>
      </c>
      <c r="N167" s="17">
        <f t="shared" si="14"/>
        <v>12.470760233918128</v>
      </c>
      <c r="O167" s="17">
        <f t="shared" si="15"/>
        <v>60.711743772241995</v>
      </c>
      <c r="P167" s="16">
        <f t="shared" si="16"/>
        <v>1.7798643714136673</v>
      </c>
      <c r="Q167" s="16">
        <f t="shared" si="17"/>
        <v>0.43429073856975381</v>
      </c>
      <c r="R167" s="2" t="s">
        <v>356</v>
      </c>
      <c r="S167" s="21" t="s">
        <v>24</v>
      </c>
      <c r="T167" s="21" t="s">
        <v>45</v>
      </c>
      <c r="U167" s="8">
        <v>17060</v>
      </c>
      <c r="V167" s="11">
        <v>4</v>
      </c>
      <c r="W167" t="str">
        <f>IF(Table1[[#This Row],[Satisfaction Rating]]&lt;2, "Low", IF(Table1[[#This Row],[Satisfaction Rating]]&lt;4, "Medium", "High"))</f>
        <v>High</v>
      </c>
    </row>
    <row r="168" spans="1:23" ht="13" x14ac:dyDescent="0.15">
      <c r="A168" s="2" t="s">
        <v>357</v>
      </c>
      <c r="B168" s="23">
        <v>45397.486597222225</v>
      </c>
      <c r="C168" s="23">
        <v>45467.966412037036</v>
      </c>
      <c r="D168" s="23" t="str">
        <f>IF(Table1[[#This Row],[Duration of Campaign]]=0, "Ongoing","Completed")</f>
        <v>Completed</v>
      </c>
      <c r="E168" s="25">
        <f>Table1[[#This Row],[End Date]]-Table1[[#This Row],[Start Date]]</f>
        <v>70.479814814811107</v>
      </c>
      <c r="F168" s="8">
        <v>4884</v>
      </c>
      <c r="G168" s="21" t="s">
        <v>14</v>
      </c>
      <c r="H168" s="11">
        <v>10481</v>
      </c>
      <c r="I168" s="11">
        <v>1276</v>
      </c>
      <c r="J168" s="11">
        <v>283</v>
      </c>
      <c r="K168" s="13">
        <v>7412</v>
      </c>
      <c r="L168" s="16">
        <f t="shared" si="12"/>
        <v>0.12174410838660434</v>
      </c>
      <c r="M168" s="16">
        <f t="shared" si="13"/>
        <v>0.22178683385579936</v>
      </c>
      <c r="N168" s="17">
        <f t="shared" si="14"/>
        <v>8.0540752351097176</v>
      </c>
      <c r="O168" s="17">
        <f t="shared" si="15"/>
        <v>36.314487632508836</v>
      </c>
      <c r="P168" s="16">
        <f t="shared" si="16"/>
        <v>2.104217854217854</v>
      </c>
      <c r="Q168" s="16">
        <f t="shared" si="17"/>
        <v>0.72122214654081929</v>
      </c>
      <c r="R168" s="2" t="s">
        <v>358</v>
      </c>
      <c r="S168" s="21" t="s">
        <v>35</v>
      </c>
      <c r="T168" s="21" t="s">
        <v>17</v>
      </c>
      <c r="U168" s="8">
        <v>10277</v>
      </c>
      <c r="V168" s="11">
        <v>5</v>
      </c>
      <c r="W168" t="str">
        <f>IF(Table1[[#This Row],[Satisfaction Rating]]&lt;2, "Low", IF(Table1[[#This Row],[Satisfaction Rating]]&lt;4, "Medium", "High"))</f>
        <v>High</v>
      </c>
    </row>
    <row r="169" spans="1:23" ht="13" x14ac:dyDescent="0.15">
      <c r="A169" s="2" t="s">
        <v>359</v>
      </c>
      <c r="B169" s="23">
        <v>45119.304826388892</v>
      </c>
      <c r="C169" s="23">
        <v>45119.304826388892</v>
      </c>
      <c r="D169" s="23" t="str">
        <f>IF(Table1[[#This Row],[Duration of Campaign]]=0, "Ongoing","Completed")</f>
        <v>Ongoing</v>
      </c>
      <c r="E169" s="25">
        <f>Table1[[#This Row],[End Date]]-Table1[[#This Row],[Start Date]]</f>
        <v>0</v>
      </c>
      <c r="F169" s="8">
        <v>4018</v>
      </c>
      <c r="G169" s="21" t="s">
        <v>14</v>
      </c>
      <c r="H169" s="11">
        <v>16257</v>
      </c>
      <c r="I169" s="11">
        <v>1924</v>
      </c>
      <c r="J169" s="11">
        <v>486</v>
      </c>
      <c r="K169" s="13">
        <v>7340</v>
      </c>
      <c r="L169" s="16">
        <f t="shared" si="12"/>
        <v>0.11834901888417297</v>
      </c>
      <c r="M169" s="16">
        <f t="shared" si="13"/>
        <v>0.25259875259875259</v>
      </c>
      <c r="N169" s="17">
        <f t="shared" si="14"/>
        <v>3.9121621621621623</v>
      </c>
      <c r="O169" s="17">
        <f t="shared" si="15"/>
        <v>15.487654320987655</v>
      </c>
      <c r="P169" s="16">
        <f t="shared" si="16"/>
        <v>1.8733200597312096</v>
      </c>
      <c r="Q169" s="16">
        <f t="shared" si="17"/>
        <v>0.97515610468978342</v>
      </c>
      <c r="R169" s="2" t="s">
        <v>360</v>
      </c>
      <c r="S169" s="21" t="s">
        <v>24</v>
      </c>
      <c r="T169" s="21" t="s">
        <v>27</v>
      </c>
      <c r="U169" s="8">
        <v>7527</v>
      </c>
      <c r="V169" s="11">
        <v>1</v>
      </c>
      <c r="W169" t="str">
        <f>IF(Table1[[#This Row],[Satisfaction Rating]]&lt;2, "Low", IF(Table1[[#This Row],[Satisfaction Rating]]&lt;4, "Medium", "High"))</f>
        <v>Low</v>
      </c>
    </row>
    <row r="170" spans="1:23" ht="13" x14ac:dyDescent="0.15">
      <c r="A170" s="2" t="s">
        <v>361</v>
      </c>
      <c r="B170" s="23">
        <v>45461.340127314812</v>
      </c>
      <c r="C170" s="23">
        <v>45461.340127314812</v>
      </c>
      <c r="D170" s="23" t="str">
        <f>IF(Table1[[#This Row],[Duration of Campaign]]=0, "Ongoing","Completed")</f>
        <v>Ongoing</v>
      </c>
      <c r="E170" s="25">
        <f>Table1[[#This Row],[End Date]]-Table1[[#This Row],[Start Date]]</f>
        <v>0</v>
      </c>
      <c r="F170" s="8">
        <v>6676</v>
      </c>
      <c r="G170" s="21" t="s">
        <v>37</v>
      </c>
      <c r="H170" s="11">
        <v>17274</v>
      </c>
      <c r="I170" s="11">
        <v>1803</v>
      </c>
      <c r="J170" s="11">
        <v>207</v>
      </c>
      <c r="K170" s="13">
        <v>9247</v>
      </c>
      <c r="L170" s="16">
        <f t="shared" si="12"/>
        <v>0.10437651962486974</v>
      </c>
      <c r="M170" s="16">
        <f t="shared" si="13"/>
        <v>0.11480865224625623</v>
      </c>
      <c r="N170" s="17">
        <f t="shared" si="14"/>
        <v>8.1536328341652808</v>
      </c>
      <c r="O170" s="17">
        <f t="shared" si="15"/>
        <v>71.019323671497588</v>
      </c>
      <c r="P170" s="16">
        <f t="shared" si="16"/>
        <v>2.202067106051528</v>
      </c>
      <c r="Q170" s="16">
        <f t="shared" si="17"/>
        <v>0.62900482960342829</v>
      </c>
      <c r="R170" s="2" t="s">
        <v>362</v>
      </c>
      <c r="S170" s="21" t="s">
        <v>35</v>
      </c>
      <c r="T170" s="21" t="s">
        <v>27</v>
      </c>
      <c r="U170" s="8">
        <v>14701</v>
      </c>
      <c r="V170" s="11">
        <v>5</v>
      </c>
      <c r="W170" t="str">
        <f>IF(Table1[[#This Row],[Satisfaction Rating]]&lt;2, "Low", IF(Table1[[#This Row],[Satisfaction Rating]]&lt;4, "Medium", "High"))</f>
        <v>High</v>
      </c>
    </row>
    <row r="171" spans="1:23" ht="13" x14ac:dyDescent="0.15">
      <c r="A171" s="2" t="s">
        <v>363</v>
      </c>
      <c r="B171" s="23">
        <v>45611.709027777775</v>
      </c>
      <c r="C171" s="23">
        <v>45611.709027777775</v>
      </c>
      <c r="D171" s="23" t="str">
        <f>IF(Table1[[#This Row],[Duration of Campaign]]=0, "Ongoing","Completed")</f>
        <v>Ongoing</v>
      </c>
      <c r="E171" s="25">
        <f>Table1[[#This Row],[End Date]]-Table1[[#This Row],[Start Date]]</f>
        <v>0</v>
      </c>
      <c r="F171" s="8">
        <v>4607</v>
      </c>
      <c r="G171" s="21" t="s">
        <v>53</v>
      </c>
      <c r="H171" s="11">
        <v>9395</v>
      </c>
      <c r="I171" s="11">
        <v>1351</v>
      </c>
      <c r="J171" s="11">
        <v>241</v>
      </c>
      <c r="K171" s="13">
        <v>1557</v>
      </c>
      <c r="L171" s="16">
        <f t="shared" si="12"/>
        <v>0.14379989356040446</v>
      </c>
      <c r="M171" s="16">
        <f t="shared" si="13"/>
        <v>0.17838638045891933</v>
      </c>
      <c r="N171" s="17">
        <f t="shared" si="14"/>
        <v>13.278312361213915</v>
      </c>
      <c r="O171" s="17">
        <f t="shared" si="15"/>
        <v>74.435684647302907</v>
      </c>
      <c r="P171" s="16">
        <f t="shared" si="16"/>
        <v>3.8938571738658565</v>
      </c>
      <c r="Q171" s="16">
        <f t="shared" si="17"/>
        <v>8.6794135682033563E-2</v>
      </c>
      <c r="R171" s="2" t="s">
        <v>364</v>
      </c>
      <c r="S171" s="21" t="s">
        <v>30</v>
      </c>
      <c r="T171" s="21" t="s">
        <v>17</v>
      </c>
      <c r="U171" s="8">
        <v>17939</v>
      </c>
      <c r="V171" s="11">
        <v>2</v>
      </c>
      <c r="W171" t="str">
        <f>IF(Table1[[#This Row],[Satisfaction Rating]]&lt;2, "Low", IF(Table1[[#This Row],[Satisfaction Rating]]&lt;4, "Medium", "High"))</f>
        <v>Medium</v>
      </c>
    </row>
    <row r="172" spans="1:23" ht="13" x14ac:dyDescent="0.15">
      <c r="A172" s="2" t="s">
        <v>365</v>
      </c>
      <c r="B172" s="23">
        <v>45027.337037037039</v>
      </c>
      <c r="C172" s="23">
        <v>45499.228530092594</v>
      </c>
      <c r="D172" s="23" t="str">
        <f>IF(Table1[[#This Row],[Duration of Campaign]]=0, "Ongoing","Completed")</f>
        <v>Completed</v>
      </c>
      <c r="E172" s="25">
        <f>Table1[[#This Row],[End Date]]-Table1[[#This Row],[Start Date]]</f>
        <v>471.89149305555475</v>
      </c>
      <c r="F172" s="8">
        <v>4571</v>
      </c>
      <c r="G172" s="21" t="s">
        <v>19</v>
      </c>
      <c r="H172" s="11">
        <v>6751</v>
      </c>
      <c r="I172" s="11">
        <v>1302</v>
      </c>
      <c r="J172" s="11">
        <v>214</v>
      </c>
      <c r="K172" s="13">
        <v>13351</v>
      </c>
      <c r="L172" s="16">
        <f t="shared" si="12"/>
        <v>0.19286031699007555</v>
      </c>
      <c r="M172" s="16">
        <f t="shared" si="13"/>
        <v>0.16436251920122888</v>
      </c>
      <c r="N172" s="17">
        <f t="shared" si="14"/>
        <v>7.0783410138248852</v>
      </c>
      <c r="O172" s="17">
        <f t="shared" si="15"/>
        <v>43.065420560747661</v>
      </c>
      <c r="P172" s="16">
        <f t="shared" si="16"/>
        <v>2.0161890177204111</v>
      </c>
      <c r="Q172" s="16">
        <f t="shared" si="17"/>
        <v>1.4486762152777777</v>
      </c>
      <c r="R172" s="2" t="s">
        <v>366</v>
      </c>
      <c r="S172" s="21" t="s">
        <v>21</v>
      </c>
      <c r="T172" s="21" t="s">
        <v>17</v>
      </c>
      <c r="U172" s="8">
        <v>9216</v>
      </c>
      <c r="V172" s="11">
        <v>4</v>
      </c>
      <c r="W172" t="str">
        <f>IF(Table1[[#This Row],[Satisfaction Rating]]&lt;2, "Low", IF(Table1[[#This Row],[Satisfaction Rating]]&lt;4, "Medium", "High"))</f>
        <v>High</v>
      </c>
    </row>
    <row r="173" spans="1:23" ht="13" x14ac:dyDescent="0.15">
      <c r="A173" s="2" t="s">
        <v>367</v>
      </c>
      <c r="B173" s="23">
        <v>45291.539502314816</v>
      </c>
      <c r="C173" s="23">
        <v>45291.539502314816</v>
      </c>
      <c r="D173" s="23" t="str">
        <f>IF(Table1[[#This Row],[Duration of Campaign]]=0, "Ongoing","Completed")</f>
        <v>Ongoing</v>
      </c>
      <c r="E173" s="25">
        <f>Table1[[#This Row],[End Date]]-Table1[[#This Row],[Start Date]]</f>
        <v>0</v>
      </c>
      <c r="F173" s="8">
        <v>3466</v>
      </c>
      <c r="G173" s="21" t="s">
        <v>37</v>
      </c>
      <c r="H173" s="11">
        <v>5424</v>
      </c>
      <c r="I173" s="11">
        <v>447</v>
      </c>
      <c r="J173" s="11">
        <v>25</v>
      </c>
      <c r="K173" s="13">
        <v>4030</v>
      </c>
      <c r="L173" s="16">
        <f t="shared" si="12"/>
        <v>8.2411504424778764E-2</v>
      </c>
      <c r="M173" s="16">
        <f t="shared" si="13"/>
        <v>5.5928411633109618E-2</v>
      </c>
      <c r="N173" s="17">
        <f t="shared" si="14"/>
        <v>39.259507829977629</v>
      </c>
      <c r="O173" s="17">
        <f t="shared" si="15"/>
        <v>701.96</v>
      </c>
      <c r="P173" s="16">
        <f t="shared" si="16"/>
        <v>5.0631852279284475</v>
      </c>
      <c r="Q173" s="16">
        <f t="shared" si="17"/>
        <v>0.2296427146845974</v>
      </c>
      <c r="R173" s="2" t="s">
        <v>368</v>
      </c>
      <c r="S173" s="21" t="s">
        <v>21</v>
      </c>
      <c r="T173" s="21" t="s">
        <v>45</v>
      </c>
      <c r="U173" s="8">
        <v>17549</v>
      </c>
      <c r="V173" s="11">
        <v>2</v>
      </c>
      <c r="W173" t="str">
        <f>IF(Table1[[#This Row],[Satisfaction Rating]]&lt;2, "Low", IF(Table1[[#This Row],[Satisfaction Rating]]&lt;4, "Medium", "High"))</f>
        <v>Medium</v>
      </c>
    </row>
    <row r="174" spans="1:23" ht="13" x14ac:dyDescent="0.15">
      <c r="A174" s="2" t="s">
        <v>369</v>
      </c>
      <c r="B174" s="23">
        <v>45387.314351851855</v>
      </c>
      <c r="C174" s="23">
        <v>45535.923136574071</v>
      </c>
      <c r="D174" s="23" t="str">
        <f>IF(Table1[[#This Row],[Duration of Campaign]]=0, "Ongoing","Completed")</f>
        <v>Completed</v>
      </c>
      <c r="E174" s="25">
        <f>Table1[[#This Row],[End Date]]-Table1[[#This Row],[Start Date]]</f>
        <v>148.6087847222152</v>
      </c>
      <c r="F174" s="8">
        <v>1834</v>
      </c>
      <c r="G174" s="21" t="s">
        <v>19</v>
      </c>
      <c r="H174" s="11">
        <v>19015</v>
      </c>
      <c r="I174" s="11">
        <v>625</v>
      </c>
      <c r="J174" s="11">
        <v>423</v>
      </c>
      <c r="K174" s="13">
        <v>14160</v>
      </c>
      <c r="L174" s="16">
        <f t="shared" si="12"/>
        <v>3.2868787799105972E-2</v>
      </c>
      <c r="M174" s="16">
        <f t="shared" si="13"/>
        <v>0.67679999999999996</v>
      </c>
      <c r="N174" s="17">
        <f t="shared" si="14"/>
        <v>8.1359999999999992</v>
      </c>
      <c r="O174" s="17">
        <f t="shared" si="15"/>
        <v>12.021276595744681</v>
      </c>
      <c r="P174" s="16">
        <f t="shared" si="16"/>
        <v>2.7726281352235551</v>
      </c>
      <c r="Q174" s="16">
        <f t="shared" si="17"/>
        <v>2.7846607669616521</v>
      </c>
      <c r="R174" s="2" t="s">
        <v>370</v>
      </c>
      <c r="S174" s="21" t="s">
        <v>24</v>
      </c>
      <c r="T174" s="21" t="s">
        <v>45</v>
      </c>
      <c r="U174" s="8">
        <v>5085</v>
      </c>
      <c r="V174" s="11">
        <v>5</v>
      </c>
      <c r="W174" t="str">
        <f>IF(Table1[[#This Row],[Satisfaction Rating]]&lt;2, "Low", IF(Table1[[#This Row],[Satisfaction Rating]]&lt;4, "Medium", "High"))</f>
        <v>High</v>
      </c>
    </row>
    <row r="175" spans="1:23" ht="13" x14ac:dyDescent="0.15">
      <c r="A175" s="2" t="s">
        <v>371</v>
      </c>
      <c r="B175" s="23">
        <v>45427.840949074074</v>
      </c>
      <c r="C175" s="23">
        <v>45427.840949074074</v>
      </c>
      <c r="D175" s="23" t="str">
        <f>IF(Table1[[#This Row],[Duration of Campaign]]=0, "Ongoing","Completed")</f>
        <v>Ongoing</v>
      </c>
      <c r="E175" s="25">
        <f>Table1[[#This Row],[End Date]]-Table1[[#This Row],[Start Date]]</f>
        <v>0</v>
      </c>
      <c r="F175" s="8">
        <v>2333</v>
      </c>
      <c r="G175" s="21" t="s">
        <v>53</v>
      </c>
      <c r="H175" s="11">
        <v>12482</v>
      </c>
      <c r="I175" s="11">
        <v>1015</v>
      </c>
      <c r="J175" s="11">
        <v>235</v>
      </c>
      <c r="K175" s="13">
        <v>2968</v>
      </c>
      <c r="L175" s="16">
        <f t="shared" si="12"/>
        <v>8.1317096619131543E-2</v>
      </c>
      <c r="M175" s="16">
        <f t="shared" si="13"/>
        <v>0.23152709359605911</v>
      </c>
      <c r="N175" s="17">
        <f t="shared" si="14"/>
        <v>4.6719211822660096</v>
      </c>
      <c r="O175" s="17">
        <f t="shared" si="15"/>
        <v>20.178723404255319</v>
      </c>
      <c r="P175" s="16">
        <f t="shared" si="16"/>
        <v>2.0325760822974712</v>
      </c>
      <c r="Q175" s="16">
        <f t="shared" si="17"/>
        <v>0.62589624630957397</v>
      </c>
      <c r="R175" s="2" t="s">
        <v>372</v>
      </c>
      <c r="S175" s="21" t="s">
        <v>35</v>
      </c>
      <c r="T175" s="21" t="s">
        <v>45</v>
      </c>
      <c r="U175" s="8">
        <v>4742</v>
      </c>
      <c r="V175" s="11">
        <v>5</v>
      </c>
      <c r="W175" t="str">
        <f>IF(Table1[[#This Row],[Satisfaction Rating]]&lt;2, "Low", IF(Table1[[#This Row],[Satisfaction Rating]]&lt;4, "Medium", "High"))</f>
        <v>High</v>
      </c>
    </row>
    <row r="176" spans="1:23" ht="13" x14ac:dyDescent="0.15">
      <c r="A176" s="2" t="s">
        <v>373</v>
      </c>
      <c r="B176" s="23">
        <v>44946.957083333335</v>
      </c>
      <c r="C176" s="23">
        <v>45372.431979166664</v>
      </c>
      <c r="D176" s="23" t="str">
        <f>IF(Table1[[#This Row],[Duration of Campaign]]=0, "Ongoing","Completed")</f>
        <v>Completed</v>
      </c>
      <c r="E176" s="25">
        <f>Table1[[#This Row],[End Date]]-Table1[[#This Row],[Start Date]]</f>
        <v>425.47489583332936</v>
      </c>
      <c r="F176" s="8">
        <v>2793</v>
      </c>
      <c r="G176" s="21" t="s">
        <v>37</v>
      </c>
      <c r="H176" s="11">
        <v>15891</v>
      </c>
      <c r="I176" s="11">
        <v>182</v>
      </c>
      <c r="J176" s="11">
        <v>210</v>
      </c>
      <c r="K176" s="13">
        <v>3939</v>
      </c>
      <c r="L176" s="16">
        <f t="shared" si="12"/>
        <v>1.1453023724120572E-2</v>
      </c>
      <c r="M176" s="16">
        <f t="shared" si="13"/>
        <v>1.1538461538461537</v>
      </c>
      <c r="N176" s="17">
        <f t="shared" si="14"/>
        <v>30</v>
      </c>
      <c r="O176" s="17">
        <f t="shared" si="15"/>
        <v>26</v>
      </c>
      <c r="P176" s="16">
        <f t="shared" si="16"/>
        <v>1.9548872180451127</v>
      </c>
      <c r="Q176" s="16">
        <f t="shared" si="17"/>
        <v>0.72142857142857142</v>
      </c>
      <c r="R176" s="2" t="s">
        <v>374</v>
      </c>
      <c r="S176" s="21" t="s">
        <v>16</v>
      </c>
      <c r="T176" s="21" t="s">
        <v>45</v>
      </c>
      <c r="U176" s="8">
        <v>5460</v>
      </c>
      <c r="V176" s="11">
        <v>5</v>
      </c>
      <c r="W176" t="str">
        <f>IF(Table1[[#This Row],[Satisfaction Rating]]&lt;2, "Low", IF(Table1[[#This Row],[Satisfaction Rating]]&lt;4, "Medium", "High"))</f>
        <v>High</v>
      </c>
    </row>
    <row r="177" spans="1:23" ht="13" x14ac:dyDescent="0.15">
      <c r="A177" s="2" t="s">
        <v>375</v>
      </c>
      <c r="B177" s="23">
        <v>45408.927824074075</v>
      </c>
      <c r="C177" s="23">
        <v>45408.927824074075</v>
      </c>
      <c r="D177" s="23" t="str">
        <f>IF(Table1[[#This Row],[Duration of Campaign]]=0, "Ongoing","Completed")</f>
        <v>Ongoing</v>
      </c>
      <c r="E177" s="25">
        <f>Table1[[#This Row],[End Date]]-Table1[[#This Row],[Start Date]]</f>
        <v>0</v>
      </c>
      <c r="F177" s="8">
        <v>2749</v>
      </c>
      <c r="G177" s="21" t="s">
        <v>14</v>
      </c>
      <c r="H177" s="11">
        <v>11888</v>
      </c>
      <c r="I177" s="11">
        <v>472</v>
      </c>
      <c r="J177" s="11">
        <v>336</v>
      </c>
      <c r="K177" s="13">
        <v>14485</v>
      </c>
      <c r="L177" s="16">
        <f t="shared" si="12"/>
        <v>3.9703903095558546E-2</v>
      </c>
      <c r="M177" s="16">
        <f t="shared" si="13"/>
        <v>0.71186440677966101</v>
      </c>
      <c r="N177" s="17">
        <f t="shared" si="14"/>
        <v>2.7288135593220337</v>
      </c>
      <c r="O177" s="17">
        <f t="shared" si="15"/>
        <v>3.8333333333333335</v>
      </c>
      <c r="P177" s="16">
        <f t="shared" si="16"/>
        <v>0.46853401236813386</v>
      </c>
      <c r="Q177" s="16">
        <f t="shared" si="17"/>
        <v>11.246118012422361</v>
      </c>
      <c r="R177" s="2" t="s">
        <v>376</v>
      </c>
      <c r="S177" s="21" t="s">
        <v>30</v>
      </c>
      <c r="T177" s="21" t="s">
        <v>27</v>
      </c>
      <c r="U177" s="8">
        <v>1288</v>
      </c>
      <c r="V177" s="11">
        <v>2</v>
      </c>
      <c r="W177" t="str">
        <f>IF(Table1[[#This Row],[Satisfaction Rating]]&lt;2, "Low", IF(Table1[[#This Row],[Satisfaction Rating]]&lt;4, "Medium", "High"))</f>
        <v>Medium</v>
      </c>
    </row>
    <row r="178" spans="1:23" ht="13" x14ac:dyDescent="0.15">
      <c r="A178" s="2" t="s">
        <v>377</v>
      </c>
      <c r="B178" s="23">
        <v>45258.100868055553</v>
      </c>
      <c r="C178" s="23">
        <v>45258.100868055553</v>
      </c>
      <c r="D178" s="23" t="str">
        <f>IF(Table1[[#This Row],[Duration of Campaign]]=0, "Ongoing","Completed")</f>
        <v>Ongoing</v>
      </c>
      <c r="E178" s="25">
        <f>Table1[[#This Row],[End Date]]-Table1[[#This Row],[Start Date]]</f>
        <v>0</v>
      </c>
      <c r="F178" s="8">
        <v>5874</v>
      </c>
      <c r="G178" s="21" t="s">
        <v>53</v>
      </c>
      <c r="H178" s="11">
        <v>2816</v>
      </c>
      <c r="I178" s="11">
        <v>427</v>
      </c>
      <c r="J178" s="11">
        <v>490</v>
      </c>
      <c r="K178" s="13">
        <v>6008</v>
      </c>
      <c r="L178" s="16">
        <f t="shared" si="12"/>
        <v>0.15163352272727273</v>
      </c>
      <c r="M178" s="16">
        <f t="shared" si="13"/>
        <v>1.1475409836065573</v>
      </c>
      <c r="N178" s="17">
        <f t="shared" si="14"/>
        <v>13.997658079625293</v>
      </c>
      <c r="O178" s="17">
        <f t="shared" si="15"/>
        <v>12.19795918367347</v>
      </c>
      <c r="P178" s="16">
        <f t="shared" si="16"/>
        <v>1.0175348995573714</v>
      </c>
      <c r="Q178" s="16">
        <f t="shared" si="17"/>
        <v>1.0051865484356701</v>
      </c>
      <c r="R178" s="2" t="s">
        <v>378</v>
      </c>
      <c r="S178" s="21" t="s">
        <v>35</v>
      </c>
      <c r="T178" s="21" t="s">
        <v>17</v>
      </c>
      <c r="U178" s="8">
        <v>5977</v>
      </c>
      <c r="V178" s="11">
        <v>4</v>
      </c>
      <c r="W178" t="str">
        <f>IF(Table1[[#This Row],[Satisfaction Rating]]&lt;2, "Low", IF(Table1[[#This Row],[Satisfaction Rating]]&lt;4, "Medium", "High"))</f>
        <v>High</v>
      </c>
    </row>
    <row r="179" spans="1:23" ht="13" x14ac:dyDescent="0.15">
      <c r="A179" s="2" t="s">
        <v>379</v>
      </c>
      <c r="B179" s="23">
        <v>45078.498263888891</v>
      </c>
      <c r="C179" s="23">
        <v>45461.762743055559</v>
      </c>
      <c r="D179" s="23" t="str">
        <f>IF(Table1[[#This Row],[Duration of Campaign]]=0, "Ongoing","Completed")</f>
        <v>Completed</v>
      </c>
      <c r="E179" s="25">
        <f>Table1[[#This Row],[End Date]]-Table1[[#This Row],[Start Date]]</f>
        <v>383.26447916666802</v>
      </c>
      <c r="F179" s="8">
        <v>2687</v>
      </c>
      <c r="G179" s="21" t="s">
        <v>14</v>
      </c>
      <c r="H179" s="11">
        <v>18956</v>
      </c>
      <c r="I179" s="11">
        <v>774</v>
      </c>
      <c r="J179" s="11">
        <v>78</v>
      </c>
      <c r="K179" s="13">
        <v>11173</v>
      </c>
      <c r="L179" s="16">
        <f t="shared" si="12"/>
        <v>4.0831399029331084E-2</v>
      </c>
      <c r="M179" s="16">
        <f t="shared" si="13"/>
        <v>0.10077519379844961</v>
      </c>
      <c r="N179" s="17">
        <f t="shared" si="14"/>
        <v>6.2428940568475451</v>
      </c>
      <c r="O179" s="17">
        <f t="shared" si="15"/>
        <v>61.948717948717949</v>
      </c>
      <c r="P179" s="16">
        <f t="shared" si="16"/>
        <v>1.7982880535913659</v>
      </c>
      <c r="Q179" s="16">
        <f t="shared" si="17"/>
        <v>2.3122930463576159</v>
      </c>
      <c r="R179" s="2" t="s">
        <v>380</v>
      </c>
      <c r="S179" s="21" t="s">
        <v>35</v>
      </c>
      <c r="T179" s="21" t="s">
        <v>27</v>
      </c>
      <c r="U179" s="8">
        <v>4832</v>
      </c>
      <c r="V179" s="11">
        <v>3</v>
      </c>
      <c r="W179" t="str">
        <f>IF(Table1[[#This Row],[Satisfaction Rating]]&lt;2, "Low", IF(Table1[[#This Row],[Satisfaction Rating]]&lt;4, "Medium", "High"))</f>
        <v>Medium</v>
      </c>
    </row>
    <row r="180" spans="1:23" ht="13" x14ac:dyDescent="0.15">
      <c r="A180" s="2" t="s">
        <v>381</v>
      </c>
      <c r="B180" s="23">
        <v>44950.914212962962</v>
      </c>
      <c r="C180" s="23">
        <v>45644.195763888885</v>
      </c>
      <c r="D180" s="23" t="str">
        <f>IF(Table1[[#This Row],[Duration of Campaign]]=0, "Ongoing","Completed")</f>
        <v>Completed</v>
      </c>
      <c r="E180" s="25">
        <f>Table1[[#This Row],[End Date]]-Table1[[#This Row],[Start Date]]</f>
        <v>693.28155092592351</v>
      </c>
      <c r="F180" s="8">
        <v>6522</v>
      </c>
      <c r="G180" s="21" t="s">
        <v>14</v>
      </c>
      <c r="H180" s="11">
        <v>18550</v>
      </c>
      <c r="I180" s="11">
        <v>763</v>
      </c>
      <c r="J180" s="11">
        <v>324</v>
      </c>
      <c r="K180" s="13">
        <v>12942</v>
      </c>
      <c r="L180" s="16">
        <f t="shared" si="12"/>
        <v>4.1132075471698115E-2</v>
      </c>
      <c r="M180" s="16">
        <f t="shared" si="13"/>
        <v>0.42463958060288337</v>
      </c>
      <c r="N180" s="17">
        <f t="shared" si="14"/>
        <v>18.972477064220183</v>
      </c>
      <c r="O180" s="17">
        <f t="shared" si="15"/>
        <v>44.679012345679013</v>
      </c>
      <c r="P180" s="16">
        <f t="shared" si="16"/>
        <v>2.2195645507513033</v>
      </c>
      <c r="Q180" s="16">
        <f t="shared" si="17"/>
        <v>0.8940315004144791</v>
      </c>
      <c r="R180" s="2" t="s">
        <v>382</v>
      </c>
      <c r="S180" s="21" t="s">
        <v>21</v>
      </c>
      <c r="T180" s="21" t="s">
        <v>45</v>
      </c>
      <c r="U180" s="8">
        <v>14476</v>
      </c>
      <c r="V180" s="11">
        <v>3</v>
      </c>
      <c r="W180" t="str">
        <f>IF(Table1[[#This Row],[Satisfaction Rating]]&lt;2, "Low", IF(Table1[[#This Row],[Satisfaction Rating]]&lt;4, "Medium", "High"))</f>
        <v>Medium</v>
      </c>
    </row>
    <row r="181" spans="1:23" ht="13" x14ac:dyDescent="0.15">
      <c r="A181" s="2" t="s">
        <v>383</v>
      </c>
      <c r="B181" s="23">
        <v>45374.544768518521</v>
      </c>
      <c r="C181" s="23">
        <v>45477.559212962966</v>
      </c>
      <c r="D181" s="23" t="str">
        <f>IF(Table1[[#This Row],[Duration of Campaign]]=0, "Ongoing","Completed")</f>
        <v>Completed</v>
      </c>
      <c r="E181" s="25">
        <f>Table1[[#This Row],[End Date]]-Table1[[#This Row],[Start Date]]</f>
        <v>103.01444444444496</v>
      </c>
      <c r="F181" s="8">
        <v>1130</v>
      </c>
      <c r="G181" s="21" t="s">
        <v>53</v>
      </c>
      <c r="H181" s="11">
        <v>11572</v>
      </c>
      <c r="I181" s="11">
        <v>1364</v>
      </c>
      <c r="J181" s="11">
        <v>324</v>
      </c>
      <c r="K181" s="13">
        <v>4225</v>
      </c>
      <c r="L181" s="16">
        <f t="shared" si="12"/>
        <v>0.11787072243346007</v>
      </c>
      <c r="M181" s="16">
        <f t="shared" si="13"/>
        <v>0.23753665689149561</v>
      </c>
      <c r="N181" s="17">
        <f t="shared" si="14"/>
        <v>6.8702346041055717</v>
      </c>
      <c r="O181" s="17">
        <f t="shared" si="15"/>
        <v>28.922839506172838</v>
      </c>
      <c r="P181" s="16">
        <f t="shared" si="16"/>
        <v>8.2929203539823018</v>
      </c>
      <c r="Q181" s="16">
        <f t="shared" si="17"/>
        <v>0.45085903318749332</v>
      </c>
      <c r="R181" s="2" t="s">
        <v>384</v>
      </c>
      <c r="S181" s="21" t="s">
        <v>24</v>
      </c>
      <c r="T181" s="21" t="s">
        <v>45</v>
      </c>
      <c r="U181" s="8">
        <v>9371</v>
      </c>
      <c r="V181" s="11">
        <v>1</v>
      </c>
      <c r="W181" t="str">
        <f>IF(Table1[[#This Row],[Satisfaction Rating]]&lt;2, "Low", IF(Table1[[#This Row],[Satisfaction Rating]]&lt;4, "Medium", "High"))</f>
        <v>Low</v>
      </c>
    </row>
    <row r="182" spans="1:23" ht="13" x14ac:dyDescent="0.15">
      <c r="A182" s="2" t="s">
        <v>385</v>
      </c>
      <c r="B182" s="23">
        <v>45113.466828703706</v>
      </c>
      <c r="C182" s="23">
        <v>45113.466828703706</v>
      </c>
      <c r="D182" s="23" t="str">
        <f>IF(Table1[[#This Row],[Duration of Campaign]]=0, "Ongoing","Completed")</f>
        <v>Ongoing</v>
      </c>
      <c r="E182" s="25">
        <f>Table1[[#This Row],[End Date]]-Table1[[#This Row],[Start Date]]</f>
        <v>0</v>
      </c>
      <c r="F182" s="8">
        <v>7525</v>
      </c>
      <c r="G182" s="21" t="s">
        <v>37</v>
      </c>
      <c r="H182" s="11">
        <v>19635</v>
      </c>
      <c r="I182" s="11">
        <v>825</v>
      </c>
      <c r="J182" s="11">
        <v>86</v>
      </c>
      <c r="K182" s="13">
        <v>14369</v>
      </c>
      <c r="L182" s="16">
        <f t="shared" si="12"/>
        <v>4.2016806722689079E-2</v>
      </c>
      <c r="M182" s="16">
        <f t="shared" si="13"/>
        <v>0.10424242424242425</v>
      </c>
      <c r="N182" s="17">
        <f t="shared" si="14"/>
        <v>13.775757575757575</v>
      </c>
      <c r="O182" s="17">
        <f t="shared" si="15"/>
        <v>132.15116279069767</v>
      </c>
      <c r="P182" s="16">
        <f t="shared" si="16"/>
        <v>1.5102990033222592</v>
      </c>
      <c r="Q182" s="16">
        <f t="shared" si="17"/>
        <v>1.264320281566212</v>
      </c>
      <c r="R182" s="2" t="s">
        <v>386</v>
      </c>
      <c r="S182" s="21" t="s">
        <v>30</v>
      </c>
      <c r="T182" s="21" t="s">
        <v>45</v>
      </c>
      <c r="U182" s="8">
        <v>11365</v>
      </c>
      <c r="V182" s="11">
        <v>3</v>
      </c>
      <c r="W182" t="str">
        <f>IF(Table1[[#This Row],[Satisfaction Rating]]&lt;2, "Low", IF(Table1[[#This Row],[Satisfaction Rating]]&lt;4, "Medium", "High"))</f>
        <v>Medium</v>
      </c>
    </row>
    <row r="183" spans="1:23" ht="13" x14ac:dyDescent="0.15">
      <c r="A183" s="2" t="s">
        <v>387</v>
      </c>
      <c r="B183" s="23">
        <v>45091.870138888888</v>
      </c>
      <c r="C183" s="23">
        <v>45648.089224537034</v>
      </c>
      <c r="D183" s="23" t="str">
        <f>IF(Table1[[#This Row],[Duration of Campaign]]=0, "Ongoing","Completed")</f>
        <v>Completed</v>
      </c>
      <c r="E183" s="25">
        <f>Table1[[#This Row],[End Date]]-Table1[[#This Row],[Start Date]]</f>
        <v>556.21908564814657</v>
      </c>
      <c r="F183" s="8">
        <v>4455</v>
      </c>
      <c r="G183" s="21" t="s">
        <v>53</v>
      </c>
      <c r="H183" s="11">
        <v>9473</v>
      </c>
      <c r="I183" s="11">
        <v>1011</v>
      </c>
      <c r="J183" s="11">
        <v>427</v>
      </c>
      <c r="K183" s="13">
        <v>4859</v>
      </c>
      <c r="L183" s="16">
        <f t="shared" si="12"/>
        <v>0.1067243745381611</v>
      </c>
      <c r="M183" s="16">
        <f t="shared" si="13"/>
        <v>0.42235410484668645</v>
      </c>
      <c r="N183" s="17">
        <f t="shared" si="14"/>
        <v>10.93570722057369</v>
      </c>
      <c r="O183" s="17">
        <f t="shared" si="15"/>
        <v>25.892271662763466</v>
      </c>
      <c r="P183" s="16">
        <f t="shared" si="16"/>
        <v>2.4817059483726149</v>
      </c>
      <c r="Q183" s="16">
        <f t="shared" si="17"/>
        <v>0.43948986975397974</v>
      </c>
      <c r="R183" s="2" t="s">
        <v>388</v>
      </c>
      <c r="S183" s="21" t="s">
        <v>21</v>
      </c>
      <c r="T183" s="21" t="s">
        <v>17</v>
      </c>
      <c r="U183" s="8">
        <v>11056</v>
      </c>
      <c r="V183" s="11">
        <v>3</v>
      </c>
      <c r="W183" t="str">
        <f>IF(Table1[[#This Row],[Satisfaction Rating]]&lt;2, "Low", IF(Table1[[#This Row],[Satisfaction Rating]]&lt;4, "Medium", "High"))</f>
        <v>Medium</v>
      </c>
    </row>
    <row r="184" spans="1:23" ht="13" x14ac:dyDescent="0.15">
      <c r="A184" s="2" t="s">
        <v>389</v>
      </c>
      <c r="B184" s="23">
        <v>45024.826053240744</v>
      </c>
      <c r="C184" s="23">
        <v>45051.327928240738</v>
      </c>
      <c r="D184" s="23" t="str">
        <f>IF(Table1[[#This Row],[Duration of Campaign]]=0, "Ongoing","Completed")</f>
        <v>Completed</v>
      </c>
      <c r="E184" s="25">
        <f>Table1[[#This Row],[End Date]]-Table1[[#This Row],[Start Date]]</f>
        <v>26.50187499999447</v>
      </c>
      <c r="F184" s="8">
        <v>4159</v>
      </c>
      <c r="G184" s="21" t="s">
        <v>37</v>
      </c>
      <c r="H184" s="11">
        <v>8489</v>
      </c>
      <c r="I184" s="11">
        <v>1351</v>
      </c>
      <c r="J184" s="11">
        <v>334</v>
      </c>
      <c r="K184" s="13">
        <v>6628</v>
      </c>
      <c r="L184" s="16">
        <f t="shared" si="12"/>
        <v>0.15914713158204735</v>
      </c>
      <c r="M184" s="16">
        <f t="shared" si="13"/>
        <v>0.24722427831236121</v>
      </c>
      <c r="N184" s="17">
        <f t="shared" si="14"/>
        <v>0.90821613619541086</v>
      </c>
      <c r="O184" s="17">
        <f t="shared" si="15"/>
        <v>3.6736526946107784</v>
      </c>
      <c r="P184" s="16">
        <f t="shared" si="16"/>
        <v>0.29502284202933399</v>
      </c>
      <c r="Q184" s="16">
        <f t="shared" si="17"/>
        <v>5.4017929910350446</v>
      </c>
      <c r="R184" s="2" t="s">
        <v>390</v>
      </c>
      <c r="S184" s="21" t="s">
        <v>35</v>
      </c>
      <c r="T184" s="21" t="s">
        <v>27</v>
      </c>
      <c r="U184" s="8">
        <v>1227</v>
      </c>
      <c r="V184" s="11">
        <v>4</v>
      </c>
      <c r="W184" t="str">
        <f>IF(Table1[[#This Row],[Satisfaction Rating]]&lt;2, "Low", IF(Table1[[#This Row],[Satisfaction Rating]]&lt;4, "Medium", "High"))</f>
        <v>High</v>
      </c>
    </row>
    <row r="185" spans="1:23" ht="13" x14ac:dyDescent="0.15">
      <c r="A185" s="2" t="s">
        <v>391</v>
      </c>
      <c r="B185" s="23">
        <v>44972.345208333332</v>
      </c>
      <c r="C185" s="23">
        <v>45176.872187499997</v>
      </c>
      <c r="D185" s="23" t="str">
        <f>IF(Table1[[#This Row],[Duration of Campaign]]=0, "Ongoing","Completed")</f>
        <v>Completed</v>
      </c>
      <c r="E185" s="25">
        <f>Table1[[#This Row],[End Date]]-Table1[[#This Row],[Start Date]]</f>
        <v>204.52697916666511</v>
      </c>
      <c r="F185" s="8">
        <v>5172</v>
      </c>
      <c r="G185" s="21" t="s">
        <v>37</v>
      </c>
      <c r="H185" s="11">
        <v>4818</v>
      </c>
      <c r="I185" s="11">
        <v>968</v>
      </c>
      <c r="J185" s="11">
        <v>369</v>
      </c>
      <c r="K185" s="13">
        <v>6752</v>
      </c>
      <c r="L185" s="16">
        <f t="shared" si="12"/>
        <v>0.20091324200913241</v>
      </c>
      <c r="M185" s="16">
        <f t="shared" si="13"/>
        <v>0.381198347107438</v>
      </c>
      <c r="N185" s="17">
        <f t="shared" si="14"/>
        <v>7.5144628099173554</v>
      </c>
      <c r="O185" s="17">
        <f t="shared" si="15"/>
        <v>19.712737127371273</v>
      </c>
      <c r="P185" s="16">
        <f t="shared" si="16"/>
        <v>1.4064191802010828</v>
      </c>
      <c r="Q185" s="16">
        <f t="shared" si="17"/>
        <v>0.92823755842727518</v>
      </c>
      <c r="R185" s="2" t="s">
        <v>392</v>
      </c>
      <c r="S185" s="21" t="s">
        <v>24</v>
      </c>
      <c r="T185" s="21" t="s">
        <v>27</v>
      </c>
      <c r="U185" s="8">
        <v>7274</v>
      </c>
      <c r="V185" s="11">
        <v>3</v>
      </c>
      <c r="W185" t="str">
        <f>IF(Table1[[#This Row],[Satisfaction Rating]]&lt;2, "Low", IF(Table1[[#This Row],[Satisfaction Rating]]&lt;4, "Medium", "High"))</f>
        <v>Medium</v>
      </c>
    </row>
    <row r="186" spans="1:23" ht="13" x14ac:dyDescent="0.15">
      <c r="A186" s="2" t="s">
        <v>393</v>
      </c>
      <c r="B186" s="23">
        <v>45511.206006944441</v>
      </c>
      <c r="C186" s="23">
        <v>45511.206006944441</v>
      </c>
      <c r="D186" s="23" t="str">
        <f>IF(Table1[[#This Row],[Duration of Campaign]]=0, "Ongoing","Completed")</f>
        <v>Ongoing</v>
      </c>
      <c r="E186" s="25">
        <f>Table1[[#This Row],[End Date]]-Table1[[#This Row],[Start Date]]</f>
        <v>0</v>
      </c>
      <c r="F186" s="8">
        <v>5200</v>
      </c>
      <c r="G186" s="21" t="s">
        <v>37</v>
      </c>
      <c r="H186" s="11">
        <v>14461</v>
      </c>
      <c r="I186" s="11">
        <v>1710</v>
      </c>
      <c r="J186" s="11">
        <v>284</v>
      </c>
      <c r="K186" s="13">
        <v>12231</v>
      </c>
      <c r="L186" s="16">
        <f t="shared" si="12"/>
        <v>0.11824908374247978</v>
      </c>
      <c r="M186" s="16">
        <f t="shared" si="13"/>
        <v>0.16608187134502925</v>
      </c>
      <c r="N186" s="17">
        <f t="shared" si="14"/>
        <v>1.1309941520467837</v>
      </c>
      <c r="O186" s="17">
        <f t="shared" si="15"/>
        <v>6.8098591549295771</v>
      </c>
      <c r="P186" s="16">
        <f t="shared" si="16"/>
        <v>0.37192307692307691</v>
      </c>
      <c r="Q186" s="16">
        <f t="shared" si="17"/>
        <v>6.324198552223371</v>
      </c>
      <c r="R186" s="2" t="s">
        <v>394</v>
      </c>
      <c r="S186" s="21" t="s">
        <v>24</v>
      </c>
      <c r="T186" s="21" t="s">
        <v>45</v>
      </c>
      <c r="U186" s="8">
        <v>1934</v>
      </c>
      <c r="V186" s="11">
        <v>3</v>
      </c>
      <c r="W186" t="str">
        <f>IF(Table1[[#This Row],[Satisfaction Rating]]&lt;2, "Low", IF(Table1[[#This Row],[Satisfaction Rating]]&lt;4, "Medium", "High"))</f>
        <v>Medium</v>
      </c>
    </row>
    <row r="187" spans="1:23" ht="13" x14ac:dyDescent="0.15">
      <c r="A187" s="2" t="s">
        <v>395</v>
      </c>
      <c r="B187" s="23">
        <v>45570.097268518519</v>
      </c>
      <c r="C187" s="23">
        <v>45570.097268518519</v>
      </c>
      <c r="D187" s="23" t="str">
        <f>IF(Table1[[#This Row],[Duration of Campaign]]=0, "Ongoing","Completed")</f>
        <v>Ongoing</v>
      </c>
      <c r="E187" s="25">
        <f>Table1[[#This Row],[End Date]]-Table1[[#This Row],[Start Date]]</f>
        <v>0</v>
      </c>
      <c r="F187" s="8">
        <v>3095</v>
      </c>
      <c r="G187" s="21" t="s">
        <v>14</v>
      </c>
      <c r="H187" s="11">
        <v>13209</v>
      </c>
      <c r="I187" s="11">
        <v>1552</v>
      </c>
      <c r="J187" s="11">
        <v>160</v>
      </c>
      <c r="K187" s="13">
        <v>12129</v>
      </c>
      <c r="L187" s="16">
        <f t="shared" si="12"/>
        <v>0.11749564690741161</v>
      </c>
      <c r="M187" s="16">
        <f t="shared" si="13"/>
        <v>0.10309278350515463</v>
      </c>
      <c r="N187" s="17">
        <f t="shared" si="14"/>
        <v>5.4432989690721651</v>
      </c>
      <c r="O187" s="17">
        <f t="shared" si="15"/>
        <v>52.8</v>
      </c>
      <c r="P187" s="16">
        <f t="shared" si="16"/>
        <v>2.7295638126009694</v>
      </c>
      <c r="Q187" s="16">
        <f t="shared" si="17"/>
        <v>1.4357244318181819</v>
      </c>
      <c r="R187" s="2" t="s">
        <v>396</v>
      </c>
      <c r="S187" s="21" t="s">
        <v>24</v>
      </c>
      <c r="T187" s="21" t="s">
        <v>45</v>
      </c>
      <c r="U187" s="8">
        <v>8448</v>
      </c>
      <c r="V187" s="11">
        <v>2</v>
      </c>
      <c r="W187" t="str">
        <f>IF(Table1[[#This Row],[Satisfaction Rating]]&lt;2, "Low", IF(Table1[[#This Row],[Satisfaction Rating]]&lt;4, "Medium", "High"))</f>
        <v>Medium</v>
      </c>
    </row>
    <row r="188" spans="1:23" ht="13" x14ac:dyDescent="0.15">
      <c r="A188" s="2" t="s">
        <v>397</v>
      </c>
      <c r="B188" s="23">
        <v>45283.094664351855</v>
      </c>
      <c r="C188" s="23">
        <v>45283.094664351855</v>
      </c>
      <c r="D188" s="23" t="str">
        <f>IF(Table1[[#This Row],[Duration of Campaign]]=0, "Ongoing","Completed")</f>
        <v>Ongoing</v>
      </c>
      <c r="E188" s="25">
        <f>Table1[[#This Row],[End Date]]-Table1[[#This Row],[Start Date]]</f>
        <v>0</v>
      </c>
      <c r="F188" s="8">
        <v>9299</v>
      </c>
      <c r="G188" s="21" t="s">
        <v>53</v>
      </c>
      <c r="H188" s="11">
        <v>9531</v>
      </c>
      <c r="I188" s="11">
        <v>1449</v>
      </c>
      <c r="J188" s="11">
        <v>334</v>
      </c>
      <c r="K188" s="13">
        <v>2087</v>
      </c>
      <c r="L188" s="16">
        <f t="shared" si="12"/>
        <v>0.15203021718602455</v>
      </c>
      <c r="M188" s="16">
        <f t="shared" si="13"/>
        <v>0.23050379572118704</v>
      </c>
      <c r="N188" s="17">
        <f t="shared" si="14"/>
        <v>6.8461007591442371</v>
      </c>
      <c r="O188" s="17">
        <f t="shared" si="15"/>
        <v>29.700598802395209</v>
      </c>
      <c r="P188" s="16">
        <f t="shared" si="16"/>
        <v>1.066781374341327</v>
      </c>
      <c r="Q188" s="16">
        <f t="shared" si="17"/>
        <v>0.21038306451612904</v>
      </c>
      <c r="R188" s="2" t="s">
        <v>398</v>
      </c>
      <c r="S188" s="21" t="s">
        <v>30</v>
      </c>
      <c r="T188" s="21" t="s">
        <v>45</v>
      </c>
      <c r="U188" s="8">
        <v>9920</v>
      </c>
      <c r="V188" s="11">
        <v>4</v>
      </c>
      <c r="W188" t="str">
        <f>IF(Table1[[#This Row],[Satisfaction Rating]]&lt;2, "Low", IF(Table1[[#This Row],[Satisfaction Rating]]&lt;4, "Medium", "High"))</f>
        <v>High</v>
      </c>
    </row>
    <row r="189" spans="1:23" ht="13" x14ac:dyDescent="0.15">
      <c r="A189" s="2" t="s">
        <v>399</v>
      </c>
      <c r="B189" s="23">
        <v>45450.032175925924</v>
      </c>
      <c r="C189" s="23">
        <v>45450.032175925924</v>
      </c>
      <c r="D189" s="23" t="str">
        <f>IF(Table1[[#This Row],[Duration of Campaign]]=0, "Ongoing","Completed")</f>
        <v>Ongoing</v>
      </c>
      <c r="E189" s="25">
        <f>Table1[[#This Row],[End Date]]-Table1[[#This Row],[Start Date]]</f>
        <v>0</v>
      </c>
      <c r="F189" s="8">
        <v>1931</v>
      </c>
      <c r="G189" s="21" t="s">
        <v>14</v>
      </c>
      <c r="H189" s="11">
        <v>17374</v>
      </c>
      <c r="I189" s="11">
        <v>472</v>
      </c>
      <c r="J189" s="11">
        <v>213</v>
      </c>
      <c r="K189" s="13">
        <v>4551</v>
      </c>
      <c r="L189" s="16">
        <f t="shared" si="12"/>
        <v>2.716703119604006E-2</v>
      </c>
      <c r="M189" s="16">
        <f t="shared" si="13"/>
        <v>0.45127118644067798</v>
      </c>
      <c r="N189" s="17">
        <f t="shared" si="14"/>
        <v>30.489406779661017</v>
      </c>
      <c r="O189" s="17">
        <f t="shared" si="15"/>
        <v>67.563380281690144</v>
      </c>
      <c r="P189" s="16">
        <f t="shared" si="16"/>
        <v>7.45261522527188</v>
      </c>
      <c r="Q189" s="16">
        <f t="shared" si="17"/>
        <v>0.31623931623931623</v>
      </c>
      <c r="R189" s="2" t="s">
        <v>400</v>
      </c>
      <c r="S189" s="21" t="s">
        <v>24</v>
      </c>
      <c r="T189" s="21" t="s">
        <v>45</v>
      </c>
      <c r="U189" s="8">
        <v>14391</v>
      </c>
      <c r="V189" s="11">
        <v>3</v>
      </c>
      <c r="W189" t="str">
        <f>IF(Table1[[#This Row],[Satisfaction Rating]]&lt;2, "Low", IF(Table1[[#This Row],[Satisfaction Rating]]&lt;4, "Medium", "High"))</f>
        <v>Medium</v>
      </c>
    </row>
    <row r="190" spans="1:23" ht="13" x14ac:dyDescent="0.15">
      <c r="A190" s="2" t="s">
        <v>401</v>
      </c>
      <c r="B190" s="23">
        <v>44939.560601851852</v>
      </c>
      <c r="C190" s="23">
        <v>45205.664895833332</v>
      </c>
      <c r="D190" s="23" t="str">
        <f>IF(Table1[[#This Row],[Duration of Campaign]]=0, "Ongoing","Completed")</f>
        <v>Completed</v>
      </c>
      <c r="E190" s="25">
        <f>Table1[[#This Row],[End Date]]-Table1[[#This Row],[Start Date]]</f>
        <v>266.10429398147971</v>
      </c>
      <c r="F190" s="8">
        <v>3870</v>
      </c>
      <c r="G190" s="21" t="s">
        <v>53</v>
      </c>
      <c r="H190" s="11">
        <v>15744</v>
      </c>
      <c r="I190" s="11">
        <v>1529</v>
      </c>
      <c r="J190" s="11">
        <v>266</v>
      </c>
      <c r="K190" s="13">
        <v>7759</v>
      </c>
      <c r="L190" s="16">
        <f t="shared" si="12"/>
        <v>9.7116361788617891E-2</v>
      </c>
      <c r="M190" s="16">
        <f t="shared" si="13"/>
        <v>0.17396991497710923</v>
      </c>
      <c r="N190" s="17">
        <f t="shared" si="14"/>
        <v>3.2629169391759318</v>
      </c>
      <c r="O190" s="17">
        <f t="shared" si="15"/>
        <v>18.755639097744361</v>
      </c>
      <c r="P190" s="16">
        <f t="shared" si="16"/>
        <v>1.2891472868217053</v>
      </c>
      <c r="Q190" s="16">
        <f t="shared" si="17"/>
        <v>1.5552214872719985</v>
      </c>
      <c r="R190" s="2" t="s">
        <v>402</v>
      </c>
      <c r="S190" s="21" t="s">
        <v>35</v>
      </c>
      <c r="T190" s="21" t="s">
        <v>27</v>
      </c>
      <c r="U190" s="8">
        <v>4989</v>
      </c>
      <c r="V190" s="11">
        <v>5</v>
      </c>
      <c r="W190" t="str">
        <f>IF(Table1[[#This Row],[Satisfaction Rating]]&lt;2, "Low", IF(Table1[[#This Row],[Satisfaction Rating]]&lt;4, "Medium", "High"))</f>
        <v>High</v>
      </c>
    </row>
    <row r="191" spans="1:23" ht="13" x14ac:dyDescent="0.15">
      <c r="A191" s="2" t="s">
        <v>403</v>
      </c>
      <c r="B191" s="23">
        <v>45207.94940972222</v>
      </c>
      <c r="C191" s="23">
        <v>45207.94940972222</v>
      </c>
      <c r="D191" s="23" t="str">
        <f>IF(Table1[[#This Row],[Duration of Campaign]]=0, "Ongoing","Completed")</f>
        <v>Ongoing</v>
      </c>
      <c r="E191" s="25">
        <f>Table1[[#This Row],[End Date]]-Table1[[#This Row],[Start Date]]</f>
        <v>0</v>
      </c>
      <c r="F191" s="8">
        <v>4219</v>
      </c>
      <c r="G191" s="21" t="s">
        <v>53</v>
      </c>
      <c r="H191" s="11">
        <v>13852</v>
      </c>
      <c r="I191" s="11">
        <v>1597</v>
      </c>
      <c r="J191" s="11">
        <v>18</v>
      </c>
      <c r="K191" s="13">
        <v>14680</v>
      </c>
      <c r="L191" s="16">
        <f t="shared" si="12"/>
        <v>0.1152902107998845</v>
      </c>
      <c r="M191" s="16">
        <f t="shared" si="13"/>
        <v>1.1271133375078271E-2</v>
      </c>
      <c r="N191" s="17">
        <f t="shared" si="14"/>
        <v>7.6368190356919223</v>
      </c>
      <c r="O191" s="17">
        <f t="shared" si="15"/>
        <v>677.55555555555554</v>
      </c>
      <c r="P191" s="16">
        <f t="shared" si="16"/>
        <v>2.890732401042901</v>
      </c>
      <c r="Q191" s="16">
        <f t="shared" si="17"/>
        <v>1.2036733355198426</v>
      </c>
      <c r="R191" s="2" t="s">
        <v>404</v>
      </c>
      <c r="S191" s="21" t="s">
        <v>35</v>
      </c>
      <c r="T191" s="21" t="s">
        <v>45</v>
      </c>
      <c r="U191" s="8">
        <v>12196</v>
      </c>
      <c r="V191" s="11">
        <v>3</v>
      </c>
      <c r="W191" t="str">
        <f>IF(Table1[[#This Row],[Satisfaction Rating]]&lt;2, "Low", IF(Table1[[#This Row],[Satisfaction Rating]]&lt;4, "Medium", "High"))</f>
        <v>Medium</v>
      </c>
    </row>
    <row r="192" spans="1:23" ht="13" x14ac:dyDescent="0.15">
      <c r="A192" s="2" t="s">
        <v>405</v>
      </c>
      <c r="B192" s="23">
        <v>45208.412893518522</v>
      </c>
      <c r="C192" s="23">
        <v>45397.432500000003</v>
      </c>
      <c r="D192" s="23" t="str">
        <f>IF(Table1[[#This Row],[Duration of Campaign]]=0, "Ongoing","Completed")</f>
        <v>Completed</v>
      </c>
      <c r="E192" s="25">
        <f>Table1[[#This Row],[End Date]]-Table1[[#This Row],[Start Date]]</f>
        <v>189.01960648148088</v>
      </c>
      <c r="F192" s="8">
        <v>7557</v>
      </c>
      <c r="G192" s="21" t="s">
        <v>37</v>
      </c>
      <c r="H192" s="11">
        <v>11266</v>
      </c>
      <c r="I192" s="11">
        <v>932</v>
      </c>
      <c r="J192" s="11">
        <v>357</v>
      </c>
      <c r="K192" s="13">
        <v>14734</v>
      </c>
      <c r="L192" s="16">
        <f t="shared" si="12"/>
        <v>8.2726788567370854E-2</v>
      </c>
      <c r="M192" s="16">
        <f t="shared" si="13"/>
        <v>0.38304721030042921</v>
      </c>
      <c r="N192" s="17">
        <f t="shared" si="14"/>
        <v>20.363733905579398</v>
      </c>
      <c r="O192" s="17">
        <f t="shared" si="15"/>
        <v>53.162464985994397</v>
      </c>
      <c r="P192" s="16">
        <f t="shared" si="16"/>
        <v>2.5114463411406645</v>
      </c>
      <c r="Q192" s="16">
        <f t="shared" si="17"/>
        <v>0.77633173507560993</v>
      </c>
      <c r="R192" s="2" t="s">
        <v>406</v>
      </c>
      <c r="S192" s="21" t="s">
        <v>30</v>
      </c>
      <c r="T192" s="21" t="s">
        <v>27</v>
      </c>
      <c r="U192" s="8">
        <v>18979</v>
      </c>
      <c r="V192" s="11">
        <v>4</v>
      </c>
      <c r="W192" t="str">
        <f>IF(Table1[[#This Row],[Satisfaction Rating]]&lt;2, "Low", IF(Table1[[#This Row],[Satisfaction Rating]]&lt;4, "Medium", "High"))</f>
        <v>High</v>
      </c>
    </row>
    <row r="193" spans="1:23" ht="13" x14ac:dyDescent="0.15">
      <c r="A193" s="2" t="s">
        <v>407</v>
      </c>
      <c r="B193" s="23">
        <v>45218.712245370371</v>
      </c>
      <c r="C193" s="23">
        <v>45408.283622685187</v>
      </c>
      <c r="D193" s="23" t="str">
        <f>IF(Table1[[#This Row],[Duration of Campaign]]=0, "Ongoing","Completed")</f>
        <v>Completed</v>
      </c>
      <c r="E193" s="25">
        <f>Table1[[#This Row],[End Date]]-Table1[[#This Row],[Start Date]]</f>
        <v>189.57137731481635</v>
      </c>
      <c r="F193" s="8">
        <v>1407</v>
      </c>
      <c r="G193" s="21" t="s">
        <v>53</v>
      </c>
      <c r="H193" s="11">
        <v>7819</v>
      </c>
      <c r="I193" s="11">
        <v>414</v>
      </c>
      <c r="J193" s="11">
        <v>380</v>
      </c>
      <c r="K193" s="13">
        <v>2635</v>
      </c>
      <c r="L193" s="16">
        <f t="shared" si="12"/>
        <v>5.2947947307839874E-2</v>
      </c>
      <c r="M193" s="16">
        <f t="shared" si="13"/>
        <v>0.91787439613526567</v>
      </c>
      <c r="N193" s="17">
        <f t="shared" si="14"/>
        <v>23.838164251207729</v>
      </c>
      <c r="O193" s="17">
        <f t="shared" si="15"/>
        <v>25.971052631578946</v>
      </c>
      <c r="P193" s="16">
        <f t="shared" si="16"/>
        <v>7.0142146410803123</v>
      </c>
      <c r="Q193" s="16">
        <f t="shared" si="17"/>
        <v>0.26699766947005776</v>
      </c>
      <c r="R193" s="2" t="s">
        <v>408</v>
      </c>
      <c r="S193" s="21" t="s">
        <v>21</v>
      </c>
      <c r="T193" s="21" t="s">
        <v>45</v>
      </c>
      <c r="U193" s="8">
        <v>9869</v>
      </c>
      <c r="V193" s="11">
        <v>4</v>
      </c>
      <c r="W193" t="str">
        <f>IF(Table1[[#This Row],[Satisfaction Rating]]&lt;2, "Low", IF(Table1[[#This Row],[Satisfaction Rating]]&lt;4, "Medium", "High"))</f>
        <v>High</v>
      </c>
    </row>
    <row r="194" spans="1:23" ht="13" x14ac:dyDescent="0.15">
      <c r="A194" s="2" t="s">
        <v>409</v>
      </c>
      <c r="B194" s="23">
        <v>45399.370196759257</v>
      </c>
      <c r="C194" s="23">
        <v>45437.028761574074</v>
      </c>
      <c r="D194" s="23" t="str">
        <f>IF(Table1[[#This Row],[Duration of Campaign]]=0, "Ongoing","Completed")</f>
        <v>Completed</v>
      </c>
      <c r="E194" s="25">
        <f>Table1[[#This Row],[End Date]]-Table1[[#This Row],[Start Date]]</f>
        <v>37.65856481481751</v>
      </c>
      <c r="F194" s="8">
        <v>5381</v>
      </c>
      <c r="G194" s="21" t="s">
        <v>14</v>
      </c>
      <c r="H194" s="11">
        <v>10532</v>
      </c>
      <c r="I194" s="11">
        <v>585</v>
      </c>
      <c r="J194" s="11">
        <v>148</v>
      </c>
      <c r="K194" s="13">
        <v>13252</v>
      </c>
      <c r="L194" s="16">
        <f t="shared" si="12"/>
        <v>5.5545005696923659E-2</v>
      </c>
      <c r="M194" s="16">
        <f t="shared" si="13"/>
        <v>0.25299145299145298</v>
      </c>
      <c r="N194" s="17">
        <f t="shared" si="14"/>
        <v>26.784615384615385</v>
      </c>
      <c r="O194" s="17">
        <f t="shared" si="15"/>
        <v>105.87162162162163</v>
      </c>
      <c r="P194" s="16">
        <f t="shared" si="16"/>
        <v>2.911912283962089</v>
      </c>
      <c r="Q194" s="16">
        <f t="shared" si="17"/>
        <v>0.84574637819899168</v>
      </c>
      <c r="R194" s="2" t="s">
        <v>410</v>
      </c>
      <c r="S194" s="21" t="s">
        <v>30</v>
      </c>
      <c r="T194" s="21" t="s">
        <v>17</v>
      </c>
      <c r="U194" s="8">
        <v>15669</v>
      </c>
      <c r="V194" s="11">
        <v>5</v>
      </c>
      <c r="W194" t="str">
        <f>IF(Table1[[#This Row],[Satisfaction Rating]]&lt;2, "Low", IF(Table1[[#This Row],[Satisfaction Rating]]&lt;4, "Medium", "High"))</f>
        <v>High</v>
      </c>
    </row>
    <row r="195" spans="1:23" ht="13" x14ac:dyDescent="0.15">
      <c r="A195" s="2" t="s">
        <v>411</v>
      </c>
      <c r="B195" s="23">
        <v>45408.28328703704</v>
      </c>
      <c r="C195" s="23">
        <v>45408.28328703704</v>
      </c>
      <c r="D195" s="23" t="str">
        <f>IF(Table1[[#This Row],[Duration of Campaign]]=0, "Ongoing","Completed")</f>
        <v>Ongoing</v>
      </c>
      <c r="E195" s="25">
        <f>Table1[[#This Row],[End Date]]-Table1[[#This Row],[Start Date]]</f>
        <v>0</v>
      </c>
      <c r="F195" s="8">
        <v>7931</v>
      </c>
      <c r="G195" s="21" t="s">
        <v>53</v>
      </c>
      <c r="H195" s="11">
        <v>16873</v>
      </c>
      <c r="I195" s="11">
        <v>576</v>
      </c>
      <c r="J195" s="11">
        <v>179</v>
      </c>
      <c r="K195" s="13">
        <v>4804</v>
      </c>
      <c r="L195" s="16">
        <f t="shared" ref="L195:L258" si="18">I195/H195</f>
        <v>3.4137379244947551E-2</v>
      </c>
      <c r="M195" s="16">
        <f t="shared" ref="M195:M258" si="19">J195/I195</f>
        <v>0.3107638888888889</v>
      </c>
      <c r="N195" s="17">
        <f t="shared" ref="N195:N258" si="20">U195/I195</f>
        <v>32.213541666666664</v>
      </c>
      <c r="O195" s="17">
        <f t="shared" ref="O195:O258" si="21">U195/J195</f>
        <v>103.65921787709497</v>
      </c>
      <c r="P195" s="16">
        <f t="shared" ref="P195:P258" si="22">U195/F195</f>
        <v>2.3395536502332619</v>
      </c>
      <c r="Q195" s="16">
        <f t="shared" ref="Q195:Q258" si="23">K195/U195</f>
        <v>0.25890595526812182</v>
      </c>
      <c r="R195" s="2" t="s">
        <v>412</v>
      </c>
      <c r="S195" s="21" t="s">
        <v>21</v>
      </c>
      <c r="T195" s="21" t="s">
        <v>45</v>
      </c>
      <c r="U195" s="8">
        <v>18555</v>
      </c>
      <c r="V195" s="11">
        <v>1</v>
      </c>
      <c r="W195" t="str">
        <f>IF(Table1[[#This Row],[Satisfaction Rating]]&lt;2, "Low", IF(Table1[[#This Row],[Satisfaction Rating]]&lt;4, "Medium", "High"))</f>
        <v>Low</v>
      </c>
    </row>
    <row r="196" spans="1:23" ht="13" x14ac:dyDescent="0.15">
      <c r="A196" s="2" t="s">
        <v>413</v>
      </c>
      <c r="B196" s="23">
        <v>45226.709328703706</v>
      </c>
      <c r="C196" s="23">
        <v>45596.51703703704</v>
      </c>
      <c r="D196" s="23" t="str">
        <f>IF(Table1[[#This Row],[Duration of Campaign]]=0, "Ongoing","Completed")</f>
        <v>Completed</v>
      </c>
      <c r="E196" s="25">
        <f>Table1[[#This Row],[End Date]]-Table1[[#This Row],[Start Date]]</f>
        <v>369.80770833333372</v>
      </c>
      <c r="F196" s="8">
        <v>4119</v>
      </c>
      <c r="G196" s="21" t="s">
        <v>37</v>
      </c>
      <c r="H196" s="11">
        <v>4875</v>
      </c>
      <c r="I196" s="11">
        <v>1755</v>
      </c>
      <c r="J196" s="11">
        <v>15</v>
      </c>
      <c r="K196" s="13">
        <v>3926</v>
      </c>
      <c r="L196" s="16">
        <f t="shared" si="18"/>
        <v>0.36</v>
      </c>
      <c r="M196" s="16">
        <f t="shared" si="19"/>
        <v>8.5470085470085479E-3</v>
      </c>
      <c r="N196" s="17">
        <f t="shared" si="20"/>
        <v>8.904843304843304</v>
      </c>
      <c r="O196" s="17">
        <f t="shared" si="21"/>
        <v>1041.8666666666666</v>
      </c>
      <c r="P196" s="16">
        <f t="shared" si="22"/>
        <v>3.7941247875697983</v>
      </c>
      <c r="Q196" s="16">
        <f t="shared" si="23"/>
        <v>0.25121576657281802</v>
      </c>
      <c r="R196" s="2" t="s">
        <v>414</v>
      </c>
      <c r="S196" s="21" t="s">
        <v>21</v>
      </c>
      <c r="T196" s="21" t="s">
        <v>27</v>
      </c>
      <c r="U196" s="8">
        <v>15628</v>
      </c>
      <c r="V196" s="11">
        <v>4</v>
      </c>
      <c r="W196" t="str">
        <f>IF(Table1[[#This Row],[Satisfaction Rating]]&lt;2, "Low", IF(Table1[[#This Row],[Satisfaction Rating]]&lt;4, "Medium", "High"))</f>
        <v>High</v>
      </c>
    </row>
    <row r="197" spans="1:23" ht="13" x14ac:dyDescent="0.15">
      <c r="A197" s="2" t="s">
        <v>415</v>
      </c>
      <c r="B197" s="23">
        <v>45264.710601851853</v>
      </c>
      <c r="C197" s="23">
        <v>45264.710601851853</v>
      </c>
      <c r="D197" s="23" t="str">
        <f>IF(Table1[[#This Row],[Duration of Campaign]]=0, "Ongoing","Completed")</f>
        <v>Ongoing</v>
      </c>
      <c r="E197" s="25">
        <f>Table1[[#This Row],[End Date]]-Table1[[#This Row],[Start Date]]</f>
        <v>0</v>
      </c>
      <c r="F197" s="8">
        <v>3174</v>
      </c>
      <c r="G197" s="21" t="s">
        <v>37</v>
      </c>
      <c r="H197" s="11">
        <v>9106</v>
      </c>
      <c r="I197" s="11">
        <v>1689</v>
      </c>
      <c r="J197" s="11">
        <v>149</v>
      </c>
      <c r="K197" s="13">
        <v>6691</v>
      </c>
      <c r="L197" s="16">
        <f t="shared" si="18"/>
        <v>0.18548209971447396</v>
      </c>
      <c r="M197" s="16">
        <f t="shared" si="19"/>
        <v>8.8217880402605087E-2</v>
      </c>
      <c r="N197" s="17">
        <f t="shared" si="20"/>
        <v>10.301953818827709</v>
      </c>
      <c r="O197" s="17">
        <f t="shared" si="21"/>
        <v>116.77852348993288</v>
      </c>
      <c r="P197" s="16">
        <f t="shared" si="22"/>
        <v>5.4820415879017013</v>
      </c>
      <c r="Q197" s="16">
        <f t="shared" si="23"/>
        <v>0.38454022988505748</v>
      </c>
      <c r="R197" s="2" t="s">
        <v>416</v>
      </c>
      <c r="S197" s="21" t="s">
        <v>16</v>
      </c>
      <c r="T197" s="21" t="s">
        <v>45</v>
      </c>
      <c r="U197" s="8">
        <v>17400</v>
      </c>
      <c r="V197" s="11">
        <v>1</v>
      </c>
      <c r="W197" t="str">
        <f>IF(Table1[[#This Row],[Satisfaction Rating]]&lt;2, "Low", IF(Table1[[#This Row],[Satisfaction Rating]]&lt;4, "Medium", "High"))</f>
        <v>Low</v>
      </c>
    </row>
    <row r="198" spans="1:23" ht="13" x14ac:dyDescent="0.15">
      <c r="A198" s="2" t="s">
        <v>417</v>
      </c>
      <c r="B198" s="23">
        <v>45504.052673611113</v>
      </c>
      <c r="C198" s="23">
        <v>45504.052673611113</v>
      </c>
      <c r="D198" s="23" t="str">
        <f>IF(Table1[[#This Row],[Duration of Campaign]]=0, "Ongoing","Completed")</f>
        <v>Ongoing</v>
      </c>
      <c r="E198" s="25">
        <f>Table1[[#This Row],[End Date]]-Table1[[#This Row],[Start Date]]</f>
        <v>0</v>
      </c>
      <c r="F198" s="8">
        <v>6635</v>
      </c>
      <c r="G198" s="21" t="s">
        <v>53</v>
      </c>
      <c r="H198" s="11">
        <v>18767</v>
      </c>
      <c r="I198" s="11">
        <v>932</v>
      </c>
      <c r="J198" s="11">
        <v>306</v>
      </c>
      <c r="K198" s="13">
        <v>1106</v>
      </c>
      <c r="L198" s="16">
        <f t="shared" si="18"/>
        <v>4.9661640112964249E-2</v>
      </c>
      <c r="M198" s="16">
        <f t="shared" si="19"/>
        <v>0.3283261802575107</v>
      </c>
      <c r="N198" s="17">
        <f t="shared" si="20"/>
        <v>6.0879828326180254</v>
      </c>
      <c r="O198" s="17">
        <f t="shared" si="21"/>
        <v>18.542483660130721</v>
      </c>
      <c r="P198" s="16">
        <f t="shared" si="22"/>
        <v>0.85516201959306704</v>
      </c>
      <c r="Q198" s="16">
        <f t="shared" si="23"/>
        <v>0.19492421572083188</v>
      </c>
      <c r="R198" s="2" t="s">
        <v>418</v>
      </c>
      <c r="S198" s="21" t="s">
        <v>30</v>
      </c>
      <c r="T198" s="21" t="s">
        <v>45</v>
      </c>
      <c r="U198" s="8">
        <v>5674</v>
      </c>
      <c r="V198" s="11">
        <v>2</v>
      </c>
      <c r="W198" t="str">
        <f>IF(Table1[[#This Row],[Satisfaction Rating]]&lt;2, "Low", IF(Table1[[#This Row],[Satisfaction Rating]]&lt;4, "Medium", "High"))</f>
        <v>Medium</v>
      </c>
    </row>
    <row r="199" spans="1:23" ht="13" x14ac:dyDescent="0.15">
      <c r="A199" s="2" t="s">
        <v>419</v>
      </c>
      <c r="B199" s="23">
        <v>44964.277465277781</v>
      </c>
      <c r="C199" s="23">
        <v>45505.892893518518</v>
      </c>
      <c r="D199" s="23" t="str">
        <f>IF(Table1[[#This Row],[Duration of Campaign]]=0, "Ongoing","Completed")</f>
        <v>Completed</v>
      </c>
      <c r="E199" s="25">
        <f>Table1[[#This Row],[End Date]]-Table1[[#This Row],[Start Date]]</f>
        <v>541.61542824073695</v>
      </c>
      <c r="F199" s="8">
        <v>6887</v>
      </c>
      <c r="G199" s="21" t="s">
        <v>19</v>
      </c>
      <c r="H199" s="11">
        <v>11397</v>
      </c>
      <c r="I199" s="11">
        <v>174</v>
      </c>
      <c r="J199" s="11">
        <v>481</v>
      </c>
      <c r="K199" s="13">
        <v>13199</v>
      </c>
      <c r="L199" s="16">
        <f t="shared" si="18"/>
        <v>1.5267175572519083E-2</v>
      </c>
      <c r="M199" s="16">
        <f t="shared" si="19"/>
        <v>2.764367816091954</v>
      </c>
      <c r="N199" s="17">
        <f t="shared" si="20"/>
        <v>35.080459770114942</v>
      </c>
      <c r="O199" s="17">
        <f t="shared" si="21"/>
        <v>12.69022869022869</v>
      </c>
      <c r="P199" s="16">
        <f t="shared" si="22"/>
        <v>0.88630753593727307</v>
      </c>
      <c r="Q199" s="16">
        <f t="shared" si="23"/>
        <v>2.1623525557011796</v>
      </c>
      <c r="R199" s="2" t="s">
        <v>420</v>
      </c>
      <c r="S199" s="21" t="s">
        <v>30</v>
      </c>
      <c r="T199" s="21" t="s">
        <v>45</v>
      </c>
      <c r="U199" s="8">
        <v>6104</v>
      </c>
      <c r="V199" s="11">
        <v>2</v>
      </c>
      <c r="W199" t="str">
        <f>IF(Table1[[#This Row],[Satisfaction Rating]]&lt;2, "Low", IF(Table1[[#This Row],[Satisfaction Rating]]&lt;4, "Medium", "High"))</f>
        <v>Medium</v>
      </c>
    </row>
    <row r="200" spans="1:23" ht="13" x14ac:dyDescent="0.15">
      <c r="A200" s="2" t="s">
        <v>421</v>
      </c>
      <c r="B200" s="23">
        <v>45183.06827546296</v>
      </c>
      <c r="C200" s="23">
        <v>45183.06827546296</v>
      </c>
      <c r="D200" s="23" t="str">
        <f>IF(Table1[[#This Row],[Duration of Campaign]]=0, "Ongoing","Completed")</f>
        <v>Ongoing</v>
      </c>
      <c r="E200" s="25">
        <f>Table1[[#This Row],[End Date]]-Table1[[#This Row],[Start Date]]</f>
        <v>0</v>
      </c>
      <c r="F200" s="8">
        <v>7534</v>
      </c>
      <c r="G200" s="21" t="s">
        <v>19</v>
      </c>
      <c r="H200" s="11">
        <v>4045</v>
      </c>
      <c r="I200" s="11">
        <v>1843</v>
      </c>
      <c r="J200" s="11">
        <v>472</v>
      </c>
      <c r="K200" s="13">
        <v>9417</v>
      </c>
      <c r="L200" s="16">
        <f t="shared" si="18"/>
        <v>0.45562422744128556</v>
      </c>
      <c r="M200" s="16">
        <f t="shared" si="19"/>
        <v>0.25610417797069995</v>
      </c>
      <c r="N200" s="17">
        <f t="shared" si="20"/>
        <v>3.0168204015192619</v>
      </c>
      <c r="O200" s="17">
        <f t="shared" si="21"/>
        <v>11.779661016949152</v>
      </c>
      <c r="P200" s="16">
        <f t="shared" si="22"/>
        <v>0.73798778869126624</v>
      </c>
      <c r="Q200" s="16">
        <f t="shared" si="23"/>
        <v>1.6937050359712231</v>
      </c>
      <c r="R200" s="2" t="s">
        <v>422</v>
      </c>
      <c r="S200" s="21" t="s">
        <v>30</v>
      </c>
      <c r="T200" s="21" t="s">
        <v>27</v>
      </c>
      <c r="U200" s="8">
        <v>5560</v>
      </c>
      <c r="V200" s="11">
        <v>2</v>
      </c>
      <c r="W200" t="str">
        <f>IF(Table1[[#This Row],[Satisfaction Rating]]&lt;2, "Low", IF(Table1[[#This Row],[Satisfaction Rating]]&lt;4, "Medium", "High"))</f>
        <v>Medium</v>
      </c>
    </row>
    <row r="201" spans="1:23" ht="13" x14ac:dyDescent="0.15">
      <c r="A201" s="2" t="s">
        <v>423</v>
      </c>
      <c r="B201" s="23">
        <v>45107.921157407407</v>
      </c>
      <c r="C201" s="23">
        <v>45265.866006944445</v>
      </c>
      <c r="D201" s="23" t="str">
        <f>IF(Table1[[#This Row],[Duration of Campaign]]=0, "Ongoing","Completed")</f>
        <v>Completed</v>
      </c>
      <c r="E201" s="25">
        <f>Table1[[#This Row],[End Date]]-Table1[[#This Row],[Start Date]]</f>
        <v>157.94484953703795</v>
      </c>
      <c r="F201" s="8">
        <v>2739</v>
      </c>
      <c r="G201" s="21" t="s">
        <v>19</v>
      </c>
      <c r="H201" s="11">
        <v>18798</v>
      </c>
      <c r="I201" s="11">
        <v>1024</v>
      </c>
      <c r="J201" s="11">
        <v>292</v>
      </c>
      <c r="K201" s="13">
        <v>13261</v>
      </c>
      <c r="L201" s="16">
        <f t="shared" si="18"/>
        <v>5.447388020002128E-2</v>
      </c>
      <c r="M201" s="16">
        <f t="shared" si="19"/>
        <v>0.28515625</v>
      </c>
      <c r="N201" s="17">
        <f t="shared" si="20"/>
        <v>19.40234375</v>
      </c>
      <c r="O201" s="17">
        <f t="shared" si="21"/>
        <v>68.041095890410958</v>
      </c>
      <c r="P201" s="16">
        <f t="shared" si="22"/>
        <v>7.2537422416940487</v>
      </c>
      <c r="Q201" s="16">
        <f t="shared" si="23"/>
        <v>0.66745520434870143</v>
      </c>
      <c r="R201" s="2" t="s">
        <v>424</v>
      </c>
      <c r="S201" s="21" t="s">
        <v>24</v>
      </c>
      <c r="T201" s="21" t="s">
        <v>45</v>
      </c>
      <c r="U201" s="8">
        <v>19868</v>
      </c>
      <c r="V201" s="11">
        <v>2</v>
      </c>
      <c r="W201" t="str">
        <f>IF(Table1[[#This Row],[Satisfaction Rating]]&lt;2, "Low", IF(Table1[[#This Row],[Satisfaction Rating]]&lt;4, "Medium", "High"))</f>
        <v>Medium</v>
      </c>
    </row>
    <row r="202" spans="1:23" ht="13" x14ac:dyDescent="0.15">
      <c r="A202" s="2" t="s">
        <v>425</v>
      </c>
      <c r="B202" s="23">
        <v>45305.531354166669</v>
      </c>
      <c r="C202" s="23">
        <v>45305.531354166669</v>
      </c>
      <c r="D202" s="23" t="str">
        <f>IF(Table1[[#This Row],[Duration of Campaign]]=0, "Ongoing","Completed")</f>
        <v>Ongoing</v>
      </c>
      <c r="E202" s="25">
        <f>Table1[[#This Row],[End Date]]-Table1[[#This Row],[Start Date]]</f>
        <v>0</v>
      </c>
      <c r="F202" s="8">
        <v>8781</v>
      </c>
      <c r="G202" s="21" t="s">
        <v>37</v>
      </c>
      <c r="H202" s="11">
        <v>1728</v>
      </c>
      <c r="I202" s="11">
        <v>1226</v>
      </c>
      <c r="J202" s="11">
        <v>278</v>
      </c>
      <c r="K202" s="13">
        <v>1076</v>
      </c>
      <c r="L202" s="16">
        <f t="shared" si="18"/>
        <v>0.7094907407407407</v>
      </c>
      <c r="M202" s="16">
        <f t="shared" si="19"/>
        <v>0.2267536704730832</v>
      </c>
      <c r="N202" s="17">
        <f t="shared" si="20"/>
        <v>2.2724306688417619</v>
      </c>
      <c r="O202" s="17">
        <f t="shared" si="21"/>
        <v>10.02158273381295</v>
      </c>
      <c r="P202" s="16">
        <f t="shared" si="22"/>
        <v>0.31727593668147136</v>
      </c>
      <c r="Q202" s="16">
        <f t="shared" si="23"/>
        <v>0.38621679827709976</v>
      </c>
      <c r="R202" s="2" t="s">
        <v>426</v>
      </c>
      <c r="S202" s="21" t="s">
        <v>21</v>
      </c>
      <c r="T202" s="21" t="s">
        <v>27</v>
      </c>
      <c r="U202" s="8">
        <v>2786</v>
      </c>
      <c r="V202" s="11">
        <v>3</v>
      </c>
      <c r="W202" t="str">
        <f>IF(Table1[[#This Row],[Satisfaction Rating]]&lt;2, "Low", IF(Table1[[#This Row],[Satisfaction Rating]]&lt;4, "Medium", "High"))</f>
        <v>Medium</v>
      </c>
    </row>
    <row r="203" spans="1:23" ht="13" x14ac:dyDescent="0.15">
      <c r="A203" s="2" t="s">
        <v>427</v>
      </c>
      <c r="B203" s="23">
        <v>45030.199004629627</v>
      </c>
      <c r="C203" s="23">
        <v>45056.885289351849</v>
      </c>
      <c r="D203" s="23" t="str">
        <f>IF(Table1[[#This Row],[Duration of Campaign]]=0, "Ongoing","Completed")</f>
        <v>Completed</v>
      </c>
      <c r="E203" s="25">
        <f>Table1[[#This Row],[End Date]]-Table1[[#This Row],[Start Date]]</f>
        <v>26.686284722221899</v>
      </c>
      <c r="F203" s="8">
        <v>6464</v>
      </c>
      <c r="G203" s="21" t="s">
        <v>19</v>
      </c>
      <c r="H203" s="11">
        <v>19236</v>
      </c>
      <c r="I203" s="11">
        <v>1031</v>
      </c>
      <c r="J203" s="11">
        <v>315</v>
      </c>
      <c r="K203" s="13">
        <v>5840</v>
      </c>
      <c r="L203" s="16">
        <f t="shared" si="18"/>
        <v>5.3597421501351633E-2</v>
      </c>
      <c r="M203" s="16">
        <f t="shared" si="19"/>
        <v>0.30552861299709022</v>
      </c>
      <c r="N203" s="17">
        <f t="shared" si="20"/>
        <v>17.274490785645003</v>
      </c>
      <c r="O203" s="17">
        <f t="shared" si="21"/>
        <v>56.539682539682538</v>
      </c>
      <c r="P203" s="16">
        <f t="shared" si="22"/>
        <v>2.7552599009900991</v>
      </c>
      <c r="Q203" s="16">
        <f t="shared" si="23"/>
        <v>0.32790567097136442</v>
      </c>
      <c r="R203" s="2" t="s">
        <v>428</v>
      </c>
      <c r="S203" s="21" t="s">
        <v>16</v>
      </c>
      <c r="T203" s="21" t="s">
        <v>17</v>
      </c>
      <c r="U203" s="8">
        <v>17810</v>
      </c>
      <c r="V203" s="11">
        <v>3</v>
      </c>
      <c r="W203" t="str">
        <f>IF(Table1[[#This Row],[Satisfaction Rating]]&lt;2, "Low", IF(Table1[[#This Row],[Satisfaction Rating]]&lt;4, "Medium", "High"))</f>
        <v>Medium</v>
      </c>
    </row>
    <row r="204" spans="1:23" ht="13" x14ac:dyDescent="0.15">
      <c r="A204" s="2" t="s">
        <v>429</v>
      </c>
      <c r="B204" s="23">
        <v>45101.07304398148</v>
      </c>
      <c r="C204" s="23">
        <v>45460.34375</v>
      </c>
      <c r="D204" s="23" t="str">
        <f>IF(Table1[[#This Row],[Duration of Campaign]]=0, "Ongoing","Completed")</f>
        <v>Completed</v>
      </c>
      <c r="E204" s="25">
        <f>Table1[[#This Row],[End Date]]-Table1[[#This Row],[Start Date]]</f>
        <v>359.27070601852029</v>
      </c>
      <c r="F204" s="8">
        <v>4215</v>
      </c>
      <c r="G204" s="21" t="s">
        <v>37</v>
      </c>
      <c r="H204" s="11">
        <v>14285</v>
      </c>
      <c r="I204" s="11">
        <v>1595</v>
      </c>
      <c r="J204" s="11">
        <v>491</v>
      </c>
      <c r="K204" s="13">
        <v>9150</v>
      </c>
      <c r="L204" s="16">
        <f t="shared" si="18"/>
        <v>0.11165558277913895</v>
      </c>
      <c r="M204" s="16">
        <f t="shared" si="19"/>
        <v>0.30783699059561126</v>
      </c>
      <c r="N204" s="17">
        <f t="shared" si="20"/>
        <v>11.66269592476489</v>
      </c>
      <c r="O204" s="17">
        <f t="shared" si="21"/>
        <v>37.885947046843178</v>
      </c>
      <c r="P204" s="16">
        <f t="shared" si="22"/>
        <v>4.4132858837485172</v>
      </c>
      <c r="Q204" s="16">
        <f t="shared" si="23"/>
        <v>0.49188259326954092</v>
      </c>
      <c r="R204" s="2" t="s">
        <v>430</v>
      </c>
      <c r="S204" s="21" t="s">
        <v>21</v>
      </c>
      <c r="T204" s="21" t="s">
        <v>27</v>
      </c>
      <c r="U204" s="8">
        <v>18602</v>
      </c>
      <c r="V204" s="11">
        <v>2</v>
      </c>
      <c r="W204" t="str">
        <f>IF(Table1[[#This Row],[Satisfaction Rating]]&lt;2, "Low", IF(Table1[[#This Row],[Satisfaction Rating]]&lt;4, "Medium", "High"))</f>
        <v>Medium</v>
      </c>
    </row>
    <row r="205" spans="1:23" ht="13" x14ac:dyDescent="0.15">
      <c r="A205" s="2" t="s">
        <v>431</v>
      </c>
      <c r="B205" s="23">
        <v>45240.915833333333</v>
      </c>
      <c r="C205" s="23">
        <v>45240.915833333333</v>
      </c>
      <c r="D205" s="23" t="str">
        <f>IF(Table1[[#This Row],[Duration of Campaign]]=0, "Ongoing","Completed")</f>
        <v>Ongoing</v>
      </c>
      <c r="E205" s="25">
        <f>Table1[[#This Row],[End Date]]-Table1[[#This Row],[Start Date]]</f>
        <v>0</v>
      </c>
      <c r="F205" s="8">
        <v>8979</v>
      </c>
      <c r="G205" s="21" t="s">
        <v>19</v>
      </c>
      <c r="H205" s="11">
        <v>19712</v>
      </c>
      <c r="I205" s="11">
        <v>544</v>
      </c>
      <c r="J205" s="11">
        <v>118</v>
      </c>
      <c r="K205" s="13">
        <v>11480</v>
      </c>
      <c r="L205" s="16">
        <f t="shared" si="18"/>
        <v>2.7597402597402596E-2</v>
      </c>
      <c r="M205" s="16">
        <f t="shared" si="19"/>
        <v>0.21691176470588236</v>
      </c>
      <c r="N205" s="17">
        <f t="shared" si="20"/>
        <v>20.211397058823529</v>
      </c>
      <c r="O205" s="17">
        <f t="shared" si="21"/>
        <v>93.177966101694921</v>
      </c>
      <c r="P205" s="16">
        <f t="shared" si="22"/>
        <v>1.2245238890745072</v>
      </c>
      <c r="Q205" s="16">
        <f t="shared" si="23"/>
        <v>1.0441109595270577</v>
      </c>
      <c r="R205" s="2" t="s">
        <v>432</v>
      </c>
      <c r="S205" s="21" t="s">
        <v>24</v>
      </c>
      <c r="T205" s="21" t="s">
        <v>17</v>
      </c>
      <c r="U205" s="8">
        <v>10995</v>
      </c>
      <c r="V205" s="11">
        <v>2</v>
      </c>
      <c r="W205" t="str">
        <f>IF(Table1[[#This Row],[Satisfaction Rating]]&lt;2, "Low", IF(Table1[[#This Row],[Satisfaction Rating]]&lt;4, "Medium", "High"))</f>
        <v>Medium</v>
      </c>
    </row>
    <row r="206" spans="1:23" ht="13" x14ac:dyDescent="0.15">
      <c r="A206" s="2" t="s">
        <v>433</v>
      </c>
      <c r="B206" s="23">
        <v>45142.366863425923</v>
      </c>
      <c r="C206" s="23">
        <v>45221.098171296297</v>
      </c>
      <c r="D206" s="23" t="str">
        <f>IF(Table1[[#This Row],[Duration of Campaign]]=0, "Ongoing","Completed")</f>
        <v>Completed</v>
      </c>
      <c r="E206" s="25">
        <f>Table1[[#This Row],[End Date]]-Table1[[#This Row],[Start Date]]</f>
        <v>78.731307870373712</v>
      </c>
      <c r="F206" s="8">
        <v>4943</v>
      </c>
      <c r="G206" s="21" t="s">
        <v>19</v>
      </c>
      <c r="H206" s="11">
        <v>12633</v>
      </c>
      <c r="I206" s="11">
        <v>463</v>
      </c>
      <c r="J206" s="11">
        <v>231</v>
      </c>
      <c r="K206" s="13">
        <v>4811</v>
      </c>
      <c r="L206" s="16">
        <f t="shared" si="18"/>
        <v>3.6650043536768782E-2</v>
      </c>
      <c r="M206" s="16">
        <f t="shared" si="19"/>
        <v>0.49892008639308855</v>
      </c>
      <c r="N206" s="17">
        <f t="shared" si="20"/>
        <v>11.29805615550756</v>
      </c>
      <c r="O206" s="17">
        <f t="shared" si="21"/>
        <v>22.645021645021647</v>
      </c>
      <c r="P206" s="16">
        <f t="shared" si="22"/>
        <v>1.0582642120169938</v>
      </c>
      <c r="Q206" s="16">
        <f t="shared" si="23"/>
        <v>0.91970942458420957</v>
      </c>
      <c r="R206" s="2" t="s">
        <v>434</v>
      </c>
      <c r="S206" s="21" t="s">
        <v>21</v>
      </c>
      <c r="T206" s="21" t="s">
        <v>17</v>
      </c>
      <c r="U206" s="8">
        <v>5231</v>
      </c>
      <c r="V206" s="11">
        <v>2</v>
      </c>
      <c r="W206" t="str">
        <f>IF(Table1[[#This Row],[Satisfaction Rating]]&lt;2, "Low", IF(Table1[[#This Row],[Satisfaction Rating]]&lt;4, "Medium", "High"))</f>
        <v>Medium</v>
      </c>
    </row>
    <row r="207" spans="1:23" ht="13" x14ac:dyDescent="0.15">
      <c r="A207" s="2" t="s">
        <v>435</v>
      </c>
      <c r="B207" s="23">
        <v>44979.516643518517</v>
      </c>
      <c r="C207" s="23">
        <v>45043.59097222222</v>
      </c>
      <c r="D207" s="23" t="str">
        <f>IF(Table1[[#This Row],[Duration of Campaign]]=0, "Ongoing","Completed")</f>
        <v>Completed</v>
      </c>
      <c r="E207" s="25">
        <f>Table1[[#This Row],[End Date]]-Table1[[#This Row],[Start Date]]</f>
        <v>64.074328703703941</v>
      </c>
      <c r="F207" s="8">
        <v>1411</v>
      </c>
      <c r="G207" s="21" t="s">
        <v>19</v>
      </c>
      <c r="H207" s="11">
        <v>10015</v>
      </c>
      <c r="I207" s="11">
        <v>865</v>
      </c>
      <c r="J207" s="11">
        <v>75</v>
      </c>
      <c r="K207" s="13">
        <v>2318</v>
      </c>
      <c r="L207" s="16">
        <f t="shared" si="18"/>
        <v>8.6370444333499746E-2</v>
      </c>
      <c r="M207" s="16">
        <f t="shared" si="19"/>
        <v>8.6705202312138727E-2</v>
      </c>
      <c r="N207" s="17">
        <f t="shared" si="20"/>
        <v>18.23005780346821</v>
      </c>
      <c r="O207" s="17">
        <f t="shared" si="21"/>
        <v>210.25333333333333</v>
      </c>
      <c r="P207" s="16">
        <f t="shared" si="22"/>
        <v>11.175761871013465</v>
      </c>
      <c r="Q207" s="16">
        <f t="shared" si="23"/>
        <v>0.14699727313082631</v>
      </c>
      <c r="R207" s="2" t="s">
        <v>436</v>
      </c>
      <c r="S207" s="21" t="s">
        <v>16</v>
      </c>
      <c r="T207" s="21" t="s">
        <v>27</v>
      </c>
      <c r="U207" s="8">
        <v>15769</v>
      </c>
      <c r="V207" s="11">
        <v>4</v>
      </c>
      <c r="W207" t="str">
        <f>IF(Table1[[#This Row],[Satisfaction Rating]]&lt;2, "Low", IF(Table1[[#This Row],[Satisfaction Rating]]&lt;4, "Medium", "High"))</f>
        <v>High</v>
      </c>
    </row>
    <row r="208" spans="1:23" ht="13" x14ac:dyDescent="0.15">
      <c r="A208" s="2" t="s">
        <v>437</v>
      </c>
      <c r="B208" s="23">
        <v>45572.123449074075</v>
      </c>
      <c r="C208" s="23">
        <v>45572.123449074075</v>
      </c>
      <c r="D208" s="23" t="str">
        <f>IF(Table1[[#This Row],[Duration of Campaign]]=0, "Ongoing","Completed")</f>
        <v>Ongoing</v>
      </c>
      <c r="E208" s="25">
        <f>Table1[[#This Row],[End Date]]-Table1[[#This Row],[Start Date]]</f>
        <v>0</v>
      </c>
      <c r="F208" s="8">
        <v>7966</v>
      </c>
      <c r="G208" s="21" t="s">
        <v>19</v>
      </c>
      <c r="H208" s="11">
        <v>9928</v>
      </c>
      <c r="I208" s="11">
        <v>1730</v>
      </c>
      <c r="J208" s="11">
        <v>388</v>
      </c>
      <c r="K208" s="13">
        <v>9148</v>
      </c>
      <c r="L208" s="16">
        <f t="shared" si="18"/>
        <v>0.17425463336019339</v>
      </c>
      <c r="M208" s="16">
        <f t="shared" si="19"/>
        <v>0.22427745664739884</v>
      </c>
      <c r="N208" s="17">
        <f t="shared" si="20"/>
        <v>9.1635838150289022</v>
      </c>
      <c r="O208" s="17">
        <f t="shared" si="21"/>
        <v>40.858247422680414</v>
      </c>
      <c r="P208" s="16">
        <f t="shared" si="22"/>
        <v>1.9900828521215164</v>
      </c>
      <c r="Q208" s="16">
        <f t="shared" si="23"/>
        <v>0.57705166214596604</v>
      </c>
      <c r="R208" s="2" t="s">
        <v>438</v>
      </c>
      <c r="S208" s="21" t="s">
        <v>16</v>
      </c>
      <c r="T208" s="21" t="s">
        <v>45</v>
      </c>
      <c r="U208" s="8">
        <v>15853</v>
      </c>
      <c r="V208" s="11">
        <v>4</v>
      </c>
      <c r="W208" t="str">
        <f>IF(Table1[[#This Row],[Satisfaction Rating]]&lt;2, "Low", IF(Table1[[#This Row],[Satisfaction Rating]]&lt;4, "Medium", "High"))</f>
        <v>High</v>
      </c>
    </row>
    <row r="209" spans="1:23" ht="13" x14ac:dyDescent="0.15">
      <c r="A209" s="2" t="s">
        <v>439</v>
      </c>
      <c r="B209" s="23">
        <v>45195.331192129626</v>
      </c>
      <c r="C209" s="23">
        <v>45594.740127314813</v>
      </c>
      <c r="D209" s="23" t="str">
        <f>IF(Table1[[#This Row],[Duration of Campaign]]=0, "Ongoing","Completed")</f>
        <v>Completed</v>
      </c>
      <c r="E209" s="25">
        <f>Table1[[#This Row],[End Date]]-Table1[[#This Row],[Start Date]]</f>
        <v>399.40893518518715</v>
      </c>
      <c r="F209" s="8">
        <v>6773</v>
      </c>
      <c r="G209" s="21" t="s">
        <v>53</v>
      </c>
      <c r="H209" s="11">
        <v>11856</v>
      </c>
      <c r="I209" s="11">
        <v>1653</v>
      </c>
      <c r="J209" s="11">
        <v>248</v>
      </c>
      <c r="K209" s="13">
        <v>11536</v>
      </c>
      <c r="L209" s="16">
        <f t="shared" si="18"/>
        <v>0.13942307692307693</v>
      </c>
      <c r="M209" s="16">
        <f t="shared" si="19"/>
        <v>0.15003024803387779</v>
      </c>
      <c r="N209" s="17">
        <f t="shared" si="20"/>
        <v>10.605565638233514</v>
      </c>
      <c r="O209" s="17">
        <f t="shared" si="21"/>
        <v>70.689516129032256</v>
      </c>
      <c r="P209" s="16">
        <f t="shared" si="22"/>
        <v>2.5883655691717111</v>
      </c>
      <c r="Q209" s="16">
        <f t="shared" si="23"/>
        <v>0.65803433917061205</v>
      </c>
      <c r="R209" s="2" t="s">
        <v>440</v>
      </c>
      <c r="S209" s="21" t="s">
        <v>24</v>
      </c>
      <c r="T209" s="21" t="s">
        <v>17</v>
      </c>
      <c r="U209" s="8">
        <v>17531</v>
      </c>
      <c r="V209" s="11">
        <v>2</v>
      </c>
      <c r="W209" t="str">
        <f>IF(Table1[[#This Row],[Satisfaction Rating]]&lt;2, "Low", IF(Table1[[#This Row],[Satisfaction Rating]]&lt;4, "Medium", "High"))</f>
        <v>Medium</v>
      </c>
    </row>
    <row r="210" spans="1:23" ht="13" x14ac:dyDescent="0.15">
      <c r="A210" s="2" t="s">
        <v>441</v>
      </c>
      <c r="B210" s="23">
        <v>45593.418113425927</v>
      </c>
      <c r="C210" s="23">
        <v>45593.418113425927</v>
      </c>
      <c r="D210" s="23" t="str">
        <f>IF(Table1[[#This Row],[Duration of Campaign]]=0, "Ongoing","Completed")</f>
        <v>Ongoing</v>
      </c>
      <c r="E210" s="25">
        <f>Table1[[#This Row],[End Date]]-Table1[[#This Row],[Start Date]]</f>
        <v>0</v>
      </c>
      <c r="F210" s="8">
        <v>5921</v>
      </c>
      <c r="G210" s="21" t="s">
        <v>53</v>
      </c>
      <c r="H210" s="11">
        <v>16835</v>
      </c>
      <c r="I210" s="11">
        <v>353</v>
      </c>
      <c r="J210" s="11">
        <v>232</v>
      </c>
      <c r="K210" s="13">
        <v>11123</v>
      </c>
      <c r="L210" s="16">
        <f t="shared" si="18"/>
        <v>2.0968220968220968E-2</v>
      </c>
      <c r="M210" s="16">
        <f t="shared" si="19"/>
        <v>0.65722379603399439</v>
      </c>
      <c r="N210" s="17">
        <f t="shared" si="20"/>
        <v>5.3484419263456093</v>
      </c>
      <c r="O210" s="17">
        <f t="shared" si="21"/>
        <v>8.137931034482758</v>
      </c>
      <c r="P210" s="16">
        <f t="shared" si="22"/>
        <v>0.31886505657828068</v>
      </c>
      <c r="Q210" s="16">
        <f t="shared" si="23"/>
        <v>5.8914194915254239</v>
      </c>
      <c r="R210" s="2" t="s">
        <v>442</v>
      </c>
      <c r="S210" s="21" t="s">
        <v>24</v>
      </c>
      <c r="T210" s="21" t="s">
        <v>45</v>
      </c>
      <c r="U210" s="8">
        <v>1888</v>
      </c>
      <c r="V210" s="11">
        <v>1</v>
      </c>
      <c r="W210" t="str">
        <f>IF(Table1[[#This Row],[Satisfaction Rating]]&lt;2, "Low", IF(Table1[[#This Row],[Satisfaction Rating]]&lt;4, "Medium", "High"))</f>
        <v>Low</v>
      </c>
    </row>
    <row r="211" spans="1:23" ht="13" x14ac:dyDescent="0.15">
      <c r="A211" s="2" t="s">
        <v>443</v>
      </c>
      <c r="B211" s="23">
        <v>45643.194976851853</v>
      </c>
      <c r="C211" s="23">
        <v>45643.194976851853</v>
      </c>
      <c r="D211" s="23" t="str">
        <f>IF(Table1[[#This Row],[Duration of Campaign]]=0, "Ongoing","Completed")</f>
        <v>Ongoing</v>
      </c>
      <c r="E211" s="25">
        <f>Table1[[#This Row],[End Date]]-Table1[[#This Row],[Start Date]]</f>
        <v>0</v>
      </c>
      <c r="F211" s="8">
        <v>3725</v>
      </c>
      <c r="G211" s="21" t="s">
        <v>53</v>
      </c>
      <c r="H211" s="11">
        <v>4767</v>
      </c>
      <c r="I211" s="11">
        <v>693</v>
      </c>
      <c r="J211" s="11">
        <v>229</v>
      </c>
      <c r="K211" s="13">
        <v>14785</v>
      </c>
      <c r="L211" s="16">
        <f t="shared" si="18"/>
        <v>0.14537444933920704</v>
      </c>
      <c r="M211" s="16">
        <f t="shared" si="19"/>
        <v>0.33044733044733043</v>
      </c>
      <c r="N211" s="17">
        <f t="shared" si="20"/>
        <v>5.6594516594516593</v>
      </c>
      <c r="O211" s="17">
        <f t="shared" si="21"/>
        <v>17.126637554585152</v>
      </c>
      <c r="P211" s="16">
        <f t="shared" si="22"/>
        <v>1.0528859060402684</v>
      </c>
      <c r="Q211" s="16">
        <f t="shared" si="23"/>
        <v>3.7697603263641</v>
      </c>
      <c r="R211" s="2" t="s">
        <v>444</v>
      </c>
      <c r="S211" s="21" t="s">
        <v>24</v>
      </c>
      <c r="T211" s="21" t="s">
        <v>45</v>
      </c>
      <c r="U211" s="8">
        <v>3922</v>
      </c>
      <c r="V211" s="11">
        <v>1</v>
      </c>
      <c r="W211" t="str">
        <f>IF(Table1[[#This Row],[Satisfaction Rating]]&lt;2, "Low", IF(Table1[[#This Row],[Satisfaction Rating]]&lt;4, "Medium", "High"))</f>
        <v>Low</v>
      </c>
    </row>
    <row r="212" spans="1:23" ht="13" x14ac:dyDescent="0.15">
      <c r="A212" s="2" t="s">
        <v>445</v>
      </c>
      <c r="B212" s="23">
        <v>45202.383217592593</v>
      </c>
      <c r="C212" s="23">
        <v>45417.579212962963</v>
      </c>
      <c r="D212" s="23" t="str">
        <f>IF(Table1[[#This Row],[Duration of Campaign]]=0, "Ongoing","Completed")</f>
        <v>Completed</v>
      </c>
      <c r="E212" s="25">
        <f>Table1[[#This Row],[End Date]]-Table1[[#This Row],[Start Date]]</f>
        <v>215.19599537036993</v>
      </c>
      <c r="F212" s="8">
        <v>1524</v>
      </c>
      <c r="G212" s="21" t="s">
        <v>37</v>
      </c>
      <c r="H212" s="11">
        <v>12015</v>
      </c>
      <c r="I212" s="11">
        <v>761</v>
      </c>
      <c r="J212" s="11">
        <v>246</v>
      </c>
      <c r="K212" s="13">
        <v>5548</v>
      </c>
      <c r="L212" s="16">
        <f t="shared" si="18"/>
        <v>6.3337494798168956E-2</v>
      </c>
      <c r="M212" s="16">
        <f t="shared" si="19"/>
        <v>0.32325886990801578</v>
      </c>
      <c r="N212" s="17">
        <f t="shared" si="20"/>
        <v>15.021024967148488</v>
      </c>
      <c r="O212" s="17">
        <f t="shared" si="21"/>
        <v>46.467479674796749</v>
      </c>
      <c r="P212" s="16">
        <f t="shared" si="22"/>
        <v>7.5006561679790025</v>
      </c>
      <c r="Q212" s="16">
        <f t="shared" si="23"/>
        <v>0.48534686379144432</v>
      </c>
      <c r="R212" s="2" t="s">
        <v>446</v>
      </c>
      <c r="S212" s="21" t="s">
        <v>30</v>
      </c>
      <c r="T212" s="21" t="s">
        <v>17</v>
      </c>
      <c r="U212" s="8">
        <v>11431</v>
      </c>
      <c r="V212" s="11">
        <v>4</v>
      </c>
      <c r="W212" t="str">
        <f>IF(Table1[[#This Row],[Satisfaction Rating]]&lt;2, "Low", IF(Table1[[#This Row],[Satisfaction Rating]]&lt;4, "Medium", "High"))</f>
        <v>High</v>
      </c>
    </row>
    <row r="213" spans="1:23" ht="13" x14ac:dyDescent="0.15">
      <c r="A213" s="2" t="s">
        <v>447</v>
      </c>
      <c r="B213" s="23">
        <v>45349.436331018522</v>
      </c>
      <c r="C213" s="23">
        <v>45349.436331018522</v>
      </c>
      <c r="D213" s="23" t="str">
        <f>IF(Table1[[#This Row],[Duration of Campaign]]=0, "Ongoing","Completed")</f>
        <v>Ongoing</v>
      </c>
      <c r="E213" s="25">
        <f>Table1[[#This Row],[End Date]]-Table1[[#This Row],[Start Date]]</f>
        <v>0</v>
      </c>
      <c r="F213" s="8">
        <v>3021</v>
      </c>
      <c r="G213" s="21" t="s">
        <v>19</v>
      </c>
      <c r="H213" s="11">
        <v>15541</v>
      </c>
      <c r="I213" s="11">
        <v>366</v>
      </c>
      <c r="J213" s="11">
        <v>345</v>
      </c>
      <c r="K213" s="13">
        <v>11387</v>
      </c>
      <c r="L213" s="16">
        <f t="shared" si="18"/>
        <v>2.355060806897883E-2</v>
      </c>
      <c r="M213" s="16">
        <f t="shared" si="19"/>
        <v>0.94262295081967218</v>
      </c>
      <c r="N213" s="17">
        <f t="shared" si="20"/>
        <v>45.751366120218577</v>
      </c>
      <c r="O213" s="17">
        <f t="shared" si="21"/>
        <v>48.536231884057969</v>
      </c>
      <c r="P213" s="16">
        <f t="shared" si="22"/>
        <v>5.5428666004634231</v>
      </c>
      <c r="Q213" s="16">
        <f t="shared" si="23"/>
        <v>0.68002388772767985</v>
      </c>
      <c r="R213" s="2" t="s">
        <v>448</v>
      </c>
      <c r="S213" s="21" t="s">
        <v>21</v>
      </c>
      <c r="T213" s="21" t="s">
        <v>17</v>
      </c>
      <c r="U213" s="8">
        <v>16745</v>
      </c>
      <c r="V213" s="11">
        <v>3</v>
      </c>
      <c r="W213" t="str">
        <f>IF(Table1[[#This Row],[Satisfaction Rating]]&lt;2, "Low", IF(Table1[[#This Row],[Satisfaction Rating]]&lt;4, "Medium", "High"))</f>
        <v>Medium</v>
      </c>
    </row>
    <row r="214" spans="1:23" ht="13" x14ac:dyDescent="0.15">
      <c r="A214" s="2" t="s">
        <v>449</v>
      </c>
      <c r="B214" s="23">
        <v>45003.62295138889</v>
      </c>
      <c r="C214" s="23">
        <v>45218.348680555559</v>
      </c>
      <c r="D214" s="23" t="str">
        <f>IF(Table1[[#This Row],[Duration of Campaign]]=0, "Ongoing","Completed")</f>
        <v>Completed</v>
      </c>
      <c r="E214" s="25">
        <f>Table1[[#This Row],[End Date]]-Table1[[#This Row],[Start Date]]</f>
        <v>214.72572916666832</v>
      </c>
      <c r="F214" s="8">
        <v>6263</v>
      </c>
      <c r="G214" s="21" t="s">
        <v>37</v>
      </c>
      <c r="H214" s="11">
        <v>8099</v>
      </c>
      <c r="I214" s="11">
        <v>258</v>
      </c>
      <c r="J214" s="11">
        <v>381</v>
      </c>
      <c r="K214" s="13">
        <v>1705</v>
      </c>
      <c r="L214" s="16">
        <f t="shared" si="18"/>
        <v>3.1855784664773429E-2</v>
      </c>
      <c r="M214" s="16">
        <f t="shared" si="19"/>
        <v>1.4767441860465116</v>
      </c>
      <c r="N214" s="17">
        <f t="shared" si="20"/>
        <v>40.511627906976742</v>
      </c>
      <c r="O214" s="17">
        <f t="shared" si="21"/>
        <v>27.433070866141733</v>
      </c>
      <c r="P214" s="16">
        <f t="shared" si="22"/>
        <v>1.6688487945074246</v>
      </c>
      <c r="Q214" s="16">
        <f t="shared" si="23"/>
        <v>0.16312667432070418</v>
      </c>
      <c r="R214" s="2" t="s">
        <v>450</v>
      </c>
      <c r="S214" s="21" t="s">
        <v>24</v>
      </c>
      <c r="T214" s="21" t="s">
        <v>45</v>
      </c>
      <c r="U214" s="8">
        <v>10452</v>
      </c>
      <c r="V214" s="11">
        <v>3</v>
      </c>
      <c r="W214" t="str">
        <f>IF(Table1[[#This Row],[Satisfaction Rating]]&lt;2, "Low", IF(Table1[[#This Row],[Satisfaction Rating]]&lt;4, "Medium", "High"))</f>
        <v>Medium</v>
      </c>
    </row>
    <row r="215" spans="1:23" ht="13" x14ac:dyDescent="0.15">
      <c r="A215" s="2" t="s">
        <v>451</v>
      </c>
      <c r="B215" s="23">
        <v>45418.437025462961</v>
      </c>
      <c r="C215" s="23">
        <v>45418.437025462961</v>
      </c>
      <c r="D215" s="23" t="str">
        <f>IF(Table1[[#This Row],[Duration of Campaign]]=0, "Ongoing","Completed")</f>
        <v>Ongoing</v>
      </c>
      <c r="E215" s="25">
        <f>Table1[[#This Row],[End Date]]-Table1[[#This Row],[Start Date]]</f>
        <v>0</v>
      </c>
      <c r="F215" s="8">
        <v>5953</v>
      </c>
      <c r="G215" s="21" t="s">
        <v>53</v>
      </c>
      <c r="H215" s="11">
        <v>6829</v>
      </c>
      <c r="I215" s="11">
        <v>1559</v>
      </c>
      <c r="J215" s="11">
        <v>254</v>
      </c>
      <c r="K215" s="13">
        <v>1246</v>
      </c>
      <c r="L215" s="16">
        <f t="shared" si="18"/>
        <v>0.22829111143652073</v>
      </c>
      <c r="M215" s="16">
        <f t="shared" si="19"/>
        <v>0.1629249518922386</v>
      </c>
      <c r="N215" s="17">
        <f t="shared" si="20"/>
        <v>12.089159717767799</v>
      </c>
      <c r="O215" s="17">
        <f t="shared" si="21"/>
        <v>74.2007874015748</v>
      </c>
      <c r="P215" s="16">
        <f t="shared" si="22"/>
        <v>3.1659667394590962</v>
      </c>
      <c r="Q215" s="16">
        <f t="shared" si="23"/>
        <v>6.6111317451053211E-2</v>
      </c>
      <c r="R215" s="2" t="s">
        <v>452</v>
      </c>
      <c r="S215" s="21" t="s">
        <v>21</v>
      </c>
      <c r="T215" s="21" t="s">
        <v>17</v>
      </c>
      <c r="U215" s="8">
        <v>18847</v>
      </c>
      <c r="V215" s="11">
        <v>2</v>
      </c>
      <c r="W215" t="str">
        <f>IF(Table1[[#This Row],[Satisfaction Rating]]&lt;2, "Low", IF(Table1[[#This Row],[Satisfaction Rating]]&lt;4, "Medium", "High"))</f>
        <v>Medium</v>
      </c>
    </row>
    <row r="216" spans="1:23" ht="13" x14ac:dyDescent="0.15">
      <c r="A216" s="2" t="s">
        <v>453</v>
      </c>
      <c r="B216" s="23">
        <v>45346.789259259262</v>
      </c>
      <c r="C216" s="23">
        <v>45437.782500000001</v>
      </c>
      <c r="D216" s="23" t="str">
        <f>IF(Table1[[#This Row],[Duration of Campaign]]=0, "Ongoing","Completed")</f>
        <v>Completed</v>
      </c>
      <c r="E216" s="25">
        <f>Table1[[#This Row],[End Date]]-Table1[[#This Row],[Start Date]]</f>
        <v>90.993240740739566</v>
      </c>
      <c r="F216" s="8">
        <v>4804</v>
      </c>
      <c r="G216" s="21" t="s">
        <v>19</v>
      </c>
      <c r="H216" s="11">
        <v>6777</v>
      </c>
      <c r="I216" s="11">
        <v>1836</v>
      </c>
      <c r="J216" s="11">
        <v>225</v>
      </c>
      <c r="K216" s="13">
        <v>8899</v>
      </c>
      <c r="L216" s="16">
        <f t="shared" si="18"/>
        <v>0.27091633466135456</v>
      </c>
      <c r="M216" s="16">
        <f t="shared" si="19"/>
        <v>0.12254901960784313</v>
      </c>
      <c r="N216" s="17">
        <f t="shared" si="20"/>
        <v>8.0702614379084974</v>
      </c>
      <c r="O216" s="17">
        <f t="shared" si="21"/>
        <v>65.853333333333339</v>
      </c>
      <c r="P216" s="16">
        <f t="shared" si="22"/>
        <v>3.0843047460449626</v>
      </c>
      <c r="Q216" s="16">
        <f t="shared" si="23"/>
        <v>0.60059391239792126</v>
      </c>
      <c r="R216" s="2" t="s">
        <v>454</v>
      </c>
      <c r="S216" s="21" t="s">
        <v>35</v>
      </c>
      <c r="T216" s="21" t="s">
        <v>17</v>
      </c>
      <c r="U216" s="8">
        <v>14817</v>
      </c>
      <c r="V216" s="11">
        <v>3</v>
      </c>
      <c r="W216" t="str">
        <f>IF(Table1[[#This Row],[Satisfaction Rating]]&lt;2, "Low", IF(Table1[[#This Row],[Satisfaction Rating]]&lt;4, "Medium", "High"))</f>
        <v>Medium</v>
      </c>
    </row>
    <row r="217" spans="1:23" ht="13" x14ac:dyDescent="0.15">
      <c r="A217" s="2" t="s">
        <v>455</v>
      </c>
      <c r="B217" s="23">
        <v>45201.231539351851</v>
      </c>
      <c r="C217" s="23">
        <v>45259.375567129631</v>
      </c>
      <c r="D217" s="23" t="str">
        <f>IF(Table1[[#This Row],[Duration of Campaign]]=0, "Ongoing","Completed")</f>
        <v>Completed</v>
      </c>
      <c r="E217" s="25">
        <f>Table1[[#This Row],[End Date]]-Table1[[#This Row],[Start Date]]</f>
        <v>58.144027777780138</v>
      </c>
      <c r="F217" s="8">
        <v>1796</v>
      </c>
      <c r="G217" s="21" t="s">
        <v>53</v>
      </c>
      <c r="H217" s="11">
        <v>15212</v>
      </c>
      <c r="I217" s="11">
        <v>1458</v>
      </c>
      <c r="J217" s="11">
        <v>393</v>
      </c>
      <c r="K217" s="13">
        <v>11716</v>
      </c>
      <c r="L217" s="16">
        <f t="shared" si="18"/>
        <v>9.5845385222193005E-2</v>
      </c>
      <c r="M217" s="16">
        <f t="shared" si="19"/>
        <v>0.26954732510288065</v>
      </c>
      <c r="N217" s="17">
        <f t="shared" si="20"/>
        <v>4.711934156378601</v>
      </c>
      <c r="O217" s="17">
        <f t="shared" si="21"/>
        <v>17.480916030534353</v>
      </c>
      <c r="P217" s="16">
        <f t="shared" si="22"/>
        <v>3.8251670378619154</v>
      </c>
      <c r="Q217" s="16">
        <f t="shared" si="23"/>
        <v>1.7053857350800583</v>
      </c>
      <c r="R217" s="2" t="s">
        <v>456</v>
      </c>
      <c r="S217" s="21" t="s">
        <v>16</v>
      </c>
      <c r="T217" s="21" t="s">
        <v>17</v>
      </c>
      <c r="U217" s="8">
        <v>6870</v>
      </c>
      <c r="V217" s="11">
        <v>4</v>
      </c>
      <c r="W217" t="str">
        <f>IF(Table1[[#This Row],[Satisfaction Rating]]&lt;2, "Low", IF(Table1[[#This Row],[Satisfaction Rating]]&lt;4, "Medium", "High"))</f>
        <v>High</v>
      </c>
    </row>
    <row r="218" spans="1:23" ht="13" x14ac:dyDescent="0.15">
      <c r="A218" s="2" t="s">
        <v>457</v>
      </c>
      <c r="B218" s="23">
        <v>44977.661446759259</v>
      </c>
      <c r="C218" s="23">
        <v>45421.126689814817</v>
      </c>
      <c r="D218" s="23" t="str">
        <f>IF(Table1[[#This Row],[Duration of Campaign]]=0, "Ongoing","Completed")</f>
        <v>Completed</v>
      </c>
      <c r="E218" s="25">
        <f>Table1[[#This Row],[End Date]]-Table1[[#This Row],[Start Date]]</f>
        <v>443.46524305555795</v>
      </c>
      <c r="F218" s="8">
        <v>9367</v>
      </c>
      <c r="G218" s="21" t="s">
        <v>14</v>
      </c>
      <c r="H218" s="11">
        <v>16333</v>
      </c>
      <c r="I218" s="11">
        <v>1857</v>
      </c>
      <c r="J218" s="11">
        <v>68</v>
      </c>
      <c r="K218" s="13">
        <v>5682</v>
      </c>
      <c r="L218" s="16">
        <f t="shared" si="18"/>
        <v>0.11369619788158943</v>
      </c>
      <c r="M218" s="16">
        <f t="shared" si="19"/>
        <v>3.66182014001077E-2</v>
      </c>
      <c r="N218" s="17">
        <f t="shared" si="20"/>
        <v>3.6731287022078623</v>
      </c>
      <c r="O218" s="17">
        <f t="shared" si="21"/>
        <v>100.30882352941177</v>
      </c>
      <c r="P218" s="16">
        <f t="shared" si="22"/>
        <v>0.72819472616632863</v>
      </c>
      <c r="Q218" s="16">
        <f t="shared" si="23"/>
        <v>0.83301568684943561</v>
      </c>
      <c r="R218" s="2" t="s">
        <v>458</v>
      </c>
      <c r="S218" s="21" t="s">
        <v>35</v>
      </c>
      <c r="T218" s="21" t="s">
        <v>17</v>
      </c>
      <c r="U218" s="8">
        <v>6821</v>
      </c>
      <c r="V218" s="11">
        <v>1</v>
      </c>
      <c r="W218" t="str">
        <f>IF(Table1[[#This Row],[Satisfaction Rating]]&lt;2, "Low", IF(Table1[[#This Row],[Satisfaction Rating]]&lt;4, "Medium", "High"))</f>
        <v>Low</v>
      </c>
    </row>
    <row r="219" spans="1:23" ht="13" x14ac:dyDescent="0.15">
      <c r="A219" s="2" t="s">
        <v>459</v>
      </c>
      <c r="B219" s="23">
        <v>45295.096585648149</v>
      </c>
      <c r="C219" s="23">
        <v>45295.096585648149</v>
      </c>
      <c r="D219" s="23" t="str">
        <f>IF(Table1[[#This Row],[Duration of Campaign]]=0, "Ongoing","Completed")</f>
        <v>Ongoing</v>
      </c>
      <c r="E219" s="25">
        <f>Table1[[#This Row],[End Date]]-Table1[[#This Row],[Start Date]]</f>
        <v>0</v>
      </c>
      <c r="F219" s="8">
        <v>1251</v>
      </c>
      <c r="G219" s="21" t="s">
        <v>19</v>
      </c>
      <c r="H219" s="11">
        <v>10856</v>
      </c>
      <c r="I219" s="11">
        <v>1649</v>
      </c>
      <c r="J219" s="11">
        <v>190</v>
      </c>
      <c r="K219" s="13">
        <v>6059</v>
      </c>
      <c r="L219" s="16">
        <f t="shared" si="18"/>
        <v>0.15189756816507</v>
      </c>
      <c r="M219" s="16">
        <f t="shared" si="19"/>
        <v>0.11522134627046694</v>
      </c>
      <c r="N219" s="17">
        <f t="shared" si="20"/>
        <v>8.8295936931473626</v>
      </c>
      <c r="O219" s="17">
        <f t="shared" si="21"/>
        <v>76.631578947368425</v>
      </c>
      <c r="P219" s="16">
        <f t="shared" si="22"/>
        <v>11.638689048760991</v>
      </c>
      <c r="Q219" s="16">
        <f t="shared" si="23"/>
        <v>0.41614010989010991</v>
      </c>
      <c r="R219" s="2" t="s">
        <v>460</v>
      </c>
      <c r="S219" s="21" t="s">
        <v>21</v>
      </c>
      <c r="T219" s="21" t="s">
        <v>45</v>
      </c>
      <c r="U219" s="8">
        <v>14560</v>
      </c>
      <c r="V219" s="11">
        <v>1</v>
      </c>
      <c r="W219" t="str">
        <f>IF(Table1[[#This Row],[Satisfaction Rating]]&lt;2, "Low", IF(Table1[[#This Row],[Satisfaction Rating]]&lt;4, "Medium", "High"))</f>
        <v>Low</v>
      </c>
    </row>
    <row r="220" spans="1:23" ht="13" x14ac:dyDescent="0.15">
      <c r="A220" s="2" t="s">
        <v>461</v>
      </c>
      <c r="B220" s="23">
        <v>44945.517187500001</v>
      </c>
      <c r="C220" s="23">
        <v>45607.251620370371</v>
      </c>
      <c r="D220" s="23" t="str">
        <f>IF(Table1[[#This Row],[Duration of Campaign]]=0, "Ongoing","Completed")</f>
        <v>Completed</v>
      </c>
      <c r="E220" s="25">
        <f>Table1[[#This Row],[End Date]]-Table1[[#This Row],[Start Date]]</f>
        <v>661.73443287036935</v>
      </c>
      <c r="F220" s="8">
        <v>1818</v>
      </c>
      <c r="G220" s="21" t="s">
        <v>14</v>
      </c>
      <c r="H220" s="11">
        <v>9959</v>
      </c>
      <c r="I220" s="11">
        <v>1134</v>
      </c>
      <c r="J220" s="11">
        <v>186</v>
      </c>
      <c r="K220" s="13">
        <v>5334</v>
      </c>
      <c r="L220" s="16">
        <f t="shared" si="18"/>
        <v>0.11386685410181745</v>
      </c>
      <c r="M220" s="16">
        <f t="shared" si="19"/>
        <v>0.16402116402116401</v>
      </c>
      <c r="N220" s="17">
        <f t="shared" si="20"/>
        <v>7.6657848324514992</v>
      </c>
      <c r="O220" s="17">
        <f t="shared" si="21"/>
        <v>46.736559139784944</v>
      </c>
      <c r="P220" s="16">
        <f t="shared" si="22"/>
        <v>4.7816281628162818</v>
      </c>
      <c r="Q220" s="16">
        <f t="shared" si="23"/>
        <v>0.61359714712987456</v>
      </c>
      <c r="R220" s="2" t="s">
        <v>462</v>
      </c>
      <c r="S220" s="21" t="s">
        <v>16</v>
      </c>
      <c r="T220" s="21" t="s">
        <v>45</v>
      </c>
      <c r="U220" s="8">
        <v>8693</v>
      </c>
      <c r="V220" s="11">
        <v>1</v>
      </c>
      <c r="W220" t="str">
        <f>IF(Table1[[#This Row],[Satisfaction Rating]]&lt;2, "Low", IF(Table1[[#This Row],[Satisfaction Rating]]&lt;4, "Medium", "High"))</f>
        <v>Low</v>
      </c>
    </row>
    <row r="221" spans="1:23" ht="13" x14ac:dyDescent="0.15">
      <c r="A221" s="2" t="s">
        <v>463</v>
      </c>
      <c r="B221" s="23">
        <v>45623.444085648145</v>
      </c>
      <c r="C221" s="23">
        <v>45623.444085648145</v>
      </c>
      <c r="D221" s="23" t="str">
        <f>IF(Table1[[#This Row],[Duration of Campaign]]=0, "Ongoing","Completed")</f>
        <v>Ongoing</v>
      </c>
      <c r="E221" s="25">
        <f>Table1[[#This Row],[End Date]]-Table1[[#This Row],[Start Date]]</f>
        <v>0</v>
      </c>
      <c r="F221" s="8">
        <v>3688</v>
      </c>
      <c r="G221" s="21" t="s">
        <v>37</v>
      </c>
      <c r="H221" s="11">
        <v>8901</v>
      </c>
      <c r="I221" s="11">
        <v>791</v>
      </c>
      <c r="J221" s="11">
        <v>472</v>
      </c>
      <c r="K221" s="13">
        <v>7182</v>
      </c>
      <c r="L221" s="16">
        <f t="shared" si="18"/>
        <v>8.886641950342658E-2</v>
      </c>
      <c r="M221" s="16">
        <f t="shared" si="19"/>
        <v>0.59671302149178251</v>
      </c>
      <c r="N221" s="17">
        <f t="shared" si="20"/>
        <v>18.515802781289509</v>
      </c>
      <c r="O221" s="17">
        <f t="shared" si="21"/>
        <v>31.029661016949152</v>
      </c>
      <c r="P221" s="16">
        <f t="shared" si="22"/>
        <v>3.9712581344902387</v>
      </c>
      <c r="Q221" s="16">
        <f t="shared" si="23"/>
        <v>0.49037279803359279</v>
      </c>
      <c r="R221" s="2" t="s">
        <v>464</v>
      </c>
      <c r="S221" s="21" t="s">
        <v>24</v>
      </c>
      <c r="T221" s="21" t="s">
        <v>17</v>
      </c>
      <c r="U221" s="8">
        <v>14646</v>
      </c>
      <c r="V221" s="11">
        <v>2</v>
      </c>
      <c r="W221" t="str">
        <f>IF(Table1[[#This Row],[Satisfaction Rating]]&lt;2, "Low", IF(Table1[[#This Row],[Satisfaction Rating]]&lt;4, "Medium", "High"))</f>
        <v>Medium</v>
      </c>
    </row>
    <row r="222" spans="1:23" ht="13" x14ac:dyDescent="0.15">
      <c r="A222" s="2" t="s">
        <v>465</v>
      </c>
      <c r="B222" s="23">
        <v>45192.985821759263</v>
      </c>
      <c r="C222" s="23">
        <v>45529.256921296299</v>
      </c>
      <c r="D222" s="23" t="str">
        <f>IF(Table1[[#This Row],[Duration of Campaign]]=0, "Ongoing","Completed")</f>
        <v>Completed</v>
      </c>
      <c r="E222" s="25">
        <f>Table1[[#This Row],[End Date]]-Table1[[#This Row],[Start Date]]</f>
        <v>336.27109953703621</v>
      </c>
      <c r="F222" s="8">
        <v>6313</v>
      </c>
      <c r="G222" s="21" t="s">
        <v>14</v>
      </c>
      <c r="H222" s="11">
        <v>18478</v>
      </c>
      <c r="I222" s="11">
        <v>226</v>
      </c>
      <c r="J222" s="11">
        <v>210</v>
      </c>
      <c r="K222" s="13">
        <v>7028</v>
      </c>
      <c r="L222" s="16">
        <f t="shared" si="18"/>
        <v>1.2230760904859833E-2</v>
      </c>
      <c r="M222" s="16">
        <f t="shared" si="19"/>
        <v>0.92920353982300885</v>
      </c>
      <c r="N222" s="17">
        <f t="shared" si="20"/>
        <v>80.862831858407077</v>
      </c>
      <c r="O222" s="17">
        <f t="shared" si="21"/>
        <v>87.023809523809518</v>
      </c>
      <c r="P222" s="16">
        <f t="shared" si="22"/>
        <v>2.8948202122604152</v>
      </c>
      <c r="Q222" s="16">
        <f t="shared" si="23"/>
        <v>0.38456908344733243</v>
      </c>
      <c r="R222" s="2" t="s">
        <v>466</v>
      </c>
      <c r="S222" s="21" t="s">
        <v>16</v>
      </c>
      <c r="T222" s="21" t="s">
        <v>17</v>
      </c>
      <c r="U222" s="8">
        <v>18275</v>
      </c>
      <c r="V222" s="11">
        <v>5</v>
      </c>
      <c r="W222" t="str">
        <f>IF(Table1[[#This Row],[Satisfaction Rating]]&lt;2, "Low", IF(Table1[[#This Row],[Satisfaction Rating]]&lt;4, "Medium", "High"))</f>
        <v>High</v>
      </c>
    </row>
    <row r="223" spans="1:23" ht="13" x14ac:dyDescent="0.15">
      <c r="A223" s="2" t="s">
        <v>467</v>
      </c>
      <c r="B223" s="23">
        <v>45396.687361111108</v>
      </c>
      <c r="C223" s="23">
        <v>45429.106828703705</v>
      </c>
      <c r="D223" s="23" t="str">
        <f>IF(Table1[[#This Row],[Duration of Campaign]]=0, "Ongoing","Completed")</f>
        <v>Completed</v>
      </c>
      <c r="E223" s="25">
        <f>Table1[[#This Row],[End Date]]-Table1[[#This Row],[Start Date]]</f>
        <v>32.419467592597357</v>
      </c>
      <c r="F223" s="8">
        <v>5252</v>
      </c>
      <c r="G223" s="21" t="s">
        <v>19</v>
      </c>
      <c r="H223" s="11">
        <v>1355</v>
      </c>
      <c r="I223" s="11">
        <v>1644</v>
      </c>
      <c r="J223" s="11">
        <v>191</v>
      </c>
      <c r="K223" s="13">
        <v>885</v>
      </c>
      <c r="L223" s="16">
        <f t="shared" si="18"/>
        <v>1.2132841328413284</v>
      </c>
      <c r="M223" s="16">
        <f t="shared" si="19"/>
        <v>0.11618004866180048</v>
      </c>
      <c r="N223" s="17">
        <f t="shared" si="20"/>
        <v>6.7256690997566908</v>
      </c>
      <c r="O223" s="17">
        <f t="shared" si="21"/>
        <v>57.890052356020945</v>
      </c>
      <c r="P223" s="16">
        <f t="shared" si="22"/>
        <v>2.1052932216298554</v>
      </c>
      <c r="Q223" s="16">
        <f t="shared" si="23"/>
        <v>8.0039793795785477E-2</v>
      </c>
      <c r="R223" s="2" t="s">
        <v>468</v>
      </c>
      <c r="S223" s="21" t="s">
        <v>21</v>
      </c>
      <c r="T223" s="21" t="s">
        <v>45</v>
      </c>
      <c r="U223" s="8">
        <v>11057</v>
      </c>
      <c r="V223" s="11">
        <v>1</v>
      </c>
      <c r="W223" t="str">
        <f>IF(Table1[[#This Row],[Satisfaction Rating]]&lt;2, "Low", IF(Table1[[#This Row],[Satisfaction Rating]]&lt;4, "Medium", "High"))</f>
        <v>Low</v>
      </c>
    </row>
    <row r="224" spans="1:23" ht="13" x14ac:dyDescent="0.15">
      <c r="A224" s="2" t="s">
        <v>469</v>
      </c>
      <c r="B224" s="23">
        <v>45076.909201388888</v>
      </c>
      <c r="C224" s="23">
        <v>45425.921365740738</v>
      </c>
      <c r="D224" s="23" t="str">
        <f>IF(Table1[[#This Row],[Duration of Campaign]]=0, "Ongoing","Completed")</f>
        <v>Completed</v>
      </c>
      <c r="E224" s="25">
        <f>Table1[[#This Row],[End Date]]-Table1[[#This Row],[Start Date]]</f>
        <v>349.01216435185052</v>
      </c>
      <c r="F224" s="8">
        <v>2416</v>
      </c>
      <c r="G224" s="21" t="s">
        <v>19</v>
      </c>
      <c r="H224" s="11">
        <v>11992</v>
      </c>
      <c r="I224" s="11">
        <v>1309</v>
      </c>
      <c r="J224" s="11">
        <v>264</v>
      </c>
      <c r="K224" s="13">
        <v>5005</v>
      </c>
      <c r="L224" s="16">
        <f t="shared" si="18"/>
        <v>0.10915610406937959</v>
      </c>
      <c r="M224" s="16">
        <f t="shared" si="19"/>
        <v>0.20168067226890757</v>
      </c>
      <c r="N224" s="17">
        <f t="shared" si="20"/>
        <v>6.60733384262796</v>
      </c>
      <c r="O224" s="17">
        <f t="shared" si="21"/>
        <v>32.761363636363633</v>
      </c>
      <c r="P224" s="16">
        <f t="shared" si="22"/>
        <v>3.5798841059602649</v>
      </c>
      <c r="Q224" s="16">
        <f t="shared" si="23"/>
        <v>0.57867961614059427</v>
      </c>
      <c r="R224" s="2" t="s">
        <v>470</v>
      </c>
      <c r="S224" s="21" t="s">
        <v>24</v>
      </c>
      <c r="T224" s="21" t="s">
        <v>27</v>
      </c>
      <c r="U224" s="8">
        <v>8649</v>
      </c>
      <c r="V224" s="11">
        <v>3</v>
      </c>
      <c r="W224" t="str">
        <f>IF(Table1[[#This Row],[Satisfaction Rating]]&lt;2, "Low", IF(Table1[[#This Row],[Satisfaction Rating]]&lt;4, "Medium", "High"))</f>
        <v>Medium</v>
      </c>
    </row>
    <row r="225" spans="1:23" ht="13" x14ac:dyDescent="0.15">
      <c r="A225" s="2" t="s">
        <v>471</v>
      </c>
      <c r="B225" s="23">
        <v>45303.384166666663</v>
      </c>
      <c r="C225" s="23">
        <v>45376.127511574072</v>
      </c>
      <c r="D225" s="23" t="str">
        <f>IF(Table1[[#This Row],[Duration of Campaign]]=0, "Ongoing","Completed")</f>
        <v>Completed</v>
      </c>
      <c r="E225" s="25">
        <f>Table1[[#This Row],[End Date]]-Table1[[#This Row],[Start Date]]</f>
        <v>72.743344907408755</v>
      </c>
      <c r="F225" s="8">
        <v>2564</v>
      </c>
      <c r="G225" s="21" t="s">
        <v>14</v>
      </c>
      <c r="H225" s="11">
        <v>10191</v>
      </c>
      <c r="I225" s="11">
        <v>1994</v>
      </c>
      <c r="J225" s="11">
        <v>261</v>
      </c>
      <c r="K225" s="13">
        <v>14858</v>
      </c>
      <c r="L225" s="16">
        <f t="shared" si="18"/>
        <v>0.19566283976057305</v>
      </c>
      <c r="M225" s="16">
        <f t="shared" si="19"/>
        <v>0.13089267803410232</v>
      </c>
      <c r="N225" s="17">
        <f t="shared" si="20"/>
        <v>4.8380140421263791</v>
      </c>
      <c r="O225" s="17">
        <f t="shared" si="21"/>
        <v>36.961685823754792</v>
      </c>
      <c r="P225" s="16">
        <f t="shared" si="22"/>
        <v>3.762480499219969</v>
      </c>
      <c r="Q225" s="16">
        <f t="shared" si="23"/>
        <v>1.5401679278532185</v>
      </c>
      <c r="R225" s="2" t="s">
        <v>472</v>
      </c>
      <c r="S225" s="21" t="s">
        <v>35</v>
      </c>
      <c r="T225" s="21" t="s">
        <v>27</v>
      </c>
      <c r="U225" s="8">
        <v>9647</v>
      </c>
      <c r="V225" s="11">
        <v>4</v>
      </c>
      <c r="W225" t="str">
        <f>IF(Table1[[#This Row],[Satisfaction Rating]]&lt;2, "Low", IF(Table1[[#This Row],[Satisfaction Rating]]&lt;4, "Medium", "High"))</f>
        <v>High</v>
      </c>
    </row>
    <row r="226" spans="1:23" ht="13" x14ac:dyDescent="0.15">
      <c r="A226" s="2" t="s">
        <v>473</v>
      </c>
      <c r="B226" s="23">
        <v>45526.481145833335</v>
      </c>
      <c r="C226" s="23">
        <v>45530.558530092596</v>
      </c>
      <c r="D226" s="23" t="str">
        <f>IF(Table1[[#This Row],[Duration of Campaign]]=0, "Ongoing","Completed")</f>
        <v>Completed</v>
      </c>
      <c r="E226" s="25">
        <f>Table1[[#This Row],[End Date]]-Table1[[#This Row],[Start Date]]</f>
        <v>4.0773842592607252</v>
      </c>
      <c r="F226" s="8">
        <v>5001</v>
      </c>
      <c r="G226" s="21" t="s">
        <v>14</v>
      </c>
      <c r="H226" s="11">
        <v>7253</v>
      </c>
      <c r="I226" s="11">
        <v>1946</v>
      </c>
      <c r="J226" s="11">
        <v>259</v>
      </c>
      <c r="K226" s="13">
        <v>11152</v>
      </c>
      <c r="L226" s="16">
        <f t="shared" si="18"/>
        <v>0.26830277126706192</v>
      </c>
      <c r="M226" s="16">
        <f t="shared" si="19"/>
        <v>0.13309352517985612</v>
      </c>
      <c r="N226" s="17">
        <f t="shared" si="20"/>
        <v>8.4069886947584784</v>
      </c>
      <c r="O226" s="17">
        <f t="shared" si="21"/>
        <v>63.166023166023166</v>
      </c>
      <c r="P226" s="16">
        <f t="shared" si="22"/>
        <v>3.2713457308538292</v>
      </c>
      <c r="Q226" s="16">
        <f t="shared" si="23"/>
        <v>0.68166259168704157</v>
      </c>
      <c r="R226" s="2" t="s">
        <v>474</v>
      </c>
      <c r="S226" s="21" t="s">
        <v>21</v>
      </c>
      <c r="T226" s="21" t="s">
        <v>17</v>
      </c>
      <c r="U226" s="8">
        <v>16360</v>
      </c>
      <c r="V226" s="11">
        <v>3</v>
      </c>
      <c r="W226" t="str">
        <f>IF(Table1[[#This Row],[Satisfaction Rating]]&lt;2, "Low", IF(Table1[[#This Row],[Satisfaction Rating]]&lt;4, "Medium", "High"))</f>
        <v>Medium</v>
      </c>
    </row>
    <row r="227" spans="1:23" ht="13" x14ac:dyDescent="0.15">
      <c r="A227" s="2" t="s">
        <v>475</v>
      </c>
      <c r="B227" s="23">
        <v>45460.012789351851</v>
      </c>
      <c r="C227" s="23">
        <v>45460.012789351851</v>
      </c>
      <c r="D227" s="23" t="str">
        <f>IF(Table1[[#This Row],[Duration of Campaign]]=0, "Ongoing","Completed")</f>
        <v>Ongoing</v>
      </c>
      <c r="E227" s="25">
        <f>Table1[[#This Row],[End Date]]-Table1[[#This Row],[Start Date]]</f>
        <v>0</v>
      </c>
      <c r="F227" s="8">
        <v>7016</v>
      </c>
      <c r="G227" s="21" t="s">
        <v>53</v>
      </c>
      <c r="H227" s="11">
        <v>7889</v>
      </c>
      <c r="I227" s="11">
        <v>606</v>
      </c>
      <c r="J227" s="11">
        <v>392</v>
      </c>
      <c r="K227" s="13">
        <v>1422</v>
      </c>
      <c r="L227" s="16">
        <f t="shared" si="18"/>
        <v>7.6815819495500065E-2</v>
      </c>
      <c r="M227" s="16">
        <f t="shared" si="19"/>
        <v>0.64686468646864681</v>
      </c>
      <c r="N227" s="17">
        <f t="shared" si="20"/>
        <v>21.866336633663366</v>
      </c>
      <c r="O227" s="17">
        <f t="shared" si="21"/>
        <v>33.803571428571431</v>
      </c>
      <c r="P227" s="16">
        <f t="shared" si="22"/>
        <v>1.8886830102622576</v>
      </c>
      <c r="Q227" s="16">
        <f t="shared" si="23"/>
        <v>0.1073126556486303</v>
      </c>
      <c r="R227" s="2" t="s">
        <v>476</v>
      </c>
      <c r="S227" s="21" t="s">
        <v>21</v>
      </c>
      <c r="T227" s="21" t="s">
        <v>27</v>
      </c>
      <c r="U227" s="8">
        <v>13251</v>
      </c>
      <c r="V227" s="11">
        <v>4</v>
      </c>
      <c r="W227" t="str">
        <f>IF(Table1[[#This Row],[Satisfaction Rating]]&lt;2, "Low", IF(Table1[[#This Row],[Satisfaction Rating]]&lt;4, "Medium", "High"))</f>
        <v>High</v>
      </c>
    </row>
    <row r="228" spans="1:23" ht="13" x14ac:dyDescent="0.15">
      <c r="A228" s="2" t="s">
        <v>477</v>
      </c>
      <c r="B228" s="23">
        <v>45036.737175925926</v>
      </c>
      <c r="C228" s="23">
        <v>45036.737175925926</v>
      </c>
      <c r="D228" s="23" t="str">
        <f>IF(Table1[[#This Row],[Duration of Campaign]]=0, "Ongoing","Completed")</f>
        <v>Ongoing</v>
      </c>
      <c r="E228" s="25">
        <f>Table1[[#This Row],[End Date]]-Table1[[#This Row],[Start Date]]</f>
        <v>0</v>
      </c>
      <c r="F228" s="8">
        <v>8890</v>
      </c>
      <c r="G228" s="21" t="s">
        <v>19</v>
      </c>
      <c r="H228" s="11">
        <v>6722</v>
      </c>
      <c r="I228" s="11">
        <v>1073</v>
      </c>
      <c r="J228" s="11">
        <v>11</v>
      </c>
      <c r="K228" s="13">
        <v>1401</v>
      </c>
      <c r="L228" s="16">
        <f t="shared" si="18"/>
        <v>0.15962511157393633</v>
      </c>
      <c r="M228" s="16">
        <f t="shared" si="19"/>
        <v>1.0251630941286114E-2</v>
      </c>
      <c r="N228" s="17">
        <f t="shared" si="20"/>
        <v>9.4193849021435234</v>
      </c>
      <c r="O228" s="17">
        <f t="shared" si="21"/>
        <v>918.81818181818187</v>
      </c>
      <c r="P228" s="16">
        <f t="shared" si="22"/>
        <v>1.1368953880764905</v>
      </c>
      <c r="Q228" s="16">
        <f t="shared" si="23"/>
        <v>0.13861680023745918</v>
      </c>
      <c r="R228" s="2" t="s">
        <v>478</v>
      </c>
      <c r="S228" s="21" t="s">
        <v>16</v>
      </c>
      <c r="T228" s="21" t="s">
        <v>27</v>
      </c>
      <c r="U228" s="8">
        <v>10107</v>
      </c>
      <c r="V228" s="11">
        <v>4</v>
      </c>
      <c r="W228" t="str">
        <f>IF(Table1[[#This Row],[Satisfaction Rating]]&lt;2, "Low", IF(Table1[[#This Row],[Satisfaction Rating]]&lt;4, "Medium", "High"))</f>
        <v>High</v>
      </c>
    </row>
    <row r="229" spans="1:23" ht="13" x14ac:dyDescent="0.15">
      <c r="A229" s="2" t="s">
        <v>479</v>
      </c>
      <c r="B229" s="23">
        <v>45528.890405092592</v>
      </c>
      <c r="C229" s="23">
        <v>45528.890405092592</v>
      </c>
      <c r="D229" s="23" t="str">
        <f>IF(Table1[[#This Row],[Duration of Campaign]]=0, "Ongoing","Completed")</f>
        <v>Ongoing</v>
      </c>
      <c r="E229" s="25">
        <f>Table1[[#This Row],[End Date]]-Table1[[#This Row],[Start Date]]</f>
        <v>0</v>
      </c>
      <c r="F229" s="8">
        <v>8064</v>
      </c>
      <c r="G229" s="21" t="s">
        <v>14</v>
      </c>
      <c r="H229" s="11">
        <v>15155</v>
      </c>
      <c r="I229" s="11">
        <v>1181</v>
      </c>
      <c r="J229" s="11">
        <v>398</v>
      </c>
      <c r="K229" s="13">
        <v>3318</v>
      </c>
      <c r="L229" s="16">
        <f t="shared" si="18"/>
        <v>7.7928076542395253E-2</v>
      </c>
      <c r="M229" s="16">
        <f t="shared" si="19"/>
        <v>0.33700254022015241</v>
      </c>
      <c r="N229" s="17">
        <f t="shared" si="20"/>
        <v>4.8128704487722267</v>
      </c>
      <c r="O229" s="17">
        <f t="shared" si="21"/>
        <v>14.28140703517588</v>
      </c>
      <c r="P229" s="16">
        <f t="shared" si="22"/>
        <v>0.70486111111111116</v>
      </c>
      <c r="Q229" s="16">
        <f t="shared" si="23"/>
        <v>0.58374384236453203</v>
      </c>
      <c r="R229" s="2" t="s">
        <v>480</v>
      </c>
      <c r="S229" s="21" t="s">
        <v>21</v>
      </c>
      <c r="T229" s="21" t="s">
        <v>27</v>
      </c>
      <c r="U229" s="8">
        <v>5684</v>
      </c>
      <c r="V229" s="11">
        <v>5</v>
      </c>
      <c r="W229" t="str">
        <f>IF(Table1[[#This Row],[Satisfaction Rating]]&lt;2, "Low", IF(Table1[[#This Row],[Satisfaction Rating]]&lt;4, "Medium", "High"))</f>
        <v>High</v>
      </c>
    </row>
    <row r="230" spans="1:23" ht="13" x14ac:dyDescent="0.15">
      <c r="A230" s="2" t="s">
        <v>481</v>
      </c>
      <c r="B230" s="23">
        <v>45370.792627314811</v>
      </c>
      <c r="C230" s="23">
        <v>45616.620381944442</v>
      </c>
      <c r="D230" s="23" t="str">
        <f>IF(Table1[[#This Row],[Duration of Campaign]]=0, "Ongoing","Completed")</f>
        <v>Completed</v>
      </c>
      <c r="E230" s="25">
        <f>Table1[[#This Row],[End Date]]-Table1[[#This Row],[Start Date]]</f>
        <v>245.82775462963036</v>
      </c>
      <c r="F230" s="8">
        <v>3016</v>
      </c>
      <c r="G230" s="21" t="s">
        <v>37</v>
      </c>
      <c r="H230" s="11">
        <v>10506</v>
      </c>
      <c r="I230" s="11">
        <v>761</v>
      </c>
      <c r="J230" s="11">
        <v>305</v>
      </c>
      <c r="K230" s="13">
        <v>4384</v>
      </c>
      <c r="L230" s="16">
        <f t="shared" si="18"/>
        <v>7.2434799162383406E-2</v>
      </c>
      <c r="M230" s="16">
        <f t="shared" si="19"/>
        <v>0.40078843626806832</v>
      </c>
      <c r="N230" s="17">
        <f t="shared" si="20"/>
        <v>15.386333771353483</v>
      </c>
      <c r="O230" s="17">
        <f t="shared" si="21"/>
        <v>38.390163934426226</v>
      </c>
      <c r="P230" s="16">
        <f t="shared" si="22"/>
        <v>3.8822944297082227</v>
      </c>
      <c r="Q230" s="16">
        <f t="shared" si="23"/>
        <v>0.37441284482022374</v>
      </c>
      <c r="R230" s="2" t="s">
        <v>482</v>
      </c>
      <c r="S230" s="21" t="s">
        <v>30</v>
      </c>
      <c r="T230" s="21" t="s">
        <v>17</v>
      </c>
      <c r="U230" s="8">
        <v>11709</v>
      </c>
      <c r="V230" s="11">
        <v>3</v>
      </c>
      <c r="W230" t="str">
        <f>IF(Table1[[#This Row],[Satisfaction Rating]]&lt;2, "Low", IF(Table1[[#This Row],[Satisfaction Rating]]&lt;4, "Medium", "High"))</f>
        <v>Medium</v>
      </c>
    </row>
    <row r="231" spans="1:23" ht="13" x14ac:dyDescent="0.15">
      <c r="A231" s="2" t="s">
        <v>483</v>
      </c>
      <c r="B231" s="23">
        <v>45317.876354166663</v>
      </c>
      <c r="C231" s="23">
        <v>45361.0153587963</v>
      </c>
      <c r="D231" s="23" t="str">
        <f>IF(Table1[[#This Row],[Duration of Campaign]]=0, "Ongoing","Completed")</f>
        <v>Completed</v>
      </c>
      <c r="E231" s="25">
        <f>Table1[[#This Row],[End Date]]-Table1[[#This Row],[Start Date]]</f>
        <v>43.139004629636474</v>
      </c>
      <c r="F231" s="8">
        <v>8967</v>
      </c>
      <c r="G231" s="21" t="s">
        <v>19</v>
      </c>
      <c r="H231" s="11">
        <v>19300</v>
      </c>
      <c r="I231" s="11">
        <v>1083</v>
      </c>
      <c r="J231" s="11">
        <v>18</v>
      </c>
      <c r="K231" s="13">
        <v>5176</v>
      </c>
      <c r="L231" s="16">
        <f t="shared" si="18"/>
        <v>5.6113989637305697E-2</v>
      </c>
      <c r="M231" s="16">
        <f t="shared" si="19"/>
        <v>1.662049861495845E-2</v>
      </c>
      <c r="N231" s="17">
        <f t="shared" si="20"/>
        <v>10.848568790397046</v>
      </c>
      <c r="O231" s="17">
        <f t="shared" si="21"/>
        <v>652.72222222222217</v>
      </c>
      <c r="P231" s="16">
        <f t="shared" si="22"/>
        <v>1.3102486896397902</v>
      </c>
      <c r="Q231" s="16">
        <f t="shared" si="23"/>
        <v>0.44054813175589413</v>
      </c>
      <c r="R231" s="2" t="s">
        <v>484</v>
      </c>
      <c r="S231" s="21" t="s">
        <v>16</v>
      </c>
      <c r="T231" s="21" t="s">
        <v>27</v>
      </c>
      <c r="U231" s="8">
        <v>11749</v>
      </c>
      <c r="V231" s="11">
        <v>1</v>
      </c>
      <c r="W231" t="str">
        <f>IF(Table1[[#This Row],[Satisfaction Rating]]&lt;2, "Low", IF(Table1[[#This Row],[Satisfaction Rating]]&lt;4, "Medium", "High"))</f>
        <v>Low</v>
      </c>
    </row>
    <row r="232" spans="1:23" ht="13" x14ac:dyDescent="0.15">
      <c r="A232" s="2" t="s">
        <v>485</v>
      </c>
      <c r="B232" s="23">
        <v>45628.625162037039</v>
      </c>
      <c r="C232" s="23">
        <v>45628.625162037039</v>
      </c>
      <c r="D232" s="23" t="str">
        <f>IF(Table1[[#This Row],[Duration of Campaign]]=0, "Ongoing","Completed")</f>
        <v>Ongoing</v>
      </c>
      <c r="E232" s="25">
        <f>Table1[[#This Row],[End Date]]-Table1[[#This Row],[Start Date]]</f>
        <v>0</v>
      </c>
      <c r="F232" s="8">
        <v>9211</v>
      </c>
      <c r="G232" s="21" t="s">
        <v>19</v>
      </c>
      <c r="H232" s="11">
        <v>17807</v>
      </c>
      <c r="I232" s="11">
        <v>342</v>
      </c>
      <c r="J232" s="11">
        <v>62</v>
      </c>
      <c r="K232" s="13">
        <v>8736</v>
      </c>
      <c r="L232" s="16">
        <f t="shared" si="18"/>
        <v>1.9205930252148031E-2</v>
      </c>
      <c r="M232" s="16">
        <f t="shared" si="19"/>
        <v>0.18128654970760233</v>
      </c>
      <c r="N232" s="17">
        <f t="shared" si="20"/>
        <v>33.10526315789474</v>
      </c>
      <c r="O232" s="17">
        <f t="shared" si="21"/>
        <v>182.61290322580646</v>
      </c>
      <c r="P232" s="16">
        <f t="shared" si="22"/>
        <v>1.2291824991857561</v>
      </c>
      <c r="Q232" s="16">
        <f t="shared" si="23"/>
        <v>0.77159512453630097</v>
      </c>
      <c r="R232" s="2" t="s">
        <v>486</v>
      </c>
      <c r="S232" s="21" t="s">
        <v>30</v>
      </c>
      <c r="T232" s="21" t="s">
        <v>27</v>
      </c>
      <c r="U232" s="8">
        <v>11322</v>
      </c>
      <c r="V232" s="11">
        <v>3</v>
      </c>
      <c r="W232" t="str">
        <f>IF(Table1[[#This Row],[Satisfaction Rating]]&lt;2, "Low", IF(Table1[[#This Row],[Satisfaction Rating]]&lt;4, "Medium", "High"))</f>
        <v>Medium</v>
      </c>
    </row>
    <row r="233" spans="1:23" ht="13" x14ac:dyDescent="0.15">
      <c r="A233" s="2" t="s">
        <v>487</v>
      </c>
      <c r="B233" s="23">
        <v>45600.864918981482</v>
      </c>
      <c r="C233" s="23">
        <v>45600.864918981482</v>
      </c>
      <c r="D233" s="23" t="str">
        <f>IF(Table1[[#This Row],[Duration of Campaign]]=0, "Ongoing","Completed")</f>
        <v>Ongoing</v>
      </c>
      <c r="E233" s="25">
        <f>Table1[[#This Row],[End Date]]-Table1[[#This Row],[Start Date]]</f>
        <v>0</v>
      </c>
      <c r="F233" s="8">
        <v>3883</v>
      </c>
      <c r="G233" s="21" t="s">
        <v>37</v>
      </c>
      <c r="H233" s="11">
        <v>9052</v>
      </c>
      <c r="I233" s="11">
        <v>819</v>
      </c>
      <c r="J233" s="11">
        <v>376</v>
      </c>
      <c r="K233" s="13">
        <v>953</v>
      </c>
      <c r="L233" s="16">
        <f t="shared" si="18"/>
        <v>9.0477242598320809E-2</v>
      </c>
      <c r="M233" s="16">
        <f t="shared" si="19"/>
        <v>0.45909645909645908</v>
      </c>
      <c r="N233" s="17">
        <f t="shared" si="20"/>
        <v>19.702075702075703</v>
      </c>
      <c r="O233" s="17">
        <f t="shared" si="21"/>
        <v>42.914893617021278</v>
      </c>
      <c r="P233" s="16">
        <f t="shared" si="22"/>
        <v>4.1555498326036568</v>
      </c>
      <c r="Q233" s="16">
        <f t="shared" si="23"/>
        <v>5.9060485870104117E-2</v>
      </c>
      <c r="R233" s="2" t="s">
        <v>488</v>
      </c>
      <c r="S233" s="21" t="s">
        <v>16</v>
      </c>
      <c r="T233" s="21" t="s">
        <v>17</v>
      </c>
      <c r="U233" s="8">
        <v>16136</v>
      </c>
      <c r="V233" s="11">
        <v>4</v>
      </c>
      <c r="W233" t="str">
        <f>IF(Table1[[#This Row],[Satisfaction Rating]]&lt;2, "Low", IF(Table1[[#This Row],[Satisfaction Rating]]&lt;4, "Medium", "High"))</f>
        <v>High</v>
      </c>
    </row>
    <row r="234" spans="1:23" ht="13" x14ac:dyDescent="0.15">
      <c r="A234" s="2" t="s">
        <v>489</v>
      </c>
      <c r="B234" s="23">
        <v>45309.759918981479</v>
      </c>
      <c r="C234" s="23">
        <v>45309.759918981479</v>
      </c>
      <c r="D234" s="23" t="str">
        <f>IF(Table1[[#This Row],[Duration of Campaign]]=0, "Ongoing","Completed")</f>
        <v>Ongoing</v>
      </c>
      <c r="E234" s="25">
        <f>Table1[[#This Row],[End Date]]-Table1[[#This Row],[Start Date]]</f>
        <v>0</v>
      </c>
      <c r="F234" s="8">
        <v>6795</v>
      </c>
      <c r="G234" s="21" t="s">
        <v>14</v>
      </c>
      <c r="H234" s="11">
        <v>12203</v>
      </c>
      <c r="I234" s="11">
        <v>512</v>
      </c>
      <c r="J234" s="11">
        <v>313</v>
      </c>
      <c r="K234" s="13">
        <v>10183</v>
      </c>
      <c r="L234" s="16">
        <f t="shared" si="18"/>
        <v>4.1956895845283948E-2</v>
      </c>
      <c r="M234" s="16">
        <f t="shared" si="19"/>
        <v>0.611328125</v>
      </c>
      <c r="N234" s="17">
        <f t="shared" si="20"/>
        <v>16.2578125</v>
      </c>
      <c r="O234" s="17">
        <f t="shared" si="21"/>
        <v>26.594249201277954</v>
      </c>
      <c r="P234" s="16">
        <f t="shared" si="22"/>
        <v>1.225018395879323</v>
      </c>
      <c r="Q234" s="16">
        <f t="shared" si="23"/>
        <v>1.2233301297453147</v>
      </c>
      <c r="R234" s="2" t="s">
        <v>490</v>
      </c>
      <c r="S234" s="21" t="s">
        <v>30</v>
      </c>
      <c r="T234" s="21" t="s">
        <v>17</v>
      </c>
      <c r="U234" s="8">
        <v>8324</v>
      </c>
      <c r="V234" s="11">
        <v>1</v>
      </c>
      <c r="W234" t="str">
        <f>IF(Table1[[#This Row],[Satisfaction Rating]]&lt;2, "Low", IF(Table1[[#This Row],[Satisfaction Rating]]&lt;4, "Medium", "High"))</f>
        <v>Low</v>
      </c>
    </row>
    <row r="235" spans="1:23" ht="13" x14ac:dyDescent="0.15">
      <c r="A235" s="2" t="s">
        <v>491</v>
      </c>
      <c r="B235" s="23">
        <v>45035.89770833333</v>
      </c>
      <c r="C235" s="23">
        <v>45035.89770833333</v>
      </c>
      <c r="D235" s="23" t="str">
        <f>IF(Table1[[#This Row],[Duration of Campaign]]=0, "Ongoing","Completed")</f>
        <v>Ongoing</v>
      </c>
      <c r="E235" s="25">
        <f>Table1[[#This Row],[End Date]]-Table1[[#This Row],[Start Date]]</f>
        <v>0</v>
      </c>
      <c r="F235" s="8">
        <v>9245</v>
      </c>
      <c r="G235" s="21" t="s">
        <v>19</v>
      </c>
      <c r="H235" s="11">
        <v>10606</v>
      </c>
      <c r="I235" s="11">
        <v>941</v>
      </c>
      <c r="J235" s="11">
        <v>120</v>
      </c>
      <c r="K235" s="13">
        <v>13270</v>
      </c>
      <c r="L235" s="16">
        <f t="shared" si="18"/>
        <v>8.8723364133509328E-2</v>
      </c>
      <c r="M235" s="16">
        <f t="shared" si="19"/>
        <v>0.1275239107332625</v>
      </c>
      <c r="N235" s="17">
        <f t="shared" si="20"/>
        <v>20.99893730074389</v>
      </c>
      <c r="O235" s="17">
        <f t="shared" si="21"/>
        <v>164.66666666666666</v>
      </c>
      <c r="P235" s="16">
        <f t="shared" si="22"/>
        <v>2.1373715521903733</v>
      </c>
      <c r="Q235" s="16">
        <f t="shared" si="23"/>
        <v>0.67155870445344135</v>
      </c>
      <c r="R235" s="2" t="s">
        <v>492</v>
      </c>
      <c r="S235" s="21" t="s">
        <v>24</v>
      </c>
      <c r="T235" s="21" t="s">
        <v>17</v>
      </c>
      <c r="U235" s="8">
        <v>19760</v>
      </c>
      <c r="V235" s="11">
        <v>1</v>
      </c>
      <c r="W235" t="str">
        <f>IF(Table1[[#This Row],[Satisfaction Rating]]&lt;2, "Low", IF(Table1[[#This Row],[Satisfaction Rating]]&lt;4, "Medium", "High"))</f>
        <v>Low</v>
      </c>
    </row>
    <row r="236" spans="1:23" ht="13" x14ac:dyDescent="0.15">
      <c r="A236" s="2" t="s">
        <v>493</v>
      </c>
      <c r="B236" s="23">
        <v>45515.97960648148</v>
      </c>
      <c r="C236" s="23">
        <v>45515.97960648148</v>
      </c>
      <c r="D236" s="23" t="str">
        <f>IF(Table1[[#This Row],[Duration of Campaign]]=0, "Ongoing","Completed")</f>
        <v>Ongoing</v>
      </c>
      <c r="E236" s="25">
        <f>Table1[[#This Row],[End Date]]-Table1[[#This Row],[Start Date]]</f>
        <v>0</v>
      </c>
      <c r="F236" s="8">
        <v>7310</v>
      </c>
      <c r="G236" s="21" t="s">
        <v>37</v>
      </c>
      <c r="H236" s="11">
        <v>10568</v>
      </c>
      <c r="I236" s="11">
        <v>1635</v>
      </c>
      <c r="J236" s="11">
        <v>408</v>
      </c>
      <c r="K236" s="13">
        <v>2208</v>
      </c>
      <c r="L236" s="16">
        <f t="shared" si="18"/>
        <v>0.1547123391370174</v>
      </c>
      <c r="M236" s="16">
        <f t="shared" si="19"/>
        <v>0.24954128440366974</v>
      </c>
      <c r="N236" s="17">
        <f t="shared" si="20"/>
        <v>7.5798165137614681</v>
      </c>
      <c r="O236" s="17">
        <f t="shared" si="21"/>
        <v>30.375</v>
      </c>
      <c r="P236" s="16">
        <f t="shared" si="22"/>
        <v>1.6953488372093024</v>
      </c>
      <c r="Q236" s="16">
        <f t="shared" si="23"/>
        <v>0.17816509319777293</v>
      </c>
      <c r="R236" s="2" t="s">
        <v>494</v>
      </c>
      <c r="S236" s="21" t="s">
        <v>35</v>
      </c>
      <c r="T236" s="21" t="s">
        <v>45</v>
      </c>
      <c r="U236" s="8">
        <v>12393</v>
      </c>
      <c r="V236" s="11">
        <v>5</v>
      </c>
      <c r="W236" t="str">
        <f>IF(Table1[[#This Row],[Satisfaction Rating]]&lt;2, "Low", IF(Table1[[#This Row],[Satisfaction Rating]]&lt;4, "Medium", "High"))</f>
        <v>High</v>
      </c>
    </row>
    <row r="237" spans="1:23" ht="13" x14ac:dyDescent="0.15">
      <c r="A237" s="2" t="s">
        <v>495</v>
      </c>
      <c r="B237" s="23">
        <v>45522.63422453704</v>
      </c>
      <c r="C237" s="23">
        <v>45522.63422453704</v>
      </c>
      <c r="D237" s="23" t="str">
        <f>IF(Table1[[#This Row],[Duration of Campaign]]=0, "Ongoing","Completed")</f>
        <v>Ongoing</v>
      </c>
      <c r="E237" s="25">
        <f>Table1[[#This Row],[End Date]]-Table1[[#This Row],[Start Date]]</f>
        <v>0</v>
      </c>
      <c r="F237" s="8">
        <v>4390</v>
      </c>
      <c r="G237" s="21" t="s">
        <v>37</v>
      </c>
      <c r="H237" s="11">
        <v>6898</v>
      </c>
      <c r="I237" s="11">
        <v>466</v>
      </c>
      <c r="J237" s="11">
        <v>193</v>
      </c>
      <c r="K237" s="13">
        <v>4748</v>
      </c>
      <c r="L237" s="16">
        <f t="shared" si="18"/>
        <v>6.7555813279211369E-2</v>
      </c>
      <c r="M237" s="16">
        <f t="shared" si="19"/>
        <v>0.41416309012875535</v>
      </c>
      <c r="N237" s="17">
        <f t="shared" si="20"/>
        <v>21.873390557939913</v>
      </c>
      <c r="O237" s="17">
        <f t="shared" si="21"/>
        <v>52.813471502590673</v>
      </c>
      <c r="P237" s="16">
        <f t="shared" si="22"/>
        <v>2.3218678815489748</v>
      </c>
      <c r="Q237" s="16">
        <f t="shared" si="23"/>
        <v>0.46580986951829689</v>
      </c>
      <c r="R237" s="2" t="s">
        <v>496</v>
      </c>
      <c r="S237" s="21" t="s">
        <v>16</v>
      </c>
      <c r="T237" s="21" t="s">
        <v>45</v>
      </c>
      <c r="U237" s="8">
        <v>10193</v>
      </c>
      <c r="V237" s="11">
        <v>3</v>
      </c>
      <c r="W237" t="str">
        <f>IF(Table1[[#This Row],[Satisfaction Rating]]&lt;2, "Low", IF(Table1[[#This Row],[Satisfaction Rating]]&lt;4, "Medium", "High"))</f>
        <v>Medium</v>
      </c>
    </row>
    <row r="238" spans="1:23" ht="13" x14ac:dyDescent="0.15">
      <c r="A238" s="2" t="s">
        <v>497</v>
      </c>
      <c r="B238" s="23">
        <v>45035.360254629632</v>
      </c>
      <c r="C238" s="23">
        <v>45528.475023148145</v>
      </c>
      <c r="D238" s="23" t="str">
        <f>IF(Table1[[#This Row],[Duration of Campaign]]=0, "Ongoing","Completed")</f>
        <v>Completed</v>
      </c>
      <c r="E238" s="25">
        <f>Table1[[#This Row],[End Date]]-Table1[[#This Row],[Start Date]]</f>
        <v>493.1147685185133</v>
      </c>
      <c r="F238" s="8">
        <v>5196</v>
      </c>
      <c r="G238" s="21" t="s">
        <v>14</v>
      </c>
      <c r="H238" s="11">
        <v>4266</v>
      </c>
      <c r="I238" s="11">
        <v>337</v>
      </c>
      <c r="J238" s="11">
        <v>138</v>
      </c>
      <c r="K238" s="13">
        <v>1010</v>
      </c>
      <c r="L238" s="16">
        <f t="shared" si="18"/>
        <v>7.8996718237224567E-2</v>
      </c>
      <c r="M238" s="16">
        <f t="shared" si="19"/>
        <v>0.40949554896142432</v>
      </c>
      <c r="N238" s="17">
        <f t="shared" si="20"/>
        <v>22.213649851632049</v>
      </c>
      <c r="O238" s="17">
        <f t="shared" si="21"/>
        <v>54.246376811594203</v>
      </c>
      <c r="P238" s="16">
        <f t="shared" si="22"/>
        <v>1.4407236335642801</v>
      </c>
      <c r="Q238" s="16">
        <f t="shared" si="23"/>
        <v>0.13491851456051296</v>
      </c>
      <c r="R238" s="2" t="s">
        <v>498</v>
      </c>
      <c r="S238" s="21" t="s">
        <v>16</v>
      </c>
      <c r="T238" s="21" t="s">
        <v>17</v>
      </c>
      <c r="U238" s="8">
        <v>7486</v>
      </c>
      <c r="V238" s="11">
        <v>4</v>
      </c>
      <c r="W238" t="str">
        <f>IF(Table1[[#This Row],[Satisfaction Rating]]&lt;2, "Low", IF(Table1[[#This Row],[Satisfaction Rating]]&lt;4, "Medium", "High"))</f>
        <v>High</v>
      </c>
    </row>
    <row r="239" spans="1:23" ht="13" x14ac:dyDescent="0.15">
      <c r="A239" s="2" t="s">
        <v>499</v>
      </c>
      <c r="B239" s="23">
        <v>45244.677442129629</v>
      </c>
      <c r="C239" s="23">
        <v>45355.367534722223</v>
      </c>
      <c r="D239" s="23" t="str">
        <f>IF(Table1[[#This Row],[Duration of Campaign]]=0, "Ongoing","Completed")</f>
        <v>Completed</v>
      </c>
      <c r="E239" s="25">
        <f>Table1[[#This Row],[End Date]]-Table1[[#This Row],[Start Date]]</f>
        <v>110.69009259259474</v>
      </c>
      <c r="F239" s="8">
        <v>9816</v>
      </c>
      <c r="G239" s="21" t="s">
        <v>19</v>
      </c>
      <c r="H239" s="11">
        <v>1246</v>
      </c>
      <c r="I239" s="11">
        <v>668</v>
      </c>
      <c r="J239" s="11">
        <v>384</v>
      </c>
      <c r="K239" s="13">
        <v>13924</v>
      </c>
      <c r="L239" s="16">
        <f t="shared" si="18"/>
        <v>0.536115569823435</v>
      </c>
      <c r="M239" s="16">
        <f t="shared" si="19"/>
        <v>0.57485029940119758</v>
      </c>
      <c r="N239" s="17">
        <f t="shared" si="20"/>
        <v>27.70808383233533</v>
      </c>
      <c r="O239" s="17">
        <f t="shared" si="21"/>
        <v>48.200520833333336</v>
      </c>
      <c r="P239" s="16">
        <f t="shared" si="22"/>
        <v>1.8855949470252649</v>
      </c>
      <c r="Q239" s="16">
        <f t="shared" si="23"/>
        <v>0.75228267329407317</v>
      </c>
      <c r="R239" s="2" t="s">
        <v>500</v>
      </c>
      <c r="S239" s="21" t="s">
        <v>30</v>
      </c>
      <c r="T239" s="21" t="s">
        <v>45</v>
      </c>
      <c r="U239" s="8">
        <v>18509</v>
      </c>
      <c r="V239" s="11">
        <v>1</v>
      </c>
      <c r="W239" t="str">
        <f>IF(Table1[[#This Row],[Satisfaction Rating]]&lt;2, "Low", IF(Table1[[#This Row],[Satisfaction Rating]]&lt;4, "Medium", "High"))</f>
        <v>Low</v>
      </c>
    </row>
    <row r="240" spans="1:23" ht="13" x14ac:dyDescent="0.15">
      <c r="A240" s="2" t="s">
        <v>501</v>
      </c>
      <c r="B240" s="23">
        <v>45529.141238425924</v>
      </c>
      <c r="C240" s="23">
        <v>45529.141238425924</v>
      </c>
      <c r="D240" s="23" t="str">
        <f>IF(Table1[[#This Row],[Duration of Campaign]]=0, "Ongoing","Completed")</f>
        <v>Ongoing</v>
      </c>
      <c r="E240" s="25">
        <f>Table1[[#This Row],[End Date]]-Table1[[#This Row],[Start Date]]</f>
        <v>0</v>
      </c>
      <c r="F240" s="8">
        <v>8784</v>
      </c>
      <c r="G240" s="21" t="s">
        <v>19</v>
      </c>
      <c r="H240" s="11">
        <v>11557</v>
      </c>
      <c r="I240" s="11">
        <v>803</v>
      </c>
      <c r="J240" s="11">
        <v>449</v>
      </c>
      <c r="K240" s="13">
        <v>5840</v>
      </c>
      <c r="L240" s="16">
        <f t="shared" si="18"/>
        <v>6.9481699402959243E-2</v>
      </c>
      <c r="M240" s="16">
        <f t="shared" si="19"/>
        <v>0.55915317559153177</v>
      </c>
      <c r="N240" s="17">
        <f t="shared" si="20"/>
        <v>18.745952677459528</v>
      </c>
      <c r="O240" s="17">
        <f t="shared" si="21"/>
        <v>33.525612472160354</v>
      </c>
      <c r="P240" s="16">
        <f t="shared" si="22"/>
        <v>1.713683970856102</v>
      </c>
      <c r="Q240" s="16">
        <f t="shared" si="23"/>
        <v>0.38796253238557099</v>
      </c>
      <c r="R240" s="2" t="s">
        <v>502</v>
      </c>
      <c r="S240" s="21" t="s">
        <v>35</v>
      </c>
      <c r="T240" s="21" t="s">
        <v>27</v>
      </c>
      <c r="U240" s="8">
        <v>15053</v>
      </c>
      <c r="V240" s="11">
        <v>3</v>
      </c>
      <c r="W240" t="str">
        <f>IF(Table1[[#This Row],[Satisfaction Rating]]&lt;2, "Low", IF(Table1[[#This Row],[Satisfaction Rating]]&lt;4, "Medium", "High"))</f>
        <v>Medium</v>
      </c>
    </row>
    <row r="241" spans="1:23" ht="13" x14ac:dyDescent="0.15">
      <c r="A241" s="2" t="s">
        <v>503</v>
      </c>
      <c r="B241" s="23">
        <v>45146.623807870368</v>
      </c>
      <c r="C241" s="23">
        <v>45270.146932870368</v>
      </c>
      <c r="D241" s="23" t="str">
        <f>IF(Table1[[#This Row],[Duration of Campaign]]=0, "Ongoing","Completed")</f>
        <v>Completed</v>
      </c>
      <c r="E241" s="25">
        <f>Table1[[#This Row],[End Date]]-Table1[[#This Row],[Start Date]]</f>
        <v>123.52312499999971</v>
      </c>
      <c r="F241" s="8">
        <v>4667</v>
      </c>
      <c r="G241" s="21" t="s">
        <v>14</v>
      </c>
      <c r="H241" s="11">
        <v>3759</v>
      </c>
      <c r="I241" s="11">
        <v>814</v>
      </c>
      <c r="J241" s="11">
        <v>247</v>
      </c>
      <c r="K241" s="13">
        <v>8711</v>
      </c>
      <c r="L241" s="16">
        <f t="shared" si="18"/>
        <v>0.21654695397712156</v>
      </c>
      <c r="M241" s="16">
        <f t="shared" si="19"/>
        <v>0.30343980343980342</v>
      </c>
      <c r="N241" s="17">
        <f t="shared" si="20"/>
        <v>18.300982800982801</v>
      </c>
      <c r="O241" s="17">
        <f t="shared" si="21"/>
        <v>60.311740890688256</v>
      </c>
      <c r="P241" s="16">
        <f t="shared" si="22"/>
        <v>3.1919862866938078</v>
      </c>
      <c r="Q241" s="16">
        <f t="shared" si="23"/>
        <v>0.58474860710210108</v>
      </c>
      <c r="R241" s="2" t="s">
        <v>504</v>
      </c>
      <c r="S241" s="21" t="s">
        <v>35</v>
      </c>
      <c r="T241" s="21" t="s">
        <v>27</v>
      </c>
      <c r="U241" s="8">
        <v>14897</v>
      </c>
      <c r="V241" s="11">
        <v>4</v>
      </c>
      <c r="W241" t="str">
        <f>IF(Table1[[#This Row],[Satisfaction Rating]]&lt;2, "Low", IF(Table1[[#This Row],[Satisfaction Rating]]&lt;4, "Medium", "High"))</f>
        <v>High</v>
      </c>
    </row>
    <row r="242" spans="1:23" ht="13" x14ac:dyDescent="0.15">
      <c r="A242" s="2" t="s">
        <v>505</v>
      </c>
      <c r="B242" s="23">
        <v>45452.771655092591</v>
      </c>
      <c r="C242" s="23">
        <v>45453.743310185186</v>
      </c>
      <c r="D242" s="23" t="str">
        <f>IF(Table1[[#This Row],[Duration of Campaign]]=0, "Ongoing","Completed")</f>
        <v>Completed</v>
      </c>
      <c r="E242" s="25">
        <f>Table1[[#This Row],[End Date]]-Table1[[#This Row],[Start Date]]</f>
        <v>0.97165509259502869</v>
      </c>
      <c r="F242" s="8">
        <v>1642</v>
      </c>
      <c r="G242" s="21" t="s">
        <v>19</v>
      </c>
      <c r="H242" s="11">
        <v>1471</v>
      </c>
      <c r="I242" s="11">
        <v>325</v>
      </c>
      <c r="J242" s="11">
        <v>371</v>
      </c>
      <c r="K242" s="13">
        <v>2924</v>
      </c>
      <c r="L242" s="16">
        <f t="shared" si="18"/>
        <v>0.22093813732154996</v>
      </c>
      <c r="M242" s="16">
        <f t="shared" si="19"/>
        <v>1.1415384615384616</v>
      </c>
      <c r="N242" s="17">
        <f t="shared" si="20"/>
        <v>20.21846153846154</v>
      </c>
      <c r="O242" s="17">
        <f t="shared" si="21"/>
        <v>17.711590296495956</v>
      </c>
      <c r="P242" s="16">
        <f t="shared" si="22"/>
        <v>4.0018270401948843</v>
      </c>
      <c r="Q242" s="16">
        <f t="shared" si="23"/>
        <v>0.44498554253538275</v>
      </c>
      <c r="R242" s="2" t="s">
        <v>506</v>
      </c>
      <c r="S242" s="21" t="s">
        <v>35</v>
      </c>
      <c r="T242" s="21" t="s">
        <v>17</v>
      </c>
      <c r="U242" s="8">
        <v>6571</v>
      </c>
      <c r="V242" s="11">
        <v>3</v>
      </c>
      <c r="W242" t="str">
        <f>IF(Table1[[#This Row],[Satisfaction Rating]]&lt;2, "Low", IF(Table1[[#This Row],[Satisfaction Rating]]&lt;4, "Medium", "High"))</f>
        <v>Medium</v>
      </c>
    </row>
    <row r="243" spans="1:23" ht="13" x14ac:dyDescent="0.15">
      <c r="A243" s="2" t="s">
        <v>507</v>
      </c>
      <c r="B243" s="23">
        <v>45583.977627314816</v>
      </c>
      <c r="C243" s="23">
        <v>45583.977627314816</v>
      </c>
      <c r="D243" s="23" t="str">
        <f>IF(Table1[[#This Row],[Duration of Campaign]]=0, "Ongoing","Completed")</f>
        <v>Ongoing</v>
      </c>
      <c r="E243" s="25">
        <f>Table1[[#This Row],[End Date]]-Table1[[#This Row],[Start Date]]</f>
        <v>0</v>
      </c>
      <c r="F243" s="8">
        <v>5566</v>
      </c>
      <c r="G243" s="21" t="s">
        <v>37</v>
      </c>
      <c r="H243" s="11">
        <v>6099</v>
      </c>
      <c r="I243" s="11">
        <v>1987</v>
      </c>
      <c r="J243" s="11">
        <v>51</v>
      </c>
      <c r="K243" s="13">
        <v>2558</v>
      </c>
      <c r="L243" s="16">
        <f t="shared" si="18"/>
        <v>0.32579111329726185</v>
      </c>
      <c r="M243" s="16">
        <f t="shared" si="19"/>
        <v>2.5666834423754403E-2</v>
      </c>
      <c r="N243" s="17">
        <f t="shared" si="20"/>
        <v>8.1071967790639157</v>
      </c>
      <c r="O243" s="17">
        <f t="shared" si="21"/>
        <v>315.86274509803923</v>
      </c>
      <c r="P243" s="16">
        <f t="shared" si="22"/>
        <v>2.8941789435860583</v>
      </c>
      <c r="Q243" s="16">
        <f t="shared" si="23"/>
        <v>0.15879322118070643</v>
      </c>
      <c r="R243" s="2" t="s">
        <v>508</v>
      </c>
      <c r="S243" s="21" t="s">
        <v>35</v>
      </c>
      <c r="T243" s="21" t="s">
        <v>17</v>
      </c>
      <c r="U243" s="8">
        <v>16109</v>
      </c>
      <c r="V243" s="11">
        <v>2</v>
      </c>
      <c r="W243" t="str">
        <f>IF(Table1[[#This Row],[Satisfaction Rating]]&lt;2, "Low", IF(Table1[[#This Row],[Satisfaction Rating]]&lt;4, "Medium", "High"))</f>
        <v>Medium</v>
      </c>
    </row>
    <row r="244" spans="1:23" ht="13" x14ac:dyDescent="0.15">
      <c r="A244" s="2" t="s">
        <v>509</v>
      </c>
      <c r="B244" s="23">
        <v>44938.331990740742</v>
      </c>
      <c r="C244" s="23">
        <v>45534.409988425927</v>
      </c>
      <c r="D244" s="23" t="str">
        <f>IF(Table1[[#This Row],[Duration of Campaign]]=0, "Ongoing","Completed")</f>
        <v>Completed</v>
      </c>
      <c r="E244" s="25">
        <f>Table1[[#This Row],[End Date]]-Table1[[#This Row],[Start Date]]</f>
        <v>596.07799768518453</v>
      </c>
      <c r="F244" s="8">
        <v>5058</v>
      </c>
      <c r="G244" s="21" t="s">
        <v>53</v>
      </c>
      <c r="H244" s="11">
        <v>19620</v>
      </c>
      <c r="I244" s="11">
        <v>1275</v>
      </c>
      <c r="J244" s="11">
        <v>360</v>
      </c>
      <c r="K244" s="13">
        <v>6628</v>
      </c>
      <c r="L244" s="16">
        <f t="shared" si="18"/>
        <v>6.4984709480122319E-2</v>
      </c>
      <c r="M244" s="16">
        <f t="shared" si="19"/>
        <v>0.28235294117647058</v>
      </c>
      <c r="N244" s="17">
        <f t="shared" si="20"/>
        <v>7.7654901960784315</v>
      </c>
      <c r="O244" s="17">
        <f t="shared" si="21"/>
        <v>27.502777777777776</v>
      </c>
      <c r="P244" s="16">
        <f t="shared" si="22"/>
        <v>1.957493080268881</v>
      </c>
      <c r="Q244" s="16">
        <f t="shared" si="23"/>
        <v>0.66942733057266945</v>
      </c>
      <c r="R244" s="2" t="s">
        <v>510</v>
      </c>
      <c r="S244" s="21" t="s">
        <v>30</v>
      </c>
      <c r="T244" s="21" t="s">
        <v>17</v>
      </c>
      <c r="U244" s="8">
        <v>9901</v>
      </c>
      <c r="V244" s="11">
        <v>2</v>
      </c>
      <c r="W244" t="str">
        <f>IF(Table1[[#This Row],[Satisfaction Rating]]&lt;2, "Low", IF(Table1[[#This Row],[Satisfaction Rating]]&lt;4, "Medium", "High"))</f>
        <v>Medium</v>
      </c>
    </row>
    <row r="245" spans="1:23" ht="13" x14ac:dyDescent="0.15">
      <c r="A245" s="2" t="s">
        <v>511</v>
      </c>
      <c r="B245" s="23">
        <v>45277.232766203706</v>
      </c>
      <c r="C245" s="23">
        <v>45583.500844907408</v>
      </c>
      <c r="D245" s="23" t="str">
        <f>IF(Table1[[#This Row],[Duration of Campaign]]=0, "Ongoing","Completed")</f>
        <v>Completed</v>
      </c>
      <c r="E245" s="25">
        <f>Table1[[#This Row],[End Date]]-Table1[[#This Row],[Start Date]]</f>
        <v>306.26807870370249</v>
      </c>
      <c r="F245" s="8">
        <v>5680</v>
      </c>
      <c r="G245" s="21" t="s">
        <v>19</v>
      </c>
      <c r="H245" s="11">
        <v>18961</v>
      </c>
      <c r="I245" s="11">
        <v>415</v>
      </c>
      <c r="J245" s="11">
        <v>21</v>
      </c>
      <c r="K245" s="13">
        <v>11086</v>
      </c>
      <c r="L245" s="16">
        <f t="shared" si="18"/>
        <v>2.1887031274721799E-2</v>
      </c>
      <c r="M245" s="16">
        <f t="shared" si="19"/>
        <v>5.0602409638554217E-2</v>
      </c>
      <c r="N245" s="17">
        <f t="shared" si="20"/>
        <v>2.8963855421686748</v>
      </c>
      <c r="O245" s="17">
        <f t="shared" si="21"/>
        <v>57.238095238095241</v>
      </c>
      <c r="P245" s="16">
        <f t="shared" si="22"/>
        <v>0.21161971830985915</v>
      </c>
      <c r="Q245" s="16">
        <f t="shared" si="23"/>
        <v>9.222961730449251</v>
      </c>
      <c r="R245" s="2" t="s">
        <v>512</v>
      </c>
      <c r="S245" s="21" t="s">
        <v>16</v>
      </c>
      <c r="T245" s="21" t="s">
        <v>17</v>
      </c>
      <c r="U245" s="8">
        <v>1202</v>
      </c>
      <c r="V245" s="11">
        <v>4</v>
      </c>
      <c r="W245" t="str">
        <f>IF(Table1[[#This Row],[Satisfaction Rating]]&lt;2, "Low", IF(Table1[[#This Row],[Satisfaction Rating]]&lt;4, "Medium", "High"))</f>
        <v>High</v>
      </c>
    </row>
    <row r="246" spans="1:23" ht="13" x14ac:dyDescent="0.15">
      <c r="A246" s="2" t="s">
        <v>513</v>
      </c>
      <c r="B246" s="23">
        <v>45373.385393518518</v>
      </c>
      <c r="C246" s="23">
        <v>45381.820208333331</v>
      </c>
      <c r="D246" s="23" t="str">
        <f>IF(Table1[[#This Row],[Duration of Campaign]]=0, "Ongoing","Completed")</f>
        <v>Completed</v>
      </c>
      <c r="E246" s="25">
        <f>Table1[[#This Row],[End Date]]-Table1[[#This Row],[Start Date]]</f>
        <v>8.434814814812853</v>
      </c>
      <c r="F246" s="8">
        <v>8099</v>
      </c>
      <c r="G246" s="21" t="s">
        <v>37</v>
      </c>
      <c r="H246" s="11">
        <v>15867</v>
      </c>
      <c r="I246" s="11">
        <v>1248</v>
      </c>
      <c r="J246" s="11">
        <v>40</v>
      </c>
      <c r="K246" s="13">
        <v>2154</v>
      </c>
      <c r="L246" s="16">
        <f t="shared" si="18"/>
        <v>7.8653809793911886E-2</v>
      </c>
      <c r="M246" s="16">
        <f t="shared" si="19"/>
        <v>3.2051282051282048E-2</v>
      </c>
      <c r="N246" s="17">
        <f t="shared" si="20"/>
        <v>6.9415064102564106</v>
      </c>
      <c r="O246" s="17">
        <f t="shared" si="21"/>
        <v>216.57499999999999</v>
      </c>
      <c r="P246" s="16">
        <f t="shared" si="22"/>
        <v>1.0696382269415978</v>
      </c>
      <c r="Q246" s="16">
        <f t="shared" si="23"/>
        <v>0.24864365693177884</v>
      </c>
      <c r="R246" s="2" t="s">
        <v>514</v>
      </c>
      <c r="S246" s="21" t="s">
        <v>35</v>
      </c>
      <c r="T246" s="21" t="s">
        <v>45</v>
      </c>
      <c r="U246" s="8">
        <v>8663</v>
      </c>
      <c r="V246" s="11">
        <v>4</v>
      </c>
      <c r="W246" t="str">
        <f>IF(Table1[[#This Row],[Satisfaction Rating]]&lt;2, "Low", IF(Table1[[#This Row],[Satisfaction Rating]]&lt;4, "Medium", "High"))</f>
        <v>High</v>
      </c>
    </row>
    <row r="247" spans="1:23" ht="13" x14ac:dyDescent="0.15">
      <c r="A247" s="2" t="s">
        <v>515</v>
      </c>
      <c r="B247" s="23">
        <v>45182.802453703705</v>
      </c>
      <c r="C247" s="23">
        <v>45488.426215277781</v>
      </c>
      <c r="D247" s="23" t="str">
        <f>IF(Table1[[#This Row],[Duration of Campaign]]=0, "Ongoing","Completed")</f>
        <v>Completed</v>
      </c>
      <c r="E247" s="25">
        <f>Table1[[#This Row],[End Date]]-Table1[[#This Row],[Start Date]]</f>
        <v>305.62376157407562</v>
      </c>
      <c r="F247" s="8">
        <v>3931</v>
      </c>
      <c r="G247" s="21" t="s">
        <v>14</v>
      </c>
      <c r="H247" s="11">
        <v>11530</v>
      </c>
      <c r="I247" s="11">
        <v>515</v>
      </c>
      <c r="J247" s="11">
        <v>193</v>
      </c>
      <c r="K247" s="13">
        <v>11678</v>
      </c>
      <c r="L247" s="16">
        <f t="shared" si="18"/>
        <v>4.4666088464874243E-2</v>
      </c>
      <c r="M247" s="16">
        <f t="shared" si="19"/>
        <v>0.37475728155339805</v>
      </c>
      <c r="N247" s="17">
        <f t="shared" si="20"/>
        <v>10.749514563106796</v>
      </c>
      <c r="O247" s="17">
        <f t="shared" si="21"/>
        <v>28.683937823834196</v>
      </c>
      <c r="P247" s="16">
        <f t="shared" si="22"/>
        <v>1.4082930552022386</v>
      </c>
      <c r="Q247" s="16">
        <f t="shared" si="23"/>
        <v>2.1094653179190752</v>
      </c>
      <c r="R247" s="2" t="s">
        <v>516</v>
      </c>
      <c r="S247" s="21" t="s">
        <v>16</v>
      </c>
      <c r="T247" s="21" t="s">
        <v>17</v>
      </c>
      <c r="U247" s="8">
        <v>5536</v>
      </c>
      <c r="V247" s="11">
        <v>5</v>
      </c>
      <c r="W247" t="str">
        <f>IF(Table1[[#This Row],[Satisfaction Rating]]&lt;2, "Low", IF(Table1[[#This Row],[Satisfaction Rating]]&lt;4, "Medium", "High"))</f>
        <v>High</v>
      </c>
    </row>
    <row r="248" spans="1:23" ht="13" x14ac:dyDescent="0.15">
      <c r="A248" s="2" t="s">
        <v>517</v>
      </c>
      <c r="B248" s="23">
        <v>45264.688888888886</v>
      </c>
      <c r="C248" s="23">
        <v>45264.688888888886</v>
      </c>
      <c r="D248" s="23" t="str">
        <f>IF(Table1[[#This Row],[Duration of Campaign]]=0, "Ongoing","Completed")</f>
        <v>Ongoing</v>
      </c>
      <c r="E248" s="25">
        <f>Table1[[#This Row],[End Date]]-Table1[[#This Row],[Start Date]]</f>
        <v>0</v>
      </c>
      <c r="F248" s="8">
        <v>5615</v>
      </c>
      <c r="G248" s="21" t="s">
        <v>37</v>
      </c>
      <c r="H248" s="11">
        <v>15162</v>
      </c>
      <c r="I248" s="11">
        <v>139</v>
      </c>
      <c r="J248" s="11">
        <v>329</v>
      </c>
      <c r="K248" s="13">
        <v>1107</v>
      </c>
      <c r="L248" s="16">
        <f t="shared" si="18"/>
        <v>9.1676559820604141E-3</v>
      </c>
      <c r="M248" s="16">
        <f t="shared" si="19"/>
        <v>2.3669064748201438</v>
      </c>
      <c r="N248" s="17">
        <f t="shared" si="20"/>
        <v>21.25179856115108</v>
      </c>
      <c r="O248" s="17">
        <f t="shared" si="21"/>
        <v>8.9787234042553195</v>
      </c>
      <c r="P248" s="16">
        <f t="shared" si="22"/>
        <v>0.52609082813891361</v>
      </c>
      <c r="Q248" s="16">
        <f t="shared" si="23"/>
        <v>0.37474610697359512</v>
      </c>
      <c r="R248" s="2" t="s">
        <v>518</v>
      </c>
      <c r="S248" s="21" t="s">
        <v>35</v>
      </c>
      <c r="T248" s="21" t="s">
        <v>27</v>
      </c>
      <c r="U248" s="8">
        <v>2954</v>
      </c>
      <c r="V248" s="11">
        <v>4</v>
      </c>
      <c r="W248" t="str">
        <f>IF(Table1[[#This Row],[Satisfaction Rating]]&lt;2, "Low", IF(Table1[[#This Row],[Satisfaction Rating]]&lt;4, "Medium", "High"))</f>
        <v>High</v>
      </c>
    </row>
    <row r="249" spans="1:23" ht="13" x14ac:dyDescent="0.15">
      <c r="A249" s="2" t="s">
        <v>519</v>
      </c>
      <c r="B249" s="23">
        <v>45250.953564814816</v>
      </c>
      <c r="C249" s="23">
        <v>45250.953564814816</v>
      </c>
      <c r="D249" s="23" t="str">
        <f>IF(Table1[[#This Row],[Duration of Campaign]]=0, "Ongoing","Completed")</f>
        <v>Ongoing</v>
      </c>
      <c r="E249" s="25">
        <f>Table1[[#This Row],[End Date]]-Table1[[#This Row],[Start Date]]</f>
        <v>0</v>
      </c>
      <c r="F249" s="8">
        <v>4270</v>
      </c>
      <c r="G249" s="21" t="s">
        <v>53</v>
      </c>
      <c r="H249" s="11">
        <v>3507</v>
      </c>
      <c r="I249" s="11">
        <v>252</v>
      </c>
      <c r="J249" s="11">
        <v>323</v>
      </c>
      <c r="K249" s="13">
        <v>2895</v>
      </c>
      <c r="L249" s="16">
        <f t="shared" si="18"/>
        <v>7.1856287425149698E-2</v>
      </c>
      <c r="M249" s="16">
        <f t="shared" si="19"/>
        <v>1.2817460317460319</v>
      </c>
      <c r="N249" s="17">
        <f t="shared" si="20"/>
        <v>15.162698412698413</v>
      </c>
      <c r="O249" s="17">
        <f t="shared" si="21"/>
        <v>11.829721362229103</v>
      </c>
      <c r="P249" s="16">
        <f t="shared" si="22"/>
        <v>0.89484777517564407</v>
      </c>
      <c r="Q249" s="16">
        <f t="shared" si="23"/>
        <v>0.75765506411934047</v>
      </c>
      <c r="R249" s="2" t="s">
        <v>520</v>
      </c>
      <c r="S249" s="21" t="s">
        <v>21</v>
      </c>
      <c r="T249" s="21" t="s">
        <v>45</v>
      </c>
      <c r="U249" s="8">
        <v>3821</v>
      </c>
      <c r="V249" s="11">
        <v>1</v>
      </c>
      <c r="W249" t="str">
        <f>IF(Table1[[#This Row],[Satisfaction Rating]]&lt;2, "Low", IF(Table1[[#This Row],[Satisfaction Rating]]&lt;4, "Medium", "High"))</f>
        <v>Low</v>
      </c>
    </row>
    <row r="250" spans="1:23" ht="13" x14ac:dyDescent="0.15">
      <c r="A250" s="2" t="s">
        <v>521</v>
      </c>
      <c r="B250" s="23">
        <v>45630.023831018516</v>
      </c>
      <c r="C250" s="23">
        <v>45630.023831018516</v>
      </c>
      <c r="D250" s="23" t="str">
        <f>IF(Table1[[#This Row],[Duration of Campaign]]=0, "Ongoing","Completed")</f>
        <v>Ongoing</v>
      </c>
      <c r="E250" s="25">
        <f>Table1[[#This Row],[End Date]]-Table1[[#This Row],[Start Date]]</f>
        <v>0</v>
      </c>
      <c r="F250" s="8">
        <v>4891</v>
      </c>
      <c r="G250" s="21" t="s">
        <v>19</v>
      </c>
      <c r="H250" s="11">
        <v>5138</v>
      </c>
      <c r="I250" s="11">
        <v>1746</v>
      </c>
      <c r="J250" s="11">
        <v>289</v>
      </c>
      <c r="K250" s="13">
        <v>11951</v>
      </c>
      <c r="L250" s="16">
        <f t="shared" si="18"/>
        <v>0.3398209420007785</v>
      </c>
      <c r="M250" s="16">
        <f t="shared" si="19"/>
        <v>0.16552119129438717</v>
      </c>
      <c r="N250" s="17">
        <f t="shared" si="20"/>
        <v>11.357388316151203</v>
      </c>
      <c r="O250" s="17">
        <f t="shared" si="21"/>
        <v>68.615916955017298</v>
      </c>
      <c r="P250" s="16">
        <f t="shared" si="22"/>
        <v>4.0543856062154982</v>
      </c>
      <c r="Q250" s="16">
        <f t="shared" si="23"/>
        <v>0.60267271810388301</v>
      </c>
      <c r="R250" s="2" t="s">
        <v>522</v>
      </c>
      <c r="S250" s="21" t="s">
        <v>30</v>
      </c>
      <c r="T250" s="21" t="s">
        <v>27</v>
      </c>
      <c r="U250" s="8">
        <v>19830</v>
      </c>
      <c r="V250" s="11">
        <v>4</v>
      </c>
      <c r="W250" t="str">
        <f>IF(Table1[[#This Row],[Satisfaction Rating]]&lt;2, "Low", IF(Table1[[#This Row],[Satisfaction Rating]]&lt;4, "Medium", "High"))</f>
        <v>High</v>
      </c>
    </row>
    <row r="251" spans="1:23" ht="13" x14ac:dyDescent="0.15">
      <c r="A251" s="2" t="s">
        <v>523</v>
      </c>
      <c r="B251" s="23">
        <v>45578.11173611111</v>
      </c>
      <c r="C251" s="23">
        <v>45578.11173611111</v>
      </c>
      <c r="D251" s="23" t="str">
        <f>IF(Table1[[#This Row],[Duration of Campaign]]=0, "Ongoing","Completed")</f>
        <v>Ongoing</v>
      </c>
      <c r="E251" s="25">
        <f>Table1[[#This Row],[End Date]]-Table1[[#This Row],[Start Date]]</f>
        <v>0</v>
      </c>
      <c r="F251" s="8">
        <v>8338</v>
      </c>
      <c r="G251" s="21" t="s">
        <v>37</v>
      </c>
      <c r="H251" s="11">
        <v>16444</v>
      </c>
      <c r="I251" s="11">
        <v>588</v>
      </c>
      <c r="J251" s="11">
        <v>20</v>
      </c>
      <c r="K251" s="13">
        <v>3686</v>
      </c>
      <c r="L251" s="16">
        <f t="shared" si="18"/>
        <v>3.5757723181707612E-2</v>
      </c>
      <c r="M251" s="16">
        <f t="shared" si="19"/>
        <v>3.4013605442176874E-2</v>
      </c>
      <c r="N251" s="17">
        <f t="shared" si="20"/>
        <v>10.510204081632653</v>
      </c>
      <c r="O251" s="17">
        <f t="shared" si="21"/>
        <v>309</v>
      </c>
      <c r="P251" s="16">
        <f t="shared" si="22"/>
        <v>0.74118493643559602</v>
      </c>
      <c r="Q251" s="16">
        <f t="shared" si="23"/>
        <v>0.59644012944983815</v>
      </c>
      <c r="R251" s="2" t="s">
        <v>524</v>
      </c>
      <c r="S251" s="21" t="s">
        <v>21</v>
      </c>
      <c r="T251" s="21" t="s">
        <v>45</v>
      </c>
      <c r="U251" s="8">
        <v>6180</v>
      </c>
      <c r="V251" s="11">
        <v>2</v>
      </c>
      <c r="W251" t="str">
        <f>IF(Table1[[#This Row],[Satisfaction Rating]]&lt;2, "Low", IF(Table1[[#This Row],[Satisfaction Rating]]&lt;4, "Medium", "High"))</f>
        <v>Medium</v>
      </c>
    </row>
    <row r="252" spans="1:23" ht="13" x14ac:dyDescent="0.15">
      <c r="A252" s="2" t="s">
        <v>525</v>
      </c>
      <c r="B252" s="23">
        <v>45587.784398148149</v>
      </c>
      <c r="C252" s="23">
        <v>45587.784398148149</v>
      </c>
      <c r="D252" s="23" t="str">
        <f>IF(Table1[[#This Row],[Duration of Campaign]]=0, "Ongoing","Completed")</f>
        <v>Ongoing</v>
      </c>
      <c r="E252" s="25">
        <f>Table1[[#This Row],[End Date]]-Table1[[#This Row],[Start Date]]</f>
        <v>0</v>
      </c>
      <c r="F252" s="8">
        <v>1093</v>
      </c>
      <c r="G252" s="21" t="s">
        <v>37</v>
      </c>
      <c r="H252" s="11">
        <v>14933</v>
      </c>
      <c r="I252" s="11">
        <v>1122</v>
      </c>
      <c r="J252" s="11">
        <v>361</v>
      </c>
      <c r="K252" s="13">
        <v>8510</v>
      </c>
      <c r="L252" s="16">
        <f t="shared" si="18"/>
        <v>7.5135605705484498E-2</v>
      </c>
      <c r="M252" s="16">
        <f t="shared" si="19"/>
        <v>0.32174688057041001</v>
      </c>
      <c r="N252" s="17">
        <f t="shared" si="20"/>
        <v>10.541889483065953</v>
      </c>
      <c r="O252" s="17">
        <f t="shared" si="21"/>
        <v>32.764542936288088</v>
      </c>
      <c r="P252" s="16">
        <f t="shared" si="22"/>
        <v>10.821591948764867</v>
      </c>
      <c r="Q252" s="16">
        <f t="shared" si="23"/>
        <v>0.71947920189381132</v>
      </c>
      <c r="R252" s="2" t="s">
        <v>526</v>
      </c>
      <c r="S252" s="21" t="s">
        <v>35</v>
      </c>
      <c r="T252" s="21" t="s">
        <v>45</v>
      </c>
      <c r="U252" s="8">
        <v>11828</v>
      </c>
      <c r="V252" s="11">
        <v>3</v>
      </c>
      <c r="W252" t="str">
        <f>IF(Table1[[#This Row],[Satisfaction Rating]]&lt;2, "Low", IF(Table1[[#This Row],[Satisfaction Rating]]&lt;4, "Medium", "High"))</f>
        <v>Medium</v>
      </c>
    </row>
    <row r="253" spans="1:23" ht="13" x14ac:dyDescent="0.15">
      <c r="A253" s="2" t="s">
        <v>527</v>
      </c>
      <c r="B253" s="23">
        <v>45087.787835648145</v>
      </c>
      <c r="C253" s="23">
        <v>45563.40283564815</v>
      </c>
      <c r="D253" s="23" t="str">
        <f>IF(Table1[[#This Row],[Duration of Campaign]]=0, "Ongoing","Completed")</f>
        <v>Completed</v>
      </c>
      <c r="E253" s="25">
        <f>Table1[[#This Row],[End Date]]-Table1[[#This Row],[Start Date]]</f>
        <v>475.61500000000524</v>
      </c>
      <c r="F253" s="8">
        <v>1081</v>
      </c>
      <c r="G253" s="21" t="s">
        <v>19</v>
      </c>
      <c r="H253" s="11">
        <v>18186</v>
      </c>
      <c r="I253" s="11">
        <v>1355</v>
      </c>
      <c r="J253" s="11">
        <v>366</v>
      </c>
      <c r="K253" s="13">
        <v>12445</v>
      </c>
      <c r="L253" s="16">
        <f t="shared" si="18"/>
        <v>7.4507863191465962E-2</v>
      </c>
      <c r="M253" s="16">
        <f t="shared" si="19"/>
        <v>0.27011070110701108</v>
      </c>
      <c r="N253" s="17">
        <f t="shared" si="20"/>
        <v>11.057564575645756</v>
      </c>
      <c r="O253" s="17">
        <f t="shared" si="21"/>
        <v>40.937158469945352</v>
      </c>
      <c r="P253" s="16">
        <f t="shared" si="22"/>
        <v>13.860314523589269</v>
      </c>
      <c r="Q253" s="16">
        <f t="shared" si="23"/>
        <v>0.83060802242541543</v>
      </c>
      <c r="R253" s="2" t="s">
        <v>528</v>
      </c>
      <c r="S253" s="21" t="s">
        <v>16</v>
      </c>
      <c r="T253" s="21" t="s">
        <v>17</v>
      </c>
      <c r="U253" s="8">
        <v>14983</v>
      </c>
      <c r="V253" s="11">
        <v>1</v>
      </c>
      <c r="W253" t="str">
        <f>IF(Table1[[#This Row],[Satisfaction Rating]]&lt;2, "Low", IF(Table1[[#This Row],[Satisfaction Rating]]&lt;4, "Medium", "High"))</f>
        <v>Low</v>
      </c>
    </row>
    <row r="254" spans="1:23" ht="13" x14ac:dyDescent="0.15">
      <c r="A254" s="2" t="s">
        <v>529</v>
      </c>
      <c r="B254" s="23">
        <v>45238.457314814812</v>
      </c>
      <c r="C254" s="23">
        <v>45285.546412037038</v>
      </c>
      <c r="D254" s="23" t="str">
        <f>IF(Table1[[#This Row],[Duration of Campaign]]=0, "Ongoing","Completed")</f>
        <v>Completed</v>
      </c>
      <c r="E254" s="25">
        <f>Table1[[#This Row],[End Date]]-Table1[[#This Row],[Start Date]]</f>
        <v>47.089097222225973</v>
      </c>
      <c r="F254" s="8">
        <v>6825</v>
      </c>
      <c r="G254" s="21" t="s">
        <v>19</v>
      </c>
      <c r="H254" s="11">
        <v>7785</v>
      </c>
      <c r="I254" s="11">
        <v>1309</v>
      </c>
      <c r="J254" s="11">
        <v>270</v>
      </c>
      <c r="K254" s="13">
        <v>2333</v>
      </c>
      <c r="L254" s="16">
        <f t="shared" si="18"/>
        <v>0.16814386640976237</v>
      </c>
      <c r="M254" s="16">
        <f t="shared" si="19"/>
        <v>0.20626432391138275</v>
      </c>
      <c r="N254" s="17">
        <f t="shared" si="20"/>
        <v>5.909854851031322</v>
      </c>
      <c r="O254" s="17">
        <f t="shared" si="21"/>
        <v>28.651851851851852</v>
      </c>
      <c r="P254" s="16">
        <f t="shared" si="22"/>
        <v>1.1334798534798536</v>
      </c>
      <c r="Q254" s="16">
        <f t="shared" si="23"/>
        <v>0.30157704239917271</v>
      </c>
      <c r="R254" s="2" t="s">
        <v>530</v>
      </c>
      <c r="S254" s="21" t="s">
        <v>21</v>
      </c>
      <c r="T254" s="21" t="s">
        <v>17</v>
      </c>
      <c r="U254" s="8">
        <v>7736</v>
      </c>
      <c r="V254" s="11">
        <v>1</v>
      </c>
      <c r="W254" t="str">
        <f>IF(Table1[[#This Row],[Satisfaction Rating]]&lt;2, "Low", IF(Table1[[#This Row],[Satisfaction Rating]]&lt;4, "Medium", "High"))</f>
        <v>Low</v>
      </c>
    </row>
    <row r="255" spans="1:23" ht="13" x14ac:dyDescent="0.15">
      <c r="A255" s="2" t="s">
        <v>531</v>
      </c>
      <c r="B255" s="23">
        <v>45530.503622685188</v>
      </c>
      <c r="C255" s="23">
        <v>45530.503622685188</v>
      </c>
      <c r="D255" s="23" t="str">
        <f>IF(Table1[[#This Row],[Duration of Campaign]]=0, "Ongoing","Completed")</f>
        <v>Ongoing</v>
      </c>
      <c r="E255" s="25">
        <f>Table1[[#This Row],[End Date]]-Table1[[#This Row],[Start Date]]</f>
        <v>0</v>
      </c>
      <c r="F255" s="8">
        <v>8354</v>
      </c>
      <c r="G255" s="21" t="s">
        <v>53</v>
      </c>
      <c r="H255" s="11">
        <v>5940</v>
      </c>
      <c r="I255" s="11">
        <v>1225</v>
      </c>
      <c r="J255" s="11">
        <v>442</v>
      </c>
      <c r="K255" s="13">
        <v>8918</v>
      </c>
      <c r="L255" s="16">
        <f t="shared" si="18"/>
        <v>0.20622895622895623</v>
      </c>
      <c r="M255" s="16">
        <f t="shared" si="19"/>
        <v>0.36081632653061224</v>
      </c>
      <c r="N255" s="17">
        <f t="shared" si="20"/>
        <v>2.9681632653061225</v>
      </c>
      <c r="O255" s="17">
        <f t="shared" si="21"/>
        <v>8.2262443438914019</v>
      </c>
      <c r="P255" s="16">
        <f t="shared" si="22"/>
        <v>0.43524060330380654</v>
      </c>
      <c r="Q255" s="16">
        <f t="shared" si="23"/>
        <v>2.4526952695269526</v>
      </c>
      <c r="R255" s="2" t="s">
        <v>532</v>
      </c>
      <c r="S255" s="21" t="s">
        <v>30</v>
      </c>
      <c r="T255" s="21" t="s">
        <v>17</v>
      </c>
      <c r="U255" s="8">
        <v>3636</v>
      </c>
      <c r="V255" s="11">
        <v>1</v>
      </c>
      <c r="W255" t="str">
        <f>IF(Table1[[#This Row],[Satisfaction Rating]]&lt;2, "Low", IF(Table1[[#This Row],[Satisfaction Rating]]&lt;4, "Medium", "High"))</f>
        <v>Low</v>
      </c>
    </row>
    <row r="256" spans="1:23" ht="13" x14ac:dyDescent="0.15">
      <c r="A256" s="2" t="s">
        <v>533</v>
      </c>
      <c r="B256" s="23">
        <v>45191.670011574075</v>
      </c>
      <c r="C256" s="23">
        <v>45191.670011574075</v>
      </c>
      <c r="D256" s="23" t="str">
        <f>IF(Table1[[#This Row],[Duration of Campaign]]=0, "Ongoing","Completed")</f>
        <v>Ongoing</v>
      </c>
      <c r="E256" s="25">
        <f>Table1[[#This Row],[End Date]]-Table1[[#This Row],[Start Date]]</f>
        <v>0</v>
      </c>
      <c r="F256" s="8">
        <v>1257</v>
      </c>
      <c r="G256" s="21" t="s">
        <v>19</v>
      </c>
      <c r="H256" s="11">
        <v>6562</v>
      </c>
      <c r="I256" s="11">
        <v>940</v>
      </c>
      <c r="J256" s="11">
        <v>119</v>
      </c>
      <c r="K256" s="13">
        <v>8529</v>
      </c>
      <c r="L256" s="16">
        <f t="shared" si="18"/>
        <v>0.14324900944833893</v>
      </c>
      <c r="M256" s="16">
        <f t="shared" si="19"/>
        <v>0.12659574468085105</v>
      </c>
      <c r="N256" s="17">
        <f t="shared" si="20"/>
        <v>10.514893617021277</v>
      </c>
      <c r="O256" s="17">
        <f t="shared" si="21"/>
        <v>83.058823529411768</v>
      </c>
      <c r="P256" s="16">
        <f t="shared" si="22"/>
        <v>7.8631662688941928</v>
      </c>
      <c r="Q256" s="16">
        <f t="shared" si="23"/>
        <v>0.86290975313638207</v>
      </c>
      <c r="R256" s="2" t="s">
        <v>534</v>
      </c>
      <c r="S256" s="21" t="s">
        <v>30</v>
      </c>
      <c r="T256" s="21" t="s">
        <v>17</v>
      </c>
      <c r="U256" s="8">
        <v>9884</v>
      </c>
      <c r="V256" s="11">
        <v>2</v>
      </c>
      <c r="W256" t="str">
        <f>IF(Table1[[#This Row],[Satisfaction Rating]]&lt;2, "Low", IF(Table1[[#This Row],[Satisfaction Rating]]&lt;4, "Medium", "High"))</f>
        <v>Medium</v>
      </c>
    </row>
    <row r="257" spans="1:23" ht="13" x14ac:dyDescent="0.15">
      <c r="A257" s="2" t="s">
        <v>535</v>
      </c>
      <c r="B257" s="23">
        <v>45401.437731481485</v>
      </c>
      <c r="C257" s="23">
        <v>45401.437731481485</v>
      </c>
      <c r="D257" s="23" t="str">
        <f>IF(Table1[[#This Row],[Duration of Campaign]]=0, "Ongoing","Completed")</f>
        <v>Ongoing</v>
      </c>
      <c r="E257" s="25">
        <f>Table1[[#This Row],[End Date]]-Table1[[#This Row],[Start Date]]</f>
        <v>0</v>
      </c>
      <c r="F257" s="8">
        <v>6173</v>
      </c>
      <c r="G257" s="21" t="s">
        <v>14</v>
      </c>
      <c r="H257" s="11">
        <v>2170</v>
      </c>
      <c r="I257" s="11">
        <v>384</v>
      </c>
      <c r="J257" s="11">
        <v>342</v>
      </c>
      <c r="K257" s="13">
        <v>4580</v>
      </c>
      <c r="L257" s="16">
        <f t="shared" si="18"/>
        <v>0.17695852534562212</v>
      </c>
      <c r="M257" s="16">
        <f t="shared" si="19"/>
        <v>0.890625</v>
      </c>
      <c r="N257" s="17">
        <f t="shared" si="20"/>
        <v>10.372395833333334</v>
      </c>
      <c r="O257" s="17">
        <f t="shared" si="21"/>
        <v>11.646198830409357</v>
      </c>
      <c r="P257" s="16">
        <f t="shared" si="22"/>
        <v>0.64522922404017491</v>
      </c>
      <c r="Q257" s="16">
        <f t="shared" si="23"/>
        <v>1.1498870198342959</v>
      </c>
      <c r="R257" s="2" t="s">
        <v>536</v>
      </c>
      <c r="S257" s="21" t="s">
        <v>16</v>
      </c>
      <c r="T257" s="21" t="s">
        <v>17</v>
      </c>
      <c r="U257" s="8">
        <v>3983</v>
      </c>
      <c r="V257" s="11">
        <v>2</v>
      </c>
      <c r="W257" t="str">
        <f>IF(Table1[[#This Row],[Satisfaction Rating]]&lt;2, "Low", IF(Table1[[#This Row],[Satisfaction Rating]]&lt;4, "Medium", "High"))</f>
        <v>Medium</v>
      </c>
    </row>
    <row r="258" spans="1:23" ht="13" x14ac:dyDescent="0.15">
      <c r="A258" s="2" t="s">
        <v>537</v>
      </c>
      <c r="B258" s="23">
        <v>45390.490011574075</v>
      </c>
      <c r="C258" s="23">
        <v>45390.490011574075</v>
      </c>
      <c r="D258" s="23" t="str">
        <f>IF(Table1[[#This Row],[Duration of Campaign]]=0, "Ongoing","Completed")</f>
        <v>Ongoing</v>
      </c>
      <c r="E258" s="25">
        <f>Table1[[#This Row],[End Date]]-Table1[[#This Row],[Start Date]]</f>
        <v>0</v>
      </c>
      <c r="F258" s="8">
        <v>6972</v>
      </c>
      <c r="G258" s="21" t="s">
        <v>14</v>
      </c>
      <c r="H258" s="11">
        <v>8386</v>
      </c>
      <c r="I258" s="11">
        <v>328</v>
      </c>
      <c r="J258" s="11">
        <v>228</v>
      </c>
      <c r="K258" s="13">
        <v>3123</v>
      </c>
      <c r="L258" s="16">
        <f t="shared" si="18"/>
        <v>3.9112807059384691E-2</v>
      </c>
      <c r="M258" s="16">
        <f t="shared" si="19"/>
        <v>0.69512195121951215</v>
      </c>
      <c r="N258" s="17">
        <f t="shared" si="20"/>
        <v>6.9024390243902438</v>
      </c>
      <c r="O258" s="17">
        <f t="shared" si="21"/>
        <v>9.9298245614035086</v>
      </c>
      <c r="P258" s="16">
        <f t="shared" si="22"/>
        <v>0.32472748135398738</v>
      </c>
      <c r="Q258" s="16">
        <f t="shared" si="23"/>
        <v>1.3794169611307421</v>
      </c>
      <c r="R258" s="2" t="s">
        <v>538</v>
      </c>
      <c r="S258" s="21" t="s">
        <v>35</v>
      </c>
      <c r="T258" s="21" t="s">
        <v>17</v>
      </c>
      <c r="U258" s="8">
        <v>2264</v>
      </c>
      <c r="V258" s="11">
        <v>4</v>
      </c>
      <c r="W258" t="str">
        <f>IF(Table1[[#This Row],[Satisfaction Rating]]&lt;2, "Low", IF(Table1[[#This Row],[Satisfaction Rating]]&lt;4, "Medium", "High"))</f>
        <v>High</v>
      </c>
    </row>
    <row r="259" spans="1:23" ht="13" x14ac:dyDescent="0.15">
      <c r="A259" s="2" t="s">
        <v>539</v>
      </c>
      <c r="B259" s="23">
        <v>45432.1640162037</v>
      </c>
      <c r="C259" s="23">
        <v>45532.588912037034</v>
      </c>
      <c r="D259" s="23" t="str">
        <f>IF(Table1[[#This Row],[Duration of Campaign]]=0, "Ongoing","Completed")</f>
        <v>Completed</v>
      </c>
      <c r="E259" s="25">
        <f>Table1[[#This Row],[End Date]]-Table1[[#This Row],[Start Date]]</f>
        <v>100.42489583333372</v>
      </c>
      <c r="F259" s="8">
        <v>1496</v>
      </c>
      <c r="G259" s="21" t="s">
        <v>53</v>
      </c>
      <c r="H259" s="11">
        <v>17252</v>
      </c>
      <c r="I259" s="11">
        <v>1058</v>
      </c>
      <c r="J259" s="11">
        <v>138</v>
      </c>
      <c r="K259" s="13">
        <v>10848</v>
      </c>
      <c r="L259" s="16">
        <f t="shared" ref="L259:L322" si="24">I259/H259</f>
        <v>6.132622304660329E-2</v>
      </c>
      <c r="M259" s="16">
        <f t="shared" ref="M259:M322" si="25">J259/I259</f>
        <v>0.13043478260869565</v>
      </c>
      <c r="N259" s="17">
        <f t="shared" ref="N259:N322" si="26">U259/I259</f>
        <v>1.6115311909262759</v>
      </c>
      <c r="O259" s="17">
        <f t="shared" ref="O259:O322" si="27">U259/J259</f>
        <v>12.355072463768115</v>
      </c>
      <c r="P259" s="16">
        <f t="shared" ref="P259:P322" si="28">U259/F259</f>
        <v>1.1397058823529411</v>
      </c>
      <c r="Q259" s="16">
        <f t="shared" ref="Q259:Q322" si="29">K259/U259</f>
        <v>6.3624633431085043</v>
      </c>
      <c r="R259" s="2" t="s">
        <v>540</v>
      </c>
      <c r="S259" s="21" t="s">
        <v>24</v>
      </c>
      <c r="T259" s="21" t="s">
        <v>27</v>
      </c>
      <c r="U259" s="8">
        <v>1705</v>
      </c>
      <c r="V259" s="11">
        <v>2</v>
      </c>
      <c r="W259" t="str">
        <f>IF(Table1[[#This Row],[Satisfaction Rating]]&lt;2, "Low", IF(Table1[[#This Row],[Satisfaction Rating]]&lt;4, "Medium", "High"))</f>
        <v>Medium</v>
      </c>
    </row>
    <row r="260" spans="1:23" ht="13" x14ac:dyDescent="0.15">
      <c r="A260" s="2" t="s">
        <v>541</v>
      </c>
      <c r="B260" s="23">
        <v>45463.211875000001</v>
      </c>
      <c r="C260" s="23">
        <v>45463.211875000001</v>
      </c>
      <c r="D260" s="23" t="str">
        <f>IF(Table1[[#This Row],[Duration of Campaign]]=0, "Ongoing","Completed")</f>
        <v>Ongoing</v>
      </c>
      <c r="E260" s="25">
        <f>Table1[[#This Row],[End Date]]-Table1[[#This Row],[Start Date]]</f>
        <v>0</v>
      </c>
      <c r="F260" s="8">
        <v>7221</v>
      </c>
      <c r="G260" s="21" t="s">
        <v>19</v>
      </c>
      <c r="H260" s="11">
        <v>9324</v>
      </c>
      <c r="I260" s="11">
        <v>1349</v>
      </c>
      <c r="J260" s="11">
        <v>395</v>
      </c>
      <c r="K260" s="13">
        <v>1878</v>
      </c>
      <c r="L260" s="16">
        <f t="shared" si="24"/>
        <v>0.14468039468039467</v>
      </c>
      <c r="M260" s="16">
        <f t="shared" si="25"/>
        <v>0.29280948851000743</v>
      </c>
      <c r="N260" s="17">
        <f t="shared" si="26"/>
        <v>9.6189770200148264</v>
      </c>
      <c r="O260" s="17">
        <f t="shared" si="27"/>
        <v>32.850632911392402</v>
      </c>
      <c r="P260" s="16">
        <f t="shared" si="28"/>
        <v>1.7969810275585099</v>
      </c>
      <c r="Q260" s="16">
        <f t="shared" si="29"/>
        <v>0.14472872996300862</v>
      </c>
      <c r="R260" s="2" t="s">
        <v>542</v>
      </c>
      <c r="S260" s="21" t="s">
        <v>16</v>
      </c>
      <c r="T260" s="21" t="s">
        <v>27</v>
      </c>
      <c r="U260" s="8">
        <v>12976</v>
      </c>
      <c r="V260" s="11">
        <v>5</v>
      </c>
      <c r="W260" t="str">
        <f>IF(Table1[[#This Row],[Satisfaction Rating]]&lt;2, "Low", IF(Table1[[#This Row],[Satisfaction Rating]]&lt;4, "Medium", "High"))</f>
        <v>High</v>
      </c>
    </row>
    <row r="261" spans="1:23" ht="13" x14ac:dyDescent="0.15">
      <c r="A261" s="2" t="s">
        <v>543</v>
      </c>
      <c r="B261" s="23">
        <v>45601.042488425926</v>
      </c>
      <c r="C261" s="23">
        <v>45601.042488425926</v>
      </c>
      <c r="D261" s="23" t="str">
        <f>IF(Table1[[#This Row],[Duration of Campaign]]=0, "Ongoing","Completed")</f>
        <v>Ongoing</v>
      </c>
      <c r="E261" s="25">
        <f>Table1[[#This Row],[End Date]]-Table1[[#This Row],[Start Date]]</f>
        <v>0</v>
      </c>
      <c r="F261" s="8">
        <v>1722</v>
      </c>
      <c r="G261" s="21" t="s">
        <v>14</v>
      </c>
      <c r="H261" s="11">
        <v>2105</v>
      </c>
      <c r="I261" s="11">
        <v>1879</v>
      </c>
      <c r="J261" s="11">
        <v>229</v>
      </c>
      <c r="K261" s="13">
        <v>4271</v>
      </c>
      <c r="L261" s="16">
        <f t="shared" si="24"/>
        <v>0.89263657957244658</v>
      </c>
      <c r="M261" s="16">
        <f t="shared" si="25"/>
        <v>0.12187333688131985</v>
      </c>
      <c r="N261" s="17">
        <f t="shared" si="26"/>
        <v>9.0782331027142096</v>
      </c>
      <c r="O261" s="17">
        <f t="shared" si="27"/>
        <v>74.489082969432317</v>
      </c>
      <c r="P261" s="16">
        <f t="shared" si="28"/>
        <v>9.9059233449477357</v>
      </c>
      <c r="Q261" s="16">
        <f t="shared" si="29"/>
        <v>0.25038105287841483</v>
      </c>
      <c r="R261" s="2" t="s">
        <v>544</v>
      </c>
      <c r="S261" s="21" t="s">
        <v>35</v>
      </c>
      <c r="T261" s="21" t="s">
        <v>27</v>
      </c>
      <c r="U261" s="8">
        <v>17058</v>
      </c>
      <c r="V261" s="11">
        <v>5</v>
      </c>
      <c r="W261" t="str">
        <f>IF(Table1[[#This Row],[Satisfaction Rating]]&lt;2, "Low", IF(Table1[[#This Row],[Satisfaction Rating]]&lt;4, "Medium", "High"))</f>
        <v>High</v>
      </c>
    </row>
    <row r="262" spans="1:23" ht="13" x14ac:dyDescent="0.15">
      <c r="A262" s="2" t="s">
        <v>545</v>
      </c>
      <c r="B262" s="23">
        <v>44995.664988425924</v>
      </c>
      <c r="C262" s="23">
        <v>45102.919618055559</v>
      </c>
      <c r="D262" s="23" t="str">
        <f>IF(Table1[[#This Row],[Duration of Campaign]]=0, "Ongoing","Completed")</f>
        <v>Completed</v>
      </c>
      <c r="E262" s="25">
        <f>Table1[[#This Row],[End Date]]-Table1[[#This Row],[Start Date]]</f>
        <v>107.25462962963502</v>
      </c>
      <c r="F262" s="8">
        <v>8499</v>
      </c>
      <c r="G262" s="21" t="s">
        <v>37</v>
      </c>
      <c r="H262" s="11">
        <v>18576</v>
      </c>
      <c r="I262" s="11">
        <v>191</v>
      </c>
      <c r="J262" s="11">
        <v>42</v>
      </c>
      <c r="K262" s="13">
        <v>5256</v>
      </c>
      <c r="L262" s="16">
        <f t="shared" si="24"/>
        <v>1.0282084409991387E-2</v>
      </c>
      <c r="M262" s="16">
        <f t="shared" si="25"/>
        <v>0.21989528795811519</v>
      </c>
      <c r="N262" s="17">
        <f t="shared" si="26"/>
        <v>66.821989528795811</v>
      </c>
      <c r="O262" s="17">
        <f t="shared" si="27"/>
        <v>303.88095238095241</v>
      </c>
      <c r="P262" s="16">
        <f t="shared" si="28"/>
        <v>1.5017060830685962</v>
      </c>
      <c r="Q262" s="16">
        <f t="shared" si="29"/>
        <v>0.41181540390190396</v>
      </c>
      <c r="R262" s="2" t="s">
        <v>546</v>
      </c>
      <c r="S262" s="21" t="s">
        <v>16</v>
      </c>
      <c r="T262" s="21" t="s">
        <v>27</v>
      </c>
      <c r="U262" s="8">
        <v>12763</v>
      </c>
      <c r="V262" s="11">
        <v>2</v>
      </c>
      <c r="W262" t="str">
        <f>IF(Table1[[#This Row],[Satisfaction Rating]]&lt;2, "Low", IF(Table1[[#This Row],[Satisfaction Rating]]&lt;4, "Medium", "High"))</f>
        <v>Medium</v>
      </c>
    </row>
    <row r="263" spans="1:23" ht="13" x14ac:dyDescent="0.15">
      <c r="A263" s="2" t="s">
        <v>547</v>
      </c>
      <c r="B263" s="23">
        <v>45423.648888888885</v>
      </c>
      <c r="C263" s="23">
        <v>45516.817962962959</v>
      </c>
      <c r="D263" s="23" t="str">
        <f>IF(Table1[[#This Row],[Duration of Campaign]]=0, "Ongoing","Completed")</f>
        <v>Completed</v>
      </c>
      <c r="E263" s="25">
        <f>Table1[[#This Row],[End Date]]-Table1[[#This Row],[Start Date]]</f>
        <v>93.16907407407416</v>
      </c>
      <c r="F263" s="8">
        <v>9122</v>
      </c>
      <c r="G263" s="21" t="s">
        <v>19</v>
      </c>
      <c r="H263" s="11">
        <v>9062</v>
      </c>
      <c r="I263" s="11">
        <v>1307</v>
      </c>
      <c r="J263" s="11">
        <v>215</v>
      </c>
      <c r="K263" s="13">
        <v>7368</v>
      </c>
      <c r="L263" s="16">
        <f t="shared" si="24"/>
        <v>0.14422864709777092</v>
      </c>
      <c r="M263" s="16">
        <f t="shared" si="25"/>
        <v>0.16449885233358838</v>
      </c>
      <c r="N263" s="17">
        <f t="shared" si="26"/>
        <v>1.9418515684774291</v>
      </c>
      <c r="O263" s="17">
        <f t="shared" si="27"/>
        <v>11.804651162790698</v>
      </c>
      <c r="P263" s="16">
        <f t="shared" si="28"/>
        <v>0.27822845867134399</v>
      </c>
      <c r="Q263" s="16">
        <f t="shared" si="29"/>
        <v>2.9030732860520096</v>
      </c>
      <c r="R263" s="2" t="s">
        <v>548</v>
      </c>
      <c r="S263" s="21" t="s">
        <v>16</v>
      </c>
      <c r="T263" s="21" t="s">
        <v>45</v>
      </c>
      <c r="U263" s="8">
        <v>2538</v>
      </c>
      <c r="V263" s="11">
        <v>4</v>
      </c>
      <c r="W263" t="str">
        <f>IF(Table1[[#This Row],[Satisfaction Rating]]&lt;2, "Low", IF(Table1[[#This Row],[Satisfaction Rating]]&lt;4, "Medium", "High"))</f>
        <v>High</v>
      </c>
    </row>
    <row r="264" spans="1:23" ht="13" x14ac:dyDescent="0.15">
      <c r="A264" s="2" t="s">
        <v>549</v>
      </c>
      <c r="B264" s="23">
        <v>45431.881585648145</v>
      </c>
      <c r="C264" s="23">
        <v>45614.42050925926</v>
      </c>
      <c r="D264" s="23" t="str">
        <f>IF(Table1[[#This Row],[Duration of Campaign]]=0, "Ongoing","Completed")</f>
        <v>Completed</v>
      </c>
      <c r="E264" s="25">
        <f>Table1[[#This Row],[End Date]]-Table1[[#This Row],[Start Date]]</f>
        <v>182.53892361111502</v>
      </c>
      <c r="F264" s="8">
        <v>7554</v>
      </c>
      <c r="G264" s="21" t="s">
        <v>37</v>
      </c>
      <c r="H264" s="11">
        <v>16919</v>
      </c>
      <c r="I264" s="11">
        <v>187</v>
      </c>
      <c r="J264" s="11">
        <v>334</v>
      </c>
      <c r="K264" s="13">
        <v>2484</v>
      </c>
      <c r="L264" s="16">
        <f t="shared" si="24"/>
        <v>1.1052662686920031E-2</v>
      </c>
      <c r="M264" s="16">
        <f t="shared" si="25"/>
        <v>1.786096256684492</v>
      </c>
      <c r="N264" s="17">
        <f t="shared" si="26"/>
        <v>87.759358288770059</v>
      </c>
      <c r="O264" s="17">
        <f t="shared" si="27"/>
        <v>49.134730538922156</v>
      </c>
      <c r="P264" s="16">
        <f t="shared" si="28"/>
        <v>2.1724913952872651</v>
      </c>
      <c r="Q264" s="16">
        <f t="shared" si="29"/>
        <v>0.15136189141429529</v>
      </c>
      <c r="R264" s="2" t="s">
        <v>550</v>
      </c>
      <c r="S264" s="21" t="s">
        <v>35</v>
      </c>
      <c r="T264" s="21" t="s">
        <v>27</v>
      </c>
      <c r="U264" s="8">
        <v>16411</v>
      </c>
      <c r="V264" s="11">
        <v>2</v>
      </c>
      <c r="W264" t="str">
        <f>IF(Table1[[#This Row],[Satisfaction Rating]]&lt;2, "Low", IF(Table1[[#This Row],[Satisfaction Rating]]&lt;4, "Medium", "High"))</f>
        <v>Medium</v>
      </c>
    </row>
    <row r="265" spans="1:23" ht="13" x14ac:dyDescent="0.15">
      <c r="A265" s="2" t="s">
        <v>551</v>
      </c>
      <c r="B265" s="23">
        <v>45001.5390625</v>
      </c>
      <c r="C265" s="23">
        <v>45109.511990740742</v>
      </c>
      <c r="D265" s="23" t="str">
        <f>IF(Table1[[#This Row],[Duration of Campaign]]=0, "Ongoing","Completed")</f>
        <v>Completed</v>
      </c>
      <c r="E265" s="25">
        <f>Table1[[#This Row],[End Date]]-Table1[[#This Row],[Start Date]]</f>
        <v>107.97292824074248</v>
      </c>
      <c r="F265" s="8">
        <v>6945</v>
      </c>
      <c r="G265" s="21" t="s">
        <v>19</v>
      </c>
      <c r="H265" s="11">
        <v>14996</v>
      </c>
      <c r="I265" s="11">
        <v>1039</v>
      </c>
      <c r="J265" s="11">
        <v>307</v>
      </c>
      <c r="K265" s="13">
        <v>1896</v>
      </c>
      <c r="L265" s="16">
        <f t="shared" si="24"/>
        <v>6.9285142704721261E-2</v>
      </c>
      <c r="M265" s="16">
        <f t="shared" si="25"/>
        <v>0.29547641963426374</v>
      </c>
      <c r="N265" s="17">
        <f t="shared" si="26"/>
        <v>3.8392685274302214</v>
      </c>
      <c r="O265" s="17">
        <f t="shared" si="27"/>
        <v>12.993485342019545</v>
      </c>
      <c r="P265" s="16">
        <f t="shared" si="28"/>
        <v>0.57437005039596833</v>
      </c>
      <c r="Q265" s="16">
        <f t="shared" si="29"/>
        <v>0.47530709450990222</v>
      </c>
      <c r="R265" s="2" t="s">
        <v>552</v>
      </c>
      <c r="S265" s="21" t="s">
        <v>35</v>
      </c>
      <c r="T265" s="21" t="s">
        <v>27</v>
      </c>
      <c r="U265" s="8">
        <v>3989</v>
      </c>
      <c r="V265" s="11">
        <v>3</v>
      </c>
      <c r="W265" t="str">
        <f>IF(Table1[[#This Row],[Satisfaction Rating]]&lt;2, "Low", IF(Table1[[#This Row],[Satisfaction Rating]]&lt;4, "Medium", "High"))</f>
        <v>Medium</v>
      </c>
    </row>
    <row r="266" spans="1:23" ht="13" x14ac:dyDescent="0.15">
      <c r="A266" s="2" t="s">
        <v>553</v>
      </c>
      <c r="B266" s="23">
        <v>45134.388402777775</v>
      </c>
      <c r="C266" s="23">
        <v>45365.97865740741</v>
      </c>
      <c r="D266" s="23" t="str">
        <f>IF(Table1[[#This Row],[Duration of Campaign]]=0, "Ongoing","Completed")</f>
        <v>Completed</v>
      </c>
      <c r="E266" s="25">
        <f>Table1[[#This Row],[End Date]]-Table1[[#This Row],[Start Date]]</f>
        <v>231.59025462963473</v>
      </c>
      <c r="F266" s="8">
        <v>7891</v>
      </c>
      <c r="G266" s="21" t="s">
        <v>19</v>
      </c>
      <c r="H266" s="11">
        <v>16177</v>
      </c>
      <c r="I266" s="11">
        <v>262</v>
      </c>
      <c r="J266" s="11">
        <v>91</v>
      </c>
      <c r="K266" s="13">
        <v>3380</v>
      </c>
      <c r="L266" s="16">
        <f t="shared" si="24"/>
        <v>1.6195833590900661E-2</v>
      </c>
      <c r="M266" s="16">
        <f t="shared" si="25"/>
        <v>0.34732824427480918</v>
      </c>
      <c r="N266" s="17">
        <f t="shared" si="26"/>
        <v>56.702290076335878</v>
      </c>
      <c r="O266" s="17">
        <f t="shared" si="27"/>
        <v>163.25274725274724</v>
      </c>
      <c r="P266" s="16">
        <f t="shared" si="28"/>
        <v>1.8826511215308579</v>
      </c>
      <c r="Q266" s="16">
        <f t="shared" si="29"/>
        <v>0.22751750134625739</v>
      </c>
      <c r="R266" s="2" t="s">
        <v>554</v>
      </c>
      <c r="S266" s="21" t="s">
        <v>21</v>
      </c>
      <c r="T266" s="21" t="s">
        <v>27</v>
      </c>
      <c r="U266" s="8">
        <v>14856</v>
      </c>
      <c r="V266" s="11">
        <v>1</v>
      </c>
      <c r="W266" t="str">
        <f>IF(Table1[[#This Row],[Satisfaction Rating]]&lt;2, "Low", IF(Table1[[#This Row],[Satisfaction Rating]]&lt;4, "Medium", "High"))</f>
        <v>Low</v>
      </c>
    </row>
    <row r="267" spans="1:23" ht="13" x14ac:dyDescent="0.15">
      <c r="A267" s="2" t="s">
        <v>555</v>
      </c>
      <c r="B267" s="23">
        <v>45053.474872685183</v>
      </c>
      <c r="C267" s="23">
        <v>45639.473090277781</v>
      </c>
      <c r="D267" s="23" t="str">
        <f>IF(Table1[[#This Row],[Duration of Campaign]]=0, "Ongoing","Completed")</f>
        <v>Completed</v>
      </c>
      <c r="E267" s="25">
        <f>Table1[[#This Row],[End Date]]-Table1[[#This Row],[Start Date]]</f>
        <v>585.99821759259794</v>
      </c>
      <c r="F267" s="8">
        <v>2719</v>
      </c>
      <c r="G267" s="21" t="s">
        <v>19</v>
      </c>
      <c r="H267" s="11">
        <v>18233</v>
      </c>
      <c r="I267" s="11">
        <v>297</v>
      </c>
      <c r="J267" s="11">
        <v>169</v>
      </c>
      <c r="K267" s="13">
        <v>2119</v>
      </c>
      <c r="L267" s="16">
        <f t="shared" si="24"/>
        <v>1.6289146053858387E-2</v>
      </c>
      <c r="M267" s="16">
        <f t="shared" si="25"/>
        <v>0.56902356902356899</v>
      </c>
      <c r="N267" s="17">
        <f t="shared" si="26"/>
        <v>47.006734006734007</v>
      </c>
      <c r="O267" s="17">
        <f t="shared" si="27"/>
        <v>82.609467455621299</v>
      </c>
      <c r="P267" s="16">
        <f t="shared" si="28"/>
        <v>5.1346083118793677</v>
      </c>
      <c r="Q267" s="16">
        <f t="shared" si="29"/>
        <v>0.15177995845569803</v>
      </c>
      <c r="R267" s="2" t="s">
        <v>556</v>
      </c>
      <c r="S267" s="21" t="s">
        <v>24</v>
      </c>
      <c r="T267" s="21" t="s">
        <v>45</v>
      </c>
      <c r="U267" s="8">
        <v>13961</v>
      </c>
      <c r="V267" s="11">
        <v>4</v>
      </c>
      <c r="W267" t="str">
        <f>IF(Table1[[#This Row],[Satisfaction Rating]]&lt;2, "Low", IF(Table1[[#This Row],[Satisfaction Rating]]&lt;4, "Medium", "High"))</f>
        <v>High</v>
      </c>
    </row>
    <row r="268" spans="1:23" ht="13" x14ac:dyDescent="0.15">
      <c r="A268" s="2" t="s">
        <v>557</v>
      </c>
      <c r="B268" s="23">
        <v>45462.752789351849</v>
      </c>
      <c r="C268" s="23">
        <v>45462.752789351849</v>
      </c>
      <c r="D268" s="23" t="str">
        <f>IF(Table1[[#This Row],[Duration of Campaign]]=0, "Ongoing","Completed")</f>
        <v>Ongoing</v>
      </c>
      <c r="E268" s="25">
        <f>Table1[[#This Row],[End Date]]-Table1[[#This Row],[Start Date]]</f>
        <v>0</v>
      </c>
      <c r="F268" s="8">
        <v>7917</v>
      </c>
      <c r="G268" s="21" t="s">
        <v>14</v>
      </c>
      <c r="H268" s="11">
        <v>13764</v>
      </c>
      <c r="I268" s="11">
        <v>227</v>
      </c>
      <c r="J268" s="11">
        <v>226</v>
      </c>
      <c r="K268" s="13">
        <v>2953</v>
      </c>
      <c r="L268" s="16">
        <f t="shared" si="24"/>
        <v>1.6492298750363267E-2</v>
      </c>
      <c r="M268" s="16">
        <f t="shared" si="25"/>
        <v>0.99559471365638763</v>
      </c>
      <c r="N268" s="17">
        <f t="shared" si="26"/>
        <v>21.828193832599119</v>
      </c>
      <c r="O268" s="17">
        <f t="shared" si="27"/>
        <v>21.924778761061948</v>
      </c>
      <c r="P268" s="16">
        <f t="shared" si="28"/>
        <v>0.62586838448907411</v>
      </c>
      <c r="Q268" s="16">
        <f t="shared" si="29"/>
        <v>0.59596367305751763</v>
      </c>
      <c r="R268" s="2" t="s">
        <v>558</v>
      </c>
      <c r="S268" s="21" t="s">
        <v>21</v>
      </c>
      <c r="T268" s="21" t="s">
        <v>17</v>
      </c>
      <c r="U268" s="8">
        <v>4955</v>
      </c>
      <c r="V268" s="11">
        <v>1</v>
      </c>
      <c r="W268" t="str">
        <f>IF(Table1[[#This Row],[Satisfaction Rating]]&lt;2, "Low", IF(Table1[[#This Row],[Satisfaction Rating]]&lt;4, "Medium", "High"))</f>
        <v>Low</v>
      </c>
    </row>
    <row r="269" spans="1:23" ht="13" x14ac:dyDescent="0.15">
      <c r="A269" s="2" t="s">
        <v>559</v>
      </c>
      <c r="B269" s="23">
        <v>45224.509398148148</v>
      </c>
      <c r="C269" s="23">
        <v>45498.3200462963</v>
      </c>
      <c r="D269" s="23" t="str">
        <f>IF(Table1[[#This Row],[Duration of Campaign]]=0, "Ongoing","Completed")</f>
        <v>Completed</v>
      </c>
      <c r="E269" s="25">
        <f>Table1[[#This Row],[End Date]]-Table1[[#This Row],[Start Date]]</f>
        <v>273.81064814815181</v>
      </c>
      <c r="F269" s="8">
        <v>9775</v>
      </c>
      <c r="G269" s="21" t="s">
        <v>53</v>
      </c>
      <c r="H269" s="11">
        <v>5284</v>
      </c>
      <c r="I269" s="11">
        <v>699</v>
      </c>
      <c r="J269" s="11">
        <v>398</v>
      </c>
      <c r="K269" s="13">
        <v>4793</v>
      </c>
      <c r="L269" s="16">
        <f t="shared" si="24"/>
        <v>0.13228614685844056</v>
      </c>
      <c r="M269" s="16">
        <f t="shared" si="25"/>
        <v>0.56938483547925611</v>
      </c>
      <c r="N269" s="17">
        <f t="shared" si="26"/>
        <v>26.137339055793991</v>
      </c>
      <c r="O269" s="17">
        <f t="shared" si="27"/>
        <v>45.904522613065325</v>
      </c>
      <c r="P269" s="16">
        <f t="shared" si="28"/>
        <v>1.8690537084398977</v>
      </c>
      <c r="Q269" s="16">
        <f t="shared" si="29"/>
        <v>0.26234263820470716</v>
      </c>
      <c r="R269" s="2" t="s">
        <v>560</v>
      </c>
      <c r="S269" s="21" t="s">
        <v>35</v>
      </c>
      <c r="T269" s="21" t="s">
        <v>45</v>
      </c>
      <c r="U269" s="8">
        <v>18270</v>
      </c>
      <c r="V269" s="11">
        <v>5</v>
      </c>
      <c r="W269" t="str">
        <f>IF(Table1[[#This Row],[Satisfaction Rating]]&lt;2, "Low", IF(Table1[[#This Row],[Satisfaction Rating]]&lt;4, "Medium", "High"))</f>
        <v>High</v>
      </c>
    </row>
    <row r="270" spans="1:23" ht="13" x14ac:dyDescent="0.15">
      <c r="A270" s="2" t="s">
        <v>561</v>
      </c>
      <c r="B270" s="23">
        <v>45534.543449074074</v>
      </c>
      <c r="C270" s="23">
        <v>45534.543449074074</v>
      </c>
      <c r="D270" s="23" t="str">
        <f>IF(Table1[[#This Row],[Duration of Campaign]]=0, "Ongoing","Completed")</f>
        <v>Ongoing</v>
      </c>
      <c r="E270" s="25">
        <f>Table1[[#This Row],[End Date]]-Table1[[#This Row],[Start Date]]</f>
        <v>0</v>
      </c>
      <c r="F270" s="8">
        <v>3095</v>
      </c>
      <c r="G270" s="21" t="s">
        <v>53</v>
      </c>
      <c r="H270" s="11">
        <v>2387</v>
      </c>
      <c r="I270" s="11">
        <v>1217</v>
      </c>
      <c r="J270" s="11">
        <v>370</v>
      </c>
      <c r="K270" s="13">
        <v>7205</v>
      </c>
      <c r="L270" s="16">
        <f t="shared" si="24"/>
        <v>0.50984499371596148</v>
      </c>
      <c r="M270" s="16">
        <f t="shared" si="25"/>
        <v>0.30402629416598193</v>
      </c>
      <c r="N270" s="17">
        <f t="shared" si="26"/>
        <v>7.5571076417419887</v>
      </c>
      <c r="O270" s="17">
        <f t="shared" si="27"/>
        <v>24.856756756756756</v>
      </c>
      <c r="P270" s="16">
        <f t="shared" si="28"/>
        <v>2.97156704361874</v>
      </c>
      <c r="Q270" s="16">
        <f t="shared" si="29"/>
        <v>0.78340763292377946</v>
      </c>
      <c r="R270" s="2" t="s">
        <v>562</v>
      </c>
      <c r="S270" s="21" t="s">
        <v>30</v>
      </c>
      <c r="T270" s="21" t="s">
        <v>27</v>
      </c>
      <c r="U270" s="8">
        <v>9197</v>
      </c>
      <c r="V270" s="11">
        <v>3</v>
      </c>
      <c r="W270" t="str">
        <f>IF(Table1[[#This Row],[Satisfaction Rating]]&lt;2, "Low", IF(Table1[[#This Row],[Satisfaction Rating]]&lt;4, "Medium", "High"))</f>
        <v>Medium</v>
      </c>
    </row>
    <row r="271" spans="1:23" ht="13" x14ac:dyDescent="0.15">
      <c r="A271" s="2" t="s">
        <v>563</v>
      </c>
      <c r="B271" s="23">
        <v>45343.738483796296</v>
      </c>
      <c r="C271" s="23">
        <v>45343.738483796296</v>
      </c>
      <c r="D271" s="23" t="str">
        <f>IF(Table1[[#This Row],[Duration of Campaign]]=0, "Ongoing","Completed")</f>
        <v>Ongoing</v>
      </c>
      <c r="E271" s="25">
        <f>Table1[[#This Row],[End Date]]-Table1[[#This Row],[Start Date]]</f>
        <v>0</v>
      </c>
      <c r="F271" s="8">
        <v>6942</v>
      </c>
      <c r="G271" s="21" t="s">
        <v>19</v>
      </c>
      <c r="H271" s="11">
        <v>10965</v>
      </c>
      <c r="I271" s="11">
        <v>1573</v>
      </c>
      <c r="J271" s="11">
        <v>191</v>
      </c>
      <c r="K271" s="13">
        <v>5376</v>
      </c>
      <c r="L271" s="16">
        <f t="shared" si="24"/>
        <v>0.14345645234838122</v>
      </c>
      <c r="M271" s="16">
        <f t="shared" si="25"/>
        <v>0.12142403051493961</v>
      </c>
      <c r="N271" s="17">
        <f t="shared" si="26"/>
        <v>7.2892561983471076</v>
      </c>
      <c r="O271" s="17">
        <f t="shared" si="27"/>
        <v>60.031413612565444</v>
      </c>
      <c r="P271" s="16">
        <f t="shared" si="28"/>
        <v>1.651685393258427</v>
      </c>
      <c r="Q271" s="16">
        <f t="shared" si="29"/>
        <v>0.46886446886446886</v>
      </c>
      <c r="R271" s="2" t="s">
        <v>564</v>
      </c>
      <c r="S271" s="21" t="s">
        <v>30</v>
      </c>
      <c r="T271" s="21" t="s">
        <v>27</v>
      </c>
      <c r="U271" s="8">
        <v>11466</v>
      </c>
      <c r="V271" s="11">
        <v>1</v>
      </c>
      <c r="W271" t="str">
        <f>IF(Table1[[#This Row],[Satisfaction Rating]]&lt;2, "Low", IF(Table1[[#This Row],[Satisfaction Rating]]&lt;4, "Medium", "High"))</f>
        <v>Low</v>
      </c>
    </row>
    <row r="272" spans="1:23" ht="13" x14ac:dyDescent="0.15">
      <c r="A272" s="2" t="s">
        <v>565</v>
      </c>
      <c r="B272" s="23">
        <v>44990.567245370374</v>
      </c>
      <c r="C272" s="23">
        <v>45467.454293981478</v>
      </c>
      <c r="D272" s="23" t="str">
        <f>IF(Table1[[#This Row],[Duration of Campaign]]=0, "Ongoing","Completed")</f>
        <v>Completed</v>
      </c>
      <c r="E272" s="25">
        <f>Table1[[#This Row],[End Date]]-Table1[[#This Row],[Start Date]]</f>
        <v>476.88704861110455</v>
      </c>
      <c r="F272" s="8">
        <v>4155</v>
      </c>
      <c r="G272" s="21" t="s">
        <v>53</v>
      </c>
      <c r="H272" s="11">
        <v>14787</v>
      </c>
      <c r="I272" s="11">
        <v>742</v>
      </c>
      <c r="J272" s="11">
        <v>55</v>
      </c>
      <c r="K272" s="13">
        <v>3205</v>
      </c>
      <c r="L272" s="16">
        <f t="shared" si="24"/>
        <v>5.0179211469534052E-2</v>
      </c>
      <c r="M272" s="16">
        <f t="shared" si="25"/>
        <v>7.4123989218328842E-2</v>
      </c>
      <c r="N272" s="17">
        <f t="shared" si="26"/>
        <v>21.805929919137466</v>
      </c>
      <c r="O272" s="17">
        <f t="shared" si="27"/>
        <v>294.18181818181819</v>
      </c>
      <c r="P272" s="16">
        <f t="shared" si="28"/>
        <v>3.8941034897713598</v>
      </c>
      <c r="Q272" s="16">
        <f t="shared" si="29"/>
        <v>0.19808405438813351</v>
      </c>
      <c r="R272" s="2" t="s">
        <v>566</v>
      </c>
      <c r="S272" s="21" t="s">
        <v>16</v>
      </c>
      <c r="T272" s="21" t="s">
        <v>45</v>
      </c>
      <c r="U272" s="8">
        <v>16180</v>
      </c>
      <c r="V272" s="11">
        <v>1</v>
      </c>
      <c r="W272" t="str">
        <f>IF(Table1[[#This Row],[Satisfaction Rating]]&lt;2, "Low", IF(Table1[[#This Row],[Satisfaction Rating]]&lt;4, "Medium", "High"))</f>
        <v>Low</v>
      </c>
    </row>
    <row r="273" spans="1:23" ht="13" x14ac:dyDescent="0.15">
      <c r="A273" s="2" t="s">
        <v>567</v>
      </c>
      <c r="B273" s="23">
        <v>45362.447372685187</v>
      </c>
      <c r="C273" s="23">
        <v>45362.447372685187</v>
      </c>
      <c r="D273" s="23" t="str">
        <f>IF(Table1[[#This Row],[Duration of Campaign]]=0, "Ongoing","Completed")</f>
        <v>Ongoing</v>
      </c>
      <c r="E273" s="25">
        <f>Table1[[#This Row],[End Date]]-Table1[[#This Row],[Start Date]]</f>
        <v>0</v>
      </c>
      <c r="F273" s="8">
        <v>4255</v>
      </c>
      <c r="G273" s="21" t="s">
        <v>19</v>
      </c>
      <c r="H273" s="11">
        <v>10428</v>
      </c>
      <c r="I273" s="11">
        <v>543</v>
      </c>
      <c r="J273" s="11">
        <v>72</v>
      </c>
      <c r="K273" s="13">
        <v>12231</v>
      </c>
      <c r="L273" s="16">
        <f t="shared" si="24"/>
        <v>5.2071346375143844E-2</v>
      </c>
      <c r="M273" s="16">
        <f t="shared" si="25"/>
        <v>0.13259668508287292</v>
      </c>
      <c r="N273" s="17">
        <f t="shared" si="26"/>
        <v>23.447513812154696</v>
      </c>
      <c r="O273" s="17">
        <f t="shared" si="27"/>
        <v>176.83333333333334</v>
      </c>
      <c r="P273" s="16">
        <f t="shared" si="28"/>
        <v>2.9922444183313748</v>
      </c>
      <c r="Q273" s="16">
        <f t="shared" si="29"/>
        <v>0.96065032987747412</v>
      </c>
      <c r="R273" s="2" t="s">
        <v>568</v>
      </c>
      <c r="S273" s="21" t="s">
        <v>21</v>
      </c>
      <c r="T273" s="21" t="s">
        <v>17</v>
      </c>
      <c r="U273" s="8">
        <v>12732</v>
      </c>
      <c r="V273" s="11">
        <v>5</v>
      </c>
      <c r="W273" t="str">
        <f>IF(Table1[[#This Row],[Satisfaction Rating]]&lt;2, "Low", IF(Table1[[#This Row],[Satisfaction Rating]]&lt;4, "Medium", "High"))</f>
        <v>High</v>
      </c>
    </row>
    <row r="274" spans="1:23" ht="13" x14ac:dyDescent="0.15">
      <c r="A274" s="2" t="s">
        <v>569</v>
      </c>
      <c r="B274" s="23">
        <v>45301.19258101852</v>
      </c>
      <c r="C274" s="23">
        <v>45301.19258101852</v>
      </c>
      <c r="D274" s="23" t="str">
        <f>IF(Table1[[#This Row],[Duration of Campaign]]=0, "Ongoing","Completed")</f>
        <v>Ongoing</v>
      </c>
      <c r="E274" s="25">
        <f>Table1[[#This Row],[End Date]]-Table1[[#This Row],[Start Date]]</f>
        <v>0</v>
      </c>
      <c r="F274" s="8">
        <v>1414</v>
      </c>
      <c r="G274" s="21" t="s">
        <v>37</v>
      </c>
      <c r="H274" s="11">
        <v>11744</v>
      </c>
      <c r="I274" s="11">
        <v>937</v>
      </c>
      <c r="J274" s="11">
        <v>496</v>
      </c>
      <c r="K274" s="13">
        <v>9891</v>
      </c>
      <c r="L274" s="16">
        <f t="shared" si="24"/>
        <v>7.9785422343324253E-2</v>
      </c>
      <c r="M274" s="16">
        <f t="shared" si="25"/>
        <v>0.52934898612593384</v>
      </c>
      <c r="N274" s="17">
        <f t="shared" si="26"/>
        <v>3.3372465314834576</v>
      </c>
      <c r="O274" s="17">
        <f t="shared" si="27"/>
        <v>6.304435483870968</v>
      </c>
      <c r="P274" s="16">
        <f t="shared" si="28"/>
        <v>2.2114568599717113</v>
      </c>
      <c r="Q274" s="16">
        <f t="shared" si="29"/>
        <v>3.1630956188039656</v>
      </c>
      <c r="R274" s="2" t="s">
        <v>570</v>
      </c>
      <c r="S274" s="21" t="s">
        <v>35</v>
      </c>
      <c r="T274" s="21" t="s">
        <v>27</v>
      </c>
      <c r="U274" s="8">
        <v>3127</v>
      </c>
      <c r="V274" s="11">
        <v>4</v>
      </c>
      <c r="W274" t="str">
        <f>IF(Table1[[#This Row],[Satisfaction Rating]]&lt;2, "Low", IF(Table1[[#This Row],[Satisfaction Rating]]&lt;4, "Medium", "High"))</f>
        <v>High</v>
      </c>
    </row>
    <row r="275" spans="1:23" ht="13" x14ac:dyDescent="0.15">
      <c r="A275" s="2" t="s">
        <v>571</v>
      </c>
      <c r="B275" s="23">
        <v>45534.270254629628</v>
      </c>
      <c r="C275" s="23">
        <v>45534.270254629628</v>
      </c>
      <c r="D275" s="23" t="str">
        <f>IF(Table1[[#This Row],[Duration of Campaign]]=0, "Ongoing","Completed")</f>
        <v>Ongoing</v>
      </c>
      <c r="E275" s="25">
        <f>Table1[[#This Row],[End Date]]-Table1[[#This Row],[Start Date]]</f>
        <v>0</v>
      </c>
      <c r="F275" s="8">
        <v>8547</v>
      </c>
      <c r="G275" s="21" t="s">
        <v>14</v>
      </c>
      <c r="H275" s="11">
        <v>3911</v>
      </c>
      <c r="I275" s="11">
        <v>151</v>
      </c>
      <c r="J275" s="11">
        <v>359</v>
      </c>
      <c r="K275" s="13">
        <v>1112</v>
      </c>
      <c r="L275" s="16">
        <f t="shared" si="24"/>
        <v>3.8609051393505497E-2</v>
      </c>
      <c r="M275" s="16">
        <f t="shared" si="25"/>
        <v>2.3774834437086092</v>
      </c>
      <c r="N275" s="17">
        <f t="shared" si="26"/>
        <v>78.258278145695371</v>
      </c>
      <c r="O275" s="17">
        <f t="shared" si="27"/>
        <v>32.916434540389972</v>
      </c>
      <c r="P275" s="16">
        <f t="shared" si="28"/>
        <v>1.3825903825903827</v>
      </c>
      <c r="Q275" s="16">
        <f t="shared" si="29"/>
        <v>9.4101717864094103E-2</v>
      </c>
      <c r="R275" s="2" t="s">
        <v>572</v>
      </c>
      <c r="S275" s="21" t="s">
        <v>24</v>
      </c>
      <c r="T275" s="21" t="s">
        <v>17</v>
      </c>
      <c r="U275" s="8">
        <v>11817</v>
      </c>
      <c r="V275" s="11">
        <v>3</v>
      </c>
      <c r="W275" t="str">
        <f>IF(Table1[[#This Row],[Satisfaction Rating]]&lt;2, "Low", IF(Table1[[#This Row],[Satisfaction Rating]]&lt;4, "Medium", "High"))</f>
        <v>Medium</v>
      </c>
    </row>
    <row r="276" spans="1:23" ht="13" x14ac:dyDescent="0.15">
      <c r="A276" s="2" t="s">
        <v>573</v>
      </c>
      <c r="B276" s="23">
        <v>45637.22996527778</v>
      </c>
      <c r="C276" s="23">
        <v>45637.22996527778</v>
      </c>
      <c r="D276" s="23" t="str">
        <f>IF(Table1[[#This Row],[Duration of Campaign]]=0, "Ongoing","Completed")</f>
        <v>Ongoing</v>
      </c>
      <c r="E276" s="25">
        <f>Table1[[#This Row],[End Date]]-Table1[[#This Row],[Start Date]]</f>
        <v>0</v>
      </c>
      <c r="F276" s="8">
        <v>1097</v>
      </c>
      <c r="G276" s="21" t="s">
        <v>37</v>
      </c>
      <c r="H276" s="11">
        <v>7377</v>
      </c>
      <c r="I276" s="11">
        <v>1932</v>
      </c>
      <c r="J276" s="11">
        <v>464</v>
      </c>
      <c r="K276" s="13">
        <v>4485</v>
      </c>
      <c r="L276" s="16">
        <f t="shared" si="24"/>
        <v>0.26189507930052869</v>
      </c>
      <c r="M276" s="16">
        <f t="shared" si="25"/>
        <v>0.2401656314699793</v>
      </c>
      <c r="N276" s="17">
        <f t="shared" si="26"/>
        <v>8.4052795031055894</v>
      </c>
      <c r="O276" s="17">
        <f t="shared" si="27"/>
        <v>34.997844827586206</v>
      </c>
      <c r="P276" s="16">
        <f t="shared" si="28"/>
        <v>14.803099361896081</v>
      </c>
      <c r="Q276" s="16">
        <f t="shared" si="29"/>
        <v>0.27618695732495846</v>
      </c>
      <c r="R276" s="2" t="s">
        <v>574</v>
      </c>
      <c r="S276" s="21" t="s">
        <v>16</v>
      </c>
      <c r="T276" s="21" t="s">
        <v>27</v>
      </c>
      <c r="U276" s="8">
        <v>16239</v>
      </c>
      <c r="V276" s="11">
        <v>3</v>
      </c>
      <c r="W276" t="str">
        <f>IF(Table1[[#This Row],[Satisfaction Rating]]&lt;2, "Low", IF(Table1[[#This Row],[Satisfaction Rating]]&lt;4, "Medium", "High"))</f>
        <v>Medium</v>
      </c>
    </row>
    <row r="277" spans="1:23" ht="13" x14ac:dyDescent="0.15">
      <c r="A277" s="2" t="s">
        <v>575</v>
      </c>
      <c r="B277" s="23">
        <v>45550.571585648147</v>
      </c>
      <c r="C277" s="23">
        <v>45621.690451388888</v>
      </c>
      <c r="D277" s="23" t="str">
        <f>IF(Table1[[#This Row],[Duration of Campaign]]=0, "Ongoing","Completed")</f>
        <v>Completed</v>
      </c>
      <c r="E277" s="25">
        <f>Table1[[#This Row],[End Date]]-Table1[[#This Row],[Start Date]]</f>
        <v>71.118865740740148</v>
      </c>
      <c r="F277" s="8">
        <v>7702</v>
      </c>
      <c r="G277" s="21" t="s">
        <v>37</v>
      </c>
      <c r="H277" s="11">
        <v>4141</v>
      </c>
      <c r="I277" s="11">
        <v>1328</v>
      </c>
      <c r="J277" s="11">
        <v>367</v>
      </c>
      <c r="K277" s="13">
        <v>8997</v>
      </c>
      <c r="L277" s="16">
        <f t="shared" si="24"/>
        <v>0.32069548418256461</v>
      </c>
      <c r="M277" s="16">
        <f t="shared" si="25"/>
        <v>0.27635542168674698</v>
      </c>
      <c r="N277" s="17">
        <f t="shared" si="26"/>
        <v>1.0956325301204819</v>
      </c>
      <c r="O277" s="17">
        <f t="shared" si="27"/>
        <v>3.9645776566757491</v>
      </c>
      <c r="P277" s="16">
        <f t="shared" si="28"/>
        <v>0.18891197091664502</v>
      </c>
      <c r="Q277" s="16">
        <f t="shared" si="29"/>
        <v>6.1835051546391755</v>
      </c>
      <c r="R277" s="2" t="s">
        <v>576</v>
      </c>
      <c r="S277" s="21" t="s">
        <v>16</v>
      </c>
      <c r="T277" s="21" t="s">
        <v>27</v>
      </c>
      <c r="U277" s="8">
        <v>1455</v>
      </c>
      <c r="V277" s="11">
        <v>1</v>
      </c>
      <c r="W277" t="str">
        <f>IF(Table1[[#This Row],[Satisfaction Rating]]&lt;2, "Low", IF(Table1[[#This Row],[Satisfaction Rating]]&lt;4, "Medium", "High"))</f>
        <v>Low</v>
      </c>
    </row>
    <row r="278" spans="1:23" ht="13" x14ac:dyDescent="0.15">
      <c r="A278" s="2" t="s">
        <v>577</v>
      </c>
      <c r="B278" s="23">
        <v>45431.744259259256</v>
      </c>
      <c r="C278" s="23">
        <v>45431.744259259256</v>
      </c>
      <c r="D278" s="23" t="str">
        <f>IF(Table1[[#This Row],[Duration of Campaign]]=0, "Ongoing","Completed")</f>
        <v>Ongoing</v>
      </c>
      <c r="E278" s="25">
        <f>Table1[[#This Row],[End Date]]-Table1[[#This Row],[Start Date]]</f>
        <v>0</v>
      </c>
      <c r="F278" s="8">
        <v>1632</v>
      </c>
      <c r="G278" s="21" t="s">
        <v>53</v>
      </c>
      <c r="H278" s="11">
        <v>11408</v>
      </c>
      <c r="I278" s="11">
        <v>457</v>
      </c>
      <c r="J278" s="11">
        <v>11</v>
      </c>
      <c r="K278" s="13">
        <v>2280</v>
      </c>
      <c r="L278" s="16">
        <f t="shared" si="24"/>
        <v>4.005960729312763E-2</v>
      </c>
      <c r="M278" s="16">
        <f t="shared" si="25"/>
        <v>2.4070021881838075E-2</v>
      </c>
      <c r="N278" s="17">
        <f t="shared" si="26"/>
        <v>36.433260393873084</v>
      </c>
      <c r="O278" s="17">
        <f t="shared" si="27"/>
        <v>1513.6363636363637</v>
      </c>
      <c r="P278" s="16">
        <f t="shared" si="28"/>
        <v>10.202205882352942</v>
      </c>
      <c r="Q278" s="16">
        <f t="shared" si="29"/>
        <v>0.13693693693693693</v>
      </c>
      <c r="R278" s="2" t="s">
        <v>578</v>
      </c>
      <c r="S278" s="21" t="s">
        <v>30</v>
      </c>
      <c r="T278" s="21" t="s">
        <v>45</v>
      </c>
      <c r="U278" s="8">
        <v>16650</v>
      </c>
      <c r="V278" s="11">
        <v>4</v>
      </c>
      <c r="W278" t="str">
        <f>IF(Table1[[#This Row],[Satisfaction Rating]]&lt;2, "Low", IF(Table1[[#This Row],[Satisfaction Rating]]&lt;4, "Medium", "High"))</f>
        <v>High</v>
      </c>
    </row>
    <row r="279" spans="1:23" ht="13" x14ac:dyDescent="0.15">
      <c r="A279" s="2" t="s">
        <v>579</v>
      </c>
      <c r="B279" s="23">
        <v>45375.751354166663</v>
      </c>
      <c r="C279" s="23">
        <v>45375.751354166663</v>
      </c>
      <c r="D279" s="23" t="str">
        <f>IF(Table1[[#This Row],[Duration of Campaign]]=0, "Ongoing","Completed")</f>
        <v>Ongoing</v>
      </c>
      <c r="E279" s="25">
        <f>Table1[[#This Row],[End Date]]-Table1[[#This Row],[Start Date]]</f>
        <v>0</v>
      </c>
      <c r="F279" s="8">
        <v>7200</v>
      </c>
      <c r="G279" s="21" t="s">
        <v>19</v>
      </c>
      <c r="H279" s="11">
        <v>5783</v>
      </c>
      <c r="I279" s="11">
        <v>1265</v>
      </c>
      <c r="J279" s="11">
        <v>384</v>
      </c>
      <c r="K279" s="13">
        <v>7081</v>
      </c>
      <c r="L279" s="16">
        <f t="shared" si="24"/>
        <v>0.21874459623033027</v>
      </c>
      <c r="M279" s="16">
        <f t="shared" si="25"/>
        <v>0.30355731225296445</v>
      </c>
      <c r="N279" s="17">
        <f t="shared" si="26"/>
        <v>4.0766798418972332</v>
      </c>
      <c r="O279" s="17">
        <f t="shared" si="27"/>
        <v>13.4296875</v>
      </c>
      <c r="P279" s="16">
        <f t="shared" si="28"/>
        <v>0.71625000000000005</v>
      </c>
      <c r="Q279" s="16">
        <f t="shared" si="29"/>
        <v>1.3730851270118285</v>
      </c>
      <c r="R279" s="2" t="s">
        <v>580</v>
      </c>
      <c r="S279" s="21" t="s">
        <v>21</v>
      </c>
      <c r="T279" s="21" t="s">
        <v>17</v>
      </c>
      <c r="U279" s="8">
        <v>5157</v>
      </c>
      <c r="V279" s="11">
        <v>3</v>
      </c>
      <c r="W279" t="str">
        <f>IF(Table1[[#This Row],[Satisfaction Rating]]&lt;2, "Low", IF(Table1[[#This Row],[Satisfaction Rating]]&lt;4, "Medium", "High"))</f>
        <v>Medium</v>
      </c>
    </row>
    <row r="280" spans="1:23" ht="13" x14ac:dyDescent="0.15">
      <c r="A280" s="2" t="s">
        <v>581</v>
      </c>
      <c r="B280" s="23">
        <v>45492.248148148145</v>
      </c>
      <c r="C280" s="23">
        <v>45492.248148148145</v>
      </c>
      <c r="D280" s="23" t="str">
        <f>IF(Table1[[#This Row],[Duration of Campaign]]=0, "Ongoing","Completed")</f>
        <v>Ongoing</v>
      </c>
      <c r="E280" s="25">
        <f>Table1[[#This Row],[End Date]]-Table1[[#This Row],[Start Date]]</f>
        <v>0</v>
      </c>
      <c r="F280" s="8">
        <v>3550</v>
      </c>
      <c r="G280" s="21" t="s">
        <v>53</v>
      </c>
      <c r="H280" s="11">
        <v>13305</v>
      </c>
      <c r="I280" s="11">
        <v>357</v>
      </c>
      <c r="J280" s="11">
        <v>500</v>
      </c>
      <c r="K280" s="13">
        <v>5492</v>
      </c>
      <c r="L280" s="16">
        <f t="shared" si="24"/>
        <v>2.6832018038331455E-2</v>
      </c>
      <c r="M280" s="16">
        <f t="shared" si="25"/>
        <v>1.4005602240896358</v>
      </c>
      <c r="N280" s="17">
        <f t="shared" si="26"/>
        <v>47.53221288515406</v>
      </c>
      <c r="O280" s="17">
        <f t="shared" si="27"/>
        <v>33.938000000000002</v>
      </c>
      <c r="P280" s="16">
        <f t="shared" si="28"/>
        <v>4.78</v>
      </c>
      <c r="Q280" s="16">
        <f t="shared" si="29"/>
        <v>0.32364900701278804</v>
      </c>
      <c r="R280" s="2" t="s">
        <v>582</v>
      </c>
      <c r="S280" s="21" t="s">
        <v>30</v>
      </c>
      <c r="T280" s="21" t="s">
        <v>27</v>
      </c>
      <c r="U280" s="8">
        <v>16969</v>
      </c>
      <c r="V280" s="11">
        <v>5</v>
      </c>
      <c r="W280" t="str">
        <f>IF(Table1[[#This Row],[Satisfaction Rating]]&lt;2, "Low", IF(Table1[[#This Row],[Satisfaction Rating]]&lt;4, "Medium", "High"))</f>
        <v>High</v>
      </c>
    </row>
    <row r="281" spans="1:23" ht="13" x14ac:dyDescent="0.15">
      <c r="A281" s="2" t="s">
        <v>583</v>
      </c>
      <c r="B281" s="23">
        <v>45462.029097222221</v>
      </c>
      <c r="C281" s="23">
        <v>45506.458761574075</v>
      </c>
      <c r="D281" s="23" t="str">
        <f>IF(Table1[[#This Row],[Duration of Campaign]]=0, "Ongoing","Completed")</f>
        <v>Completed</v>
      </c>
      <c r="E281" s="25">
        <f>Table1[[#This Row],[End Date]]-Table1[[#This Row],[Start Date]]</f>
        <v>44.429664351853717</v>
      </c>
      <c r="F281" s="8">
        <v>2276</v>
      </c>
      <c r="G281" s="21" t="s">
        <v>19</v>
      </c>
      <c r="H281" s="11">
        <v>13060</v>
      </c>
      <c r="I281" s="11">
        <v>1875</v>
      </c>
      <c r="J281" s="11">
        <v>38</v>
      </c>
      <c r="K281" s="13">
        <v>5733</v>
      </c>
      <c r="L281" s="16">
        <f t="shared" si="24"/>
        <v>0.14356814701378254</v>
      </c>
      <c r="M281" s="16">
        <f t="shared" si="25"/>
        <v>2.0266666666666665E-2</v>
      </c>
      <c r="N281" s="17">
        <f t="shared" si="26"/>
        <v>10.490133333333333</v>
      </c>
      <c r="O281" s="17">
        <f t="shared" si="27"/>
        <v>517.60526315789468</v>
      </c>
      <c r="P281" s="16">
        <f t="shared" si="28"/>
        <v>8.6419156414762739</v>
      </c>
      <c r="Q281" s="16">
        <f t="shared" si="29"/>
        <v>0.29147389292795772</v>
      </c>
      <c r="R281" s="2" t="s">
        <v>584</v>
      </c>
      <c r="S281" s="21" t="s">
        <v>30</v>
      </c>
      <c r="T281" s="21" t="s">
        <v>17</v>
      </c>
      <c r="U281" s="8">
        <v>19669</v>
      </c>
      <c r="V281" s="11">
        <v>5</v>
      </c>
      <c r="W281" t="str">
        <f>IF(Table1[[#This Row],[Satisfaction Rating]]&lt;2, "Low", IF(Table1[[#This Row],[Satisfaction Rating]]&lt;4, "Medium", "High"))</f>
        <v>High</v>
      </c>
    </row>
    <row r="282" spans="1:23" ht="13" x14ac:dyDescent="0.15">
      <c r="A282" s="2" t="s">
        <v>585</v>
      </c>
      <c r="B282" s="23">
        <v>45184.652974537035</v>
      </c>
      <c r="C282" s="23">
        <v>45184.652974537035</v>
      </c>
      <c r="D282" s="23" t="str">
        <f>IF(Table1[[#This Row],[Duration of Campaign]]=0, "Ongoing","Completed")</f>
        <v>Ongoing</v>
      </c>
      <c r="E282" s="25">
        <f>Table1[[#This Row],[End Date]]-Table1[[#This Row],[Start Date]]</f>
        <v>0</v>
      </c>
      <c r="F282" s="8">
        <v>4650</v>
      </c>
      <c r="G282" s="21" t="s">
        <v>14</v>
      </c>
      <c r="H282" s="11">
        <v>7526</v>
      </c>
      <c r="I282" s="11">
        <v>1390</v>
      </c>
      <c r="J282" s="11">
        <v>383</v>
      </c>
      <c r="K282" s="13">
        <v>7772</v>
      </c>
      <c r="L282" s="16">
        <f t="shared" si="24"/>
        <v>0.18469306404464522</v>
      </c>
      <c r="M282" s="16">
        <f t="shared" si="25"/>
        <v>0.27553956834532373</v>
      </c>
      <c r="N282" s="17">
        <f t="shared" si="26"/>
        <v>11.564748201438849</v>
      </c>
      <c r="O282" s="17">
        <f t="shared" si="27"/>
        <v>41.971279373368148</v>
      </c>
      <c r="P282" s="16">
        <f t="shared" si="28"/>
        <v>3.456989247311828</v>
      </c>
      <c r="Q282" s="16">
        <f t="shared" si="29"/>
        <v>0.48348367029548989</v>
      </c>
      <c r="R282" s="2" t="s">
        <v>586</v>
      </c>
      <c r="S282" s="21" t="s">
        <v>21</v>
      </c>
      <c r="T282" s="21" t="s">
        <v>45</v>
      </c>
      <c r="U282" s="8">
        <v>16075</v>
      </c>
      <c r="V282" s="11">
        <v>1</v>
      </c>
      <c r="W282" t="str">
        <f>IF(Table1[[#This Row],[Satisfaction Rating]]&lt;2, "Low", IF(Table1[[#This Row],[Satisfaction Rating]]&lt;4, "Medium", "High"))</f>
        <v>Low</v>
      </c>
    </row>
    <row r="283" spans="1:23" ht="13" x14ac:dyDescent="0.15">
      <c r="A283" s="2" t="s">
        <v>587</v>
      </c>
      <c r="B283" s="23">
        <v>44928.989421296297</v>
      </c>
      <c r="C283" s="23">
        <v>45427.811909722222</v>
      </c>
      <c r="D283" s="23" t="str">
        <f>IF(Table1[[#This Row],[Duration of Campaign]]=0, "Ongoing","Completed")</f>
        <v>Completed</v>
      </c>
      <c r="E283" s="25">
        <f>Table1[[#This Row],[End Date]]-Table1[[#This Row],[Start Date]]</f>
        <v>498.82248842592526</v>
      </c>
      <c r="F283" s="8">
        <v>3111</v>
      </c>
      <c r="G283" s="21" t="s">
        <v>19</v>
      </c>
      <c r="H283" s="11">
        <v>15446</v>
      </c>
      <c r="I283" s="11">
        <v>1388</v>
      </c>
      <c r="J283" s="11">
        <v>157</v>
      </c>
      <c r="K283" s="13">
        <v>7498</v>
      </c>
      <c r="L283" s="16">
        <f t="shared" si="24"/>
        <v>8.986145280331477E-2</v>
      </c>
      <c r="M283" s="16">
        <f t="shared" si="25"/>
        <v>0.11311239193083573</v>
      </c>
      <c r="N283" s="17">
        <f t="shared" si="26"/>
        <v>2.6354466858789625</v>
      </c>
      <c r="O283" s="17">
        <f t="shared" si="27"/>
        <v>23.29936305732484</v>
      </c>
      <c r="P283" s="16">
        <f t="shared" si="28"/>
        <v>1.1758277081324333</v>
      </c>
      <c r="Q283" s="16">
        <f t="shared" si="29"/>
        <v>2.0497539639147075</v>
      </c>
      <c r="R283" s="2" t="s">
        <v>588</v>
      </c>
      <c r="S283" s="21" t="s">
        <v>35</v>
      </c>
      <c r="T283" s="21" t="s">
        <v>45</v>
      </c>
      <c r="U283" s="8">
        <v>3658</v>
      </c>
      <c r="V283" s="11">
        <v>1</v>
      </c>
      <c r="W283" t="str">
        <f>IF(Table1[[#This Row],[Satisfaction Rating]]&lt;2, "Low", IF(Table1[[#This Row],[Satisfaction Rating]]&lt;4, "Medium", "High"))</f>
        <v>Low</v>
      </c>
    </row>
    <row r="284" spans="1:23" ht="13" x14ac:dyDescent="0.15">
      <c r="A284" s="2" t="s">
        <v>589</v>
      </c>
      <c r="B284" s="23">
        <v>45268.239305555559</v>
      </c>
      <c r="C284" s="23">
        <v>45268.239305555559</v>
      </c>
      <c r="D284" s="23" t="str">
        <f>IF(Table1[[#This Row],[Duration of Campaign]]=0, "Ongoing","Completed")</f>
        <v>Ongoing</v>
      </c>
      <c r="E284" s="25">
        <f>Table1[[#This Row],[End Date]]-Table1[[#This Row],[Start Date]]</f>
        <v>0</v>
      </c>
      <c r="F284" s="8">
        <v>3853</v>
      </c>
      <c r="G284" s="21" t="s">
        <v>53</v>
      </c>
      <c r="H284" s="11">
        <v>17708</v>
      </c>
      <c r="I284" s="11">
        <v>779</v>
      </c>
      <c r="J284" s="11">
        <v>129</v>
      </c>
      <c r="K284" s="13">
        <v>5500</v>
      </c>
      <c r="L284" s="16">
        <f t="shared" si="24"/>
        <v>4.3991416309012876E-2</v>
      </c>
      <c r="M284" s="16">
        <f t="shared" si="25"/>
        <v>0.16559691912708602</v>
      </c>
      <c r="N284" s="17">
        <f t="shared" si="26"/>
        <v>3.7509627727856225</v>
      </c>
      <c r="O284" s="17">
        <f t="shared" si="27"/>
        <v>22.651162790697676</v>
      </c>
      <c r="P284" s="16">
        <f t="shared" si="28"/>
        <v>0.75837010121982873</v>
      </c>
      <c r="Q284" s="16">
        <f t="shared" si="29"/>
        <v>1.8822724161533197</v>
      </c>
      <c r="R284" s="2" t="s">
        <v>590</v>
      </c>
      <c r="S284" s="21" t="s">
        <v>35</v>
      </c>
      <c r="T284" s="21" t="s">
        <v>45</v>
      </c>
      <c r="U284" s="8">
        <v>2922</v>
      </c>
      <c r="V284" s="11">
        <v>5</v>
      </c>
      <c r="W284" t="str">
        <f>IF(Table1[[#This Row],[Satisfaction Rating]]&lt;2, "Low", IF(Table1[[#This Row],[Satisfaction Rating]]&lt;4, "Medium", "High"))</f>
        <v>High</v>
      </c>
    </row>
    <row r="285" spans="1:23" ht="13" x14ac:dyDescent="0.15">
      <c r="A285" s="2" t="s">
        <v>591</v>
      </c>
      <c r="B285" s="23">
        <v>45102.818171296298</v>
      </c>
      <c r="C285" s="23">
        <v>45102.818171296298</v>
      </c>
      <c r="D285" s="23" t="str">
        <f>IF(Table1[[#This Row],[Duration of Campaign]]=0, "Ongoing","Completed")</f>
        <v>Ongoing</v>
      </c>
      <c r="E285" s="25">
        <f>Table1[[#This Row],[End Date]]-Table1[[#This Row],[Start Date]]</f>
        <v>0</v>
      </c>
      <c r="F285" s="8">
        <v>1709</v>
      </c>
      <c r="G285" s="21" t="s">
        <v>53</v>
      </c>
      <c r="H285" s="11">
        <v>15308</v>
      </c>
      <c r="I285" s="11">
        <v>1428</v>
      </c>
      <c r="J285" s="11">
        <v>343</v>
      </c>
      <c r="K285" s="13">
        <v>6270</v>
      </c>
      <c r="L285" s="16">
        <f t="shared" si="24"/>
        <v>9.3284557094329756E-2</v>
      </c>
      <c r="M285" s="16">
        <f t="shared" si="25"/>
        <v>0.24019607843137256</v>
      </c>
      <c r="N285" s="17">
        <f t="shared" si="26"/>
        <v>8.75</v>
      </c>
      <c r="O285" s="17">
        <f t="shared" si="27"/>
        <v>36.428571428571431</v>
      </c>
      <c r="P285" s="16">
        <f t="shared" si="28"/>
        <v>7.3112931538911647</v>
      </c>
      <c r="Q285" s="16">
        <f t="shared" si="29"/>
        <v>0.50180072028811529</v>
      </c>
      <c r="R285" s="2" t="s">
        <v>592</v>
      </c>
      <c r="S285" s="21" t="s">
        <v>35</v>
      </c>
      <c r="T285" s="21" t="s">
        <v>27</v>
      </c>
      <c r="U285" s="8">
        <v>12495</v>
      </c>
      <c r="V285" s="11">
        <v>4</v>
      </c>
      <c r="W285" t="str">
        <f>IF(Table1[[#This Row],[Satisfaction Rating]]&lt;2, "Low", IF(Table1[[#This Row],[Satisfaction Rating]]&lt;4, "Medium", "High"))</f>
        <v>High</v>
      </c>
    </row>
    <row r="286" spans="1:23" ht="13" x14ac:dyDescent="0.15">
      <c r="A286" s="2" t="s">
        <v>593</v>
      </c>
      <c r="B286" s="23">
        <v>45182.702800925923</v>
      </c>
      <c r="C286" s="23">
        <v>45233.167974537035</v>
      </c>
      <c r="D286" s="23" t="str">
        <f>IF(Table1[[#This Row],[Duration of Campaign]]=0, "Ongoing","Completed")</f>
        <v>Completed</v>
      </c>
      <c r="E286" s="25">
        <f>Table1[[#This Row],[End Date]]-Table1[[#This Row],[Start Date]]</f>
        <v>50.465173611111823</v>
      </c>
      <c r="F286" s="8">
        <v>4767</v>
      </c>
      <c r="G286" s="21" t="s">
        <v>37</v>
      </c>
      <c r="H286" s="11">
        <v>18197</v>
      </c>
      <c r="I286" s="11">
        <v>123</v>
      </c>
      <c r="J286" s="11">
        <v>137</v>
      </c>
      <c r="K286" s="13">
        <v>14707</v>
      </c>
      <c r="L286" s="16">
        <f t="shared" si="24"/>
        <v>6.7593559377919438E-3</v>
      </c>
      <c r="M286" s="16">
        <f t="shared" si="25"/>
        <v>1.1138211382113821</v>
      </c>
      <c r="N286" s="17">
        <f t="shared" si="26"/>
        <v>10.16260162601626</v>
      </c>
      <c r="O286" s="17">
        <f t="shared" si="27"/>
        <v>9.1240875912408761</v>
      </c>
      <c r="P286" s="16">
        <f t="shared" si="28"/>
        <v>0.26221942521501995</v>
      </c>
      <c r="Q286" s="16">
        <f t="shared" si="29"/>
        <v>11.765599999999999</v>
      </c>
      <c r="R286" s="2" t="s">
        <v>594</v>
      </c>
      <c r="S286" s="21" t="s">
        <v>21</v>
      </c>
      <c r="T286" s="21" t="s">
        <v>45</v>
      </c>
      <c r="U286" s="8">
        <v>1250</v>
      </c>
      <c r="V286" s="11">
        <v>1</v>
      </c>
      <c r="W286" t="str">
        <f>IF(Table1[[#This Row],[Satisfaction Rating]]&lt;2, "Low", IF(Table1[[#This Row],[Satisfaction Rating]]&lt;4, "Medium", "High"))</f>
        <v>Low</v>
      </c>
    </row>
    <row r="287" spans="1:23" ht="13" x14ac:dyDescent="0.15">
      <c r="A287" s="2" t="s">
        <v>595</v>
      </c>
      <c r="B287" s="23">
        <v>45501.840057870373</v>
      </c>
      <c r="C287" s="23">
        <v>45602.314421296294</v>
      </c>
      <c r="D287" s="23" t="str">
        <f>IF(Table1[[#This Row],[Duration of Campaign]]=0, "Ongoing","Completed")</f>
        <v>Completed</v>
      </c>
      <c r="E287" s="25">
        <f>Table1[[#This Row],[End Date]]-Table1[[#This Row],[Start Date]]</f>
        <v>100.47436342592118</v>
      </c>
      <c r="F287" s="8">
        <v>3903</v>
      </c>
      <c r="G287" s="21" t="s">
        <v>53</v>
      </c>
      <c r="H287" s="11">
        <v>17497</v>
      </c>
      <c r="I287" s="11">
        <v>1626</v>
      </c>
      <c r="J287" s="11">
        <v>461</v>
      </c>
      <c r="K287" s="13">
        <v>13919</v>
      </c>
      <c r="L287" s="16">
        <f t="shared" si="24"/>
        <v>9.2930216608561461E-2</v>
      </c>
      <c r="M287" s="16">
        <f t="shared" si="25"/>
        <v>0.28351783517835177</v>
      </c>
      <c r="N287" s="17">
        <f t="shared" si="26"/>
        <v>2.4114391143911438</v>
      </c>
      <c r="O287" s="17">
        <f t="shared" si="27"/>
        <v>8.5054229934924077</v>
      </c>
      <c r="P287" s="16">
        <f t="shared" si="28"/>
        <v>1.0046118370484243</v>
      </c>
      <c r="Q287" s="16">
        <f t="shared" si="29"/>
        <v>3.5498597296608008</v>
      </c>
      <c r="R287" s="2" t="s">
        <v>596</v>
      </c>
      <c r="S287" s="21" t="s">
        <v>16</v>
      </c>
      <c r="T287" s="21" t="s">
        <v>27</v>
      </c>
      <c r="U287" s="8">
        <v>3921</v>
      </c>
      <c r="V287" s="11">
        <v>2</v>
      </c>
      <c r="W287" t="str">
        <f>IF(Table1[[#This Row],[Satisfaction Rating]]&lt;2, "Low", IF(Table1[[#This Row],[Satisfaction Rating]]&lt;4, "Medium", "High"))</f>
        <v>Medium</v>
      </c>
    </row>
    <row r="288" spans="1:23" ht="13" x14ac:dyDescent="0.15">
      <c r="A288" s="2" t="s">
        <v>597</v>
      </c>
      <c r="B288" s="23">
        <v>45012.689780092594</v>
      </c>
      <c r="C288" s="23">
        <v>45115.920243055552</v>
      </c>
      <c r="D288" s="23" t="str">
        <f>IF(Table1[[#This Row],[Duration of Campaign]]=0, "Ongoing","Completed")</f>
        <v>Completed</v>
      </c>
      <c r="E288" s="25">
        <f>Table1[[#This Row],[End Date]]-Table1[[#This Row],[Start Date]]</f>
        <v>103.23046296295797</v>
      </c>
      <c r="F288" s="8">
        <v>2890</v>
      </c>
      <c r="G288" s="21" t="s">
        <v>53</v>
      </c>
      <c r="H288" s="11">
        <v>11456</v>
      </c>
      <c r="I288" s="11">
        <v>1106</v>
      </c>
      <c r="J288" s="11">
        <v>479</v>
      </c>
      <c r="K288" s="13">
        <v>14218</v>
      </c>
      <c r="L288" s="16">
        <f t="shared" si="24"/>
        <v>9.6543296089385472E-2</v>
      </c>
      <c r="M288" s="16">
        <f t="shared" si="25"/>
        <v>0.43309222423146476</v>
      </c>
      <c r="N288" s="17">
        <f t="shared" si="26"/>
        <v>17.922242314647377</v>
      </c>
      <c r="O288" s="17">
        <f t="shared" si="27"/>
        <v>41.382045929018787</v>
      </c>
      <c r="P288" s="16">
        <f t="shared" si="28"/>
        <v>6.8588235294117643</v>
      </c>
      <c r="Q288" s="16">
        <f t="shared" si="29"/>
        <v>0.71728382605186158</v>
      </c>
      <c r="R288" s="2" t="s">
        <v>598</v>
      </c>
      <c r="S288" s="21" t="s">
        <v>30</v>
      </c>
      <c r="T288" s="21" t="s">
        <v>45</v>
      </c>
      <c r="U288" s="8">
        <v>19822</v>
      </c>
      <c r="V288" s="11">
        <v>4</v>
      </c>
      <c r="W288" t="str">
        <f>IF(Table1[[#This Row],[Satisfaction Rating]]&lt;2, "Low", IF(Table1[[#This Row],[Satisfaction Rating]]&lt;4, "Medium", "High"))</f>
        <v>High</v>
      </c>
    </row>
    <row r="289" spans="1:23" ht="13" x14ac:dyDescent="0.15">
      <c r="A289" s="2" t="s">
        <v>599</v>
      </c>
      <c r="B289" s="23">
        <v>45035.19027777778</v>
      </c>
      <c r="C289" s="23">
        <v>45434.835416666669</v>
      </c>
      <c r="D289" s="23" t="str">
        <f>IF(Table1[[#This Row],[Duration of Campaign]]=0, "Ongoing","Completed")</f>
        <v>Completed</v>
      </c>
      <c r="E289" s="25">
        <f>Table1[[#This Row],[End Date]]-Table1[[#This Row],[Start Date]]</f>
        <v>399.64513888888905</v>
      </c>
      <c r="F289" s="8">
        <v>1876</v>
      </c>
      <c r="G289" s="21" t="s">
        <v>37</v>
      </c>
      <c r="H289" s="11">
        <v>2003</v>
      </c>
      <c r="I289" s="11">
        <v>507</v>
      </c>
      <c r="J289" s="11">
        <v>269</v>
      </c>
      <c r="K289" s="13">
        <v>7149</v>
      </c>
      <c r="L289" s="16">
        <f t="shared" si="24"/>
        <v>0.25312031952071889</v>
      </c>
      <c r="M289" s="16">
        <f t="shared" si="25"/>
        <v>0.53057199211045369</v>
      </c>
      <c r="N289" s="17">
        <f t="shared" si="26"/>
        <v>31.301775147928993</v>
      </c>
      <c r="O289" s="17">
        <f t="shared" si="27"/>
        <v>58.996282527881043</v>
      </c>
      <c r="P289" s="16">
        <f t="shared" si="28"/>
        <v>8.4594882729211083</v>
      </c>
      <c r="Q289" s="16">
        <f t="shared" si="29"/>
        <v>0.45047258979206051</v>
      </c>
      <c r="R289" s="2" t="s">
        <v>600</v>
      </c>
      <c r="S289" s="21" t="s">
        <v>35</v>
      </c>
      <c r="T289" s="21" t="s">
        <v>27</v>
      </c>
      <c r="U289" s="8">
        <v>15870</v>
      </c>
      <c r="V289" s="11">
        <v>3</v>
      </c>
      <c r="W289" t="str">
        <f>IF(Table1[[#This Row],[Satisfaction Rating]]&lt;2, "Low", IF(Table1[[#This Row],[Satisfaction Rating]]&lt;4, "Medium", "High"))</f>
        <v>Medium</v>
      </c>
    </row>
    <row r="290" spans="1:23" ht="13" x14ac:dyDescent="0.15">
      <c r="A290" s="2" t="s">
        <v>601</v>
      </c>
      <c r="B290" s="23">
        <v>45139.897013888891</v>
      </c>
      <c r="C290" s="23">
        <v>45414.019293981481</v>
      </c>
      <c r="D290" s="23" t="str">
        <f>IF(Table1[[#This Row],[Duration of Campaign]]=0, "Ongoing","Completed")</f>
        <v>Completed</v>
      </c>
      <c r="E290" s="25">
        <f>Table1[[#This Row],[End Date]]-Table1[[#This Row],[Start Date]]</f>
        <v>274.12228009258979</v>
      </c>
      <c r="F290" s="8">
        <v>5406</v>
      </c>
      <c r="G290" s="21" t="s">
        <v>14</v>
      </c>
      <c r="H290" s="11">
        <v>19175</v>
      </c>
      <c r="I290" s="11">
        <v>595</v>
      </c>
      <c r="J290" s="11">
        <v>234</v>
      </c>
      <c r="K290" s="13">
        <v>5525</v>
      </c>
      <c r="L290" s="16">
        <f t="shared" si="24"/>
        <v>3.1029986962190351E-2</v>
      </c>
      <c r="M290" s="16">
        <f t="shared" si="25"/>
        <v>0.39327731092436974</v>
      </c>
      <c r="N290" s="17">
        <f t="shared" si="26"/>
        <v>9.6655462184873944</v>
      </c>
      <c r="O290" s="17">
        <f t="shared" si="27"/>
        <v>24.576923076923077</v>
      </c>
      <c r="P290" s="16">
        <f t="shared" si="28"/>
        <v>1.0638179800221976</v>
      </c>
      <c r="Q290" s="16">
        <f t="shared" si="29"/>
        <v>0.96070248652408274</v>
      </c>
      <c r="R290" s="2" t="s">
        <v>602</v>
      </c>
      <c r="S290" s="21" t="s">
        <v>35</v>
      </c>
      <c r="T290" s="21" t="s">
        <v>17</v>
      </c>
      <c r="U290" s="8">
        <v>5751</v>
      </c>
      <c r="V290" s="11">
        <v>2</v>
      </c>
      <c r="W290" t="str">
        <f>IF(Table1[[#This Row],[Satisfaction Rating]]&lt;2, "Low", IF(Table1[[#This Row],[Satisfaction Rating]]&lt;4, "Medium", "High"))</f>
        <v>Medium</v>
      </c>
    </row>
    <row r="291" spans="1:23" ht="13" x14ac:dyDescent="0.15">
      <c r="A291" s="2" t="s">
        <v>603</v>
      </c>
      <c r="B291" s="23">
        <v>45025.249976851854</v>
      </c>
      <c r="C291" s="23">
        <v>45171.551712962966</v>
      </c>
      <c r="D291" s="23" t="str">
        <f>IF(Table1[[#This Row],[Duration of Campaign]]=0, "Ongoing","Completed")</f>
        <v>Completed</v>
      </c>
      <c r="E291" s="25">
        <f>Table1[[#This Row],[End Date]]-Table1[[#This Row],[Start Date]]</f>
        <v>146.3017361111124</v>
      </c>
      <c r="F291" s="8">
        <v>6242</v>
      </c>
      <c r="G291" s="21" t="s">
        <v>53</v>
      </c>
      <c r="H291" s="11">
        <v>11376</v>
      </c>
      <c r="I291" s="11">
        <v>730</v>
      </c>
      <c r="J291" s="11">
        <v>62</v>
      </c>
      <c r="K291" s="13">
        <v>3648</v>
      </c>
      <c r="L291" s="16">
        <f t="shared" si="24"/>
        <v>6.4170182841068915E-2</v>
      </c>
      <c r="M291" s="16">
        <f t="shared" si="25"/>
        <v>8.4931506849315067E-2</v>
      </c>
      <c r="N291" s="17">
        <f t="shared" si="26"/>
        <v>19.104109589041094</v>
      </c>
      <c r="O291" s="17">
        <f t="shared" si="27"/>
        <v>224.93548387096774</v>
      </c>
      <c r="P291" s="16">
        <f t="shared" si="28"/>
        <v>2.2342198013457226</v>
      </c>
      <c r="Q291" s="16">
        <f t="shared" si="29"/>
        <v>0.26158038147138962</v>
      </c>
      <c r="R291" s="2" t="s">
        <v>604</v>
      </c>
      <c r="S291" s="21" t="s">
        <v>16</v>
      </c>
      <c r="T291" s="21" t="s">
        <v>45</v>
      </c>
      <c r="U291" s="8">
        <v>13946</v>
      </c>
      <c r="V291" s="11">
        <v>1</v>
      </c>
      <c r="W291" t="str">
        <f>IF(Table1[[#This Row],[Satisfaction Rating]]&lt;2, "Low", IF(Table1[[#This Row],[Satisfaction Rating]]&lt;4, "Medium", "High"))</f>
        <v>Low</v>
      </c>
    </row>
    <row r="292" spans="1:23" ht="13" x14ac:dyDescent="0.15">
      <c r="A292" s="2" t="s">
        <v>605</v>
      </c>
      <c r="B292" s="23">
        <v>45199.862754629627</v>
      </c>
      <c r="C292" s="23">
        <v>45199.862754629627</v>
      </c>
      <c r="D292" s="23" t="str">
        <f>IF(Table1[[#This Row],[Duration of Campaign]]=0, "Ongoing","Completed")</f>
        <v>Ongoing</v>
      </c>
      <c r="E292" s="25">
        <f>Table1[[#This Row],[End Date]]-Table1[[#This Row],[Start Date]]</f>
        <v>0</v>
      </c>
      <c r="F292" s="8">
        <v>4251</v>
      </c>
      <c r="G292" s="21" t="s">
        <v>19</v>
      </c>
      <c r="H292" s="11">
        <v>6344</v>
      </c>
      <c r="I292" s="11">
        <v>1690</v>
      </c>
      <c r="J292" s="11">
        <v>489</v>
      </c>
      <c r="K292" s="13">
        <v>12136</v>
      </c>
      <c r="L292" s="16">
        <f t="shared" si="24"/>
        <v>0.26639344262295084</v>
      </c>
      <c r="M292" s="16">
        <f t="shared" si="25"/>
        <v>0.2893491124260355</v>
      </c>
      <c r="N292" s="17">
        <f t="shared" si="26"/>
        <v>0.6585798816568047</v>
      </c>
      <c r="O292" s="17">
        <f t="shared" si="27"/>
        <v>2.276073619631902</v>
      </c>
      <c r="P292" s="16">
        <f t="shared" si="28"/>
        <v>0.26182074805928018</v>
      </c>
      <c r="Q292" s="16">
        <f t="shared" si="29"/>
        <v>10.90386343216532</v>
      </c>
      <c r="R292" s="2" t="s">
        <v>606</v>
      </c>
      <c r="S292" s="21" t="s">
        <v>35</v>
      </c>
      <c r="T292" s="21" t="s">
        <v>45</v>
      </c>
      <c r="U292" s="8">
        <v>1113</v>
      </c>
      <c r="V292" s="11">
        <v>4</v>
      </c>
      <c r="W292" t="str">
        <f>IF(Table1[[#This Row],[Satisfaction Rating]]&lt;2, "Low", IF(Table1[[#This Row],[Satisfaction Rating]]&lt;4, "Medium", "High"))</f>
        <v>High</v>
      </c>
    </row>
    <row r="293" spans="1:23" ht="13" x14ac:dyDescent="0.15">
      <c r="A293" s="2" t="s">
        <v>607</v>
      </c>
      <c r="B293" s="23">
        <v>44996.075289351851</v>
      </c>
      <c r="C293" s="23">
        <v>45114.635648148149</v>
      </c>
      <c r="D293" s="23" t="str">
        <f>IF(Table1[[#This Row],[Duration of Campaign]]=0, "Ongoing","Completed")</f>
        <v>Completed</v>
      </c>
      <c r="E293" s="25">
        <f>Table1[[#This Row],[End Date]]-Table1[[#This Row],[Start Date]]</f>
        <v>118.56035879629781</v>
      </c>
      <c r="F293" s="8">
        <v>5599</v>
      </c>
      <c r="G293" s="21" t="s">
        <v>37</v>
      </c>
      <c r="H293" s="11">
        <v>12966</v>
      </c>
      <c r="I293" s="11">
        <v>723</v>
      </c>
      <c r="J293" s="11">
        <v>133</v>
      </c>
      <c r="K293" s="13">
        <v>6243</v>
      </c>
      <c r="L293" s="16">
        <f t="shared" si="24"/>
        <v>5.5761221656640443E-2</v>
      </c>
      <c r="M293" s="16">
        <f t="shared" si="25"/>
        <v>0.1839557399723375</v>
      </c>
      <c r="N293" s="17">
        <f t="shared" si="26"/>
        <v>19.744121715076073</v>
      </c>
      <c r="O293" s="17">
        <f t="shared" si="27"/>
        <v>107.33082706766918</v>
      </c>
      <c r="P293" s="16">
        <f t="shared" si="28"/>
        <v>2.5495624218610464</v>
      </c>
      <c r="Q293" s="16">
        <f t="shared" si="29"/>
        <v>0.43733800350262697</v>
      </c>
      <c r="R293" s="2" t="s">
        <v>608</v>
      </c>
      <c r="S293" s="21" t="s">
        <v>30</v>
      </c>
      <c r="T293" s="21" t="s">
        <v>17</v>
      </c>
      <c r="U293" s="8">
        <v>14275</v>
      </c>
      <c r="V293" s="11">
        <v>5</v>
      </c>
      <c r="W293" t="str">
        <f>IF(Table1[[#This Row],[Satisfaction Rating]]&lt;2, "Low", IF(Table1[[#This Row],[Satisfaction Rating]]&lt;4, "Medium", "High"))</f>
        <v>High</v>
      </c>
    </row>
    <row r="294" spans="1:23" ht="13" x14ac:dyDescent="0.15">
      <c r="A294" s="2" t="s">
        <v>609</v>
      </c>
      <c r="B294" s="23">
        <v>45541.548842592594</v>
      </c>
      <c r="C294" s="23">
        <v>45541.548842592594</v>
      </c>
      <c r="D294" s="23" t="str">
        <f>IF(Table1[[#This Row],[Duration of Campaign]]=0, "Ongoing","Completed")</f>
        <v>Ongoing</v>
      </c>
      <c r="E294" s="25">
        <f>Table1[[#This Row],[End Date]]-Table1[[#This Row],[Start Date]]</f>
        <v>0</v>
      </c>
      <c r="F294" s="8">
        <v>5494</v>
      </c>
      <c r="G294" s="21" t="s">
        <v>37</v>
      </c>
      <c r="H294" s="11">
        <v>15303</v>
      </c>
      <c r="I294" s="11">
        <v>803</v>
      </c>
      <c r="J294" s="11">
        <v>395</v>
      </c>
      <c r="K294" s="13">
        <v>4100</v>
      </c>
      <c r="L294" s="16">
        <f t="shared" si="24"/>
        <v>5.2473371234398485E-2</v>
      </c>
      <c r="M294" s="16">
        <f t="shared" si="25"/>
        <v>0.49190535491905357</v>
      </c>
      <c r="N294" s="17">
        <f t="shared" si="26"/>
        <v>2.8941469489414695</v>
      </c>
      <c r="O294" s="17">
        <f t="shared" si="27"/>
        <v>5.8835443037974686</v>
      </c>
      <c r="P294" s="16">
        <f t="shared" si="28"/>
        <v>0.42300691663633055</v>
      </c>
      <c r="Q294" s="16">
        <f t="shared" si="29"/>
        <v>1.7641996557659207</v>
      </c>
      <c r="R294" s="2" t="s">
        <v>610</v>
      </c>
      <c r="S294" s="21" t="s">
        <v>30</v>
      </c>
      <c r="T294" s="21" t="s">
        <v>27</v>
      </c>
      <c r="U294" s="8">
        <v>2324</v>
      </c>
      <c r="V294" s="11">
        <v>1</v>
      </c>
      <c r="W294" t="str">
        <f>IF(Table1[[#This Row],[Satisfaction Rating]]&lt;2, "Low", IF(Table1[[#This Row],[Satisfaction Rating]]&lt;4, "Medium", "High"))</f>
        <v>Low</v>
      </c>
    </row>
    <row r="295" spans="1:23" ht="13" x14ac:dyDescent="0.15">
      <c r="A295" s="2" t="s">
        <v>611</v>
      </c>
      <c r="B295" s="23">
        <v>45227.651759259257</v>
      </c>
      <c r="C295" s="23">
        <v>45227.651759259257</v>
      </c>
      <c r="D295" s="23" t="str">
        <f>IF(Table1[[#This Row],[Duration of Campaign]]=0, "Ongoing","Completed")</f>
        <v>Ongoing</v>
      </c>
      <c r="E295" s="25">
        <f>Table1[[#This Row],[End Date]]-Table1[[#This Row],[Start Date]]</f>
        <v>0</v>
      </c>
      <c r="F295" s="8">
        <v>8818</v>
      </c>
      <c r="G295" s="21" t="s">
        <v>37</v>
      </c>
      <c r="H295" s="11">
        <v>12480</v>
      </c>
      <c r="I295" s="11">
        <v>1591</v>
      </c>
      <c r="J295" s="11">
        <v>91</v>
      </c>
      <c r="K295" s="13">
        <v>12375</v>
      </c>
      <c r="L295" s="16">
        <f t="shared" si="24"/>
        <v>0.12748397435897435</v>
      </c>
      <c r="M295" s="16">
        <f t="shared" si="25"/>
        <v>5.7196731615336269E-2</v>
      </c>
      <c r="N295" s="17">
        <f t="shared" si="26"/>
        <v>1.9472030169704588</v>
      </c>
      <c r="O295" s="17">
        <f t="shared" si="27"/>
        <v>34.043956043956044</v>
      </c>
      <c r="P295" s="16">
        <f t="shared" si="28"/>
        <v>0.35132683148106147</v>
      </c>
      <c r="Q295" s="16">
        <f t="shared" si="29"/>
        <v>3.9945125887669466</v>
      </c>
      <c r="R295" s="2" t="s">
        <v>612</v>
      </c>
      <c r="S295" s="21" t="s">
        <v>30</v>
      </c>
      <c r="T295" s="21" t="s">
        <v>17</v>
      </c>
      <c r="U295" s="8">
        <v>3098</v>
      </c>
      <c r="V295" s="11">
        <v>5</v>
      </c>
      <c r="W295" t="str">
        <f>IF(Table1[[#This Row],[Satisfaction Rating]]&lt;2, "Low", IF(Table1[[#This Row],[Satisfaction Rating]]&lt;4, "Medium", "High"))</f>
        <v>High</v>
      </c>
    </row>
    <row r="296" spans="1:23" ht="13" x14ac:dyDescent="0.15">
      <c r="A296" s="2" t="s">
        <v>613</v>
      </c>
      <c r="B296" s="23">
        <v>45144.412951388891</v>
      </c>
      <c r="C296" s="23">
        <v>45472.160474537035</v>
      </c>
      <c r="D296" s="23" t="str">
        <f>IF(Table1[[#This Row],[Duration of Campaign]]=0, "Ongoing","Completed")</f>
        <v>Completed</v>
      </c>
      <c r="E296" s="25">
        <f>Table1[[#This Row],[End Date]]-Table1[[#This Row],[Start Date]]</f>
        <v>327.74752314814396</v>
      </c>
      <c r="F296" s="8">
        <v>1816</v>
      </c>
      <c r="G296" s="21" t="s">
        <v>19</v>
      </c>
      <c r="H296" s="11">
        <v>8847</v>
      </c>
      <c r="I296" s="11">
        <v>713</v>
      </c>
      <c r="J296" s="11">
        <v>280</v>
      </c>
      <c r="K296" s="13">
        <v>4912</v>
      </c>
      <c r="L296" s="16">
        <f t="shared" si="24"/>
        <v>8.059229117214875E-2</v>
      </c>
      <c r="M296" s="16">
        <f t="shared" si="25"/>
        <v>0.39270687237026647</v>
      </c>
      <c r="N296" s="17">
        <f t="shared" si="26"/>
        <v>13.945301542776999</v>
      </c>
      <c r="O296" s="17">
        <f t="shared" si="27"/>
        <v>35.510714285714286</v>
      </c>
      <c r="P296" s="16">
        <f t="shared" si="28"/>
        <v>5.4752202643171808</v>
      </c>
      <c r="Q296" s="16">
        <f t="shared" si="29"/>
        <v>0.49401589057628481</v>
      </c>
      <c r="R296" s="2" t="s">
        <v>614</v>
      </c>
      <c r="S296" s="21" t="s">
        <v>24</v>
      </c>
      <c r="T296" s="21" t="s">
        <v>45</v>
      </c>
      <c r="U296" s="8">
        <v>9943</v>
      </c>
      <c r="V296" s="11">
        <v>2</v>
      </c>
      <c r="W296" t="str">
        <f>IF(Table1[[#This Row],[Satisfaction Rating]]&lt;2, "Low", IF(Table1[[#This Row],[Satisfaction Rating]]&lt;4, "Medium", "High"))</f>
        <v>Medium</v>
      </c>
    </row>
    <row r="297" spans="1:23" ht="13" x14ac:dyDescent="0.15">
      <c r="A297" s="2" t="s">
        <v>615</v>
      </c>
      <c r="B297" s="23">
        <v>45143.997870370367</v>
      </c>
      <c r="C297" s="23">
        <v>45597.208344907405</v>
      </c>
      <c r="D297" s="23" t="str">
        <f>IF(Table1[[#This Row],[Duration of Campaign]]=0, "Ongoing","Completed")</f>
        <v>Completed</v>
      </c>
      <c r="E297" s="25">
        <f>Table1[[#This Row],[End Date]]-Table1[[#This Row],[Start Date]]</f>
        <v>453.21047453703795</v>
      </c>
      <c r="F297" s="8">
        <v>7328</v>
      </c>
      <c r="G297" s="21" t="s">
        <v>53</v>
      </c>
      <c r="H297" s="11">
        <v>7477</v>
      </c>
      <c r="I297" s="11">
        <v>904</v>
      </c>
      <c r="J297" s="11">
        <v>377</v>
      </c>
      <c r="K297" s="13">
        <v>11897</v>
      </c>
      <c r="L297" s="16">
        <f t="shared" si="24"/>
        <v>0.12090410592483616</v>
      </c>
      <c r="M297" s="16">
        <f t="shared" si="25"/>
        <v>0.41703539823008851</v>
      </c>
      <c r="N297" s="17">
        <f t="shared" si="26"/>
        <v>3.5995575221238938</v>
      </c>
      <c r="O297" s="17">
        <f t="shared" si="27"/>
        <v>8.6312997347480103</v>
      </c>
      <c r="P297" s="16">
        <f t="shared" si="28"/>
        <v>0.44405021834061137</v>
      </c>
      <c r="Q297" s="16">
        <f t="shared" si="29"/>
        <v>3.6561155500921942</v>
      </c>
      <c r="R297" s="2" t="s">
        <v>616</v>
      </c>
      <c r="S297" s="21" t="s">
        <v>24</v>
      </c>
      <c r="T297" s="21" t="s">
        <v>45</v>
      </c>
      <c r="U297" s="8">
        <v>3254</v>
      </c>
      <c r="V297" s="11">
        <v>4</v>
      </c>
      <c r="W297" t="str">
        <f>IF(Table1[[#This Row],[Satisfaction Rating]]&lt;2, "Low", IF(Table1[[#This Row],[Satisfaction Rating]]&lt;4, "Medium", "High"))</f>
        <v>High</v>
      </c>
    </row>
    <row r="298" spans="1:23" ht="13" x14ac:dyDescent="0.15">
      <c r="A298" s="2" t="s">
        <v>617</v>
      </c>
      <c r="B298" s="23">
        <v>45624.416863425926</v>
      </c>
      <c r="C298" s="23">
        <v>45624.416863425926</v>
      </c>
      <c r="D298" s="23" t="str">
        <f>IF(Table1[[#This Row],[Duration of Campaign]]=0, "Ongoing","Completed")</f>
        <v>Ongoing</v>
      </c>
      <c r="E298" s="25">
        <f>Table1[[#This Row],[End Date]]-Table1[[#This Row],[Start Date]]</f>
        <v>0</v>
      </c>
      <c r="F298" s="8">
        <v>1181</v>
      </c>
      <c r="G298" s="21" t="s">
        <v>37</v>
      </c>
      <c r="H298" s="11">
        <v>10766</v>
      </c>
      <c r="I298" s="11">
        <v>1693</v>
      </c>
      <c r="J298" s="11">
        <v>32</v>
      </c>
      <c r="K298" s="13">
        <v>7440</v>
      </c>
      <c r="L298" s="16">
        <f t="shared" si="24"/>
        <v>0.15725431915288873</v>
      </c>
      <c r="M298" s="16">
        <f t="shared" si="25"/>
        <v>1.8901358535144713E-2</v>
      </c>
      <c r="N298" s="17">
        <f t="shared" si="26"/>
        <v>8.2096869462492617</v>
      </c>
      <c r="O298" s="17">
        <f t="shared" si="27"/>
        <v>434.34375</v>
      </c>
      <c r="P298" s="16">
        <f t="shared" si="28"/>
        <v>11.768839966130399</v>
      </c>
      <c r="Q298" s="16">
        <f t="shared" si="29"/>
        <v>0.53529030865529892</v>
      </c>
      <c r="R298" s="2" t="s">
        <v>618</v>
      </c>
      <c r="S298" s="21" t="s">
        <v>35</v>
      </c>
      <c r="T298" s="21" t="s">
        <v>27</v>
      </c>
      <c r="U298" s="8">
        <v>13899</v>
      </c>
      <c r="V298" s="11">
        <v>4</v>
      </c>
      <c r="W298" t="str">
        <f>IF(Table1[[#This Row],[Satisfaction Rating]]&lt;2, "Low", IF(Table1[[#This Row],[Satisfaction Rating]]&lt;4, "Medium", "High"))</f>
        <v>High</v>
      </c>
    </row>
    <row r="299" spans="1:23" ht="13" x14ac:dyDescent="0.15">
      <c r="A299" s="2" t="s">
        <v>619</v>
      </c>
      <c r="B299" s="23">
        <v>45289.290810185186</v>
      </c>
      <c r="C299" s="23">
        <v>45542.914756944447</v>
      </c>
      <c r="D299" s="23" t="str">
        <f>IF(Table1[[#This Row],[Duration of Campaign]]=0, "Ongoing","Completed")</f>
        <v>Completed</v>
      </c>
      <c r="E299" s="25">
        <f>Table1[[#This Row],[End Date]]-Table1[[#This Row],[Start Date]]</f>
        <v>253.62394675926043</v>
      </c>
      <c r="F299" s="8">
        <v>4963</v>
      </c>
      <c r="G299" s="21" t="s">
        <v>14</v>
      </c>
      <c r="H299" s="11">
        <v>19549</v>
      </c>
      <c r="I299" s="11">
        <v>1798</v>
      </c>
      <c r="J299" s="11">
        <v>349</v>
      </c>
      <c r="K299" s="13">
        <v>11895</v>
      </c>
      <c r="L299" s="16">
        <f t="shared" si="24"/>
        <v>9.19740140160622E-2</v>
      </c>
      <c r="M299" s="16">
        <f t="shared" si="25"/>
        <v>0.19410456062291434</v>
      </c>
      <c r="N299" s="17">
        <f t="shared" si="26"/>
        <v>8.9527252502780872</v>
      </c>
      <c r="O299" s="17">
        <f t="shared" si="27"/>
        <v>46.123209169054441</v>
      </c>
      <c r="P299" s="16">
        <f t="shared" si="28"/>
        <v>3.2434011686479951</v>
      </c>
      <c r="Q299" s="16">
        <f t="shared" si="29"/>
        <v>0.73895756973349069</v>
      </c>
      <c r="R299" s="2" t="s">
        <v>620</v>
      </c>
      <c r="S299" s="21" t="s">
        <v>16</v>
      </c>
      <c r="T299" s="21" t="s">
        <v>27</v>
      </c>
      <c r="U299" s="8">
        <v>16097</v>
      </c>
      <c r="V299" s="11">
        <v>2</v>
      </c>
      <c r="W299" t="str">
        <f>IF(Table1[[#This Row],[Satisfaction Rating]]&lt;2, "Low", IF(Table1[[#This Row],[Satisfaction Rating]]&lt;4, "Medium", "High"))</f>
        <v>Medium</v>
      </c>
    </row>
    <row r="300" spans="1:23" ht="13" x14ac:dyDescent="0.15">
      <c r="A300" s="2" t="s">
        <v>621</v>
      </c>
      <c r="B300" s="23">
        <v>44974.541365740741</v>
      </c>
      <c r="C300" s="23">
        <v>45273.363136574073</v>
      </c>
      <c r="D300" s="23" t="str">
        <f>IF(Table1[[#This Row],[Duration of Campaign]]=0, "Ongoing","Completed")</f>
        <v>Completed</v>
      </c>
      <c r="E300" s="25">
        <f>Table1[[#This Row],[End Date]]-Table1[[#This Row],[Start Date]]</f>
        <v>298.82177083333227</v>
      </c>
      <c r="F300" s="8">
        <v>2857</v>
      </c>
      <c r="G300" s="21" t="s">
        <v>53</v>
      </c>
      <c r="H300" s="11">
        <v>2308</v>
      </c>
      <c r="I300" s="11">
        <v>1607</v>
      </c>
      <c r="J300" s="11">
        <v>327</v>
      </c>
      <c r="K300" s="13">
        <v>2367</v>
      </c>
      <c r="L300" s="16">
        <f t="shared" si="24"/>
        <v>0.69627383015597921</v>
      </c>
      <c r="M300" s="16">
        <f t="shared" si="25"/>
        <v>0.20348475420037337</v>
      </c>
      <c r="N300" s="17">
        <f t="shared" si="26"/>
        <v>3.6888612321095207</v>
      </c>
      <c r="O300" s="17">
        <f t="shared" si="27"/>
        <v>18.128440366972477</v>
      </c>
      <c r="P300" s="16">
        <f t="shared" si="28"/>
        <v>2.0749037451872594</v>
      </c>
      <c r="Q300" s="16">
        <f t="shared" si="29"/>
        <v>0.39929149797570851</v>
      </c>
      <c r="R300" s="2" t="s">
        <v>622</v>
      </c>
      <c r="S300" s="21" t="s">
        <v>24</v>
      </c>
      <c r="T300" s="21" t="s">
        <v>27</v>
      </c>
      <c r="U300" s="8">
        <v>5928</v>
      </c>
      <c r="V300" s="11">
        <v>4</v>
      </c>
      <c r="W300" t="str">
        <f>IF(Table1[[#This Row],[Satisfaction Rating]]&lt;2, "Low", IF(Table1[[#This Row],[Satisfaction Rating]]&lt;4, "Medium", "High"))</f>
        <v>High</v>
      </c>
    </row>
    <row r="301" spans="1:23" ht="13" x14ac:dyDescent="0.15">
      <c r="A301" s="2" t="s">
        <v>623</v>
      </c>
      <c r="B301" s="23">
        <v>45297.368923611109</v>
      </c>
      <c r="C301" s="23">
        <v>45573.154409722221</v>
      </c>
      <c r="D301" s="23" t="str">
        <f>IF(Table1[[#This Row],[Duration of Campaign]]=0, "Ongoing","Completed")</f>
        <v>Completed</v>
      </c>
      <c r="E301" s="25">
        <f>Table1[[#This Row],[End Date]]-Table1[[#This Row],[Start Date]]</f>
        <v>275.78548611111182</v>
      </c>
      <c r="F301" s="8">
        <v>8565</v>
      </c>
      <c r="G301" s="21" t="s">
        <v>14</v>
      </c>
      <c r="H301" s="11">
        <v>2453</v>
      </c>
      <c r="I301" s="11">
        <v>405</v>
      </c>
      <c r="J301" s="11">
        <v>147</v>
      </c>
      <c r="K301" s="13">
        <v>9509</v>
      </c>
      <c r="L301" s="16">
        <f t="shared" si="24"/>
        <v>0.16510395434162251</v>
      </c>
      <c r="M301" s="16">
        <f t="shared" si="25"/>
        <v>0.36296296296296299</v>
      </c>
      <c r="N301" s="17">
        <f t="shared" si="26"/>
        <v>34.056790123456793</v>
      </c>
      <c r="O301" s="17">
        <f t="shared" si="27"/>
        <v>93.829931972789112</v>
      </c>
      <c r="P301" s="16">
        <f t="shared" si="28"/>
        <v>1.6103911266783422</v>
      </c>
      <c r="Q301" s="16">
        <f t="shared" si="29"/>
        <v>0.68940767055752916</v>
      </c>
      <c r="R301" s="2" t="s">
        <v>624</v>
      </c>
      <c r="S301" s="21" t="s">
        <v>35</v>
      </c>
      <c r="T301" s="21" t="s">
        <v>17</v>
      </c>
      <c r="U301" s="8">
        <v>13793</v>
      </c>
      <c r="V301" s="11">
        <v>4</v>
      </c>
      <c r="W301" t="str">
        <f>IF(Table1[[#This Row],[Satisfaction Rating]]&lt;2, "Low", IF(Table1[[#This Row],[Satisfaction Rating]]&lt;4, "Medium", "High"))</f>
        <v>High</v>
      </c>
    </row>
    <row r="302" spans="1:23" ht="13" x14ac:dyDescent="0.15">
      <c r="A302" s="2" t="s">
        <v>625</v>
      </c>
      <c r="B302" s="23">
        <v>45294.246192129627</v>
      </c>
      <c r="C302" s="23">
        <v>45294.246192129627</v>
      </c>
      <c r="D302" s="23" t="str">
        <f>IF(Table1[[#This Row],[Duration of Campaign]]=0, "Ongoing","Completed")</f>
        <v>Ongoing</v>
      </c>
      <c r="E302" s="25">
        <f>Table1[[#This Row],[End Date]]-Table1[[#This Row],[Start Date]]</f>
        <v>0</v>
      </c>
      <c r="F302" s="8">
        <v>2289</v>
      </c>
      <c r="G302" s="21" t="s">
        <v>37</v>
      </c>
      <c r="H302" s="11">
        <v>19797</v>
      </c>
      <c r="I302" s="11">
        <v>927</v>
      </c>
      <c r="J302" s="11">
        <v>135</v>
      </c>
      <c r="K302" s="13">
        <v>8254</v>
      </c>
      <c r="L302" s="16">
        <f t="shared" si="24"/>
        <v>4.6825276557054096E-2</v>
      </c>
      <c r="M302" s="16">
        <f t="shared" si="25"/>
        <v>0.14563106796116504</v>
      </c>
      <c r="N302" s="17">
        <f t="shared" si="26"/>
        <v>10.650485436893204</v>
      </c>
      <c r="O302" s="17">
        <f t="shared" si="27"/>
        <v>73.13333333333334</v>
      </c>
      <c r="P302" s="16">
        <f t="shared" si="28"/>
        <v>4.3132372214941022</v>
      </c>
      <c r="Q302" s="16">
        <f t="shared" si="29"/>
        <v>0.83601742124987344</v>
      </c>
      <c r="R302" s="2" t="s">
        <v>626</v>
      </c>
      <c r="S302" s="21" t="s">
        <v>16</v>
      </c>
      <c r="T302" s="21" t="s">
        <v>17</v>
      </c>
      <c r="U302" s="8">
        <v>9873</v>
      </c>
      <c r="V302" s="11">
        <v>2</v>
      </c>
      <c r="W302" t="str">
        <f>IF(Table1[[#This Row],[Satisfaction Rating]]&lt;2, "Low", IF(Table1[[#This Row],[Satisfaction Rating]]&lt;4, "Medium", "High"))</f>
        <v>Medium</v>
      </c>
    </row>
    <row r="303" spans="1:23" ht="13" x14ac:dyDescent="0.15">
      <c r="A303" s="2" t="s">
        <v>627</v>
      </c>
      <c r="B303" s="23">
        <v>45205.768622685187</v>
      </c>
      <c r="C303" s="23">
        <v>45205.768622685187</v>
      </c>
      <c r="D303" s="23" t="str">
        <f>IF(Table1[[#This Row],[Duration of Campaign]]=0, "Ongoing","Completed")</f>
        <v>Ongoing</v>
      </c>
      <c r="E303" s="25">
        <f>Table1[[#This Row],[End Date]]-Table1[[#This Row],[Start Date]]</f>
        <v>0</v>
      </c>
      <c r="F303" s="8">
        <v>5617</v>
      </c>
      <c r="G303" s="21" t="s">
        <v>19</v>
      </c>
      <c r="H303" s="11">
        <v>15410</v>
      </c>
      <c r="I303" s="11">
        <v>228</v>
      </c>
      <c r="J303" s="11">
        <v>190</v>
      </c>
      <c r="K303" s="13">
        <v>3875</v>
      </c>
      <c r="L303" s="16">
        <f t="shared" si="24"/>
        <v>1.4795587280986372E-2</v>
      </c>
      <c r="M303" s="16">
        <f t="shared" si="25"/>
        <v>0.83333333333333337</v>
      </c>
      <c r="N303" s="17">
        <f t="shared" si="26"/>
        <v>63.377192982456137</v>
      </c>
      <c r="O303" s="17">
        <f t="shared" si="27"/>
        <v>76.05263157894737</v>
      </c>
      <c r="P303" s="16">
        <f t="shared" si="28"/>
        <v>2.5725476232864519</v>
      </c>
      <c r="Q303" s="16">
        <f t="shared" si="29"/>
        <v>0.26816608996539792</v>
      </c>
      <c r="R303" s="2" t="s">
        <v>628</v>
      </c>
      <c r="S303" s="21" t="s">
        <v>24</v>
      </c>
      <c r="T303" s="21" t="s">
        <v>45</v>
      </c>
      <c r="U303" s="8">
        <v>14450</v>
      </c>
      <c r="V303" s="11">
        <v>4</v>
      </c>
      <c r="W303" t="str">
        <f>IF(Table1[[#This Row],[Satisfaction Rating]]&lt;2, "Low", IF(Table1[[#This Row],[Satisfaction Rating]]&lt;4, "Medium", "High"))</f>
        <v>High</v>
      </c>
    </row>
    <row r="304" spans="1:23" ht="13" x14ac:dyDescent="0.15">
      <c r="A304" s="2" t="s">
        <v>629</v>
      </c>
      <c r="B304" s="23">
        <v>45359.717569444445</v>
      </c>
      <c r="C304" s="23">
        <v>45469.157986111109</v>
      </c>
      <c r="D304" s="23" t="str">
        <f>IF(Table1[[#This Row],[Duration of Campaign]]=0, "Ongoing","Completed")</f>
        <v>Completed</v>
      </c>
      <c r="E304" s="25">
        <f>Table1[[#This Row],[End Date]]-Table1[[#This Row],[Start Date]]</f>
        <v>109.44041666666453</v>
      </c>
      <c r="F304" s="8">
        <v>2742</v>
      </c>
      <c r="G304" s="21" t="s">
        <v>53</v>
      </c>
      <c r="H304" s="11">
        <v>10930</v>
      </c>
      <c r="I304" s="11">
        <v>838</v>
      </c>
      <c r="J304" s="11">
        <v>127</v>
      </c>
      <c r="K304" s="13">
        <v>13825</v>
      </c>
      <c r="L304" s="16">
        <f t="shared" si="24"/>
        <v>7.6669716376944197E-2</v>
      </c>
      <c r="M304" s="16">
        <f t="shared" si="25"/>
        <v>0.15155131264916469</v>
      </c>
      <c r="N304" s="17">
        <f t="shared" si="26"/>
        <v>22.813842482100238</v>
      </c>
      <c r="O304" s="17">
        <f t="shared" si="27"/>
        <v>150.53543307086613</v>
      </c>
      <c r="P304" s="16">
        <f t="shared" si="28"/>
        <v>6.972283005105762</v>
      </c>
      <c r="Q304" s="16">
        <f t="shared" si="29"/>
        <v>0.72314049586776863</v>
      </c>
      <c r="R304" s="2" t="s">
        <v>630</v>
      </c>
      <c r="S304" s="21" t="s">
        <v>30</v>
      </c>
      <c r="T304" s="21" t="s">
        <v>27</v>
      </c>
      <c r="U304" s="8">
        <v>19118</v>
      </c>
      <c r="V304" s="11">
        <v>5</v>
      </c>
      <c r="W304" t="str">
        <f>IF(Table1[[#This Row],[Satisfaction Rating]]&lt;2, "Low", IF(Table1[[#This Row],[Satisfaction Rating]]&lt;4, "Medium", "High"))</f>
        <v>High</v>
      </c>
    </row>
    <row r="305" spans="1:23" ht="13" x14ac:dyDescent="0.15">
      <c r="A305" s="2" t="s">
        <v>631</v>
      </c>
      <c r="B305" s="23">
        <v>45196.973321759258</v>
      </c>
      <c r="C305" s="23">
        <v>45503.239560185182</v>
      </c>
      <c r="D305" s="23" t="str">
        <f>IF(Table1[[#This Row],[Duration of Campaign]]=0, "Ongoing","Completed")</f>
        <v>Completed</v>
      </c>
      <c r="E305" s="25">
        <f>Table1[[#This Row],[End Date]]-Table1[[#This Row],[Start Date]]</f>
        <v>306.2662384259238</v>
      </c>
      <c r="F305" s="8">
        <v>8882</v>
      </c>
      <c r="G305" s="21" t="s">
        <v>14</v>
      </c>
      <c r="H305" s="11">
        <v>8195</v>
      </c>
      <c r="I305" s="11">
        <v>1101</v>
      </c>
      <c r="J305" s="11">
        <v>408</v>
      </c>
      <c r="K305" s="13">
        <v>745</v>
      </c>
      <c r="L305" s="16">
        <f t="shared" si="24"/>
        <v>0.13435021354484442</v>
      </c>
      <c r="M305" s="16">
        <f t="shared" si="25"/>
        <v>0.37057220708446864</v>
      </c>
      <c r="N305" s="17">
        <f t="shared" si="26"/>
        <v>2.4450499545867395</v>
      </c>
      <c r="O305" s="17">
        <f t="shared" si="27"/>
        <v>6.5980392156862742</v>
      </c>
      <c r="P305" s="16">
        <f t="shared" si="28"/>
        <v>0.30308489079036255</v>
      </c>
      <c r="Q305" s="16">
        <f t="shared" si="29"/>
        <v>0.27674591381872216</v>
      </c>
      <c r="R305" s="2" t="s">
        <v>632</v>
      </c>
      <c r="S305" s="21" t="s">
        <v>30</v>
      </c>
      <c r="T305" s="21" t="s">
        <v>17</v>
      </c>
      <c r="U305" s="8">
        <v>2692</v>
      </c>
      <c r="V305" s="11">
        <v>5</v>
      </c>
      <c r="W305" t="str">
        <f>IF(Table1[[#This Row],[Satisfaction Rating]]&lt;2, "Low", IF(Table1[[#This Row],[Satisfaction Rating]]&lt;4, "Medium", "High"))</f>
        <v>High</v>
      </c>
    </row>
    <row r="306" spans="1:23" ht="13" x14ac:dyDescent="0.15">
      <c r="A306" s="2" t="s">
        <v>633</v>
      </c>
      <c r="B306" s="23">
        <v>45044.444305555553</v>
      </c>
      <c r="C306" s="23">
        <v>45090.750439814816</v>
      </c>
      <c r="D306" s="23" t="str">
        <f>IF(Table1[[#This Row],[Duration of Campaign]]=0, "Ongoing","Completed")</f>
        <v>Completed</v>
      </c>
      <c r="E306" s="25">
        <f>Table1[[#This Row],[End Date]]-Table1[[#This Row],[Start Date]]</f>
        <v>46.306134259262762</v>
      </c>
      <c r="F306" s="8">
        <v>7730</v>
      </c>
      <c r="G306" s="21" t="s">
        <v>37</v>
      </c>
      <c r="H306" s="11">
        <v>2235</v>
      </c>
      <c r="I306" s="11">
        <v>1454</v>
      </c>
      <c r="J306" s="11">
        <v>467</v>
      </c>
      <c r="K306" s="13">
        <v>4709</v>
      </c>
      <c r="L306" s="16">
        <f t="shared" si="24"/>
        <v>0.65055928411633113</v>
      </c>
      <c r="M306" s="16">
        <f t="shared" si="25"/>
        <v>0.32118294360385147</v>
      </c>
      <c r="N306" s="17">
        <f t="shared" si="26"/>
        <v>2.7895460797799174</v>
      </c>
      <c r="O306" s="17">
        <f t="shared" si="27"/>
        <v>8.6852248394004281</v>
      </c>
      <c r="P306" s="16">
        <f t="shared" si="28"/>
        <v>0.52470892626131949</v>
      </c>
      <c r="Q306" s="16">
        <f t="shared" si="29"/>
        <v>1.1609960552268244</v>
      </c>
      <c r="R306" s="2" t="s">
        <v>634</v>
      </c>
      <c r="S306" s="21" t="s">
        <v>35</v>
      </c>
      <c r="T306" s="21" t="s">
        <v>45</v>
      </c>
      <c r="U306" s="8">
        <v>4056</v>
      </c>
      <c r="V306" s="11">
        <v>1</v>
      </c>
      <c r="W306" t="str">
        <f>IF(Table1[[#This Row],[Satisfaction Rating]]&lt;2, "Low", IF(Table1[[#This Row],[Satisfaction Rating]]&lt;4, "Medium", "High"))</f>
        <v>Low</v>
      </c>
    </row>
    <row r="307" spans="1:23" ht="13" x14ac:dyDescent="0.15">
      <c r="A307" s="2" t="s">
        <v>635</v>
      </c>
      <c r="B307" s="23">
        <v>45469.793564814812</v>
      </c>
      <c r="C307" s="23">
        <v>45469.793564814812</v>
      </c>
      <c r="D307" s="23" t="str">
        <f>IF(Table1[[#This Row],[Duration of Campaign]]=0, "Ongoing","Completed")</f>
        <v>Ongoing</v>
      </c>
      <c r="E307" s="25">
        <f>Table1[[#This Row],[End Date]]-Table1[[#This Row],[Start Date]]</f>
        <v>0</v>
      </c>
      <c r="F307" s="8">
        <v>2812</v>
      </c>
      <c r="G307" s="21" t="s">
        <v>19</v>
      </c>
      <c r="H307" s="11">
        <v>3589</v>
      </c>
      <c r="I307" s="11">
        <v>923</v>
      </c>
      <c r="J307" s="11">
        <v>369</v>
      </c>
      <c r="K307" s="13">
        <v>8358</v>
      </c>
      <c r="L307" s="16">
        <f t="shared" si="24"/>
        <v>0.25717470047366953</v>
      </c>
      <c r="M307" s="16">
        <f t="shared" si="25"/>
        <v>0.39978331527627303</v>
      </c>
      <c r="N307" s="17">
        <f t="shared" si="26"/>
        <v>14.257854821235103</v>
      </c>
      <c r="O307" s="17">
        <f t="shared" si="27"/>
        <v>35.663956639566393</v>
      </c>
      <c r="P307" s="16">
        <f t="shared" si="28"/>
        <v>4.6799431009957324</v>
      </c>
      <c r="Q307" s="16">
        <f t="shared" si="29"/>
        <v>0.63510638297872335</v>
      </c>
      <c r="R307" s="2" t="s">
        <v>636</v>
      </c>
      <c r="S307" s="21" t="s">
        <v>24</v>
      </c>
      <c r="T307" s="21" t="s">
        <v>17</v>
      </c>
      <c r="U307" s="8">
        <v>13160</v>
      </c>
      <c r="V307" s="11">
        <v>2</v>
      </c>
      <c r="W307" t="str">
        <f>IF(Table1[[#This Row],[Satisfaction Rating]]&lt;2, "Low", IF(Table1[[#This Row],[Satisfaction Rating]]&lt;4, "Medium", "High"))</f>
        <v>Medium</v>
      </c>
    </row>
    <row r="308" spans="1:23" ht="13" x14ac:dyDescent="0.15">
      <c r="A308" s="2" t="s">
        <v>637</v>
      </c>
      <c r="B308" s="23">
        <v>45616.93540509259</v>
      </c>
      <c r="C308" s="23">
        <v>45616.93540509259</v>
      </c>
      <c r="D308" s="23" t="str">
        <f>IF(Table1[[#This Row],[Duration of Campaign]]=0, "Ongoing","Completed")</f>
        <v>Ongoing</v>
      </c>
      <c r="E308" s="25">
        <f>Table1[[#This Row],[End Date]]-Table1[[#This Row],[Start Date]]</f>
        <v>0</v>
      </c>
      <c r="F308" s="8">
        <v>7614</v>
      </c>
      <c r="G308" s="21" t="s">
        <v>19</v>
      </c>
      <c r="H308" s="11">
        <v>13631</v>
      </c>
      <c r="I308" s="11">
        <v>1239</v>
      </c>
      <c r="J308" s="11">
        <v>305</v>
      </c>
      <c r="K308" s="13">
        <v>13729</v>
      </c>
      <c r="L308" s="16">
        <f t="shared" si="24"/>
        <v>9.0895752329249499E-2</v>
      </c>
      <c r="M308" s="16">
        <f t="shared" si="25"/>
        <v>0.24616626311541565</v>
      </c>
      <c r="N308" s="17">
        <f t="shared" si="26"/>
        <v>10.118644067796611</v>
      </c>
      <c r="O308" s="17">
        <f t="shared" si="27"/>
        <v>41.104918032786884</v>
      </c>
      <c r="P308" s="16">
        <f t="shared" si="28"/>
        <v>1.6465721040189125</v>
      </c>
      <c r="Q308" s="16">
        <f t="shared" si="29"/>
        <v>1.0950785674403765</v>
      </c>
      <c r="R308" s="2" t="s">
        <v>638</v>
      </c>
      <c r="S308" s="21" t="s">
        <v>21</v>
      </c>
      <c r="T308" s="21" t="s">
        <v>45</v>
      </c>
      <c r="U308" s="8">
        <v>12537</v>
      </c>
      <c r="V308" s="11">
        <v>2</v>
      </c>
      <c r="W308" t="str">
        <f>IF(Table1[[#This Row],[Satisfaction Rating]]&lt;2, "Low", IF(Table1[[#This Row],[Satisfaction Rating]]&lt;4, "Medium", "High"))</f>
        <v>Medium</v>
      </c>
    </row>
    <row r="309" spans="1:23" ht="13" x14ac:dyDescent="0.15">
      <c r="A309" s="2" t="s">
        <v>639</v>
      </c>
      <c r="B309" s="23">
        <v>45159.612453703703</v>
      </c>
      <c r="C309" s="23">
        <v>45159.612453703703</v>
      </c>
      <c r="D309" s="23" t="str">
        <f>IF(Table1[[#This Row],[Duration of Campaign]]=0, "Ongoing","Completed")</f>
        <v>Ongoing</v>
      </c>
      <c r="E309" s="25">
        <f>Table1[[#This Row],[End Date]]-Table1[[#This Row],[Start Date]]</f>
        <v>0</v>
      </c>
      <c r="F309" s="8">
        <v>7620</v>
      </c>
      <c r="G309" s="21" t="s">
        <v>14</v>
      </c>
      <c r="H309" s="11">
        <v>11483</v>
      </c>
      <c r="I309" s="11">
        <v>1166</v>
      </c>
      <c r="J309" s="11">
        <v>405</v>
      </c>
      <c r="K309" s="13">
        <v>6479</v>
      </c>
      <c r="L309" s="16">
        <f t="shared" si="24"/>
        <v>0.10154140903944962</v>
      </c>
      <c r="M309" s="16">
        <f t="shared" si="25"/>
        <v>0.34734133790737565</v>
      </c>
      <c r="N309" s="17">
        <f t="shared" si="26"/>
        <v>15.839622641509434</v>
      </c>
      <c r="O309" s="17">
        <f t="shared" si="27"/>
        <v>45.602469135802473</v>
      </c>
      <c r="P309" s="16">
        <f t="shared" si="28"/>
        <v>2.4237532808398949</v>
      </c>
      <c r="Q309" s="16">
        <f t="shared" si="29"/>
        <v>0.35080405002977966</v>
      </c>
      <c r="R309" s="2" t="s">
        <v>640</v>
      </c>
      <c r="S309" s="21" t="s">
        <v>16</v>
      </c>
      <c r="T309" s="21" t="s">
        <v>27</v>
      </c>
      <c r="U309" s="8">
        <v>18469</v>
      </c>
      <c r="V309" s="11">
        <v>2</v>
      </c>
      <c r="W309" t="str">
        <f>IF(Table1[[#This Row],[Satisfaction Rating]]&lt;2, "Low", IF(Table1[[#This Row],[Satisfaction Rating]]&lt;4, "Medium", "High"))</f>
        <v>Medium</v>
      </c>
    </row>
    <row r="310" spans="1:23" ht="13" x14ac:dyDescent="0.15">
      <c r="A310" s="2" t="s">
        <v>641</v>
      </c>
      <c r="B310" s="23">
        <v>45332.289976851855</v>
      </c>
      <c r="C310" s="23">
        <v>45332.289976851855</v>
      </c>
      <c r="D310" s="23" t="str">
        <f>IF(Table1[[#This Row],[Duration of Campaign]]=0, "Ongoing","Completed")</f>
        <v>Ongoing</v>
      </c>
      <c r="E310" s="25">
        <f>Table1[[#This Row],[End Date]]-Table1[[#This Row],[Start Date]]</f>
        <v>0</v>
      </c>
      <c r="F310" s="8">
        <v>4463</v>
      </c>
      <c r="G310" s="21" t="s">
        <v>37</v>
      </c>
      <c r="H310" s="11">
        <v>17778</v>
      </c>
      <c r="I310" s="11">
        <v>1014</v>
      </c>
      <c r="J310" s="11">
        <v>315</v>
      </c>
      <c r="K310" s="13">
        <v>11419</v>
      </c>
      <c r="L310" s="16">
        <f t="shared" si="24"/>
        <v>5.7036787040161997E-2</v>
      </c>
      <c r="M310" s="16">
        <f t="shared" si="25"/>
        <v>0.31065088757396447</v>
      </c>
      <c r="N310" s="17">
        <f t="shared" si="26"/>
        <v>9.0147928994082847</v>
      </c>
      <c r="O310" s="17">
        <f t="shared" si="27"/>
        <v>29.019047619047619</v>
      </c>
      <c r="P310" s="16">
        <f t="shared" si="28"/>
        <v>2.0481738740757338</v>
      </c>
      <c r="Q310" s="16">
        <f t="shared" si="29"/>
        <v>1.2492068701454984</v>
      </c>
      <c r="R310" s="2" t="s">
        <v>642</v>
      </c>
      <c r="S310" s="21" t="s">
        <v>21</v>
      </c>
      <c r="T310" s="21" t="s">
        <v>17</v>
      </c>
      <c r="U310" s="8">
        <v>9141</v>
      </c>
      <c r="V310" s="11">
        <v>3</v>
      </c>
      <c r="W310" t="str">
        <f>IF(Table1[[#This Row],[Satisfaction Rating]]&lt;2, "Low", IF(Table1[[#This Row],[Satisfaction Rating]]&lt;4, "Medium", "High"))</f>
        <v>Medium</v>
      </c>
    </row>
    <row r="311" spans="1:23" ht="13" x14ac:dyDescent="0.15">
      <c r="A311" s="2" t="s">
        <v>643</v>
      </c>
      <c r="B311" s="23">
        <v>45225.443738425929</v>
      </c>
      <c r="C311" s="23">
        <v>45225.443738425929</v>
      </c>
      <c r="D311" s="23" t="str">
        <f>IF(Table1[[#This Row],[Duration of Campaign]]=0, "Ongoing","Completed")</f>
        <v>Ongoing</v>
      </c>
      <c r="E311" s="25">
        <f>Table1[[#This Row],[End Date]]-Table1[[#This Row],[Start Date]]</f>
        <v>0</v>
      </c>
      <c r="F311" s="8">
        <v>3570</v>
      </c>
      <c r="G311" s="21" t="s">
        <v>14</v>
      </c>
      <c r="H311" s="11">
        <v>12068</v>
      </c>
      <c r="I311" s="11">
        <v>1597</v>
      </c>
      <c r="J311" s="11">
        <v>496</v>
      </c>
      <c r="K311" s="13">
        <v>5571</v>
      </c>
      <c r="L311" s="16">
        <f t="shared" si="24"/>
        <v>0.13233344381836262</v>
      </c>
      <c r="M311" s="16">
        <f t="shared" si="25"/>
        <v>0.31058234189104572</v>
      </c>
      <c r="N311" s="17">
        <f t="shared" si="26"/>
        <v>5.3537883531621793</v>
      </c>
      <c r="O311" s="17">
        <f t="shared" si="27"/>
        <v>17.237903225806452</v>
      </c>
      <c r="P311" s="16">
        <f t="shared" si="28"/>
        <v>2.3949579831932772</v>
      </c>
      <c r="Q311" s="16">
        <f t="shared" si="29"/>
        <v>0.65157894736842104</v>
      </c>
      <c r="R311" s="2" t="s">
        <v>644</v>
      </c>
      <c r="S311" s="21" t="s">
        <v>35</v>
      </c>
      <c r="T311" s="21" t="s">
        <v>17</v>
      </c>
      <c r="U311" s="8">
        <v>8550</v>
      </c>
      <c r="V311" s="11">
        <v>3</v>
      </c>
      <c r="W311" t="str">
        <f>IF(Table1[[#This Row],[Satisfaction Rating]]&lt;2, "Low", IF(Table1[[#This Row],[Satisfaction Rating]]&lt;4, "Medium", "High"))</f>
        <v>Medium</v>
      </c>
    </row>
    <row r="312" spans="1:23" ht="13" x14ac:dyDescent="0.15">
      <c r="A312" s="2" t="s">
        <v>645</v>
      </c>
      <c r="B312" s="23">
        <v>44945.418865740743</v>
      </c>
      <c r="C312" s="23">
        <v>45044.368020833332</v>
      </c>
      <c r="D312" s="23" t="str">
        <f>IF(Table1[[#This Row],[Duration of Campaign]]=0, "Ongoing","Completed")</f>
        <v>Completed</v>
      </c>
      <c r="E312" s="25">
        <f>Table1[[#This Row],[End Date]]-Table1[[#This Row],[Start Date]]</f>
        <v>98.949155092588626</v>
      </c>
      <c r="F312" s="8">
        <v>5673</v>
      </c>
      <c r="G312" s="21" t="s">
        <v>37</v>
      </c>
      <c r="H312" s="11">
        <v>15956</v>
      </c>
      <c r="I312" s="11">
        <v>315</v>
      </c>
      <c r="J312" s="11">
        <v>494</v>
      </c>
      <c r="K312" s="13">
        <v>1359</v>
      </c>
      <c r="L312" s="16">
        <f t="shared" si="24"/>
        <v>1.9741789922286288E-2</v>
      </c>
      <c r="M312" s="16">
        <f t="shared" si="25"/>
        <v>1.5682539682539682</v>
      </c>
      <c r="N312" s="17">
        <f t="shared" si="26"/>
        <v>27.746031746031747</v>
      </c>
      <c r="O312" s="17">
        <f t="shared" si="27"/>
        <v>17.692307692307693</v>
      </c>
      <c r="P312" s="16">
        <f t="shared" si="28"/>
        <v>1.5406310594041952</v>
      </c>
      <c r="Q312" s="16">
        <f t="shared" si="29"/>
        <v>0.15549199084668192</v>
      </c>
      <c r="R312" s="2" t="s">
        <v>646</v>
      </c>
      <c r="S312" s="21" t="s">
        <v>24</v>
      </c>
      <c r="T312" s="21" t="s">
        <v>27</v>
      </c>
      <c r="U312" s="8">
        <v>8740</v>
      </c>
      <c r="V312" s="11">
        <v>4</v>
      </c>
      <c r="W312" t="str">
        <f>IF(Table1[[#This Row],[Satisfaction Rating]]&lt;2, "Low", IF(Table1[[#This Row],[Satisfaction Rating]]&lt;4, "Medium", "High"))</f>
        <v>High</v>
      </c>
    </row>
    <row r="313" spans="1:23" ht="13" x14ac:dyDescent="0.15">
      <c r="A313" s="2" t="s">
        <v>647</v>
      </c>
      <c r="B313" s="23">
        <v>45215.062094907407</v>
      </c>
      <c r="C313" s="23">
        <v>45215.062094907407</v>
      </c>
      <c r="D313" s="23" t="str">
        <f>IF(Table1[[#This Row],[Duration of Campaign]]=0, "Ongoing","Completed")</f>
        <v>Ongoing</v>
      </c>
      <c r="E313" s="25">
        <f>Table1[[#This Row],[End Date]]-Table1[[#This Row],[Start Date]]</f>
        <v>0</v>
      </c>
      <c r="F313" s="8">
        <v>7917</v>
      </c>
      <c r="G313" s="21" t="s">
        <v>53</v>
      </c>
      <c r="H313" s="11">
        <v>14699</v>
      </c>
      <c r="I313" s="11">
        <v>1339</v>
      </c>
      <c r="J313" s="11">
        <v>358</v>
      </c>
      <c r="K313" s="13">
        <v>3396</v>
      </c>
      <c r="L313" s="16">
        <f t="shared" si="24"/>
        <v>9.1094632287910746E-2</v>
      </c>
      <c r="M313" s="16">
        <f t="shared" si="25"/>
        <v>0.26736370425690814</v>
      </c>
      <c r="N313" s="17">
        <f t="shared" si="26"/>
        <v>13.888722927557879</v>
      </c>
      <c r="O313" s="17">
        <f t="shared" si="27"/>
        <v>51.946927374301673</v>
      </c>
      <c r="P313" s="16">
        <f t="shared" si="28"/>
        <v>2.3489958317544524</v>
      </c>
      <c r="Q313" s="16">
        <f t="shared" si="29"/>
        <v>0.18261009840296821</v>
      </c>
      <c r="R313" s="2" t="s">
        <v>648</v>
      </c>
      <c r="S313" s="21" t="s">
        <v>30</v>
      </c>
      <c r="T313" s="21" t="s">
        <v>45</v>
      </c>
      <c r="U313" s="8">
        <v>18597</v>
      </c>
      <c r="V313" s="11">
        <v>1</v>
      </c>
      <c r="W313" t="str">
        <f>IF(Table1[[#This Row],[Satisfaction Rating]]&lt;2, "Low", IF(Table1[[#This Row],[Satisfaction Rating]]&lt;4, "Medium", "High"))</f>
        <v>Low</v>
      </c>
    </row>
    <row r="314" spans="1:23" ht="13" x14ac:dyDescent="0.15">
      <c r="A314" s="2" t="s">
        <v>649</v>
      </c>
      <c r="B314" s="23">
        <v>45044.072708333333</v>
      </c>
      <c r="C314" s="23">
        <v>45371.760648148149</v>
      </c>
      <c r="D314" s="23" t="str">
        <f>IF(Table1[[#This Row],[Duration of Campaign]]=0, "Ongoing","Completed")</f>
        <v>Completed</v>
      </c>
      <c r="E314" s="25">
        <f>Table1[[#This Row],[End Date]]-Table1[[#This Row],[Start Date]]</f>
        <v>327.68793981481576</v>
      </c>
      <c r="F314" s="8">
        <v>1774</v>
      </c>
      <c r="G314" s="21" t="s">
        <v>37</v>
      </c>
      <c r="H314" s="11">
        <v>15981</v>
      </c>
      <c r="I314" s="11">
        <v>1367</v>
      </c>
      <c r="J314" s="11">
        <v>347</v>
      </c>
      <c r="K314" s="13">
        <v>9906</v>
      </c>
      <c r="L314" s="16">
        <f t="shared" si="24"/>
        <v>8.5539077654714968E-2</v>
      </c>
      <c r="M314" s="16">
        <f t="shared" si="25"/>
        <v>0.2538405267008047</v>
      </c>
      <c r="N314" s="17">
        <f t="shared" si="26"/>
        <v>0.71104608632040966</v>
      </c>
      <c r="O314" s="17">
        <f t="shared" si="27"/>
        <v>2.8011527377521612</v>
      </c>
      <c r="P314" s="16">
        <f t="shared" si="28"/>
        <v>0.54791431792559186</v>
      </c>
      <c r="Q314" s="16">
        <f t="shared" si="29"/>
        <v>10.191358024691358</v>
      </c>
      <c r="R314" s="2" t="s">
        <v>650</v>
      </c>
      <c r="S314" s="21" t="s">
        <v>16</v>
      </c>
      <c r="T314" s="21" t="s">
        <v>17</v>
      </c>
      <c r="U314" s="8">
        <v>972</v>
      </c>
      <c r="V314" s="11">
        <v>3</v>
      </c>
      <c r="W314" t="str">
        <f>IF(Table1[[#This Row],[Satisfaction Rating]]&lt;2, "Low", IF(Table1[[#This Row],[Satisfaction Rating]]&lt;4, "Medium", "High"))</f>
        <v>Medium</v>
      </c>
    </row>
    <row r="315" spans="1:23" ht="13" x14ac:dyDescent="0.15">
      <c r="A315" s="2" t="s">
        <v>651</v>
      </c>
      <c r="B315" s="23">
        <v>45223.640879629631</v>
      </c>
      <c r="C315" s="23">
        <v>45223.640879629631</v>
      </c>
      <c r="D315" s="23" t="str">
        <f>IF(Table1[[#This Row],[Duration of Campaign]]=0, "Ongoing","Completed")</f>
        <v>Ongoing</v>
      </c>
      <c r="E315" s="25">
        <f>Table1[[#This Row],[End Date]]-Table1[[#This Row],[Start Date]]</f>
        <v>0</v>
      </c>
      <c r="F315" s="8">
        <v>7137</v>
      </c>
      <c r="G315" s="21" t="s">
        <v>19</v>
      </c>
      <c r="H315" s="11">
        <v>4638</v>
      </c>
      <c r="I315" s="11">
        <v>1466</v>
      </c>
      <c r="J315" s="11">
        <v>93</v>
      </c>
      <c r="K315" s="13">
        <v>605</v>
      </c>
      <c r="L315" s="16">
        <f t="shared" si="24"/>
        <v>0.31608451918930575</v>
      </c>
      <c r="M315" s="16">
        <f t="shared" si="25"/>
        <v>6.3437926330150066E-2</v>
      </c>
      <c r="N315" s="17">
        <f t="shared" si="26"/>
        <v>9.7046384720327428</v>
      </c>
      <c r="O315" s="17">
        <f t="shared" si="27"/>
        <v>152.97849462365591</v>
      </c>
      <c r="P315" s="16">
        <f t="shared" si="28"/>
        <v>1.993414599971977</v>
      </c>
      <c r="Q315" s="16">
        <f t="shared" si="29"/>
        <v>4.2524776832782739E-2</v>
      </c>
      <c r="R315" s="2" t="s">
        <v>652</v>
      </c>
      <c r="S315" s="21" t="s">
        <v>35</v>
      </c>
      <c r="T315" s="21" t="s">
        <v>45</v>
      </c>
      <c r="U315" s="8">
        <v>14227</v>
      </c>
      <c r="V315" s="11">
        <v>3</v>
      </c>
      <c r="W315" t="str">
        <f>IF(Table1[[#This Row],[Satisfaction Rating]]&lt;2, "Low", IF(Table1[[#This Row],[Satisfaction Rating]]&lt;4, "Medium", "High"))</f>
        <v>Medium</v>
      </c>
    </row>
    <row r="316" spans="1:23" ht="13" x14ac:dyDescent="0.15">
      <c r="A316" s="2" t="s">
        <v>653</v>
      </c>
      <c r="B316" s="23">
        <v>45198.805138888885</v>
      </c>
      <c r="C316" s="23">
        <v>45564.700416666667</v>
      </c>
      <c r="D316" s="23" t="str">
        <f>IF(Table1[[#This Row],[Duration of Campaign]]=0, "Ongoing","Completed")</f>
        <v>Completed</v>
      </c>
      <c r="E316" s="25">
        <f>Table1[[#This Row],[End Date]]-Table1[[#This Row],[Start Date]]</f>
        <v>365.8952777777813</v>
      </c>
      <c r="F316" s="8">
        <v>7822</v>
      </c>
      <c r="G316" s="21" t="s">
        <v>19</v>
      </c>
      <c r="H316" s="11">
        <v>19503</v>
      </c>
      <c r="I316" s="11">
        <v>417</v>
      </c>
      <c r="J316" s="11">
        <v>52</v>
      </c>
      <c r="K316" s="13">
        <v>7524</v>
      </c>
      <c r="L316" s="16">
        <f t="shared" si="24"/>
        <v>2.1381325949853869E-2</v>
      </c>
      <c r="M316" s="16">
        <f t="shared" si="25"/>
        <v>0.12470023980815348</v>
      </c>
      <c r="N316" s="17">
        <f t="shared" si="26"/>
        <v>10.040767386091128</v>
      </c>
      <c r="O316" s="17">
        <f t="shared" si="27"/>
        <v>80.519230769230774</v>
      </c>
      <c r="P316" s="16">
        <f t="shared" si="28"/>
        <v>0.53528509332651497</v>
      </c>
      <c r="Q316" s="16">
        <f t="shared" si="29"/>
        <v>1.7969906854549798</v>
      </c>
      <c r="R316" s="2" t="s">
        <v>654</v>
      </c>
      <c r="S316" s="21" t="s">
        <v>30</v>
      </c>
      <c r="T316" s="21" t="s">
        <v>17</v>
      </c>
      <c r="U316" s="8">
        <v>4187</v>
      </c>
      <c r="V316" s="11">
        <v>4</v>
      </c>
      <c r="W316" t="str">
        <f>IF(Table1[[#This Row],[Satisfaction Rating]]&lt;2, "Low", IF(Table1[[#This Row],[Satisfaction Rating]]&lt;4, "Medium", "High"))</f>
        <v>High</v>
      </c>
    </row>
    <row r="317" spans="1:23" ht="13" x14ac:dyDescent="0.15">
      <c r="A317" s="2" t="s">
        <v>655</v>
      </c>
      <c r="B317" s="23">
        <v>45360.982268518521</v>
      </c>
      <c r="C317" s="23">
        <v>45360.982268518521</v>
      </c>
      <c r="D317" s="23" t="str">
        <f>IF(Table1[[#This Row],[Duration of Campaign]]=0, "Ongoing","Completed")</f>
        <v>Ongoing</v>
      </c>
      <c r="E317" s="25">
        <f>Table1[[#This Row],[End Date]]-Table1[[#This Row],[Start Date]]</f>
        <v>0</v>
      </c>
      <c r="F317" s="8">
        <v>6551</v>
      </c>
      <c r="G317" s="21" t="s">
        <v>14</v>
      </c>
      <c r="H317" s="11">
        <v>15879</v>
      </c>
      <c r="I317" s="11">
        <v>1050</v>
      </c>
      <c r="J317" s="11">
        <v>392</v>
      </c>
      <c r="K317" s="13">
        <v>13678</v>
      </c>
      <c r="L317" s="16">
        <f t="shared" si="24"/>
        <v>6.6125070848290196E-2</v>
      </c>
      <c r="M317" s="16">
        <f t="shared" si="25"/>
        <v>0.37333333333333335</v>
      </c>
      <c r="N317" s="17">
        <f t="shared" si="26"/>
        <v>18.942857142857143</v>
      </c>
      <c r="O317" s="17">
        <f t="shared" si="27"/>
        <v>50.739795918367349</v>
      </c>
      <c r="P317" s="16">
        <f t="shared" si="28"/>
        <v>3.0361776827965197</v>
      </c>
      <c r="Q317" s="16">
        <f t="shared" si="29"/>
        <v>0.68768225238813474</v>
      </c>
      <c r="R317" s="2" t="s">
        <v>656</v>
      </c>
      <c r="S317" s="21" t="s">
        <v>16</v>
      </c>
      <c r="T317" s="21" t="s">
        <v>45</v>
      </c>
      <c r="U317" s="8">
        <v>19890</v>
      </c>
      <c r="V317" s="11">
        <v>3</v>
      </c>
      <c r="W317" t="str">
        <f>IF(Table1[[#This Row],[Satisfaction Rating]]&lt;2, "Low", IF(Table1[[#This Row],[Satisfaction Rating]]&lt;4, "Medium", "High"))</f>
        <v>Medium</v>
      </c>
    </row>
    <row r="318" spans="1:23" ht="13" x14ac:dyDescent="0.15">
      <c r="A318" s="2" t="s">
        <v>657</v>
      </c>
      <c r="B318" s="23">
        <v>45556.260150462964</v>
      </c>
      <c r="C318" s="23">
        <v>45556.260150462964</v>
      </c>
      <c r="D318" s="23" t="str">
        <f>IF(Table1[[#This Row],[Duration of Campaign]]=0, "Ongoing","Completed")</f>
        <v>Ongoing</v>
      </c>
      <c r="E318" s="25">
        <f>Table1[[#This Row],[End Date]]-Table1[[#This Row],[Start Date]]</f>
        <v>0</v>
      </c>
      <c r="F318" s="8">
        <v>7021</v>
      </c>
      <c r="G318" s="21" t="s">
        <v>14</v>
      </c>
      <c r="H318" s="11">
        <v>7357</v>
      </c>
      <c r="I318" s="11">
        <v>842</v>
      </c>
      <c r="J318" s="11">
        <v>317</v>
      </c>
      <c r="K318" s="13">
        <v>7583</v>
      </c>
      <c r="L318" s="16">
        <f t="shared" si="24"/>
        <v>0.11444882424901455</v>
      </c>
      <c r="M318" s="16">
        <f t="shared" si="25"/>
        <v>0.37648456057007124</v>
      </c>
      <c r="N318" s="17">
        <f t="shared" si="26"/>
        <v>13.230403800475059</v>
      </c>
      <c r="O318" s="17">
        <f t="shared" si="27"/>
        <v>35.141955835962143</v>
      </c>
      <c r="P318" s="16">
        <f t="shared" si="28"/>
        <v>1.5866685657313773</v>
      </c>
      <c r="Q318" s="16">
        <f t="shared" si="29"/>
        <v>0.6807001795332136</v>
      </c>
      <c r="R318" s="2" t="s">
        <v>658</v>
      </c>
      <c r="S318" s="21" t="s">
        <v>30</v>
      </c>
      <c r="T318" s="21" t="s">
        <v>45</v>
      </c>
      <c r="U318" s="8">
        <v>11140</v>
      </c>
      <c r="V318" s="11">
        <v>4</v>
      </c>
      <c r="W318" t="str">
        <f>IF(Table1[[#This Row],[Satisfaction Rating]]&lt;2, "Low", IF(Table1[[#This Row],[Satisfaction Rating]]&lt;4, "Medium", "High"))</f>
        <v>High</v>
      </c>
    </row>
    <row r="319" spans="1:23" ht="13" x14ac:dyDescent="0.15">
      <c r="A319" s="2" t="s">
        <v>659</v>
      </c>
      <c r="B319" s="23">
        <v>44998.409467592595</v>
      </c>
      <c r="C319" s="23">
        <v>45118.474143518521</v>
      </c>
      <c r="D319" s="23" t="str">
        <f>IF(Table1[[#This Row],[Duration of Campaign]]=0, "Ongoing","Completed")</f>
        <v>Completed</v>
      </c>
      <c r="E319" s="25">
        <f>Table1[[#This Row],[End Date]]-Table1[[#This Row],[Start Date]]</f>
        <v>120.06467592592526</v>
      </c>
      <c r="F319" s="8">
        <v>5681</v>
      </c>
      <c r="G319" s="21" t="s">
        <v>37</v>
      </c>
      <c r="H319" s="11">
        <v>19590</v>
      </c>
      <c r="I319" s="11">
        <v>344</v>
      </c>
      <c r="J319" s="11">
        <v>238</v>
      </c>
      <c r="K319" s="13">
        <v>5070</v>
      </c>
      <c r="L319" s="16">
        <f t="shared" si="24"/>
        <v>1.755997958141909E-2</v>
      </c>
      <c r="M319" s="16">
        <f t="shared" si="25"/>
        <v>0.69186046511627908</v>
      </c>
      <c r="N319" s="17">
        <f t="shared" si="26"/>
        <v>17.819767441860463</v>
      </c>
      <c r="O319" s="17">
        <f t="shared" si="27"/>
        <v>25.756302521008404</v>
      </c>
      <c r="P319" s="16">
        <f t="shared" si="28"/>
        <v>1.0790353810948776</v>
      </c>
      <c r="Q319" s="16">
        <f t="shared" si="29"/>
        <v>0.82707993474714514</v>
      </c>
      <c r="R319" s="2" t="s">
        <v>660</v>
      </c>
      <c r="S319" s="21" t="s">
        <v>30</v>
      </c>
      <c r="T319" s="21" t="s">
        <v>17</v>
      </c>
      <c r="U319" s="8">
        <v>6130</v>
      </c>
      <c r="V319" s="11">
        <v>5</v>
      </c>
      <c r="W319" t="str">
        <f>IF(Table1[[#This Row],[Satisfaction Rating]]&lt;2, "Low", IF(Table1[[#This Row],[Satisfaction Rating]]&lt;4, "Medium", "High"))</f>
        <v>High</v>
      </c>
    </row>
    <row r="320" spans="1:23" ht="13" x14ac:dyDescent="0.15">
      <c r="A320" s="2" t="s">
        <v>661</v>
      </c>
      <c r="B320" s="23">
        <v>45214.598819444444</v>
      </c>
      <c r="C320" s="23">
        <v>45427.954351851855</v>
      </c>
      <c r="D320" s="23" t="str">
        <f>IF(Table1[[#This Row],[Duration of Campaign]]=0, "Ongoing","Completed")</f>
        <v>Completed</v>
      </c>
      <c r="E320" s="25">
        <f>Table1[[#This Row],[End Date]]-Table1[[#This Row],[Start Date]]</f>
        <v>213.35553240741137</v>
      </c>
      <c r="F320" s="8">
        <v>4282</v>
      </c>
      <c r="G320" s="21" t="s">
        <v>14</v>
      </c>
      <c r="H320" s="11">
        <v>8222</v>
      </c>
      <c r="I320" s="11">
        <v>1925</v>
      </c>
      <c r="J320" s="11">
        <v>298</v>
      </c>
      <c r="K320" s="13">
        <v>2126</v>
      </c>
      <c r="L320" s="16">
        <f t="shared" si="24"/>
        <v>0.23412794940403794</v>
      </c>
      <c r="M320" s="16">
        <f t="shared" si="25"/>
        <v>0.15480519480519481</v>
      </c>
      <c r="N320" s="17">
        <f t="shared" si="26"/>
        <v>6.8192207792207791</v>
      </c>
      <c r="O320" s="17">
        <f t="shared" si="27"/>
        <v>44.050335570469798</v>
      </c>
      <c r="P320" s="16">
        <f t="shared" si="28"/>
        <v>3.0656235404016816</v>
      </c>
      <c r="Q320" s="16">
        <f t="shared" si="29"/>
        <v>0.16195627332977833</v>
      </c>
      <c r="R320" s="2" t="s">
        <v>662</v>
      </c>
      <c r="S320" s="21" t="s">
        <v>30</v>
      </c>
      <c r="T320" s="21" t="s">
        <v>17</v>
      </c>
      <c r="U320" s="8">
        <v>13127</v>
      </c>
      <c r="V320" s="11">
        <v>3</v>
      </c>
      <c r="W320" t="str">
        <f>IF(Table1[[#This Row],[Satisfaction Rating]]&lt;2, "Low", IF(Table1[[#This Row],[Satisfaction Rating]]&lt;4, "Medium", "High"))</f>
        <v>Medium</v>
      </c>
    </row>
    <row r="321" spans="1:23" ht="13" x14ac:dyDescent="0.15">
      <c r="A321" s="2" t="s">
        <v>663</v>
      </c>
      <c r="B321" s="23">
        <v>45291.814166666663</v>
      </c>
      <c r="C321" s="23">
        <v>45391.791631944441</v>
      </c>
      <c r="D321" s="23" t="str">
        <f>IF(Table1[[#This Row],[Duration of Campaign]]=0, "Ongoing","Completed")</f>
        <v>Completed</v>
      </c>
      <c r="E321" s="25">
        <f>Table1[[#This Row],[End Date]]-Table1[[#This Row],[Start Date]]</f>
        <v>99.97746527777781</v>
      </c>
      <c r="F321" s="8">
        <v>5328</v>
      </c>
      <c r="G321" s="21" t="s">
        <v>19</v>
      </c>
      <c r="H321" s="11">
        <v>1830</v>
      </c>
      <c r="I321" s="11">
        <v>966</v>
      </c>
      <c r="J321" s="11">
        <v>432</v>
      </c>
      <c r="K321" s="13">
        <v>5920</v>
      </c>
      <c r="L321" s="16">
        <f t="shared" si="24"/>
        <v>0.52786885245901638</v>
      </c>
      <c r="M321" s="16">
        <f t="shared" si="25"/>
        <v>0.44720496894409939</v>
      </c>
      <c r="N321" s="17">
        <f t="shared" si="26"/>
        <v>19.508281573498966</v>
      </c>
      <c r="O321" s="17">
        <f t="shared" si="27"/>
        <v>43.622685185185183</v>
      </c>
      <c r="P321" s="16">
        <f t="shared" si="28"/>
        <v>3.5369744744744747</v>
      </c>
      <c r="Q321" s="16">
        <f t="shared" si="29"/>
        <v>0.31414168214380472</v>
      </c>
      <c r="R321" s="2" t="s">
        <v>664</v>
      </c>
      <c r="S321" s="21" t="s">
        <v>24</v>
      </c>
      <c r="T321" s="21" t="s">
        <v>45</v>
      </c>
      <c r="U321" s="8">
        <v>18845</v>
      </c>
      <c r="V321" s="11">
        <v>4</v>
      </c>
      <c r="W321" t="str">
        <f>IF(Table1[[#This Row],[Satisfaction Rating]]&lt;2, "Low", IF(Table1[[#This Row],[Satisfaction Rating]]&lt;4, "Medium", "High"))</f>
        <v>High</v>
      </c>
    </row>
    <row r="322" spans="1:23" ht="13" x14ac:dyDescent="0.15">
      <c r="A322" s="2" t="s">
        <v>665</v>
      </c>
      <c r="B322" s="23">
        <v>45199.679861111108</v>
      </c>
      <c r="C322" s="23">
        <v>45415.484467592592</v>
      </c>
      <c r="D322" s="23" t="str">
        <f>IF(Table1[[#This Row],[Duration of Campaign]]=0, "Ongoing","Completed")</f>
        <v>Completed</v>
      </c>
      <c r="E322" s="25">
        <f>Table1[[#This Row],[End Date]]-Table1[[#This Row],[Start Date]]</f>
        <v>215.80460648148437</v>
      </c>
      <c r="F322" s="8">
        <v>7488</v>
      </c>
      <c r="G322" s="21" t="s">
        <v>53</v>
      </c>
      <c r="H322" s="11">
        <v>7145</v>
      </c>
      <c r="I322" s="11">
        <v>1861</v>
      </c>
      <c r="J322" s="11">
        <v>79</v>
      </c>
      <c r="K322" s="13">
        <v>2720</v>
      </c>
      <c r="L322" s="16">
        <f t="shared" si="24"/>
        <v>0.26046186144156752</v>
      </c>
      <c r="M322" s="16">
        <f t="shared" si="25"/>
        <v>4.245029554003224E-2</v>
      </c>
      <c r="N322" s="17">
        <f t="shared" si="26"/>
        <v>9.0037614185921555</v>
      </c>
      <c r="O322" s="17">
        <f t="shared" si="27"/>
        <v>212.1012658227848</v>
      </c>
      <c r="P322" s="16">
        <f t="shared" si="28"/>
        <v>2.237713675213675</v>
      </c>
      <c r="Q322" s="16">
        <f t="shared" si="29"/>
        <v>0.16232991167343042</v>
      </c>
      <c r="R322" s="2" t="s">
        <v>666</v>
      </c>
      <c r="S322" s="21" t="s">
        <v>35</v>
      </c>
      <c r="T322" s="21" t="s">
        <v>17</v>
      </c>
      <c r="U322" s="8">
        <v>16756</v>
      </c>
      <c r="V322" s="11">
        <v>1</v>
      </c>
      <c r="W322" t="str">
        <f>IF(Table1[[#This Row],[Satisfaction Rating]]&lt;2, "Low", IF(Table1[[#This Row],[Satisfaction Rating]]&lt;4, "Medium", "High"))</f>
        <v>Low</v>
      </c>
    </row>
    <row r="323" spans="1:23" ht="13" x14ac:dyDescent="0.15">
      <c r="A323" s="2" t="s">
        <v>667</v>
      </c>
      <c r="B323" s="23">
        <v>45149.487337962964</v>
      </c>
      <c r="C323" s="23">
        <v>45225.207812499997</v>
      </c>
      <c r="D323" s="23" t="str">
        <f>IF(Table1[[#This Row],[Duration of Campaign]]=0, "Ongoing","Completed")</f>
        <v>Completed</v>
      </c>
      <c r="E323" s="25">
        <f>Table1[[#This Row],[End Date]]-Table1[[#This Row],[Start Date]]</f>
        <v>75.720474537032715</v>
      </c>
      <c r="F323" s="8">
        <v>3474</v>
      </c>
      <c r="G323" s="21" t="s">
        <v>53</v>
      </c>
      <c r="H323" s="11">
        <v>16830</v>
      </c>
      <c r="I323" s="11">
        <v>210</v>
      </c>
      <c r="J323" s="11">
        <v>207</v>
      </c>
      <c r="K323" s="13">
        <v>5791</v>
      </c>
      <c r="L323" s="16">
        <f t="shared" ref="L323:L386" si="30">I323/H323</f>
        <v>1.2477718360071301E-2</v>
      </c>
      <c r="M323" s="16">
        <f t="shared" ref="M323:M386" si="31">J323/I323</f>
        <v>0.98571428571428577</v>
      </c>
      <c r="N323" s="17">
        <f t="shared" ref="N323:N386" si="32">U323/I323</f>
        <v>17.69047619047619</v>
      </c>
      <c r="O323" s="17">
        <f t="shared" ref="O323:O386" si="33">U323/J323</f>
        <v>17.946859903381643</v>
      </c>
      <c r="P323" s="16">
        <f t="shared" ref="P323:P386" si="34">U323/F323</f>
        <v>1.0693724812895797</v>
      </c>
      <c r="Q323" s="16">
        <f t="shared" ref="Q323:Q386" si="35">K323/U323</f>
        <v>1.5588156123822341</v>
      </c>
      <c r="R323" s="2" t="s">
        <v>668</v>
      </c>
      <c r="S323" s="21" t="s">
        <v>24</v>
      </c>
      <c r="T323" s="21" t="s">
        <v>27</v>
      </c>
      <c r="U323" s="8">
        <v>3715</v>
      </c>
      <c r="V323" s="11">
        <v>3</v>
      </c>
      <c r="W323" t="str">
        <f>IF(Table1[[#This Row],[Satisfaction Rating]]&lt;2, "Low", IF(Table1[[#This Row],[Satisfaction Rating]]&lt;4, "Medium", "High"))</f>
        <v>Medium</v>
      </c>
    </row>
    <row r="324" spans="1:23" ht="13" x14ac:dyDescent="0.15">
      <c r="A324" s="2" t="s">
        <v>669</v>
      </c>
      <c r="B324" s="23">
        <v>44977.4846412037</v>
      </c>
      <c r="C324" s="23">
        <v>45228.435844907406</v>
      </c>
      <c r="D324" s="23" t="str">
        <f>IF(Table1[[#This Row],[Duration of Campaign]]=0, "Ongoing","Completed")</f>
        <v>Completed</v>
      </c>
      <c r="E324" s="25">
        <f>Table1[[#This Row],[End Date]]-Table1[[#This Row],[Start Date]]</f>
        <v>250.95120370370569</v>
      </c>
      <c r="F324" s="8">
        <v>3119</v>
      </c>
      <c r="G324" s="21" t="s">
        <v>53</v>
      </c>
      <c r="H324" s="11">
        <v>2600</v>
      </c>
      <c r="I324" s="11">
        <v>1249</v>
      </c>
      <c r="J324" s="11">
        <v>29</v>
      </c>
      <c r="K324" s="13">
        <v>8128</v>
      </c>
      <c r="L324" s="16">
        <f t="shared" si="30"/>
        <v>0.48038461538461541</v>
      </c>
      <c r="M324" s="16">
        <f t="shared" si="31"/>
        <v>2.321857485988791E-2</v>
      </c>
      <c r="N324" s="17">
        <f t="shared" si="32"/>
        <v>15.5564451561249</v>
      </c>
      <c r="O324" s="17">
        <f t="shared" si="33"/>
        <v>670</v>
      </c>
      <c r="P324" s="16">
        <f t="shared" si="34"/>
        <v>6.2295607566527735</v>
      </c>
      <c r="Q324" s="16">
        <f t="shared" si="35"/>
        <v>0.41832218219248585</v>
      </c>
      <c r="R324" s="2" t="s">
        <v>670</v>
      </c>
      <c r="S324" s="21" t="s">
        <v>24</v>
      </c>
      <c r="T324" s="21" t="s">
        <v>17</v>
      </c>
      <c r="U324" s="8">
        <v>19430</v>
      </c>
      <c r="V324" s="11">
        <v>4</v>
      </c>
      <c r="W324" t="str">
        <f>IF(Table1[[#This Row],[Satisfaction Rating]]&lt;2, "Low", IF(Table1[[#This Row],[Satisfaction Rating]]&lt;4, "Medium", "High"))</f>
        <v>High</v>
      </c>
    </row>
    <row r="325" spans="1:23" ht="13" x14ac:dyDescent="0.15">
      <c r="A325" s="2" t="s">
        <v>671</v>
      </c>
      <c r="B325" s="23">
        <v>45156.664398148147</v>
      </c>
      <c r="C325" s="23">
        <v>45553.523298611108</v>
      </c>
      <c r="D325" s="23" t="str">
        <f>IF(Table1[[#This Row],[Duration of Campaign]]=0, "Ongoing","Completed")</f>
        <v>Completed</v>
      </c>
      <c r="E325" s="25">
        <f>Table1[[#This Row],[End Date]]-Table1[[#This Row],[Start Date]]</f>
        <v>396.85890046296117</v>
      </c>
      <c r="F325" s="8">
        <v>8206</v>
      </c>
      <c r="G325" s="21" t="s">
        <v>19</v>
      </c>
      <c r="H325" s="11">
        <v>8179</v>
      </c>
      <c r="I325" s="11">
        <v>213</v>
      </c>
      <c r="J325" s="11">
        <v>430</v>
      </c>
      <c r="K325" s="13">
        <v>5164</v>
      </c>
      <c r="L325" s="16">
        <f t="shared" si="30"/>
        <v>2.6042303460080695E-2</v>
      </c>
      <c r="M325" s="16">
        <f t="shared" si="31"/>
        <v>2.0187793427230045</v>
      </c>
      <c r="N325" s="17">
        <f t="shared" si="32"/>
        <v>17.305164319248828</v>
      </c>
      <c r="O325" s="17">
        <f t="shared" si="33"/>
        <v>8.5720930232558139</v>
      </c>
      <c r="P325" s="16">
        <f t="shared" si="34"/>
        <v>0.44918352425054836</v>
      </c>
      <c r="Q325" s="16">
        <f t="shared" si="35"/>
        <v>1.400976668475312</v>
      </c>
      <c r="R325" s="2" t="s">
        <v>672</v>
      </c>
      <c r="S325" s="21" t="s">
        <v>21</v>
      </c>
      <c r="T325" s="21" t="s">
        <v>27</v>
      </c>
      <c r="U325" s="8">
        <v>3686</v>
      </c>
      <c r="V325" s="11">
        <v>1</v>
      </c>
      <c r="W325" t="str">
        <f>IF(Table1[[#This Row],[Satisfaction Rating]]&lt;2, "Low", IF(Table1[[#This Row],[Satisfaction Rating]]&lt;4, "Medium", "High"))</f>
        <v>Low</v>
      </c>
    </row>
    <row r="326" spans="1:23" ht="13" x14ac:dyDescent="0.15">
      <c r="A326" s="2" t="s">
        <v>673</v>
      </c>
      <c r="B326" s="23">
        <v>45487.746863425928</v>
      </c>
      <c r="C326" s="23">
        <v>45487.746863425928</v>
      </c>
      <c r="D326" s="23" t="str">
        <f>IF(Table1[[#This Row],[Duration of Campaign]]=0, "Ongoing","Completed")</f>
        <v>Ongoing</v>
      </c>
      <c r="E326" s="25">
        <f>Table1[[#This Row],[End Date]]-Table1[[#This Row],[Start Date]]</f>
        <v>0</v>
      </c>
      <c r="F326" s="8">
        <v>9700</v>
      </c>
      <c r="G326" s="21" t="s">
        <v>19</v>
      </c>
      <c r="H326" s="11">
        <v>19720</v>
      </c>
      <c r="I326" s="11">
        <v>1978</v>
      </c>
      <c r="J326" s="11">
        <v>359</v>
      </c>
      <c r="K326" s="13">
        <v>4658</v>
      </c>
      <c r="L326" s="16">
        <f t="shared" si="30"/>
        <v>0.10030425963488844</v>
      </c>
      <c r="M326" s="16">
        <f t="shared" si="31"/>
        <v>0.18149646107178968</v>
      </c>
      <c r="N326" s="17">
        <f t="shared" si="32"/>
        <v>1.6132457027300304</v>
      </c>
      <c r="O326" s="17">
        <f t="shared" si="33"/>
        <v>8.8885793871866294</v>
      </c>
      <c r="P326" s="16">
        <f t="shared" si="34"/>
        <v>0.32896907216494847</v>
      </c>
      <c r="Q326" s="16">
        <f t="shared" si="35"/>
        <v>1.4597304920087746</v>
      </c>
      <c r="R326" s="2" t="s">
        <v>674</v>
      </c>
      <c r="S326" s="21" t="s">
        <v>24</v>
      </c>
      <c r="T326" s="21" t="s">
        <v>45</v>
      </c>
      <c r="U326" s="8">
        <v>3191</v>
      </c>
      <c r="V326" s="11">
        <v>2</v>
      </c>
      <c r="W326" t="str">
        <f>IF(Table1[[#This Row],[Satisfaction Rating]]&lt;2, "Low", IF(Table1[[#This Row],[Satisfaction Rating]]&lt;4, "Medium", "High"))</f>
        <v>Medium</v>
      </c>
    </row>
    <row r="327" spans="1:23" ht="13" x14ac:dyDescent="0.15">
      <c r="A327" s="2" t="s">
        <v>675</v>
      </c>
      <c r="B327" s="23">
        <v>45114.886793981481</v>
      </c>
      <c r="C327" s="23">
        <v>45357.582118055558</v>
      </c>
      <c r="D327" s="23" t="str">
        <f>IF(Table1[[#This Row],[Duration of Campaign]]=0, "Ongoing","Completed")</f>
        <v>Completed</v>
      </c>
      <c r="E327" s="25">
        <f>Table1[[#This Row],[End Date]]-Table1[[#This Row],[Start Date]]</f>
        <v>242.69532407407678</v>
      </c>
      <c r="F327" s="8">
        <v>3034</v>
      </c>
      <c r="G327" s="21" t="s">
        <v>14</v>
      </c>
      <c r="H327" s="11">
        <v>17148</v>
      </c>
      <c r="I327" s="11">
        <v>1630</v>
      </c>
      <c r="J327" s="11">
        <v>214</v>
      </c>
      <c r="K327" s="13">
        <v>4045</v>
      </c>
      <c r="L327" s="16">
        <f t="shared" si="30"/>
        <v>9.5054816888266849E-2</v>
      </c>
      <c r="M327" s="16">
        <f t="shared" si="31"/>
        <v>0.1312883435582822</v>
      </c>
      <c r="N327" s="17">
        <f t="shared" si="32"/>
        <v>10.255828220858895</v>
      </c>
      <c r="O327" s="17">
        <f t="shared" si="33"/>
        <v>78.116822429906549</v>
      </c>
      <c r="P327" s="16">
        <f t="shared" si="34"/>
        <v>5.5098879367172051</v>
      </c>
      <c r="Q327" s="16">
        <f t="shared" si="35"/>
        <v>0.24196925285637375</v>
      </c>
      <c r="R327" s="2" t="s">
        <v>676</v>
      </c>
      <c r="S327" s="21" t="s">
        <v>35</v>
      </c>
      <c r="T327" s="21" t="s">
        <v>45</v>
      </c>
      <c r="U327" s="8">
        <v>16717</v>
      </c>
      <c r="V327" s="11">
        <v>4</v>
      </c>
      <c r="W327" t="str">
        <f>IF(Table1[[#This Row],[Satisfaction Rating]]&lt;2, "Low", IF(Table1[[#This Row],[Satisfaction Rating]]&lt;4, "Medium", "High"))</f>
        <v>High</v>
      </c>
    </row>
    <row r="328" spans="1:23" ht="13" x14ac:dyDescent="0.15">
      <c r="A328" s="2" t="s">
        <v>677</v>
      </c>
      <c r="B328" s="23">
        <v>45502.539594907408</v>
      </c>
      <c r="C328" s="23">
        <v>45502.539594907408</v>
      </c>
      <c r="D328" s="23" t="str">
        <f>IF(Table1[[#This Row],[Duration of Campaign]]=0, "Ongoing","Completed")</f>
        <v>Ongoing</v>
      </c>
      <c r="E328" s="25">
        <f>Table1[[#This Row],[End Date]]-Table1[[#This Row],[Start Date]]</f>
        <v>0</v>
      </c>
      <c r="F328" s="8">
        <v>2027</v>
      </c>
      <c r="G328" s="21" t="s">
        <v>14</v>
      </c>
      <c r="H328" s="11">
        <v>11346</v>
      </c>
      <c r="I328" s="11">
        <v>446</v>
      </c>
      <c r="J328" s="11">
        <v>76</v>
      </c>
      <c r="K328" s="13">
        <v>5920</v>
      </c>
      <c r="L328" s="16">
        <f t="shared" si="30"/>
        <v>3.9309007579763793E-2</v>
      </c>
      <c r="M328" s="16">
        <f t="shared" si="31"/>
        <v>0.17040358744394618</v>
      </c>
      <c r="N328" s="17">
        <f t="shared" si="32"/>
        <v>17.892376681614351</v>
      </c>
      <c r="O328" s="17">
        <f t="shared" si="33"/>
        <v>105</v>
      </c>
      <c r="P328" s="16">
        <f t="shared" si="34"/>
        <v>3.9368524913665515</v>
      </c>
      <c r="Q328" s="16">
        <f t="shared" si="35"/>
        <v>0.74185463659147866</v>
      </c>
      <c r="R328" s="2" t="s">
        <v>678</v>
      </c>
      <c r="S328" s="21" t="s">
        <v>16</v>
      </c>
      <c r="T328" s="21" t="s">
        <v>17</v>
      </c>
      <c r="U328" s="8">
        <v>7980</v>
      </c>
      <c r="V328" s="11">
        <v>2</v>
      </c>
      <c r="W328" t="str">
        <f>IF(Table1[[#This Row],[Satisfaction Rating]]&lt;2, "Low", IF(Table1[[#This Row],[Satisfaction Rating]]&lt;4, "Medium", "High"))</f>
        <v>Medium</v>
      </c>
    </row>
    <row r="329" spans="1:23" ht="13" x14ac:dyDescent="0.15">
      <c r="A329" s="2" t="s">
        <v>679</v>
      </c>
      <c r="B329" s="23">
        <v>45353.429432870369</v>
      </c>
      <c r="C329" s="23">
        <v>45353.429432870369</v>
      </c>
      <c r="D329" s="23" t="str">
        <f>IF(Table1[[#This Row],[Duration of Campaign]]=0, "Ongoing","Completed")</f>
        <v>Ongoing</v>
      </c>
      <c r="E329" s="25">
        <f>Table1[[#This Row],[End Date]]-Table1[[#This Row],[Start Date]]</f>
        <v>0</v>
      </c>
      <c r="F329" s="8">
        <v>9417</v>
      </c>
      <c r="G329" s="21" t="s">
        <v>14</v>
      </c>
      <c r="H329" s="11">
        <v>11992</v>
      </c>
      <c r="I329" s="11">
        <v>828</v>
      </c>
      <c r="J329" s="11">
        <v>118</v>
      </c>
      <c r="K329" s="13">
        <v>8478</v>
      </c>
      <c r="L329" s="16">
        <f t="shared" si="30"/>
        <v>6.9046030687124754E-2</v>
      </c>
      <c r="M329" s="16">
        <f t="shared" si="31"/>
        <v>0.14251207729468598</v>
      </c>
      <c r="N329" s="17">
        <f t="shared" si="32"/>
        <v>14.721014492753623</v>
      </c>
      <c r="O329" s="17">
        <f t="shared" si="33"/>
        <v>103.29661016949153</v>
      </c>
      <c r="P329" s="16">
        <f t="shared" si="34"/>
        <v>1.2943612615482638</v>
      </c>
      <c r="Q329" s="16">
        <f t="shared" si="35"/>
        <v>0.69554516367216346</v>
      </c>
      <c r="R329" s="2" t="s">
        <v>680</v>
      </c>
      <c r="S329" s="21" t="s">
        <v>21</v>
      </c>
      <c r="T329" s="21" t="s">
        <v>45</v>
      </c>
      <c r="U329" s="8">
        <v>12189</v>
      </c>
      <c r="V329" s="11">
        <v>1</v>
      </c>
      <c r="W329" t="str">
        <f>IF(Table1[[#This Row],[Satisfaction Rating]]&lt;2, "Low", IF(Table1[[#This Row],[Satisfaction Rating]]&lt;4, "Medium", "High"))</f>
        <v>Low</v>
      </c>
    </row>
    <row r="330" spans="1:23" ht="13" x14ac:dyDescent="0.15">
      <c r="A330" s="2" t="s">
        <v>681</v>
      </c>
      <c r="B330" s="23">
        <v>45536.429016203707</v>
      </c>
      <c r="C330" s="23">
        <v>45536.429016203707</v>
      </c>
      <c r="D330" s="23" t="str">
        <f>IF(Table1[[#This Row],[Duration of Campaign]]=0, "Ongoing","Completed")</f>
        <v>Ongoing</v>
      </c>
      <c r="E330" s="25">
        <f>Table1[[#This Row],[End Date]]-Table1[[#This Row],[Start Date]]</f>
        <v>0</v>
      </c>
      <c r="F330" s="8">
        <v>5589</v>
      </c>
      <c r="G330" s="21" t="s">
        <v>14</v>
      </c>
      <c r="H330" s="11">
        <v>2585</v>
      </c>
      <c r="I330" s="11">
        <v>1712</v>
      </c>
      <c r="J330" s="11">
        <v>376</v>
      </c>
      <c r="K330" s="13">
        <v>8607</v>
      </c>
      <c r="L330" s="16">
        <f t="shared" si="30"/>
        <v>0.66228239845261117</v>
      </c>
      <c r="M330" s="16">
        <f t="shared" si="31"/>
        <v>0.21962616822429906</v>
      </c>
      <c r="N330" s="17">
        <f t="shared" si="32"/>
        <v>10.924065420560748</v>
      </c>
      <c r="O330" s="17">
        <f t="shared" si="33"/>
        <v>49.73936170212766</v>
      </c>
      <c r="P330" s="16">
        <f t="shared" si="34"/>
        <v>3.3462157809983899</v>
      </c>
      <c r="Q330" s="16">
        <f t="shared" si="35"/>
        <v>0.46021815848572345</v>
      </c>
      <c r="R330" s="2" t="s">
        <v>682</v>
      </c>
      <c r="S330" s="21" t="s">
        <v>16</v>
      </c>
      <c r="T330" s="21" t="s">
        <v>17</v>
      </c>
      <c r="U330" s="8">
        <v>18702</v>
      </c>
      <c r="V330" s="11">
        <v>4</v>
      </c>
      <c r="W330" t="str">
        <f>IF(Table1[[#This Row],[Satisfaction Rating]]&lt;2, "Low", IF(Table1[[#This Row],[Satisfaction Rating]]&lt;4, "Medium", "High"))</f>
        <v>High</v>
      </c>
    </row>
    <row r="331" spans="1:23" ht="13" x14ac:dyDescent="0.15">
      <c r="A331" s="2" t="s">
        <v>683</v>
      </c>
      <c r="B331" s="23">
        <v>44996.780717592592</v>
      </c>
      <c r="C331" s="23">
        <v>45026.66642361111</v>
      </c>
      <c r="D331" s="23" t="str">
        <f>IF(Table1[[#This Row],[Duration of Campaign]]=0, "Ongoing","Completed")</f>
        <v>Completed</v>
      </c>
      <c r="E331" s="25">
        <f>Table1[[#This Row],[End Date]]-Table1[[#This Row],[Start Date]]</f>
        <v>29.885706018518249</v>
      </c>
      <c r="F331" s="8">
        <v>6412</v>
      </c>
      <c r="G331" s="21" t="s">
        <v>14</v>
      </c>
      <c r="H331" s="11">
        <v>1023</v>
      </c>
      <c r="I331" s="11">
        <v>605</v>
      </c>
      <c r="J331" s="11">
        <v>151</v>
      </c>
      <c r="K331" s="13">
        <v>4679</v>
      </c>
      <c r="L331" s="16">
        <f t="shared" si="30"/>
        <v>0.59139784946236562</v>
      </c>
      <c r="M331" s="16">
        <f t="shared" si="31"/>
        <v>0.24958677685950414</v>
      </c>
      <c r="N331" s="17">
        <f t="shared" si="32"/>
        <v>2.4479338842975205</v>
      </c>
      <c r="O331" s="17">
        <f t="shared" si="33"/>
        <v>9.8079470198675498</v>
      </c>
      <c r="P331" s="16">
        <f t="shared" si="34"/>
        <v>0.23097317529631939</v>
      </c>
      <c r="Q331" s="16">
        <f t="shared" si="35"/>
        <v>3.1593517893315326</v>
      </c>
      <c r="R331" s="2" t="s">
        <v>684</v>
      </c>
      <c r="S331" s="21" t="s">
        <v>24</v>
      </c>
      <c r="T331" s="21" t="s">
        <v>45</v>
      </c>
      <c r="U331" s="8">
        <v>1481</v>
      </c>
      <c r="V331" s="11">
        <v>2</v>
      </c>
      <c r="W331" t="str">
        <f>IF(Table1[[#This Row],[Satisfaction Rating]]&lt;2, "Low", IF(Table1[[#This Row],[Satisfaction Rating]]&lt;4, "Medium", "High"))</f>
        <v>Medium</v>
      </c>
    </row>
    <row r="332" spans="1:23" ht="13" x14ac:dyDescent="0.15">
      <c r="A332" s="2" t="s">
        <v>685</v>
      </c>
      <c r="B332" s="23">
        <v>45628.136805555558</v>
      </c>
      <c r="C332" s="23">
        <v>45628.136805555558</v>
      </c>
      <c r="D332" s="23" t="str">
        <f>IF(Table1[[#This Row],[Duration of Campaign]]=0, "Ongoing","Completed")</f>
        <v>Ongoing</v>
      </c>
      <c r="E332" s="25">
        <f>Table1[[#This Row],[End Date]]-Table1[[#This Row],[Start Date]]</f>
        <v>0</v>
      </c>
      <c r="F332" s="8">
        <v>5130</v>
      </c>
      <c r="G332" s="21" t="s">
        <v>37</v>
      </c>
      <c r="H332" s="11">
        <v>3749</v>
      </c>
      <c r="I332" s="11">
        <v>848</v>
      </c>
      <c r="J332" s="11">
        <v>373</v>
      </c>
      <c r="K332" s="13">
        <v>12314</v>
      </c>
      <c r="L332" s="16">
        <f t="shared" si="30"/>
        <v>0.22619365164043745</v>
      </c>
      <c r="M332" s="16">
        <f t="shared" si="31"/>
        <v>0.43985849056603776</v>
      </c>
      <c r="N332" s="17">
        <f t="shared" si="32"/>
        <v>15.235849056603774</v>
      </c>
      <c r="O332" s="17">
        <f t="shared" si="33"/>
        <v>34.638069705093834</v>
      </c>
      <c r="P332" s="16">
        <f t="shared" si="34"/>
        <v>2.5185185185185186</v>
      </c>
      <c r="Q332" s="16">
        <f t="shared" si="35"/>
        <v>0.95309597523219813</v>
      </c>
      <c r="R332" s="2" t="s">
        <v>686</v>
      </c>
      <c r="S332" s="21" t="s">
        <v>35</v>
      </c>
      <c r="T332" s="21" t="s">
        <v>17</v>
      </c>
      <c r="U332" s="8">
        <v>12920</v>
      </c>
      <c r="V332" s="11">
        <v>1</v>
      </c>
      <c r="W332" t="str">
        <f>IF(Table1[[#This Row],[Satisfaction Rating]]&lt;2, "Low", IF(Table1[[#This Row],[Satisfaction Rating]]&lt;4, "Medium", "High"))</f>
        <v>Low</v>
      </c>
    </row>
    <row r="333" spans="1:23" ht="13" x14ac:dyDescent="0.15">
      <c r="A333" s="2" t="s">
        <v>687</v>
      </c>
      <c r="B333" s="23">
        <v>45388.592222222222</v>
      </c>
      <c r="C333" s="23">
        <v>45569.779039351852</v>
      </c>
      <c r="D333" s="23" t="str">
        <f>IF(Table1[[#This Row],[Duration of Campaign]]=0, "Ongoing","Completed")</f>
        <v>Completed</v>
      </c>
      <c r="E333" s="25">
        <f>Table1[[#This Row],[End Date]]-Table1[[#This Row],[Start Date]]</f>
        <v>181.18681712963007</v>
      </c>
      <c r="F333" s="8">
        <v>8449</v>
      </c>
      <c r="G333" s="21" t="s">
        <v>19</v>
      </c>
      <c r="H333" s="11">
        <v>6386</v>
      </c>
      <c r="I333" s="11">
        <v>1931</v>
      </c>
      <c r="J333" s="11">
        <v>430</v>
      </c>
      <c r="K333" s="13">
        <v>5221</v>
      </c>
      <c r="L333" s="16">
        <f t="shared" si="30"/>
        <v>0.30238020670216098</v>
      </c>
      <c r="M333" s="16">
        <f t="shared" si="31"/>
        <v>0.22268254790264111</v>
      </c>
      <c r="N333" s="17">
        <f t="shared" si="32"/>
        <v>6.6395649922320041</v>
      </c>
      <c r="O333" s="17">
        <f t="shared" si="33"/>
        <v>29.816279069767443</v>
      </c>
      <c r="P333" s="16">
        <f t="shared" si="34"/>
        <v>1.5174576873002723</v>
      </c>
      <c r="Q333" s="16">
        <f t="shared" si="35"/>
        <v>0.40722252554402932</v>
      </c>
      <c r="R333" s="2" t="s">
        <v>688</v>
      </c>
      <c r="S333" s="21" t="s">
        <v>24</v>
      </c>
      <c r="T333" s="21" t="s">
        <v>45</v>
      </c>
      <c r="U333" s="8">
        <v>12821</v>
      </c>
      <c r="V333" s="11">
        <v>4</v>
      </c>
      <c r="W333" t="str">
        <f>IF(Table1[[#This Row],[Satisfaction Rating]]&lt;2, "Low", IF(Table1[[#This Row],[Satisfaction Rating]]&lt;4, "Medium", "High"))</f>
        <v>High</v>
      </c>
    </row>
    <row r="334" spans="1:23" ht="13" x14ac:dyDescent="0.15">
      <c r="A334" s="2" t="s">
        <v>689</v>
      </c>
      <c r="B334" s="23">
        <v>45071.519444444442</v>
      </c>
      <c r="C334" s="23">
        <v>45118.188576388886</v>
      </c>
      <c r="D334" s="23" t="str">
        <f>IF(Table1[[#This Row],[Duration of Campaign]]=0, "Ongoing","Completed")</f>
        <v>Completed</v>
      </c>
      <c r="E334" s="25">
        <f>Table1[[#This Row],[End Date]]-Table1[[#This Row],[Start Date]]</f>
        <v>46.669131944443507</v>
      </c>
      <c r="F334" s="8">
        <v>4579</v>
      </c>
      <c r="G334" s="21" t="s">
        <v>53</v>
      </c>
      <c r="H334" s="11">
        <v>2413</v>
      </c>
      <c r="I334" s="11">
        <v>1237</v>
      </c>
      <c r="J334" s="11">
        <v>203</v>
      </c>
      <c r="K334" s="13">
        <v>13725</v>
      </c>
      <c r="L334" s="16">
        <f t="shared" si="30"/>
        <v>0.51263986738499789</v>
      </c>
      <c r="M334" s="16">
        <f t="shared" si="31"/>
        <v>0.16410670978173</v>
      </c>
      <c r="N334" s="17">
        <f t="shared" si="32"/>
        <v>0.86742118027485848</v>
      </c>
      <c r="O334" s="17">
        <f t="shared" si="33"/>
        <v>5.2857142857142856</v>
      </c>
      <c r="P334" s="16">
        <f t="shared" si="34"/>
        <v>0.23433063987770256</v>
      </c>
      <c r="Q334" s="16">
        <f t="shared" si="35"/>
        <v>12.791239515377447</v>
      </c>
      <c r="R334" s="2" t="s">
        <v>690</v>
      </c>
      <c r="S334" s="21" t="s">
        <v>16</v>
      </c>
      <c r="T334" s="21" t="s">
        <v>27</v>
      </c>
      <c r="U334" s="8">
        <v>1073</v>
      </c>
      <c r="V334" s="11">
        <v>1</v>
      </c>
      <c r="W334" t="str">
        <f>IF(Table1[[#This Row],[Satisfaction Rating]]&lt;2, "Low", IF(Table1[[#This Row],[Satisfaction Rating]]&lt;4, "Medium", "High"))</f>
        <v>Low</v>
      </c>
    </row>
    <row r="335" spans="1:23" ht="13" x14ac:dyDescent="0.15">
      <c r="A335" s="2" t="s">
        <v>691</v>
      </c>
      <c r="B335" s="23">
        <v>45039.967187499999</v>
      </c>
      <c r="C335" s="23">
        <v>45096.27925925926</v>
      </c>
      <c r="D335" s="23" t="str">
        <f>IF(Table1[[#This Row],[Duration of Campaign]]=0, "Ongoing","Completed")</f>
        <v>Completed</v>
      </c>
      <c r="E335" s="25">
        <f>Table1[[#This Row],[End Date]]-Table1[[#This Row],[Start Date]]</f>
        <v>56.312071759261016</v>
      </c>
      <c r="F335" s="8">
        <v>5575</v>
      </c>
      <c r="G335" s="21" t="s">
        <v>53</v>
      </c>
      <c r="H335" s="11">
        <v>17044</v>
      </c>
      <c r="I335" s="11">
        <v>234</v>
      </c>
      <c r="J335" s="11">
        <v>282</v>
      </c>
      <c r="K335" s="13">
        <v>5540</v>
      </c>
      <c r="L335" s="16">
        <f t="shared" si="30"/>
        <v>1.3729171555972777E-2</v>
      </c>
      <c r="M335" s="16">
        <f t="shared" si="31"/>
        <v>1.2051282051282051</v>
      </c>
      <c r="N335" s="17">
        <f t="shared" si="32"/>
        <v>79.987179487179489</v>
      </c>
      <c r="O335" s="17">
        <f t="shared" si="33"/>
        <v>66.372340425531917</v>
      </c>
      <c r="P335" s="16">
        <f t="shared" si="34"/>
        <v>3.3573094170403586</v>
      </c>
      <c r="Q335" s="16">
        <f t="shared" si="35"/>
        <v>0.29598760485120479</v>
      </c>
      <c r="R335" s="2" t="s">
        <v>692</v>
      </c>
      <c r="S335" s="21" t="s">
        <v>24</v>
      </c>
      <c r="T335" s="21" t="s">
        <v>27</v>
      </c>
      <c r="U335" s="8">
        <v>18717</v>
      </c>
      <c r="V335" s="11">
        <v>4</v>
      </c>
      <c r="W335" t="str">
        <f>IF(Table1[[#This Row],[Satisfaction Rating]]&lt;2, "Low", IF(Table1[[#This Row],[Satisfaction Rating]]&lt;4, "Medium", "High"))</f>
        <v>High</v>
      </c>
    </row>
    <row r="336" spans="1:23" ht="13" x14ac:dyDescent="0.15">
      <c r="A336" s="2" t="s">
        <v>693</v>
      </c>
      <c r="B336" s="23">
        <v>45272.426099537035</v>
      </c>
      <c r="C336" s="23">
        <v>45272.426099537035</v>
      </c>
      <c r="D336" s="23" t="str">
        <f>IF(Table1[[#This Row],[Duration of Campaign]]=0, "Ongoing","Completed")</f>
        <v>Ongoing</v>
      </c>
      <c r="E336" s="25">
        <f>Table1[[#This Row],[End Date]]-Table1[[#This Row],[Start Date]]</f>
        <v>0</v>
      </c>
      <c r="F336" s="8">
        <v>9288</v>
      </c>
      <c r="G336" s="21" t="s">
        <v>37</v>
      </c>
      <c r="H336" s="11">
        <v>19331</v>
      </c>
      <c r="I336" s="11">
        <v>453</v>
      </c>
      <c r="J336" s="11">
        <v>278</v>
      </c>
      <c r="K336" s="13">
        <v>5993</v>
      </c>
      <c r="L336" s="16">
        <f t="shared" si="30"/>
        <v>2.3433862707568153E-2</v>
      </c>
      <c r="M336" s="16">
        <f t="shared" si="31"/>
        <v>0.61368653421633557</v>
      </c>
      <c r="N336" s="17">
        <f t="shared" si="32"/>
        <v>41.046357615894038</v>
      </c>
      <c r="O336" s="17">
        <f t="shared" si="33"/>
        <v>66.884892086330936</v>
      </c>
      <c r="P336" s="16">
        <f t="shared" si="34"/>
        <v>2.001937984496124</v>
      </c>
      <c r="Q336" s="16">
        <f t="shared" si="35"/>
        <v>0.3223082714854254</v>
      </c>
      <c r="R336" s="2" t="s">
        <v>694</v>
      </c>
      <c r="S336" s="21" t="s">
        <v>21</v>
      </c>
      <c r="T336" s="21" t="s">
        <v>17</v>
      </c>
      <c r="U336" s="8">
        <v>18594</v>
      </c>
      <c r="V336" s="11">
        <v>5</v>
      </c>
      <c r="W336" t="str">
        <f>IF(Table1[[#This Row],[Satisfaction Rating]]&lt;2, "Low", IF(Table1[[#This Row],[Satisfaction Rating]]&lt;4, "Medium", "High"))</f>
        <v>High</v>
      </c>
    </row>
    <row r="337" spans="1:23" ht="13" x14ac:dyDescent="0.15">
      <c r="A337" s="2" t="s">
        <v>695</v>
      </c>
      <c r="B337" s="23">
        <v>45492.542592592596</v>
      </c>
      <c r="C337" s="23">
        <v>45492.542592592596</v>
      </c>
      <c r="D337" s="23" t="str">
        <f>IF(Table1[[#This Row],[Duration of Campaign]]=0, "Ongoing","Completed")</f>
        <v>Ongoing</v>
      </c>
      <c r="E337" s="25">
        <f>Table1[[#This Row],[End Date]]-Table1[[#This Row],[Start Date]]</f>
        <v>0</v>
      </c>
      <c r="F337" s="8">
        <v>6745</v>
      </c>
      <c r="G337" s="21" t="s">
        <v>53</v>
      </c>
      <c r="H337" s="11">
        <v>15643</v>
      </c>
      <c r="I337" s="11">
        <v>1656</v>
      </c>
      <c r="J337" s="11">
        <v>46</v>
      </c>
      <c r="K337" s="13">
        <v>9937</v>
      </c>
      <c r="L337" s="16">
        <f t="shared" si="30"/>
        <v>0.10586204692194592</v>
      </c>
      <c r="M337" s="16">
        <f t="shared" si="31"/>
        <v>2.7777777777777776E-2</v>
      </c>
      <c r="N337" s="17">
        <f t="shared" si="32"/>
        <v>8.0730676328502415</v>
      </c>
      <c r="O337" s="17">
        <f t="shared" si="33"/>
        <v>290.63043478260869</v>
      </c>
      <c r="P337" s="16">
        <f t="shared" si="34"/>
        <v>1.982060785767235</v>
      </c>
      <c r="Q337" s="16">
        <f t="shared" si="35"/>
        <v>0.74328670805595032</v>
      </c>
      <c r="R337" s="2" t="s">
        <v>696</v>
      </c>
      <c r="S337" s="21" t="s">
        <v>35</v>
      </c>
      <c r="T337" s="21" t="s">
        <v>45</v>
      </c>
      <c r="U337" s="8">
        <v>13369</v>
      </c>
      <c r="V337" s="11">
        <v>1</v>
      </c>
      <c r="W337" t="str">
        <f>IF(Table1[[#This Row],[Satisfaction Rating]]&lt;2, "Low", IF(Table1[[#This Row],[Satisfaction Rating]]&lt;4, "Medium", "High"))</f>
        <v>Low</v>
      </c>
    </row>
    <row r="338" spans="1:23" ht="13" x14ac:dyDescent="0.15">
      <c r="A338" s="2" t="s">
        <v>697</v>
      </c>
      <c r="B338" s="23">
        <v>45269.419236111113</v>
      </c>
      <c r="C338" s="23">
        <v>45485.917442129627</v>
      </c>
      <c r="D338" s="23" t="str">
        <f>IF(Table1[[#This Row],[Duration of Campaign]]=0, "Ongoing","Completed")</f>
        <v>Completed</v>
      </c>
      <c r="E338" s="25">
        <f>Table1[[#This Row],[End Date]]-Table1[[#This Row],[Start Date]]</f>
        <v>216.49820601851388</v>
      </c>
      <c r="F338" s="8">
        <v>5001</v>
      </c>
      <c r="G338" s="21" t="s">
        <v>14</v>
      </c>
      <c r="H338" s="11">
        <v>11873</v>
      </c>
      <c r="I338" s="11">
        <v>1366</v>
      </c>
      <c r="J338" s="11">
        <v>500</v>
      </c>
      <c r="K338" s="13">
        <v>11279</v>
      </c>
      <c r="L338" s="16">
        <f t="shared" si="30"/>
        <v>0.11505095595047587</v>
      </c>
      <c r="M338" s="16">
        <f t="shared" si="31"/>
        <v>0.36603221083455345</v>
      </c>
      <c r="N338" s="17">
        <f t="shared" si="32"/>
        <v>9.8221083455344065</v>
      </c>
      <c r="O338" s="17">
        <f t="shared" si="33"/>
        <v>26.834</v>
      </c>
      <c r="P338" s="16">
        <f t="shared" si="34"/>
        <v>2.6828634273145373</v>
      </c>
      <c r="Q338" s="16">
        <f t="shared" si="35"/>
        <v>0.84064992174107478</v>
      </c>
      <c r="R338" s="2" t="s">
        <v>698</v>
      </c>
      <c r="S338" s="21" t="s">
        <v>30</v>
      </c>
      <c r="T338" s="21" t="s">
        <v>27</v>
      </c>
      <c r="U338" s="8">
        <v>13417</v>
      </c>
      <c r="V338" s="11">
        <v>3</v>
      </c>
      <c r="W338" t="str">
        <f>IF(Table1[[#This Row],[Satisfaction Rating]]&lt;2, "Low", IF(Table1[[#This Row],[Satisfaction Rating]]&lt;4, "Medium", "High"))</f>
        <v>Medium</v>
      </c>
    </row>
    <row r="339" spans="1:23" ht="13" x14ac:dyDescent="0.15">
      <c r="A339" s="2" t="s">
        <v>699</v>
      </c>
      <c r="B339" s="23">
        <v>45428.315127314818</v>
      </c>
      <c r="C339" s="23">
        <v>45428.315127314818</v>
      </c>
      <c r="D339" s="23" t="str">
        <f>IF(Table1[[#This Row],[Duration of Campaign]]=0, "Ongoing","Completed")</f>
        <v>Ongoing</v>
      </c>
      <c r="E339" s="25">
        <f>Table1[[#This Row],[End Date]]-Table1[[#This Row],[Start Date]]</f>
        <v>0</v>
      </c>
      <c r="F339" s="8">
        <v>7554</v>
      </c>
      <c r="G339" s="21" t="s">
        <v>53</v>
      </c>
      <c r="H339" s="11">
        <v>2782</v>
      </c>
      <c r="I339" s="11">
        <v>1866</v>
      </c>
      <c r="J339" s="11">
        <v>375</v>
      </c>
      <c r="K339" s="13">
        <v>5636</v>
      </c>
      <c r="L339" s="16">
        <f t="shared" si="30"/>
        <v>0.67074047447879226</v>
      </c>
      <c r="M339" s="16">
        <f t="shared" si="31"/>
        <v>0.20096463022508038</v>
      </c>
      <c r="N339" s="17">
        <f t="shared" si="32"/>
        <v>5.866023579849946</v>
      </c>
      <c r="O339" s="17">
        <f t="shared" si="33"/>
        <v>29.189333333333334</v>
      </c>
      <c r="P339" s="16">
        <f t="shared" si="34"/>
        <v>1.4490336245697644</v>
      </c>
      <c r="Q339" s="16">
        <f t="shared" si="35"/>
        <v>0.514891284487484</v>
      </c>
      <c r="R339" s="2" t="s">
        <v>700</v>
      </c>
      <c r="S339" s="21" t="s">
        <v>30</v>
      </c>
      <c r="T339" s="21" t="s">
        <v>45</v>
      </c>
      <c r="U339" s="8">
        <v>10946</v>
      </c>
      <c r="V339" s="11">
        <v>4</v>
      </c>
      <c r="W339" t="str">
        <f>IF(Table1[[#This Row],[Satisfaction Rating]]&lt;2, "Low", IF(Table1[[#This Row],[Satisfaction Rating]]&lt;4, "Medium", "High"))</f>
        <v>High</v>
      </c>
    </row>
    <row r="340" spans="1:23" ht="13" x14ac:dyDescent="0.15">
      <c r="A340" s="2" t="s">
        <v>701</v>
      </c>
      <c r="B340" s="23">
        <v>45427.460636574076</v>
      </c>
      <c r="C340" s="23">
        <v>45427.460636574076</v>
      </c>
      <c r="D340" s="23" t="str">
        <f>IF(Table1[[#This Row],[Duration of Campaign]]=0, "Ongoing","Completed")</f>
        <v>Ongoing</v>
      </c>
      <c r="E340" s="25">
        <f>Table1[[#This Row],[End Date]]-Table1[[#This Row],[Start Date]]</f>
        <v>0</v>
      </c>
      <c r="F340" s="8">
        <v>9316</v>
      </c>
      <c r="G340" s="21" t="s">
        <v>37</v>
      </c>
      <c r="H340" s="11">
        <v>9474</v>
      </c>
      <c r="I340" s="11">
        <v>912</v>
      </c>
      <c r="J340" s="11">
        <v>215</v>
      </c>
      <c r="K340" s="13">
        <v>3889</v>
      </c>
      <c r="L340" s="16">
        <f t="shared" si="30"/>
        <v>9.6263457884737169E-2</v>
      </c>
      <c r="M340" s="16">
        <f t="shared" si="31"/>
        <v>0.23574561403508773</v>
      </c>
      <c r="N340" s="17">
        <f t="shared" si="32"/>
        <v>3.3640350877192984</v>
      </c>
      <c r="O340" s="17">
        <f t="shared" si="33"/>
        <v>14.269767441860465</v>
      </c>
      <c r="P340" s="16">
        <f t="shared" si="34"/>
        <v>0.32932589094031772</v>
      </c>
      <c r="Q340" s="16">
        <f t="shared" si="35"/>
        <v>1.2676010430247719</v>
      </c>
      <c r="R340" s="2" t="s">
        <v>702</v>
      </c>
      <c r="S340" s="21" t="s">
        <v>35</v>
      </c>
      <c r="T340" s="21" t="s">
        <v>45</v>
      </c>
      <c r="U340" s="8">
        <v>3068</v>
      </c>
      <c r="V340" s="11">
        <v>4</v>
      </c>
      <c r="W340" t="str">
        <f>IF(Table1[[#This Row],[Satisfaction Rating]]&lt;2, "Low", IF(Table1[[#This Row],[Satisfaction Rating]]&lt;4, "Medium", "High"))</f>
        <v>High</v>
      </c>
    </row>
    <row r="341" spans="1:23" ht="13" x14ac:dyDescent="0.15">
      <c r="A341" s="2" t="s">
        <v>703</v>
      </c>
      <c r="B341" s="23">
        <v>44951.60125</v>
      </c>
      <c r="C341" s="23">
        <v>45619.283356481479</v>
      </c>
      <c r="D341" s="23" t="str">
        <f>IF(Table1[[#This Row],[Duration of Campaign]]=0, "Ongoing","Completed")</f>
        <v>Completed</v>
      </c>
      <c r="E341" s="25">
        <f>Table1[[#This Row],[End Date]]-Table1[[#This Row],[Start Date]]</f>
        <v>667.68210648147942</v>
      </c>
      <c r="F341" s="8">
        <v>4169</v>
      </c>
      <c r="G341" s="21" t="s">
        <v>37</v>
      </c>
      <c r="H341" s="11">
        <v>4758</v>
      </c>
      <c r="I341" s="11">
        <v>702</v>
      </c>
      <c r="J341" s="11">
        <v>100</v>
      </c>
      <c r="K341" s="13">
        <v>13819</v>
      </c>
      <c r="L341" s="16">
        <f t="shared" si="30"/>
        <v>0.14754098360655737</v>
      </c>
      <c r="M341" s="16">
        <f t="shared" si="31"/>
        <v>0.14245014245014245</v>
      </c>
      <c r="N341" s="17">
        <f t="shared" si="32"/>
        <v>12.065527065527066</v>
      </c>
      <c r="O341" s="17">
        <f t="shared" si="33"/>
        <v>84.7</v>
      </c>
      <c r="P341" s="16">
        <f t="shared" si="34"/>
        <v>2.0316622691292876</v>
      </c>
      <c r="Q341" s="16">
        <f t="shared" si="35"/>
        <v>1.6315230224321133</v>
      </c>
      <c r="R341" s="2" t="s">
        <v>704</v>
      </c>
      <c r="S341" s="21" t="s">
        <v>30</v>
      </c>
      <c r="T341" s="21" t="s">
        <v>27</v>
      </c>
      <c r="U341" s="8">
        <v>8470</v>
      </c>
      <c r="V341" s="11">
        <v>5</v>
      </c>
      <c r="W341" t="str">
        <f>IF(Table1[[#This Row],[Satisfaction Rating]]&lt;2, "Low", IF(Table1[[#This Row],[Satisfaction Rating]]&lt;4, "Medium", "High"))</f>
        <v>High</v>
      </c>
    </row>
    <row r="342" spans="1:23" ht="13" x14ac:dyDescent="0.15">
      <c r="A342" s="2" t="s">
        <v>705</v>
      </c>
      <c r="B342" s="23">
        <v>45242.480381944442</v>
      </c>
      <c r="C342" s="23">
        <v>45242.480381944442</v>
      </c>
      <c r="D342" s="23" t="str">
        <f>IF(Table1[[#This Row],[Duration of Campaign]]=0, "Ongoing","Completed")</f>
        <v>Ongoing</v>
      </c>
      <c r="E342" s="25">
        <f>Table1[[#This Row],[End Date]]-Table1[[#This Row],[Start Date]]</f>
        <v>0</v>
      </c>
      <c r="F342" s="8">
        <v>9113</v>
      </c>
      <c r="G342" s="21" t="s">
        <v>14</v>
      </c>
      <c r="H342" s="11">
        <v>11694</v>
      </c>
      <c r="I342" s="11">
        <v>1512</v>
      </c>
      <c r="J342" s="11">
        <v>143</v>
      </c>
      <c r="K342" s="13">
        <v>6299</v>
      </c>
      <c r="L342" s="16">
        <f t="shared" si="30"/>
        <v>0.12929707542329399</v>
      </c>
      <c r="M342" s="16">
        <f t="shared" si="31"/>
        <v>9.4576719576719578E-2</v>
      </c>
      <c r="N342" s="17">
        <f t="shared" si="32"/>
        <v>3.517195767195767</v>
      </c>
      <c r="O342" s="17">
        <f t="shared" si="33"/>
        <v>37.188811188811187</v>
      </c>
      <c r="P342" s="16">
        <f t="shared" si="34"/>
        <v>0.58356194447492593</v>
      </c>
      <c r="Q342" s="16">
        <f t="shared" si="35"/>
        <v>1.1844678450545318</v>
      </c>
      <c r="R342" s="2" t="s">
        <v>706</v>
      </c>
      <c r="S342" s="21" t="s">
        <v>35</v>
      </c>
      <c r="T342" s="21" t="s">
        <v>45</v>
      </c>
      <c r="U342" s="8">
        <v>5318</v>
      </c>
      <c r="V342" s="11">
        <v>2</v>
      </c>
      <c r="W342" t="str">
        <f>IF(Table1[[#This Row],[Satisfaction Rating]]&lt;2, "Low", IF(Table1[[#This Row],[Satisfaction Rating]]&lt;4, "Medium", "High"))</f>
        <v>Medium</v>
      </c>
    </row>
    <row r="343" spans="1:23" ht="13" x14ac:dyDescent="0.15">
      <c r="A343" s="2" t="s">
        <v>707</v>
      </c>
      <c r="B343" s="23">
        <v>45472.367083333331</v>
      </c>
      <c r="C343" s="23">
        <v>45472.367083333331</v>
      </c>
      <c r="D343" s="23" t="str">
        <f>IF(Table1[[#This Row],[Duration of Campaign]]=0, "Ongoing","Completed")</f>
        <v>Ongoing</v>
      </c>
      <c r="E343" s="25">
        <f>Table1[[#This Row],[End Date]]-Table1[[#This Row],[Start Date]]</f>
        <v>0</v>
      </c>
      <c r="F343" s="8">
        <v>1576</v>
      </c>
      <c r="G343" s="21" t="s">
        <v>19</v>
      </c>
      <c r="H343" s="11">
        <v>7503</v>
      </c>
      <c r="I343" s="11">
        <v>149</v>
      </c>
      <c r="J343" s="11">
        <v>39</v>
      </c>
      <c r="K343" s="13">
        <v>9983</v>
      </c>
      <c r="L343" s="16">
        <f t="shared" si="30"/>
        <v>1.9858723177395707E-2</v>
      </c>
      <c r="M343" s="16">
        <f t="shared" si="31"/>
        <v>0.26174496644295303</v>
      </c>
      <c r="N343" s="17">
        <f t="shared" si="32"/>
        <v>88.583892617449663</v>
      </c>
      <c r="O343" s="17">
        <f t="shared" si="33"/>
        <v>338.43589743589746</v>
      </c>
      <c r="P343" s="16">
        <f t="shared" si="34"/>
        <v>8.375</v>
      </c>
      <c r="Q343" s="16">
        <f t="shared" si="35"/>
        <v>0.75634517766497467</v>
      </c>
      <c r="R343" s="2" t="s">
        <v>708</v>
      </c>
      <c r="S343" s="21" t="s">
        <v>24</v>
      </c>
      <c r="T343" s="21" t="s">
        <v>45</v>
      </c>
      <c r="U343" s="8">
        <v>13199</v>
      </c>
      <c r="V343" s="11">
        <v>5</v>
      </c>
      <c r="W343" t="str">
        <f>IF(Table1[[#This Row],[Satisfaction Rating]]&lt;2, "Low", IF(Table1[[#This Row],[Satisfaction Rating]]&lt;4, "Medium", "High"))</f>
        <v>High</v>
      </c>
    </row>
    <row r="344" spans="1:23" ht="13" x14ac:dyDescent="0.15">
      <c r="A344" s="2" t="s">
        <v>709</v>
      </c>
      <c r="B344" s="23">
        <v>45262.615844907406</v>
      </c>
      <c r="C344" s="23">
        <v>45482.99077546296</v>
      </c>
      <c r="D344" s="23" t="str">
        <f>IF(Table1[[#This Row],[Duration of Campaign]]=0, "Ongoing","Completed")</f>
        <v>Completed</v>
      </c>
      <c r="E344" s="25">
        <f>Table1[[#This Row],[End Date]]-Table1[[#This Row],[Start Date]]</f>
        <v>220.37493055555387</v>
      </c>
      <c r="F344" s="8">
        <v>9631</v>
      </c>
      <c r="G344" s="21" t="s">
        <v>53</v>
      </c>
      <c r="H344" s="11">
        <v>1586</v>
      </c>
      <c r="I344" s="11">
        <v>172</v>
      </c>
      <c r="J344" s="11">
        <v>20</v>
      </c>
      <c r="K344" s="13">
        <v>13202</v>
      </c>
      <c r="L344" s="16">
        <f t="shared" si="30"/>
        <v>0.10844892812105927</v>
      </c>
      <c r="M344" s="16">
        <f t="shared" si="31"/>
        <v>0.11627906976744186</v>
      </c>
      <c r="N344" s="17">
        <f t="shared" si="32"/>
        <v>98.633720930232556</v>
      </c>
      <c r="O344" s="17">
        <f t="shared" si="33"/>
        <v>848.25</v>
      </c>
      <c r="P344" s="16">
        <f t="shared" si="34"/>
        <v>1.761499325096044</v>
      </c>
      <c r="Q344" s="16">
        <f t="shared" si="35"/>
        <v>0.77819039198349538</v>
      </c>
      <c r="R344" s="2" t="s">
        <v>710</v>
      </c>
      <c r="S344" s="21" t="s">
        <v>24</v>
      </c>
      <c r="T344" s="21" t="s">
        <v>27</v>
      </c>
      <c r="U344" s="8">
        <v>16965</v>
      </c>
      <c r="V344" s="11">
        <v>3</v>
      </c>
      <c r="W344" t="str">
        <f>IF(Table1[[#This Row],[Satisfaction Rating]]&lt;2, "Low", IF(Table1[[#This Row],[Satisfaction Rating]]&lt;4, "Medium", "High"))</f>
        <v>Medium</v>
      </c>
    </row>
    <row r="345" spans="1:23" ht="13" x14ac:dyDescent="0.15">
      <c r="A345" s="2" t="s">
        <v>711</v>
      </c>
      <c r="B345" s="23">
        <v>45383.070277777777</v>
      </c>
      <c r="C345" s="23">
        <v>45383.070277777777</v>
      </c>
      <c r="D345" s="23" t="str">
        <f>IF(Table1[[#This Row],[Duration of Campaign]]=0, "Ongoing","Completed")</f>
        <v>Ongoing</v>
      </c>
      <c r="E345" s="25">
        <f>Table1[[#This Row],[End Date]]-Table1[[#This Row],[Start Date]]</f>
        <v>0</v>
      </c>
      <c r="F345" s="8">
        <v>4295</v>
      </c>
      <c r="G345" s="21" t="s">
        <v>53</v>
      </c>
      <c r="H345" s="11">
        <v>14284</v>
      </c>
      <c r="I345" s="11">
        <v>1016</v>
      </c>
      <c r="J345" s="11">
        <v>259</v>
      </c>
      <c r="K345" s="13">
        <v>1216</v>
      </c>
      <c r="L345" s="16">
        <f t="shared" si="30"/>
        <v>7.1128535424250905E-2</v>
      </c>
      <c r="M345" s="16">
        <f t="shared" si="31"/>
        <v>0.25492125984251968</v>
      </c>
      <c r="N345" s="17">
        <f t="shared" si="32"/>
        <v>11.890748031496063</v>
      </c>
      <c r="O345" s="17">
        <f t="shared" si="33"/>
        <v>46.644787644787648</v>
      </c>
      <c r="P345" s="16">
        <f t="shared" si="34"/>
        <v>2.8128055878928988</v>
      </c>
      <c r="Q345" s="16">
        <f t="shared" si="35"/>
        <v>0.10065391937753497</v>
      </c>
      <c r="R345" s="2" t="s">
        <v>712</v>
      </c>
      <c r="S345" s="21" t="s">
        <v>35</v>
      </c>
      <c r="T345" s="21" t="s">
        <v>45</v>
      </c>
      <c r="U345" s="8">
        <v>12081</v>
      </c>
      <c r="V345" s="11">
        <v>2</v>
      </c>
      <c r="W345" t="str">
        <f>IF(Table1[[#This Row],[Satisfaction Rating]]&lt;2, "Low", IF(Table1[[#This Row],[Satisfaction Rating]]&lt;4, "Medium", "High"))</f>
        <v>Medium</v>
      </c>
    </row>
    <row r="346" spans="1:23" ht="13" x14ac:dyDescent="0.15">
      <c r="A346" s="2" t="s">
        <v>713</v>
      </c>
      <c r="B346" s="23">
        <v>45127.196875000001</v>
      </c>
      <c r="C346" s="23">
        <v>45127.196875000001</v>
      </c>
      <c r="D346" s="23" t="str">
        <f>IF(Table1[[#This Row],[Duration of Campaign]]=0, "Ongoing","Completed")</f>
        <v>Ongoing</v>
      </c>
      <c r="E346" s="25">
        <f>Table1[[#This Row],[End Date]]-Table1[[#This Row],[Start Date]]</f>
        <v>0</v>
      </c>
      <c r="F346" s="8">
        <v>3996</v>
      </c>
      <c r="G346" s="21" t="s">
        <v>19</v>
      </c>
      <c r="H346" s="11">
        <v>8557</v>
      </c>
      <c r="I346" s="11">
        <v>342</v>
      </c>
      <c r="J346" s="11">
        <v>453</v>
      </c>
      <c r="K346" s="13">
        <v>13436</v>
      </c>
      <c r="L346" s="16">
        <f t="shared" si="30"/>
        <v>3.9967278251723734E-2</v>
      </c>
      <c r="M346" s="16">
        <f t="shared" si="31"/>
        <v>1.3245614035087718</v>
      </c>
      <c r="N346" s="17">
        <f t="shared" si="32"/>
        <v>9.0555555555555554</v>
      </c>
      <c r="O346" s="17">
        <f t="shared" si="33"/>
        <v>6.8366445916114786</v>
      </c>
      <c r="P346" s="16">
        <f t="shared" si="34"/>
        <v>0.77502502502502502</v>
      </c>
      <c r="Q346" s="16">
        <f t="shared" si="35"/>
        <v>4.3383919922505649</v>
      </c>
      <c r="R346" s="2" t="s">
        <v>714</v>
      </c>
      <c r="S346" s="21" t="s">
        <v>30</v>
      </c>
      <c r="T346" s="21" t="s">
        <v>17</v>
      </c>
      <c r="U346" s="8">
        <v>3097</v>
      </c>
      <c r="V346" s="11">
        <v>2</v>
      </c>
      <c r="W346" t="str">
        <f>IF(Table1[[#This Row],[Satisfaction Rating]]&lt;2, "Low", IF(Table1[[#This Row],[Satisfaction Rating]]&lt;4, "Medium", "High"))</f>
        <v>Medium</v>
      </c>
    </row>
    <row r="347" spans="1:23" ht="13" x14ac:dyDescent="0.15">
      <c r="A347" s="2" t="s">
        <v>715</v>
      </c>
      <c r="B347" s="23">
        <v>45088.581493055557</v>
      </c>
      <c r="C347" s="23">
        <v>45562.187534722223</v>
      </c>
      <c r="D347" s="23" t="str">
        <f>IF(Table1[[#This Row],[Duration of Campaign]]=0, "Ongoing","Completed")</f>
        <v>Completed</v>
      </c>
      <c r="E347" s="25">
        <f>Table1[[#This Row],[End Date]]-Table1[[#This Row],[Start Date]]</f>
        <v>473.60604166666599</v>
      </c>
      <c r="F347" s="8">
        <v>6961</v>
      </c>
      <c r="G347" s="21" t="s">
        <v>19</v>
      </c>
      <c r="H347" s="11">
        <v>14510</v>
      </c>
      <c r="I347" s="11">
        <v>673</v>
      </c>
      <c r="J347" s="11">
        <v>211</v>
      </c>
      <c r="K347" s="13">
        <v>10461</v>
      </c>
      <c r="L347" s="16">
        <f t="shared" si="30"/>
        <v>4.6381805651274984E-2</v>
      </c>
      <c r="M347" s="16">
        <f t="shared" si="31"/>
        <v>0.31352154531946508</v>
      </c>
      <c r="N347" s="17">
        <f t="shared" si="32"/>
        <v>10.649331352154531</v>
      </c>
      <c r="O347" s="17">
        <f t="shared" si="33"/>
        <v>33.96682464454976</v>
      </c>
      <c r="P347" s="16">
        <f t="shared" si="34"/>
        <v>1.0295934492170664</v>
      </c>
      <c r="Q347" s="16">
        <f t="shared" si="35"/>
        <v>1.4596065299288405</v>
      </c>
      <c r="R347" s="2" t="s">
        <v>716</v>
      </c>
      <c r="S347" s="21" t="s">
        <v>21</v>
      </c>
      <c r="T347" s="21" t="s">
        <v>17</v>
      </c>
      <c r="U347" s="8">
        <v>7167</v>
      </c>
      <c r="V347" s="11">
        <v>2</v>
      </c>
      <c r="W347" t="str">
        <f>IF(Table1[[#This Row],[Satisfaction Rating]]&lt;2, "Low", IF(Table1[[#This Row],[Satisfaction Rating]]&lt;4, "Medium", "High"))</f>
        <v>Medium</v>
      </c>
    </row>
    <row r="348" spans="1:23" ht="13" x14ac:dyDescent="0.15">
      <c r="A348" s="2" t="s">
        <v>717</v>
      </c>
      <c r="B348" s="23">
        <v>45348.301319444443</v>
      </c>
      <c r="C348" s="23">
        <v>45348.301319444443</v>
      </c>
      <c r="D348" s="23" t="str">
        <f>IF(Table1[[#This Row],[Duration of Campaign]]=0, "Ongoing","Completed")</f>
        <v>Ongoing</v>
      </c>
      <c r="E348" s="25">
        <f>Table1[[#This Row],[End Date]]-Table1[[#This Row],[Start Date]]</f>
        <v>0</v>
      </c>
      <c r="F348" s="8">
        <v>8715</v>
      </c>
      <c r="G348" s="21" t="s">
        <v>53</v>
      </c>
      <c r="H348" s="11">
        <v>3025</v>
      </c>
      <c r="I348" s="11">
        <v>320</v>
      </c>
      <c r="J348" s="11">
        <v>61</v>
      </c>
      <c r="K348" s="13">
        <v>14867</v>
      </c>
      <c r="L348" s="16">
        <f t="shared" si="30"/>
        <v>0.10578512396694215</v>
      </c>
      <c r="M348" s="16">
        <f t="shared" si="31"/>
        <v>0.19062499999999999</v>
      </c>
      <c r="N348" s="17">
        <f t="shared" si="32"/>
        <v>12.706250000000001</v>
      </c>
      <c r="O348" s="17">
        <f t="shared" si="33"/>
        <v>66.655737704918039</v>
      </c>
      <c r="P348" s="16">
        <f t="shared" si="34"/>
        <v>0.46655192197360873</v>
      </c>
      <c r="Q348" s="16">
        <f t="shared" si="35"/>
        <v>3.6564190850959175</v>
      </c>
      <c r="R348" s="2" t="s">
        <v>718</v>
      </c>
      <c r="S348" s="21" t="s">
        <v>24</v>
      </c>
      <c r="T348" s="21" t="s">
        <v>17</v>
      </c>
      <c r="U348" s="8">
        <v>4066</v>
      </c>
      <c r="V348" s="11">
        <v>4</v>
      </c>
      <c r="W348" t="str">
        <f>IF(Table1[[#This Row],[Satisfaction Rating]]&lt;2, "Low", IF(Table1[[#This Row],[Satisfaction Rating]]&lt;4, "Medium", "High"))</f>
        <v>High</v>
      </c>
    </row>
    <row r="349" spans="1:23" ht="13" x14ac:dyDescent="0.15">
      <c r="A349" s="2" t="s">
        <v>719</v>
      </c>
      <c r="B349" s="23">
        <v>45227.563773148147</v>
      </c>
      <c r="C349" s="23">
        <v>45416.462650462963</v>
      </c>
      <c r="D349" s="23" t="str">
        <f>IF(Table1[[#This Row],[Duration of Campaign]]=0, "Ongoing","Completed")</f>
        <v>Completed</v>
      </c>
      <c r="E349" s="25">
        <f>Table1[[#This Row],[End Date]]-Table1[[#This Row],[Start Date]]</f>
        <v>188.89887731481576</v>
      </c>
      <c r="F349" s="8">
        <v>9459</v>
      </c>
      <c r="G349" s="21" t="s">
        <v>37</v>
      </c>
      <c r="H349" s="11">
        <v>13421</v>
      </c>
      <c r="I349" s="11">
        <v>1306</v>
      </c>
      <c r="J349" s="11">
        <v>35</v>
      </c>
      <c r="K349" s="13">
        <v>4645</v>
      </c>
      <c r="L349" s="16">
        <f t="shared" si="30"/>
        <v>9.7310185530139329E-2</v>
      </c>
      <c r="M349" s="16">
        <f t="shared" si="31"/>
        <v>2.679938744257274E-2</v>
      </c>
      <c r="N349" s="17">
        <f t="shared" si="32"/>
        <v>6.6508422664624804</v>
      </c>
      <c r="O349" s="17">
        <f t="shared" si="33"/>
        <v>248.17142857142858</v>
      </c>
      <c r="P349" s="16">
        <f t="shared" si="34"/>
        <v>0.91827888783169465</v>
      </c>
      <c r="Q349" s="16">
        <f t="shared" si="35"/>
        <v>0.53476859313838365</v>
      </c>
      <c r="R349" s="2" t="s">
        <v>720</v>
      </c>
      <c r="S349" s="21" t="s">
        <v>16</v>
      </c>
      <c r="T349" s="21" t="s">
        <v>17</v>
      </c>
      <c r="U349" s="8">
        <v>8686</v>
      </c>
      <c r="V349" s="11">
        <v>2</v>
      </c>
      <c r="W349" t="str">
        <f>IF(Table1[[#This Row],[Satisfaction Rating]]&lt;2, "Low", IF(Table1[[#This Row],[Satisfaction Rating]]&lt;4, "Medium", "High"))</f>
        <v>Medium</v>
      </c>
    </row>
    <row r="350" spans="1:23" ht="13" x14ac:dyDescent="0.15">
      <c r="A350" s="2" t="s">
        <v>721</v>
      </c>
      <c r="B350" s="23">
        <v>45572.612962962965</v>
      </c>
      <c r="C350" s="23">
        <v>45572.612962962965</v>
      </c>
      <c r="D350" s="23" t="str">
        <f>IF(Table1[[#This Row],[Duration of Campaign]]=0, "Ongoing","Completed")</f>
        <v>Ongoing</v>
      </c>
      <c r="E350" s="25">
        <f>Table1[[#This Row],[End Date]]-Table1[[#This Row],[Start Date]]</f>
        <v>0</v>
      </c>
      <c r="F350" s="8">
        <v>9733</v>
      </c>
      <c r="G350" s="21" t="s">
        <v>37</v>
      </c>
      <c r="H350" s="11">
        <v>12471</v>
      </c>
      <c r="I350" s="11">
        <v>1989</v>
      </c>
      <c r="J350" s="11">
        <v>247</v>
      </c>
      <c r="K350" s="13">
        <v>8915</v>
      </c>
      <c r="L350" s="16">
        <f t="shared" si="30"/>
        <v>0.15949001683906663</v>
      </c>
      <c r="M350" s="16">
        <f t="shared" si="31"/>
        <v>0.12418300653594772</v>
      </c>
      <c r="N350" s="17">
        <f t="shared" si="32"/>
        <v>0.66163901458019103</v>
      </c>
      <c r="O350" s="17">
        <f t="shared" si="33"/>
        <v>5.3279352226720649</v>
      </c>
      <c r="P350" s="16">
        <f t="shared" si="34"/>
        <v>0.13521010993527174</v>
      </c>
      <c r="Q350" s="16">
        <f t="shared" si="35"/>
        <v>6.7743161094224922</v>
      </c>
      <c r="R350" s="2" t="s">
        <v>722</v>
      </c>
      <c r="S350" s="21" t="s">
        <v>35</v>
      </c>
      <c r="T350" s="21" t="s">
        <v>45</v>
      </c>
      <c r="U350" s="8">
        <v>1316</v>
      </c>
      <c r="V350" s="11">
        <v>4</v>
      </c>
      <c r="W350" t="str">
        <f>IF(Table1[[#This Row],[Satisfaction Rating]]&lt;2, "Low", IF(Table1[[#This Row],[Satisfaction Rating]]&lt;4, "Medium", "High"))</f>
        <v>High</v>
      </c>
    </row>
    <row r="351" spans="1:23" ht="13" x14ac:dyDescent="0.15">
      <c r="A351" s="2" t="s">
        <v>723</v>
      </c>
      <c r="B351" s="23">
        <v>44932.492303240739</v>
      </c>
      <c r="C351" s="23">
        <v>45030.985451388886</v>
      </c>
      <c r="D351" s="23" t="str">
        <f>IF(Table1[[#This Row],[Duration of Campaign]]=0, "Ongoing","Completed")</f>
        <v>Completed</v>
      </c>
      <c r="E351" s="25">
        <f>Table1[[#This Row],[End Date]]-Table1[[#This Row],[Start Date]]</f>
        <v>98.493148148147156</v>
      </c>
      <c r="F351" s="8">
        <v>4607</v>
      </c>
      <c r="G351" s="21" t="s">
        <v>19</v>
      </c>
      <c r="H351" s="11">
        <v>3277</v>
      </c>
      <c r="I351" s="11">
        <v>850</v>
      </c>
      <c r="J351" s="11">
        <v>371</v>
      </c>
      <c r="K351" s="13">
        <v>8642</v>
      </c>
      <c r="L351" s="16">
        <f t="shared" si="30"/>
        <v>0.2593835825450107</v>
      </c>
      <c r="M351" s="16">
        <f t="shared" si="31"/>
        <v>0.43647058823529411</v>
      </c>
      <c r="N351" s="17">
        <f t="shared" si="32"/>
        <v>14.087058823529413</v>
      </c>
      <c r="O351" s="17">
        <f t="shared" si="33"/>
        <v>32.274932614555254</v>
      </c>
      <c r="P351" s="16">
        <f t="shared" si="34"/>
        <v>2.5990883438246146</v>
      </c>
      <c r="Q351" s="16">
        <f t="shared" si="35"/>
        <v>0.72173041590111908</v>
      </c>
      <c r="R351" s="2" t="s">
        <v>724</v>
      </c>
      <c r="S351" s="21" t="s">
        <v>35</v>
      </c>
      <c r="T351" s="21" t="s">
        <v>17</v>
      </c>
      <c r="U351" s="8">
        <v>11974</v>
      </c>
      <c r="V351" s="11">
        <v>3</v>
      </c>
      <c r="W351" t="str">
        <f>IF(Table1[[#This Row],[Satisfaction Rating]]&lt;2, "Low", IF(Table1[[#This Row],[Satisfaction Rating]]&lt;4, "Medium", "High"))</f>
        <v>Medium</v>
      </c>
    </row>
    <row r="352" spans="1:23" ht="13" x14ac:dyDescent="0.15">
      <c r="A352" s="2" t="s">
        <v>725</v>
      </c>
      <c r="B352" s="23">
        <v>45182.228206018517</v>
      </c>
      <c r="C352" s="23">
        <v>45442.97115740741</v>
      </c>
      <c r="D352" s="23" t="str">
        <f>IF(Table1[[#This Row],[Duration of Campaign]]=0, "Ongoing","Completed")</f>
        <v>Completed</v>
      </c>
      <c r="E352" s="25">
        <f>Table1[[#This Row],[End Date]]-Table1[[#This Row],[Start Date]]</f>
        <v>260.74295138889283</v>
      </c>
      <c r="F352" s="8">
        <v>5476</v>
      </c>
      <c r="G352" s="21" t="s">
        <v>37</v>
      </c>
      <c r="H352" s="11">
        <v>3156</v>
      </c>
      <c r="I352" s="11">
        <v>1066</v>
      </c>
      <c r="J352" s="11">
        <v>452</v>
      </c>
      <c r="K352" s="13">
        <v>6664</v>
      </c>
      <c r="L352" s="16">
        <f t="shared" si="30"/>
        <v>0.33776932826362482</v>
      </c>
      <c r="M352" s="16">
        <f t="shared" si="31"/>
        <v>0.42401500938086306</v>
      </c>
      <c r="N352" s="17">
        <f t="shared" si="32"/>
        <v>2.1744840525328328</v>
      </c>
      <c r="O352" s="17">
        <f t="shared" si="33"/>
        <v>5.1283185840707963</v>
      </c>
      <c r="P352" s="16">
        <f t="shared" si="34"/>
        <v>0.42330168005843682</v>
      </c>
      <c r="Q352" s="16">
        <f t="shared" si="35"/>
        <v>2.8748921484037964</v>
      </c>
      <c r="R352" s="2" t="s">
        <v>726</v>
      </c>
      <c r="S352" s="21" t="s">
        <v>16</v>
      </c>
      <c r="T352" s="21" t="s">
        <v>45</v>
      </c>
      <c r="U352" s="8">
        <v>2318</v>
      </c>
      <c r="V352" s="11">
        <v>3</v>
      </c>
      <c r="W352" t="str">
        <f>IF(Table1[[#This Row],[Satisfaction Rating]]&lt;2, "Low", IF(Table1[[#This Row],[Satisfaction Rating]]&lt;4, "Medium", "High"))</f>
        <v>Medium</v>
      </c>
    </row>
    <row r="353" spans="1:23" ht="13" x14ac:dyDescent="0.15">
      <c r="A353" s="2" t="s">
        <v>727</v>
      </c>
      <c r="B353" s="23">
        <v>45639.450011574074</v>
      </c>
      <c r="C353" s="23">
        <v>45639.450011574074</v>
      </c>
      <c r="D353" s="23" t="str">
        <f>IF(Table1[[#This Row],[Duration of Campaign]]=0, "Ongoing","Completed")</f>
        <v>Ongoing</v>
      </c>
      <c r="E353" s="25">
        <f>Table1[[#This Row],[End Date]]-Table1[[#This Row],[Start Date]]</f>
        <v>0</v>
      </c>
      <c r="F353" s="8">
        <v>8972</v>
      </c>
      <c r="G353" s="21" t="s">
        <v>19</v>
      </c>
      <c r="H353" s="11">
        <v>1766</v>
      </c>
      <c r="I353" s="11">
        <v>1308</v>
      </c>
      <c r="J353" s="11">
        <v>47</v>
      </c>
      <c r="K353" s="13">
        <v>14809</v>
      </c>
      <c r="L353" s="16">
        <f t="shared" si="30"/>
        <v>0.74065685164212913</v>
      </c>
      <c r="M353" s="16">
        <f t="shared" si="31"/>
        <v>3.5932721712538224E-2</v>
      </c>
      <c r="N353" s="17">
        <f t="shared" si="32"/>
        <v>3.6123853211009176</v>
      </c>
      <c r="O353" s="17">
        <f t="shared" si="33"/>
        <v>100.53191489361703</v>
      </c>
      <c r="P353" s="16">
        <f t="shared" si="34"/>
        <v>0.52663843067320548</v>
      </c>
      <c r="Q353" s="16">
        <f t="shared" si="35"/>
        <v>3.1341798941798942</v>
      </c>
      <c r="R353" s="2" t="s">
        <v>728</v>
      </c>
      <c r="S353" s="21" t="s">
        <v>24</v>
      </c>
      <c r="T353" s="21" t="s">
        <v>27</v>
      </c>
      <c r="U353" s="8">
        <v>4725</v>
      </c>
      <c r="V353" s="11">
        <v>1</v>
      </c>
      <c r="W353" t="str">
        <f>IF(Table1[[#This Row],[Satisfaction Rating]]&lt;2, "Low", IF(Table1[[#This Row],[Satisfaction Rating]]&lt;4, "Medium", "High"))</f>
        <v>Low</v>
      </c>
    </row>
    <row r="354" spans="1:23" ht="13" x14ac:dyDescent="0.15">
      <c r="A354" s="2" t="s">
        <v>729</v>
      </c>
      <c r="B354" s="23">
        <v>45383.961770833332</v>
      </c>
      <c r="C354" s="23">
        <v>45383.961770833332</v>
      </c>
      <c r="D354" s="23" t="str">
        <f>IF(Table1[[#This Row],[Duration of Campaign]]=0, "Ongoing","Completed")</f>
        <v>Ongoing</v>
      </c>
      <c r="E354" s="25">
        <f>Table1[[#This Row],[End Date]]-Table1[[#This Row],[Start Date]]</f>
        <v>0</v>
      </c>
      <c r="F354" s="8">
        <v>4397</v>
      </c>
      <c r="G354" s="21" t="s">
        <v>19</v>
      </c>
      <c r="H354" s="11">
        <v>2938</v>
      </c>
      <c r="I354" s="11">
        <v>1361</v>
      </c>
      <c r="J354" s="11">
        <v>478</v>
      </c>
      <c r="K354" s="13">
        <v>13769</v>
      </c>
      <c r="L354" s="16">
        <f t="shared" si="30"/>
        <v>0.46324029952348539</v>
      </c>
      <c r="M354" s="16">
        <f t="shared" si="31"/>
        <v>0.35121234386480527</v>
      </c>
      <c r="N354" s="17">
        <f t="shared" si="32"/>
        <v>14.646583394562821</v>
      </c>
      <c r="O354" s="17">
        <f t="shared" si="33"/>
        <v>41.702928870292887</v>
      </c>
      <c r="P354" s="16">
        <f t="shared" si="34"/>
        <v>4.5335455992722311</v>
      </c>
      <c r="Q354" s="16">
        <f t="shared" si="35"/>
        <v>0.6907294070432427</v>
      </c>
      <c r="R354" s="2" t="s">
        <v>730</v>
      </c>
      <c r="S354" s="21" t="s">
        <v>21</v>
      </c>
      <c r="T354" s="21" t="s">
        <v>17</v>
      </c>
      <c r="U354" s="8">
        <v>19934</v>
      </c>
      <c r="V354" s="11">
        <v>2</v>
      </c>
      <c r="W354" t="str">
        <f>IF(Table1[[#This Row],[Satisfaction Rating]]&lt;2, "Low", IF(Table1[[#This Row],[Satisfaction Rating]]&lt;4, "Medium", "High"))</f>
        <v>Medium</v>
      </c>
    </row>
    <row r="355" spans="1:23" ht="13" x14ac:dyDescent="0.15">
      <c r="A355" s="2" t="s">
        <v>731</v>
      </c>
      <c r="B355" s="23">
        <v>44978.812627314815</v>
      </c>
      <c r="C355" s="23">
        <v>45346.832337962966</v>
      </c>
      <c r="D355" s="23" t="str">
        <f>IF(Table1[[#This Row],[Duration of Campaign]]=0, "Ongoing","Completed")</f>
        <v>Completed</v>
      </c>
      <c r="E355" s="25">
        <f>Table1[[#This Row],[End Date]]-Table1[[#This Row],[Start Date]]</f>
        <v>368.01971064815007</v>
      </c>
      <c r="F355" s="8">
        <v>2868</v>
      </c>
      <c r="G355" s="21" t="s">
        <v>53</v>
      </c>
      <c r="H355" s="11">
        <v>17432</v>
      </c>
      <c r="I355" s="11">
        <v>362</v>
      </c>
      <c r="J355" s="11">
        <v>474</v>
      </c>
      <c r="K355" s="13">
        <v>13009</v>
      </c>
      <c r="L355" s="16">
        <f t="shared" si="30"/>
        <v>2.0766406608536025E-2</v>
      </c>
      <c r="M355" s="16">
        <f t="shared" si="31"/>
        <v>1.3093922651933703</v>
      </c>
      <c r="N355" s="17">
        <f t="shared" si="32"/>
        <v>42.179558011049721</v>
      </c>
      <c r="O355" s="17">
        <f t="shared" si="33"/>
        <v>32.213080168776372</v>
      </c>
      <c r="P355" s="16">
        <f t="shared" si="34"/>
        <v>5.3239191073919105</v>
      </c>
      <c r="Q355" s="16">
        <f t="shared" si="35"/>
        <v>0.85198768747134712</v>
      </c>
      <c r="R355" s="2" t="s">
        <v>732</v>
      </c>
      <c r="S355" s="21" t="s">
        <v>35</v>
      </c>
      <c r="T355" s="21" t="s">
        <v>17</v>
      </c>
      <c r="U355" s="8">
        <v>15269</v>
      </c>
      <c r="V355" s="11">
        <v>2</v>
      </c>
      <c r="W355" t="str">
        <f>IF(Table1[[#This Row],[Satisfaction Rating]]&lt;2, "Low", IF(Table1[[#This Row],[Satisfaction Rating]]&lt;4, "Medium", "High"))</f>
        <v>Medium</v>
      </c>
    </row>
    <row r="356" spans="1:23" ht="13" x14ac:dyDescent="0.15">
      <c r="A356" s="2" t="s">
        <v>733</v>
      </c>
      <c r="B356" s="23">
        <v>45387.180775462963</v>
      </c>
      <c r="C356" s="23">
        <v>45387.180775462963</v>
      </c>
      <c r="D356" s="23" t="str">
        <f>IF(Table1[[#This Row],[Duration of Campaign]]=0, "Ongoing","Completed")</f>
        <v>Ongoing</v>
      </c>
      <c r="E356" s="25">
        <f>Table1[[#This Row],[End Date]]-Table1[[#This Row],[Start Date]]</f>
        <v>0</v>
      </c>
      <c r="F356" s="8">
        <v>8520</v>
      </c>
      <c r="G356" s="21" t="s">
        <v>37</v>
      </c>
      <c r="H356" s="11">
        <v>3357</v>
      </c>
      <c r="I356" s="11">
        <v>1033</v>
      </c>
      <c r="J356" s="11">
        <v>162</v>
      </c>
      <c r="K356" s="13">
        <v>8855</v>
      </c>
      <c r="L356" s="16">
        <f t="shared" si="30"/>
        <v>0.3077152219243372</v>
      </c>
      <c r="M356" s="16">
        <f t="shared" si="31"/>
        <v>0.15682478218780252</v>
      </c>
      <c r="N356" s="17">
        <f t="shared" si="32"/>
        <v>3.7967086156824781</v>
      </c>
      <c r="O356" s="17">
        <f t="shared" si="33"/>
        <v>24.209876543209877</v>
      </c>
      <c r="P356" s="16">
        <f t="shared" si="34"/>
        <v>0.4603286384976526</v>
      </c>
      <c r="Q356" s="16">
        <f t="shared" si="35"/>
        <v>2.2577766445690974</v>
      </c>
      <c r="R356" s="2" t="s">
        <v>734</v>
      </c>
      <c r="S356" s="21" t="s">
        <v>24</v>
      </c>
      <c r="T356" s="21" t="s">
        <v>27</v>
      </c>
      <c r="U356" s="8">
        <v>3922</v>
      </c>
      <c r="V356" s="11">
        <v>1</v>
      </c>
      <c r="W356" t="str">
        <f>IF(Table1[[#This Row],[Satisfaction Rating]]&lt;2, "Low", IF(Table1[[#This Row],[Satisfaction Rating]]&lt;4, "Medium", "High"))</f>
        <v>Low</v>
      </c>
    </row>
    <row r="357" spans="1:23" ht="13" x14ac:dyDescent="0.15">
      <c r="A357" s="2" t="s">
        <v>735</v>
      </c>
      <c r="B357" s="23">
        <v>45481.206608796296</v>
      </c>
      <c r="C357" s="23">
        <v>45481.206608796296</v>
      </c>
      <c r="D357" s="23" t="str">
        <f>IF(Table1[[#This Row],[Duration of Campaign]]=0, "Ongoing","Completed")</f>
        <v>Ongoing</v>
      </c>
      <c r="E357" s="25">
        <f>Table1[[#This Row],[End Date]]-Table1[[#This Row],[Start Date]]</f>
        <v>0</v>
      </c>
      <c r="F357" s="8">
        <v>7380</v>
      </c>
      <c r="G357" s="21" t="s">
        <v>19</v>
      </c>
      <c r="H357" s="11">
        <v>2002</v>
      </c>
      <c r="I357" s="11">
        <v>166</v>
      </c>
      <c r="J357" s="11">
        <v>414</v>
      </c>
      <c r="K357" s="13">
        <v>5894</v>
      </c>
      <c r="L357" s="16">
        <f t="shared" si="30"/>
        <v>8.2917082917082913E-2</v>
      </c>
      <c r="M357" s="16">
        <f t="shared" si="31"/>
        <v>2.4939759036144578</v>
      </c>
      <c r="N357" s="17">
        <f t="shared" si="32"/>
        <v>73.560240963855421</v>
      </c>
      <c r="O357" s="17">
        <f t="shared" si="33"/>
        <v>29.495169082125603</v>
      </c>
      <c r="P357" s="16">
        <f t="shared" si="34"/>
        <v>1.6546070460704607</v>
      </c>
      <c r="Q357" s="16">
        <f t="shared" si="35"/>
        <v>0.48267955122430595</v>
      </c>
      <c r="R357" s="2" t="s">
        <v>736</v>
      </c>
      <c r="S357" s="21" t="s">
        <v>16</v>
      </c>
      <c r="T357" s="21" t="s">
        <v>27</v>
      </c>
      <c r="U357" s="8">
        <v>12211</v>
      </c>
      <c r="V357" s="11">
        <v>3</v>
      </c>
      <c r="W357" t="str">
        <f>IF(Table1[[#This Row],[Satisfaction Rating]]&lt;2, "Low", IF(Table1[[#This Row],[Satisfaction Rating]]&lt;4, "Medium", "High"))</f>
        <v>Medium</v>
      </c>
    </row>
    <row r="358" spans="1:23" ht="13" x14ac:dyDescent="0.15">
      <c r="A358" s="2" t="s">
        <v>737</v>
      </c>
      <c r="B358" s="23">
        <v>45432.541932870372</v>
      </c>
      <c r="C358" s="23">
        <v>45432.541932870372</v>
      </c>
      <c r="D358" s="23" t="str">
        <f>IF(Table1[[#This Row],[Duration of Campaign]]=0, "Ongoing","Completed")</f>
        <v>Ongoing</v>
      </c>
      <c r="E358" s="25">
        <f>Table1[[#This Row],[End Date]]-Table1[[#This Row],[Start Date]]</f>
        <v>0</v>
      </c>
      <c r="F358" s="8">
        <v>1510</v>
      </c>
      <c r="G358" s="21" t="s">
        <v>37</v>
      </c>
      <c r="H358" s="11">
        <v>4585</v>
      </c>
      <c r="I358" s="11">
        <v>513</v>
      </c>
      <c r="J358" s="11">
        <v>317</v>
      </c>
      <c r="K358" s="13">
        <v>5384</v>
      </c>
      <c r="L358" s="16">
        <f t="shared" si="30"/>
        <v>0.111886586695747</v>
      </c>
      <c r="M358" s="16">
        <f t="shared" si="31"/>
        <v>0.61793372319688111</v>
      </c>
      <c r="N358" s="17">
        <f t="shared" si="32"/>
        <v>19.775828460038987</v>
      </c>
      <c r="O358" s="17">
        <f t="shared" si="33"/>
        <v>32.003154574132495</v>
      </c>
      <c r="P358" s="16">
        <f t="shared" si="34"/>
        <v>6.7185430463576159</v>
      </c>
      <c r="Q358" s="16">
        <f t="shared" si="35"/>
        <v>0.53070478068013804</v>
      </c>
      <c r="R358" s="2" t="s">
        <v>738</v>
      </c>
      <c r="S358" s="21" t="s">
        <v>35</v>
      </c>
      <c r="T358" s="21" t="s">
        <v>17</v>
      </c>
      <c r="U358" s="8">
        <v>10145</v>
      </c>
      <c r="V358" s="11">
        <v>2</v>
      </c>
      <c r="W358" t="str">
        <f>IF(Table1[[#This Row],[Satisfaction Rating]]&lt;2, "Low", IF(Table1[[#This Row],[Satisfaction Rating]]&lt;4, "Medium", "High"))</f>
        <v>Medium</v>
      </c>
    </row>
    <row r="359" spans="1:23" ht="13" x14ac:dyDescent="0.15">
      <c r="A359" s="2" t="s">
        <v>739</v>
      </c>
      <c r="B359" s="23">
        <v>45265.002615740741</v>
      </c>
      <c r="C359" s="23">
        <v>45265.002615740741</v>
      </c>
      <c r="D359" s="23" t="str">
        <f>IF(Table1[[#This Row],[Duration of Campaign]]=0, "Ongoing","Completed")</f>
        <v>Ongoing</v>
      </c>
      <c r="E359" s="25">
        <f>Table1[[#This Row],[End Date]]-Table1[[#This Row],[Start Date]]</f>
        <v>0</v>
      </c>
      <c r="F359" s="8">
        <v>8560</v>
      </c>
      <c r="G359" s="21" t="s">
        <v>37</v>
      </c>
      <c r="H359" s="11">
        <v>14714</v>
      </c>
      <c r="I359" s="11">
        <v>1646</v>
      </c>
      <c r="J359" s="11">
        <v>238</v>
      </c>
      <c r="K359" s="13">
        <v>598</v>
      </c>
      <c r="L359" s="16">
        <f t="shared" si="30"/>
        <v>0.11186624983009379</v>
      </c>
      <c r="M359" s="16">
        <f t="shared" si="31"/>
        <v>0.14459295261239369</v>
      </c>
      <c r="N359" s="17">
        <f t="shared" si="32"/>
        <v>1.1773997569866343</v>
      </c>
      <c r="O359" s="17">
        <f t="shared" si="33"/>
        <v>8.1428571428571423</v>
      </c>
      <c r="P359" s="16">
        <f t="shared" si="34"/>
        <v>0.2264018691588785</v>
      </c>
      <c r="Q359" s="16">
        <f t="shared" si="35"/>
        <v>0.30856553147574817</v>
      </c>
      <c r="R359" s="2" t="s">
        <v>740</v>
      </c>
      <c r="S359" s="21" t="s">
        <v>35</v>
      </c>
      <c r="T359" s="21" t="s">
        <v>17</v>
      </c>
      <c r="U359" s="8">
        <v>1938</v>
      </c>
      <c r="V359" s="11">
        <v>4</v>
      </c>
      <c r="W359" t="str">
        <f>IF(Table1[[#This Row],[Satisfaction Rating]]&lt;2, "Low", IF(Table1[[#This Row],[Satisfaction Rating]]&lt;4, "Medium", "High"))</f>
        <v>High</v>
      </c>
    </row>
    <row r="360" spans="1:23" ht="13" x14ac:dyDescent="0.15">
      <c r="A360" s="2" t="s">
        <v>741</v>
      </c>
      <c r="B360" s="23">
        <v>45303.94730324074</v>
      </c>
      <c r="C360" s="23">
        <v>45558.301238425927</v>
      </c>
      <c r="D360" s="23" t="str">
        <f>IF(Table1[[#This Row],[Duration of Campaign]]=0, "Ongoing","Completed")</f>
        <v>Completed</v>
      </c>
      <c r="E360" s="25">
        <f>Table1[[#This Row],[End Date]]-Table1[[#This Row],[Start Date]]</f>
        <v>254.35393518518686</v>
      </c>
      <c r="F360" s="8">
        <v>6195</v>
      </c>
      <c r="G360" s="21" t="s">
        <v>53</v>
      </c>
      <c r="H360" s="11">
        <v>18227</v>
      </c>
      <c r="I360" s="11">
        <v>1864</v>
      </c>
      <c r="J360" s="11">
        <v>327</v>
      </c>
      <c r="K360" s="13">
        <v>10378</v>
      </c>
      <c r="L360" s="16">
        <f t="shared" si="30"/>
        <v>0.10226586931475284</v>
      </c>
      <c r="M360" s="16">
        <f t="shared" si="31"/>
        <v>0.17542918454935622</v>
      </c>
      <c r="N360" s="17">
        <f t="shared" si="32"/>
        <v>0.89967811158798283</v>
      </c>
      <c r="O360" s="17">
        <f t="shared" si="33"/>
        <v>5.1284403669724767</v>
      </c>
      <c r="P360" s="16">
        <f t="shared" si="34"/>
        <v>0.27070217917675543</v>
      </c>
      <c r="Q360" s="16">
        <f t="shared" si="35"/>
        <v>6.1884317233154444</v>
      </c>
      <c r="R360" s="2" t="s">
        <v>742</v>
      </c>
      <c r="S360" s="21" t="s">
        <v>24</v>
      </c>
      <c r="T360" s="21" t="s">
        <v>17</v>
      </c>
      <c r="U360" s="8">
        <v>1677</v>
      </c>
      <c r="V360" s="11">
        <v>2</v>
      </c>
      <c r="W360" t="str">
        <f>IF(Table1[[#This Row],[Satisfaction Rating]]&lt;2, "Low", IF(Table1[[#This Row],[Satisfaction Rating]]&lt;4, "Medium", "High"))</f>
        <v>Medium</v>
      </c>
    </row>
    <row r="361" spans="1:23" ht="13" x14ac:dyDescent="0.15">
      <c r="A361" s="2" t="s">
        <v>743</v>
      </c>
      <c r="B361" s="23">
        <v>45434.425185185188</v>
      </c>
      <c r="C361" s="23">
        <v>45434.425185185188</v>
      </c>
      <c r="D361" s="23" t="str">
        <f>IF(Table1[[#This Row],[Duration of Campaign]]=0, "Ongoing","Completed")</f>
        <v>Ongoing</v>
      </c>
      <c r="E361" s="25">
        <f>Table1[[#This Row],[End Date]]-Table1[[#This Row],[Start Date]]</f>
        <v>0</v>
      </c>
      <c r="F361" s="8">
        <v>2566</v>
      </c>
      <c r="G361" s="21" t="s">
        <v>37</v>
      </c>
      <c r="H361" s="11">
        <v>9669</v>
      </c>
      <c r="I361" s="11">
        <v>743</v>
      </c>
      <c r="J361" s="11">
        <v>45</v>
      </c>
      <c r="K361" s="13">
        <v>10709</v>
      </c>
      <c r="L361" s="16">
        <f t="shared" si="30"/>
        <v>7.6843520529527351E-2</v>
      </c>
      <c r="M361" s="16">
        <f t="shared" si="31"/>
        <v>6.0565275908479141E-2</v>
      </c>
      <c r="N361" s="17">
        <f t="shared" si="32"/>
        <v>6.6137281292059216</v>
      </c>
      <c r="O361" s="17">
        <f t="shared" si="33"/>
        <v>109.2</v>
      </c>
      <c r="P361" s="16">
        <f t="shared" si="34"/>
        <v>1.9150428682774747</v>
      </c>
      <c r="Q361" s="16">
        <f t="shared" si="35"/>
        <v>2.1792836792836794</v>
      </c>
      <c r="R361" s="2" t="s">
        <v>744</v>
      </c>
      <c r="S361" s="21" t="s">
        <v>24</v>
      </c>
      <c r="T361" s="21" t="s">
        <v>17</v>
      </c>
      <c r="U361" s="8">
        <v>4914</v>
      </c>
      <c r="V361" s="11">
        <v>4</v>
      </c>
      <c r="W361" t="str">
        <f>IF(Table1[[#This Row],[Satisfaction Rating]]&lt;2, "Low", IF(Table1[[#This Row],[Satisfaction Rating]]&lt;4, "Medium", "High"))</f>
        <v>High</v>
      </c>
    </row>
    <row r="362" spans="1:23" ht="13" x14ac:dyDescent="0.15">
      <c r="A362" s="2" t="s">
        <v>745</v>
      </c>
      <c r="B362" s="23">
        <v>45167.852789351855</v>
      </c>
      <c r="C362" s="23">
        <v>45167.852789351855</v>
      </c>
      <c r="D362" s="23" t="str">
        <f>IF(Table1[[#This Row],[Duration of Campaign]]=0, "Ongoing","Completed")</f>
        <v>Ongoing</v>
      </c>
      <c r="E362" s="25">
        <f>Table1[[#This Row],[End Date]]-Table1[[#This Row],[Start Date]]</f>
        <v>0</v>
      </c>
      <c r="F362" s="8">
        <v>4815</v>
      </c>
      <c r="G362" s="21" t="s">
        <v>37</v>
      </c>
      <c r="H362" s="11">
        <v>1903</v>
      </c>
      <c r="I362" s="11">
        <v>166</v>
      </c>
      <c r="J362" s="11">
        <v>53</v>
      </c>
      <c r="K362" s="13">
        <v>13918</v>
      </c>
      <c r="L362" s="16">
        <f t="shared" si="30"/>
        <v>8.7230688386757751E-2</v>
      </c>
      <c r="M362" s="16">
        <f t="shared" si="31"/>
        <v>0.31927710843373491</v>
      </c>
      <c r="N362" s="17">
        <f t="shared" si="32"/>
        <v>59.120481927710841</v>
      </c>
      <c r="O362" s="17">
        <f t="shared" si="33"/>
        <v>185.16981132075472</v>
      </c>
      <c r="P362" s="16">
        <f t="shared" si="34"/>
        <v>2.0382139148494289</v>
      </c>
      <c r="Q362" s="16">
        <f t="shared" si="35"/>
        <v>1.4181781128999389</v>
      </c>
      <c r="R362" s="2" t="s">
        <v>746</v>
      </c>
      <c r="S362" s="21" t="s">
        <v>21</v>
      </c>
      <c r="T362" s="21" t="s">
        <v>45</v>
      </c>
      <c r="U362" s="8">
        <v>9814</v>
      </c>
      <c r="V362" s="11">
        <v>3</v>
      </c>
      <c r="W362" t="str">
        <f>IF(Table1[[#This Row],[Satisfaction Rating]]&lt;2, "Low", IF(Table1[[#This Row],[Satisfaction Rating]]&lt;4, "Medium", "High"))</f>
        <v>Medium</v>
      </c>
    </row>
    <row r="363" spans="1:23" ht="13" x14ac:dyDescent="0.15">
      <c r="A363" s="2" t="s">
        <v>747</v>
      </c>
      <c r="B363" s="23">
        <v>45331.474537037036</v>
      </c>
      <c r="C363" s="23">
        <v>45636.271041666667</v>
      </c>
      <c r="D363" s="23" t="str">
        <f>IF(Table1[[#This Row],[Duration of Campaign]]=0, "Ongoing","Completed")</f>
        <v>Completed</v>
      </c>
      <c r="E363" s="25">
        <f>Table1[[#This Row],[End Date]]-Table1[[#This Row],[Start Date]]</f>
        <v>304.79650462963036</v>
      </c>
      <c r="F363" s="8">
        <v>9021</v>
      </c>
      <c r="G363" s="21" t="s">
        <v>14</v>
      </c>
      <c r="H363" s="11">
        <v>6008</v>
      </c>
      <c r="I363" s="11">
        <v>1889</v>
      </c>
      <c r="J363" s="11">
        <v>221</v>
      </c>
      <c r="K363" s="13">
        <v>3353</v>
      </c>
      <c r="L363" s="16">
        <f t="shared" si="30"/>
        <v>0.31441411451398138</v>
      </c>
      <c r="M363" s="16">
        <f t="shared" si="31"/>
        <v>0.1169931180518793</v>
      </c>
      <c r="N363" s="17">
        <f t="shared" si="32"/>
        <v>9.6013763896241393</v>
      </c>
      <c r="O363" s="17">
        <f t="shared" si="33"/>
        <v>82.067873303167417</v>
      </c>
      <c r="P363" s="16">
        <f t="shared" si="34"/>
        <v>2.0105309832612792</v>
      </c>
      <c r="Q363" s="16">
        <f t="shared" si="35"/>
        <v>0.18487070629100733</v>
      </c>
      <c r="R363" s="2" t="s">
        <v>748</v>
      </c>
      <c r="S363" s="21" t="s">
        <v>21</v>
      </c>
      <c r="T363" s="21" t="s">
        <v>27</v>
      </c>
      <c r="U363" s="8">
        <v>18137</v>
      </c>
      <c r="V363" s="11">
        <v>3</v>
      </c>
      <c r="W363" t="str">
        <f>IF(Table1[[#This Row],[Satisfaction Rating]]&lt;2, "Low", IF(Table1[[#This Row],[Satisfaction Rating]]&lt;4, "Medium", "High"))</f>
        <v>Medium</v>
      </c>
    </row>
    <row r="364" spans="1:23" ht="13" x14ac:dyDescent="0.15">
      <c r="A364" s="2" t="s">
        <v>749</v>
      </c>
      <c r="B364" s="23">
        <v>44960.778379629628</v>
      </c>
      <c r="C364" s="23">
        <v>45462.487870370373</v>
      </c>
      <c r="D364" s="23" t="str">
        <f>IF(Table1[[#This Row],[Duration of Campaign]]=0, "Ongoing","Completed")</f>
        <v>Completed</v>
      </c>
      <c r="E364" s="25">
        <f>Table1[[#This Row],[End Date]]-Table1[[#This Row],[Start Date]]</f>
        <v>501.70949074074451</v>
      </c>
      <c r="F364" s="8">
        <v>3286</v>
      </c>
      <c r="G364" s="21" t="s">
        <v>37</v>
      </c>
      <c r="H364" s="11">
        <v>10575</v>
      </c>
      <c r="I364" s="11">
        <v>564</v>
      </c>
      <c r="J364" s="11">
        <v>421</v>
      </c>
      <c r="K364" s="13">
        <v>10294</v>
      </c>
      <c r="L364" s="16">
        <f t="shared" si="30"/>
        <v>5.3333333333333337E-2</v>
      </c>
      <c r="M364" s="16">
        <f t="shared" si="31"/>
        <v>0.74645390070921991</v>
      </c>
      <c r="N364" s="17">
        <f t="shared" si="32"/>
        <v>5.9007092198581557</v>
      </c>
      <c r="O364" s="17">
        <f t="shared" si="33"/>
        <v>7.9049881235154391</v>
      </c>
      <c r="P364" s="16">
        <f t="shared" si="34"/>
        <v>1.0127814972611078</v>
      </c>
      <c r="Q364" s="16">
        <f t="shared" si="35"/>
        <v>3.0931490384615383</v>
      </c>
      <c r="R364" s="2" t="s">
        <v>750</v>
      </c>
      <c r="S364" s="21" t="s">
        <v>24</v>
      </c>
      <c r="T364" s="21" t="s">
        <v>45</v>
      </c>
      <c r="U364" s="8">
        <v>3328</v>
      </c>
      <c r="V364" s="11">
        <v>5</v>
      </c>
      <c r="W364" t="str">
        <f>IF(Table1[[#This Row],[Satisfaction Rating]]&lt;2, "Low", IF(Table1[[#This Row],[Satisfaction Rating]]&lt;4, "Medium", "High"))</f>
        <v>High</v>
      </c>
    </row>
    <row r="365" spans="1:23" ht="13" x14ac:dyDescent="0.15">
      <c r="A365" s="2" t="s">
        <v>751</v>
      </c>
      <c r="B365" s="23">
        <v>45416.834270833337</v>
      </c>
      <c r="C365" s="23">
        <v>45416.834270833337</v>
      </c>
      <c r="D365" s="23" t="str">
        <f>IF(Table1[[#This Row],[Duration of Campaign]]=0, "Ongoing","Completed")</f>
        <v>Ongoing</v>
      </c>
      <c r="E365" s="25">
        <f>Table1[[#This Row],[End Date]]-Table1[[#This Row],[Start Date]]</f>
        <v>0</v>
      </c>
      <c r="F365" s="8">
        <v>7235</v>
      </c>
      <c r="G365" s="21" t="s">
        <v>53</v>
      </c>
      <c r="H365" s="11">
        <v>4868</v>
      </c>
      <c r="I365" s="11">
        <v>238</v>
      </c>
      <c r="J365" s="11">
        <v>361</v>
      </c>
      <c r="K365" s="13">
        <v>11746</v>
      </c>
      <c r="L365" s="16">
        <f t="shared" si="30"/>
        <v>4.8890714872637631E-2</v>
      </c>
      <c r="M365" s="16">
        <f t="shared" si="31"/>
        <v>1.5168067226890756</v>
      </c>
      <c r="N365" s="17">
        <f t="shared" si="32"/>
        <v>15.844537815126051</v>
      </c>
      <c r="O365" s="17">
        <f t="shared" si="33"/>
        <v>10.445983379501385</v>
      </c>
      <c r="P365" s="16">
        <f t="shared" si="34"/>
        <v>0.52121630960608156</v>
      </c>
      <c r="Q365" s="16">
        <f t="shared" si="35"/>
        <v>3.1148236542031293</v>
      </c>
      <c r="R365" s="2" t="s">
        <v>752</v>
      </c>
      <c r="S365" s="21" t="s">
        <v>24</v>
      </c>
      <c r="T365" s="21" t="s">
        <v>45</v>
      </c>
      <c r="U365" s="8">
        <v>3771</v>
      </c>
      <c r="V365" s="11">
        <v>5</v>
      </c>
      <c r="W365" t="str">
        <f>IF(Table1[[#This Row],[Satisfaction Rating]]&lt;2, "Low", IF(Table1[[#This Row],[Satisfaction Rating]]&lt;4, "Medium", "High"))</f>
        <v>High</v>
      </c>
    </row>
    <row r="366" spans="1:23" ht="13" x14ac:dyDescent="0.15">
      <c r="A366" s="2" t="s">
        <v>753</v>
      </c>
      <c r="B366" s="23">
        <v>45091.129108796296</v>
      </c>
      <c r="C366" s="23">
        <v>45140.134895833333</v>
      </c>
      <c r="D366" s="23" t="str">
        <f>IF(Table1[[#This Row],[Duration of Campaign]]=0, "Ongoing","Completed")</f>
        <v>Completed</v>
      </c>
      <c r="E366" s="25">
        <f>Table1[[#This Row],[End Date]]-Table1[[#This Row],[Start Date]]</f>
        <v>49.005787037036498</v>
      </c>
      <c r="F366" s="8">
        <v>1565</v>
      </c>
      <c r="G366" s="21" t="s">
        <v>14</v>
      </c>
      <c r="H366" s="11">
        <v>9947</v>
      </c>
      <c r="I366" s="11">
        <v>410</v>
      </c>
      <c r="J366" s="11">
        <v>295</v>
      </c>
      <c r="K366" s="13">
        <v>13019</v>
      </c>
      <c r="L366" s="16">
        <f t="shared" si="30"/>
        <v>4.1218457826480343E-2</v>
      </c>
      <c r="M366" s="16">
        <f t="shared" si="31"/>
        <v>0.71951219512195119</v>
      </c>
      <c r="N366" s="17">
        <f t="shared" si="32"/>
        <v>20.08048780487805</v>
      </c>
      <c r="O366" s="17">
        <f t="shared" si="33"/>
        <v>27.908474576271185</v>
      </c>
      <c r="P366" s="16">
        <f t="shared" si="34"/>
        <v>5.2607028753993612</v>
      </c>
      <c r="Q366" s="16">
        <f t="shared" si="35"/>
        <v>1.5813190817442002</v>
      </c>
      <c r="R366" s="2" t="s">
        <v>754</v>
      </c>
      <c r="S366" s="21" t="s">
        <v>21</v>
      </c>
      <c r="T366" s="21" t="s">
        <v>45</v>
      </c>
      <c r="U366" s="8">
        <v>8233</v>
      </c>
      <c r="V366" s="11">
        <v>1</v>
      </c>
      <c r="W366" t="str">
        <f>IF(Table1[[#This Row],[Satisfaction Rating]]&lt;2, "Low", IF(Table1[[#This Row],[Satisfaction Rating]]&lt;4, "Medium", "High"))</f>
        <v>Low</v>
      </c>
    </row>
    <row r="367" spans="1:23" ht="13" x14ac:dyDescent="0.15">
      <c r="A367" s="2" t="s">
        <v>755</v>
      </c>
      <c r="B367" s="23">
        <v>44931.907037037039</v>
      </c>
      <c r="C367" s="23">
        <v>44961.255879629629</v>
      </c>
      <c r="D367" s="23" t="str">
        <f>IF(Table1[[#This Row],[Duration of Campaign]]=0, "Ongoing","Completed")</f>
        <v>Completed</v>
      </c>
      <c r="E367" s="25">
        <f>Table1[[#This Row],[End Date]]-Table1[[#This Row],[Start Date]]</f>
        <v>29.34884259258979</v>
      </c>
      <c r="F367" s="8">
        <v>9976</v>
      </c>
      <c r="G367" s="21" t="s">
        <v>53</v>
      </c>
      <c r="H367" s="11">
        <v>6521</v>
      </c>
      <c r="I367" s="11">
        <v>797</v>
      </c>
      <c r="J367" s="11">
        <v>151</v>
      </c>
      <c r="K367" s="13">
        <v>1268</v>
      </c>
      <c r="L367" s="16">
        <f t="shared" si="30"/>
        <v>0.12222051832541021</v>
      </c>
      <c r="M367" s="16">
        <f t="shared" si="31"/>
        <v>0.18946047678795483</v>
      </c>
      <c r="N367" s="17">
        <f t="shared" si="32"/>
        <v>17.601003764115433</v>
      </c>
      <c r="O367" s="17">
        <f t="shared" si="33"/>
        <v>92.900662251655632</v>
      </c>
      <c r="P367" s="16">
        <f t="shared" si="34"/>
        <v>1.4061748195669608</v>
      </c>
      <c r="Q367" s="16">
        <f t="shared" si="35"/>
        <v>9.0390647276874819E-2</v>
      </c>
      <c r="R367" s="2" t="s">
        <v>756</v>
      </c>
      <c r="S367" s="21" t="s">
        <v>24</v>
      </c>
      <c r="T367" s="21" t="s">
        <v>45</v>
      </c>
      <c r="U367" s="8">
        <v>14028</v>
      </c>
      <c r="V367" s="11">
        <v>2</v>
      </c>
      <c r="W367" t="str">
        <f>IF(Table1[[#This Row],[Satisfaction Rating]]&lt;2, "Low", IF(Table1[[#This Row],[Satisfaction Rating]]&lt;4, "Medium", "High"))</f>
        <v>Medium</v>
      </c>
    </row>
    <row r="368" spans="1:23" ht="13" x14ac:dyDescent="0.15">
      <c r="A368" s="2" t="s">
        <v>757</v>
      </c>
      <c r="B368" s="23">
        <v>45046.210092592592</v>
      </c>
      <c r="C368" s="23">
        <v>45084.691759259258</v>
      </c>
      <c r="D368" s="23" t="str">
        <f>IF(Table1[[#This Row],[Duration of Campaign]]=0, "Ongoing","Completed")</f>
        <v>Completed</v>
      </c>
      <c r="E368" s="25">
        <f>Table1[[#This Row],[End Date]]-Table1[[#This Row],[Start Date]]</f>
        <v>38.48166666666657</v>
      </c>
      <c r="F368" s="8">
        <v>3929</v>
      </c>
      <c r="G368" s="21" t="s">
        <v>53</v>
      </c>
      <c r="H368" s="11">
        <v>10503</v>
      </c>
      <c r="I368" s="11">
        <v>1336</v>
      </c>
      <c r="J368" s="11">
        <v>402</v>
      </c>
      <c r="K368" s="13">
        <v>1408</v>
      </c>
      <c r="L368" s="16">
        <f t="shared" si="30"/>
        <v>0.12720175188041513</v>
      </c>
      <c r="M368" s="16">
        <f t="shared" si="31"/>
        <v>0.30089820359281438</v>
      </c>
      <c r="N368" s="17">
        <f t="shared" si="32"/>
        <v>12.56062874251497</v>
      </c>
      <c r="O368" s="17">
        <f t="shared" si="33"/>
        <v>41.743781094527364</v>
      </c>
      <c r="P368" s="16">
        <f t="shared" si="34"/>
        <v>4.2710613387630438</v>
      </c>
      <c r="Q368" s="16">
        <f t="shared" si="35"/>
        <v>8.3904415708241462E-2</v>
      </c>
      <c r="R368" s="2" t="s">
        <v>758</v>
      </c>
      <c r="S368" s="21" t="s">
        <v>35</v>
      </c>
      <c r="T368" s="21" t="s">
        <v>17</v>
      </c>
      <c r="U368" s="8">
        <v>16781</v>
      </c>
      <c r="V368" s="11">
        <v>5</v>
      </c>
      <c r="W368" t="str">
        <f>IF(Table1[[#This Row],[Satisfaction Rating]]&lt;2, "Low", IF(Table1[[#This Row],[Satisfaction Rating]]&lt;4, "Medium", "High"))</f>
        <v>High</v>
      </c>
    </row>
    <row r="369" spans="1:23" ht="13" x14ac:dyDescent="0.15">
      <c r="A369" s="2" t="s">
        <v>759</v>
      </c>
      <c r="B369" s="23">
        <v>45308.225266203706</v>
      </c>
      <c r="C369" s="23">
        <v>45484.353877314818</v>
      </c>
      <c r="D369" s="23" t="str">
        <f>IF(Table1[[#This Row],[Duration of Campaign]]=0, "Ongoing","Completed")</f>
        <v>Completed</v>
      </c>
      <c r="E369" s="25">
        <f>Table1[[#This Row],[End Date]]-Table1[[#This Row],[Start Date]]</f>
        <v>176.12861111111124</v>
      </c>
      <c r="F369" s="8">
        <v>5190</v>
      </c>
      <c r="G369" s="21" t="s">
        <v>14</v>
      </c>
      <c r="H369" s="11">
        <v>7637</v>
      </c>
      <c r="I369" s="11">
        <v>593</v>
      </c>
      <c r="J369" s="11">
        <v>125</v>
      </c>
      <c r="K369" s="13">
        <v>8739</v>
      </c>
      <c r="L369" s="16">
        <f t="shared" si="30"/>
        <v>7.7648291213827422E-2</v>
      </c>
      <c r="M369" s="16">
        <f t="shared" si="31"/>
        <v>0.21079258010118043</v>
      </c>
      <c r="N369" s="17">
        <f t="shared" si="32"/>
        <v>20.300168634064082</v>
      </c>
      <c r="O369" s="17">
        <f t="shared" si="33"/>
        <v>96.304000000000002</v>
      </c>
      <c r="P369" s="16">
        <f t="shared" si="34"/>
        <v>2.3194605009633911</v>
      </c>
      <c r="Q369" s="16">
        <f t="shared" si="35"/>
        <v>0.72595115467685667</v>
      </c>
      <c r="R369" s="2" t="s">
        <v>760</v>
      </c>
      <c r="S369" s="21" t="s">
        <v>24</v>
      </c>
      <c r="T369" s="21" t="s">
        <v>27</v>
      </c>
      <c r="U369" s="8">
        <v>12038</v>
      </c>
      <c r="V369" s="11">
        <v>2</v>
      </c>
      <c r="W369" t="str">
        <f>IF(Table1[[#This Row],[Satisfaction Rating]]&lt;2, "Low", IF(Table1[[#This Row],[Satisfaction Rating]]&lt;4, "Medium", "High"))</f>
        <v>Medium</v>
      </c>
    </row>
    <row r="370" spans="1:23" ht="13" x14ac:dyDescent="0.15">
      <c r="A370" s="2" t="s">
        <v>761</v>
      </c>
      <c r="B370" s="23">
        <v>45531.160081018519</v>
      </c>
      <c r="C370" s="23">
        <v>45531.160081018519</v>
      </c>
      <c r="D370" s="23" t="str">
        <f>IF(Table1[[#This Row],[Duration of Campaign]]=0, "Ongoing","Completed")</f>
        <v>Ongoing</v>
      </c>
      <c r="E370" s="25">
        <f>Table1[[#This Row],[End Date]]-Table1[[#This Row],[Start Date]]</f>
        <v>0</v>
      </c>
      <c r="F370" s="8">
        <v>6241</v>
      </c>
      <c r="G370" s="21" t="s">
        <v>37</v>
      </c>
      <c r="H370" s="11">
        <v>16375</v>
      </c>
      <c r="I370" s="11">
        <v>730</v>
      </c>
      <c r="J370" s="11">
        <v>495</v>
      </c>
      <c r="K370" s="13">
        <v>10107</v>
      </c>
      <c r="L370" s="16">
        <f t="shared" si="30"/>
        <v>4.4580152671755725E-2</v>
      </c>
      <c r="M370" s="16">
        <f t="shared" si="31"/>
        <v>0.67808219178082196</v>
      </c>
      <c r="N370" s="17">
        <f t="shared" si="32"/>
        <v>8.1753424657534239</v>
      </c>
      <c r="O370" s="17">
        <f t="shared" si="33"/>
        <v>12.056565656565656</v>
      </c>
      <c r="P370" s="16">
        <f t="shared" si="34"/>
        <v>0.95625701009453612</v>
      </c>
      <c r="Q370" s="16">
        <f t="shared" si="35"/>
        <v>1.6935321715817695</v>
      </c>
      <c r="R370" s="2" t="s">
        <v>762</v>
      </c>
      <c r="S370" s="21" t="s">
        <v>16</v>
      </c>
      <c r="T370" s="21" t="s">
        <v>17</v>
      </c>
      <c r="U370" s="8">
        <v>5968</v>
      </c>
      <c r="V370" s="11">
        <v>3</v>
      </c>
      <c r="W370" t="str">
        <f>IF(Table1[[#This Row],[Satisfaction Rating]]&lt;2, "Low", IF(Table1[[#This Row],[Satisfaction Rating]]&lt;4, "Medium", "High"))</f>
        <v>Medium</v>
      </c>
    </row>
    <row r="371" spans="1:23" ht="13" x14ac:dyDescent="0.15">
      <c r="A371" s="2" t="s">
        <v>763</v>
      </c>
      <c r="B371" s="23">
        <v>45639.136076388888</v>
      </c>
      <c r="C371" s="23">
        <v>45639.136076388888</v>
      </c>
      <c r="D371" s="23" t="str">
        <f>IF(Table1[[#This Row],[Duration of Campaign]]=0, "Ongoing","Completed")</f>
        <v>Ongoing</v>
      </c>
      <c r="E371" s="25">
        <f>Table1[[#This Row],[End Date]]-Table1[[#This Row],[Start Date]]</f>
        <v>0</v>
      </c>
      <c r="F371" s="8">
        <v>9095</v>
      </c>
      <c r="G371" s="21" t="s">
        <v>53</v>
      </c>
      <c r="H371" s="11">
        <v>7439</v>
      </c>
      <c r="I371" s="11">
        <v>1497</v>
      </c>
      <c r="J371" s="11">
        <v>382</v>
      </c>
      <c r="K371" s="13">
        <v>8071</v>
      </c>
      <c r="L371" s="16">
        <f t="shared" si="30"/>
        <v>0.20123672536631268</v>
      </c>
      <c r="M371" s="16">
        <f t="shared" si="31"/>
        <v>0.25517702070808285</v>
      </c>
      <c r="N371" s="17">
        <f t="shared" si="32"/>
        <v>6.110220440881764</v>
      </c>
      <c r="O371" s="17">
        <f t="shared" si="33"/>
        <v>23.945026178010473</v>
      </c>
      <c r="P371" s="16">
        <f t="shared" si="34"/>
        <v>1.0057174271577789</v>
      </c>
      <c r="Q371" s="16">
        <f t="shared" si="35"/>
        <v>0.8823658029955177</v>
      </c>
      <c r="R371" s="2" t="s">
        <v>764</v>
      </c>
      <c r="S371" s="21" t="s">
        <v>21</v>
      </c>
      <c r="T371" s="21" t="s">
        <v>45</v>
      </c>
      <c r="U371" s="8">
        <v>9147</v>
      </c>
      <c r="V371" s="11">
        <v>4</v>
      </c>
      <c r="W371" t="str">
        <f>IF(Table1[[#This Row],[Satisfaction Rating]]&lt;2, "Low", IF(Table1[[#This Row],[Satisfaction Rating]]&lt;4, "Medium", "High"))</f>
        <v>High</v>
      </c>
    </row>
    <row r="372" spans="1:23" ht="13" x14ac:dyDescent="0.15">
      <c r="A372" s="2" t="s">
        <v>765</v>
      </c>
      <c r="B372" s="23">
        <v>45446.339247685188</v>
      </c>
      <c r="C372" s="23">
        <v>45446.339247685188</v>
      </c>
      <c r="D372" s="23" t="str">
        <f>IF(Table1[[#This Row],[Duration of Campaign]]=0, "Ongoing","Completed")</f>
        <v>Ongoing</v>
      </c>
      <c r="E372" s="25">
        <f>Table1[[#This Row],[End Date]]-Table1[[#This Row],[Start Date]]</f>
        <v>0</v>
      </c>
      <c r="F372" s="8">
        <v>5490</v>
      </c>
      <c r="G372" s="21" t="s">
        <v>14</v>
      </c>
      <c r="H372" s="11">
        <v>9452</v>
      </c>
      <c r="I372" s="11">
        <v>255</v>
      </c>
      <c r="J372" s="11">
        <v>88</v>
      </c>
      <c r="K372" s="13">
        <v>10451</v>
      </c>
      <c r="L372" s="16">
        <f t="shared" si="30"/>
        <v>2.6978417266187049E-2</v>
      </c>
      <c r="M372" s="16">
        <f t="shared" si="31"/>
        <v>0.34509803921568627</v>
      </c>
      <c r="N372" s="17">
        <f t="shared" si="32"/>
        <v>50.705882352941174</v>
      </c>
      <c r="O372" s="17">
        <f t="shared" si="33"/>
        <v>146.93181818181819</v>
      </c>
      <c r="P372" s="16">
        <f t="shared" si="34"/>
        <v>2.3551912568306013</v>
      </c>
      <c r="Q372" s="16">
        <f t="shared" si="35"/>
        <v>0.80827532869296215</v>
      </c>
      <c r="R372" s="2" t="s">
        <v>766</v>
      </c>
      <c r="S372" s="21" t="s">
        <v>30</v>
      </c>
      <c r="T372" s="21" t="s">
        <v>17</v>
      </c>
      <c r="U372" s="8">
        <v>12930</v>
      </c>
      <c r="V372" s="11">
        <v>3</v>
      </c>
      <c r="W372" t="str">
        <f>IF(Table1[[#This Row],[Satisfaction Rating]]&lt;2, "Low", IF(Table1[[#This Row],[Satisfaction Rating]]&lt;4, "Medium", "High"))</f>
        <v>Medium</v>
      </c>
    </row>
    <row r="373" spans="1:23" ht="13" x14ac:dyDescent="0.15">
      <c r="A373" s="2" t="s">
        <v>767</v>
      </c>
      <c r="B373" s="23">
        <v>45624.873657407406</v>
      </c>
      <c r="C373" s="23">
        <v>45624.873657407406</v>
      </c>
      <c r="D373" s="23" t="str">
        <f>IF(Table1[[#This Row],[Duration of Campaign]]=0, "Ongoing","Completed")</f>
        <v>Ongoing</v>
      </c>
      <c r="E373" s="25">
        <f>Table1[[#This Row],[End Date]]-Table1[[#This Row],[Start Date]]</f>
        <v>0</v>
      </c>
      <c r="F373" s="8">
        <v>5399</v>
      </c>
      <c r="G373" s="21" t="s">
        <v>14</v>
      </c>
      <c r="H373" s="11">
        <v>16607</v>
      </c>
      <c r="I373" s="11">
        <v>250</v>
      </c>
      <c r="J373" s="11">
        <v>206</v>
      </c>
      <c r="K373" s="13">
        <v>9934</v>
      </c>
      <c r="L373" s="16">
        <f t="shared" si="30"/>
        <v>1.5053892936713434E-2</v>
      </c>
      <c r="M373" s="16">
        <f t="shared" si="31"/>
        <v>0.82399999999999995</v>
      </c>
      <c r="N373" s="17">
        <f t="shared" si="32"/>
        <v>41.204000000000001</v>
      </c>
      <c r="O373" s="17">
        <f t="shared" si="33"/>
        <v>50.004854368932037</v>
      </c>
      <c r="P373" s="16">
        <f t="shared" si="34"/>
        <v>1.9079459159103538</v>
      </c>
      <c r="Q373" s="16">
        <f t="shared" si="35"/>
        <v>0.96437239102999706</v>
      </c>
      <c r="R373" s="2" t="s">
        <v>768</v>
      </c>
      <c r="S373" s="21" t="s">
        <v>35</v>
      </c>
      <c r="T373" s="21" t="s">
        <v>27</v>
      </c>
      <c r="U373" s="8">
        <v>10301</v>
      </c>
      <c r="V373" s="11">
        <v>1</v>
      </c>
      <c r="W373" t="str">
        <f>IF(Table1[[#This Row],[Satisfaction Rating]]&lt;2, "Low", IF(Table1[[#This Row],[Satisfaction Rating]]&lt;4, "Medium", "High"))</f>
        <v>Low</v>
      </c>
    </row>
    <row r="374" spans="1:23" ht="13" x14ac:dyDescent="0.15">
      <c r="A374" s="2" t="s">
        <v>769</v>
      </c>
      <c r="B374" s="23">
        <v>45448.829953703702</v>
      </c>
      <c r="C374" s="23">
        <v>45508.673263888886</v>
      </c>
      <c r="D374" s="23" t="str">
        <f>IF(Table1[[#This Row],[Duration of Campaign]]=0, "Ongoing","Completed")</f>
        <v>Completed</v>
      </c>
      <c r="E374" s="25">
        <f>Table1[[#This Row],[End Date]]-Table1[[#This Row],[Start Date]]</f>
        <v>59.843310185184237</v>
      </c>
      <c r="F374" s="8">
        <v>4498</v>
      </c>
      <c r="G374" s="21" t="s">
        <v>37</v>
      </c>
      <c r="H374" s="11">
        <v>7582</v>
      </c>
      <c r="I374" s="11">
        <v>1318</v>
      </c>
      <c r="J374" s="11">
        <v>394</v>
      </c>
      <c r="K374" s="13">
        <v>10845</v>
      </c>
      <c r="L374" s="16">
        <f t="shared" si="30"/>
        <v>0.17383276180427329</v>
      </c>
      <c r="M374" s="16">
        <f t="shared" si="31"/>
        <v>0.29893778452200304</v>
      </c>
      <c r="N374" s="17">
        <f t="shared" si="32"/>
        <v>13.574355083459787</v>
      </c>
      <c r="O374" s="17">
        <f t="shared" si="33"/>
        <v>45.408629441624363</v>
      </c>
      <c r="P374" s="16">
        <f t="shared" si="34"/>
        <v>3.9775455758114719</v>
      </c>
      <c r="Q374" s="16">
        <f t="shared" si="35"/>
        <v>0.60617070035213239</v>
      </c>
      <c r="R374" s="2" t="s">
        <v>770</v>
      </c>
      <c r="S374" s="21" t="s">
        <v>30</v>
      </c>
      <c r="T374" s="21" t="s">
        <v>27</v>
      </c>
      <c r="U374" s="8">
        <v>17891</v>
      </c>
      <c r="V374" s="11">
        <v>1</v>
      </c>
      <c r="W374" t="str">
        <f>IF(Table1[[#This Row],[Satisfaction Rating]]&lt;2, "Low", IF(Table1[[#This Row],[Satisfaction Rating]]&lt;4, "Medium", "High"))</f>
        <v>Low</v>
      </c>
    </row>
    <row r="375" spans="1:23" ht="13" x14ac:dyDescent="0.15">
      <c r="A375" s="2" t="s">
        <v>771</v>
      </c>
      <c r="B375" s="23">
        <v>45206.091747685183</v>
      </c>
      <c r="C375" s="23">
        <v>45206.091747685183</v>
      </c>
      <c r="D375" s="23" t="str">
        <f>IF(Table1[[#This Row],[Duration of Campaign]]=0, "Ongoing","Completed")</f>
        <v>Ongoing</v>
      </c>
      <c r="E375" s="25">
        <f>Table1[[#This Row],[End Date]]-Table1[[#This Row],[Start Date]]</f>
        <v>0</v>
      </c>
      <c r="F375" s="8">
        <v>4162</v>
      </c>
      <c r="G375" s="21" t="s">
        <v>53</v>
      </c>
      <c r="H375" s="11">
        <v>14537</v>
      </c>
      <c r="I375" s="11">
        <v>821</v>
      </c>
      <c r="J375" s="11">
        <v>131</v>
      </c>
      <c r="K375" s="13">
        <v>5747</v>
      </c>
      <c r="L375" s="16">
        <f t="shared" si="30"/>
        <v>5.6476577010387288E-2</v>
      </c>
      <c r="M375" s="16">
        <f t="shared" si="31"/>
        <v>0.15956151035322777</v>
      </c>
      <c r="N375" s="17">
        <f t="shared" si="32"/>
        <v>11.191230207064555</v>
      </c>
      <c r="O375" s="17">
        <f t="shared" si="33"/>
        <v>70.137404580152676</v>
      </c>
      <c r="P375" s="16">
        <f t="shared" si="34"/>
        <v>2.2075925036040367</v>
      </c>
      <c r="Q375" s="16">
        <f t="shared" si="35"/>
        <v>0.6254897692642577</v>
      </c>
      <c r="R375" s="2" t="s">
        <v>772</v>
      </c>
      <c r="S375" s="21" t="s">
        <v>21</v>
      </c>
      <c r="T375" s="21" t="s">
        <v>45</v>
      </c>
      <c r="U375" s="8">
        <v>9188</v>
      </c>
      <c r="V375" s="11">
        <v>4</v>
      </c>
      <c r="W375" t="str">
        <f>IF(Table1[[#This Row],[Satisfaction Rating]]&lt;2, "Low", IF(Table1[[#This Row],[Satisfaction Rating]]&lt;4, "Medium", "High"))</f>
        <v>High</v>
      </c>
    </row>
    <row r="376" spans="1:23" ht="13" x14ac:dyDescent="0.15">
      <c r="A376" s="2" t="s">
        <v>773</v>
      </c>
      <c r="B376" s="23">
        <v>45058.027581018519</v>
      </c>
      <c r="C376" s="23">
        <v>45058.027581018519</v>
      </c>
      <c r="D376" s="23" t="str">
        <f>IF(Table1[[#This Row],[Duration of Campaign]]=0, "Ongoing","Completed")</f>
        <v>Ongoing</v>
      </c>
      <c r="E376" s="25">
        <f>Table1[[#This Row],[End Date]]-Table1[[#This Row],[Start Date]]</f>
        <v>0</v>
      </c>
      <c r="F376" s="8">
        <v>5095</v>
      </c>
      <c r="G376" s="21" t="s">
        <v>37</v>
      </c>
      <c r="H376" s="11">
        <v>14914</v>
      </c>
      <c r="I376" s="11">
        <v>1062</v>
      </c>
      <c r="J376" s="11">
        <v>481</v>
      </c>
      <c r="K376" s="13">
        <v>1336</v>
      </c>
      <c r="L376" s="16">
        <f t="shared" si="30"/>
        <v>7.120826069464932E-2</v>
      </c>
      <c r="M376" s="16">
        <f t="shared" si="31"/>
        <v>0.45291902071563089</v>
      </c>
      <c r="N376" s="17">
        <f t="shared" si="32"/>
        <v>12.891713747645952</v>
      </c>
      <c r="O376" s="17">
        <f t="shared" si="33"/>
        <v>28.463617463617464</v>
      </c>
      <c r="P376" s="16">
        <f t="shared" si="34"/>
        <v>2.687144259077527</v>
      </c>
      <c r="Q376" s="16">
        <f t="shared" si="35"/>
        <v>9.7582353370827546E-2</v>
      </c>
      <c r="R376" s="2" t="s">
        <v>774</v>
      </c>
      <c r="S376" s="21" t="s">
        <v>21</v>
      </c>
      <c r="T376" s="21" t="s">
        <v>17</v>
      </c>
      <c r="U376" s="8">
        <v>13691</v>
      </c>
      <c r="V376" s="11">
        <v>3</v>
      </c>
      <c r="W376" t="str">
        <f>IF(Table1[[#This Row],[Satisfaction Rating]]&lt;2, "Low", IF(Table1[[#This Row],[Satisfaction Rating]]&lt;4, "Medium", "High"))</f>
        <v>Medium</v>
      </c>
    </row>
    <row r="377" spans="1:23" ht="13" x14ac:dyDescent="0.15">
      <c r="A377" s="2" t="s">
        <v>775</v>
      </c>
      <c r="B377" s="23">
        <v>45603.366006944445</v>
      </c>
      <c r="C377" s="23">
        <v>45603.366006944445</v>
      </c>
      <c r="D377" s="23" t="str">
        <f>IF(Table1[[#This Row],[Duration of Campaign]]=0, "Ongoing","Completed")</f>
        <v>Ongoing</v>
      </c>
      <c r="E377" s="25">
        <f>Table1[[#This Row],[End Date]]-Table1[[#This Row],[Start Date]]</f>
        <v>0</v>
      </c>
      <c r="F377" s="8">
        <v>3261</v>
      </c>
      <c r="G377" s="21" t="s">
        <v>53</v>
      </c>
      <c r="H377" s="11">
        <v>6505</v>
      </c>
      <c r="I377" s="11">
        <v>1979</v>
      </c>
      <c r="J377" s="11">
        <v>305</v>
      </c>
      <c r="K377" s="13">
        <v>14852</v>
      </c>
      <c r="L377" s="16">
        <f t="shared" si="30"/>
        <v>0.30422751729438891</v>
      </c>
      <c r="M377" s="16">
        <f t="shared" si="31"/>
        <v>0.15411824153612935</v>
      </c>
      <c r="N377" s="17">
        <f t="shared" si="32"/>
        <v>7.7099545224861039</v>
      </c>
      <c r="O377" s="17">
        <f t="shared" si="33"/>
        <v>50.026229508196721</v>
      </c>
      <c r="P377" s="16">
        <f t="shared" si="34"/>
        <v>4.6789328426862928</v>
      </c>
      <c r="Q377" s="16">
        <f t="shared" si="35"/>
        <v>0.97339100799580547</v>
      </c>
      <c r="R377" s="2" t="s">
        <v>776</v>
      </c>
      <c r="S377" s="21" t="s">
        <v>16</v>
      </c>
      <c r="T377" s="21" t="s">
        <v>17</v>
      </c>
      <c r="U377" s="8">
        <v>15258</v>
      </c>
      <c r="V377" s="11">
        <v>3</v>
      </c>
      <c r="W377" t="str">
        <f>IF(Table1[[#This Row],[Satisfaction Rating]]&lt;2, "Low", IF(Table1[[#This Row],[Satisfaction Rating]]&lt;4, "Medium", "High"))</f>
        <v>Medium</v>
      </c>
    </row>
    <row r="378" spans="1:23" ht="13" x14ac:dyDescent="0.15">
      <c r="A378" s="2" t="s">
        <v>777</v>
      </c>
      <c r="B378" s="23">
        <v>45656.160393518519</v>
      </c>
      <c r="C378" s="23">
        <v>45656.160393518519</v>
      </c>
      <c r="D378" s="23" t="str">
        <f>IF(Table1[[#This Row],[Duration of Campaign]]=0, "Ongoing","Completed")</f>
        <v>Ongoing</v>
      </c>
      <c r="E378" s="25">
        <f>Table1[[#This Row],[End Date]]-Table1[[#This Row],[Start Date]]</f>
        <v>0</v>
      </c>
      <c r="F378" s="8">
        <v>4344</v>
      </c>
      <c r="G378" s="21" t="s">
        <v>37</v>
      </c>
      <c r="H378" s="11">
        <v>7383</v>
      </c>
      <c r="I378" s="11">
        <v>1189</v>
      </c>
      <c r="J378" s="11">
        <v>216</v>
      </c>
      <c r="K378" s="13">
        <v>4369</v>
      </c>
      <c r="L378" s="16">
        <f t="shared" si="30"/>
        <v>0.16104564540159827</v>
      </c>
      <c r="M378" s="16">
        <f t="shared" si="31"/>
        <v>0.18166526492851134</v>
      </c>
      <c r="N378" s="17">
        <f t="shared" si="32"/>
        <v>5.2153069806560133</v>
      </c>
      <c r="O378" s="17">
        <f t="shared" si="33"/>
        <v>28.708333333333332</v>
      </c>
      <c r="P378" s="16">
        <f t="shared" si="34"/>
        <v>1.4274861878453038</v>
      </c>
      <c r="Q378" s="16">
        <f t="shared" si="35"/>
        <v>0.70456378003547815</v>
      </c>
      <c r="R378" s="2" t="s">
        <v>778</v>
      </c>
      <c r="S378" s="21" t="s">
        <v>16</v>
      </c>
      <c r="T378" s="21" t="s">
        <v>17</v>
      </c>
      <c r="U378" s="8">
        <v>6201</v>
      </c>
      <c r="V378" s="11">
        <v>5</v>
      </c>
      <c r="W378" t="str">
        <f>IF(Table1[[#This Row],[Satisfaction Rating]]&lt;2, "Low", IF(Table1[[#This Row],[Satisfaction Rating]]&lt;4, "Medium", "High"))</f>
        <v>High</v>
      </c>
    </row>
    <row r="379" spans="1:23" ht="13" x14ac:dyDescent="0.15">
      <c r="A379" s="2" t="s">
        <v>779</v>
      </c>
      <c r="B379" s="23">
        <v>45254.320833333331</v>
      </c>
      <c r="C379" s="23">
        <v>45254.320833333331</v>
      </c>
      <c r="D379" s="23" t="str">
        <f>IF(Table1[[#This Row],[Duration of Campaign]]=0, "Ongoing","Completed")</f>
        <v>Ongoing</v>
      </c>
      <c r="E379" s="25">
        <f>Table1[[#This Row],[End Date]]-Table1[[#This Row],[Start Date]]</f>
        <v>0</v>
      </c>
      <c r="F379" s="8">
        <v>1017</v>
      </c>
      <c r="G379" s="21" t="s">
        <v>14</v>
      </c>
      <c r="H379" s="11">
        <v>17171</v>
      </c>
      <c r="I379" s="11">
        <v>1836</v>
      </c>
      <c r="J379" s="11">
        <v>366</v>
      </c>
      <c r="K379" s="13">
        <v>9876</v>
      </c>
      <c r="L379" s="16">
        <f t="shared" si="30"/>
        <v>0.10692446566886028</v>
      </c>
      <c r="M379" s="16">
        <f t="shared" si="31"/>
        <v>0.19934640522875818</v>
      </c>
      <c r="N379" s="17">
        <f t="shared" si="32"/>
        <v>8.5675381263616561</v>
      </c>
      <c r="O379" s="17">
        <f t="shared" si="33"/>
        <v>42.978142076502735</v>
      </c>
      <c r="P379" s="16">
        <f t="shared" si="34"/>
        <v>15.467059980334316</v>
      </c>
      <c r="Q379" s="16">
        <f t="shared" si="35"/>
        <v>0.62784488239033698</v>
      </c>
      <c r="R379" s="2" t="s">
        <v>780</v>
      </c>
      <c r="S379" s="21" t="s">
        <v>21</v>
      </c>
      <c r="T379" s="21" t="s">
        <v>27</v>
      </c>
      <c r="U379" s="8">
        <v>15730</v>
      </c>
      <c r="V379" s="11">
        <v>1</v>
      </c>
      <c r="W379" t="str">
        <f>IF(Table1[[#This Row],[Satisfaction Rating]]&lt;2, "Low", IF(Table1[[#This Row],[Satisfaction Rating]]&lt;4, "Medium", "High"))</f>
        <v>Low</v>
      </c>
    </row>
    <row r="380" spans="1:23" ht="13" x14ac:dyDescent="0.15">
      <c r="A380" s="2" t="s">
        <v>781</v>
      </c>
      <c r="B380" s="23">
        <v>45122.06590277778</v>
      </c>
      <c r="C380" s="23">
        <v>45181.942476851851</v>
      </c>
      <c r="D380" s="23" t="str">
        <f>IF(Table1[[#This Row],[Duration of Campaign]]=0, "Ongoing","Completed")</f>
        <v>Completed</v>
      </c>
      <c r="E380" s="25">
        <f>Table1[[#This Row],[End Date]]-Table1[[#This Row],[Start Date]]</f>
        <v>59.876574074070959</v>
      </c>
      <c r="F380" s="8">
        <v>1634</v>
      </c>
      <c r="G380" s="21" t="s">
        <v>53</v>
      </c>
      <c r="H380" s="11">
        <v>1209</v>
      </c>
      <c r="I380" s="11">
        <v>450</v>
      </c>
      <c r="J380" s="11">
        <v>79</v>
      </c>
      <c r="K380" s="13">
        <v>13389</v>
      </c>
      <c r="L380" s="16">
        <f t="shared" si="30"/>
        <v>0.37220843672456577</v>
      </c>
      <c r="M380" s="16">
        <f t="shared" si="31"/>
        <v>0.17555555555555555</v>
      </c>
      <c r="N380" s="17">
        <f t="shared" si="32"/>
        <v>33.737777777777779</v>
      </c>
      <c r="O380" s="17">
        <f t="shared" si="33"/>
        <v>192.17721518987341</v>
      </c>
      <c r="P380" s="16">
        <f t="shared" si="34"/>
        <v>9.2913096695226436</v>
      </c>
      <c r="Q380" s="16">
        <f t="shared" si="35"/>
        <v>0.88189961796864713</v>
      </c>
      <c r="R380" s="2" t="s">
        <v>782</v>
      </c>
      <c r="S380" s="21" t="s">
        <v>21</v>
      </c>
      <c r="T380" s="21" t="s">
        <v>27</v>
      </c>
      <c r="U380" s="8">
        <v>15182</v>
      </c>
      <c r="V380" s="11">
        <v>2</v>
      </c>
      <c r="W380" t="str">
        <f>IF(Table1[[#This Row],[Satisfaction Rating]]&lt;2, "Low", IF(Table1[[#This Row],[Satisfaction Rating]]&lt;4, "Medium", "High"))</f>
        <v>Medium</v>
      </c>
    </row>
    <row r="381" spans="1:23" ht="13" x14ac:dyDescent="0.15">
      <c r="A381" s="2" t="s">
        <v>783</v>
      </c>
      <c r="B381" s="23">
        <v>45394.751400462963</v>
      </c>
      <c r="C381" s="23">
        <v>45394.751400462963</v>
      </c>
      <c r="D381" s="23" t="str">
        <f>IF(Table1[[#This Row],[Duration of Campaign]]=0, "Ongoing","Completed")</f>
        <v>Ongoing</v>
      </c>
      <c r="E381" s="25">
        <f>Table1[[#This Row],[End Date]]-Table1[[#This Row],[Start Date]]</f>
        <v>0</v>
      </c>
      <c r="F381" s="8">
        <v>7558</v>
      </c>
      <c r="G381" s="21" t="s">
        <v>53</v>
      </c>
      <c r="H381" s="11">
        <v>7491</v>
      </c>
      <c r="I381" s="11">
        <v>1031</v>
      </c>
      <c r="J381" s="11">
        <v>182</v>
      </c>
      <c r="K381" s="13">
        <v>11937</v>
      </c>
      <c r="L381" s="16">
        <f t="shared" si="30"/>
        <v>0.13763182485649447</v>
      </c>
      <c r="M381" s="16">
        <f t="shared" si="31"/>
        <v>0.17652764306498545</v>
      </c>
      <c r="N381" s="17">
        <f t="shared" si="32"/>
        <v>4.0882638215324931</v>
      </c>
      <c r="O381" s="17">
        <f t="shared" si="33"/>
        <v>23.159340659340661</v>
      </c>
      <c r="P381" s="16">
        <f t="shared" si="34"/>
        <v>0.55768721884096317</v>
      </c>
      <c r="Q381" s="16">
        <f t="shared" si="35"/>
        <v>2.8320284697508895</v>
      </c>
      <c r="R381" s="2" t="s">
        <v>784</v>
      </c>
      <c r="S381" s="21" t="s">
        <v>21</v>
      </c>
      <c r="T381" s="21" t="s">
        <v>17</v>
      </c>
      <c r="U381" s="8">
        <v>4215</v>
      </c>
      <c r="V381" s="11">
        <v>1</v>
      </c>
      <c r="W381" t="str">
        <f>IF(Table1[[#This Row],[Satisfaction Rating]]&lt;2, "Low", IF(Table1[[#This Row],[Satisfaction Rating]]&lt;4, "Medium", "High"))</f>
        <v>Low</v>
      </c>
    </row>
    <row r="382" spans="1:23" ht="13" x14ac:dyDescent="0.15">
      <c r="A382" s="2" t="s">
        <v>785</v>
      </c>
      <c r="B382" s="23">
        <v>45228.394409722219</v>
      </c>
      <c r="C382" s="23">
        <v>45228.394409722219</v>
      </c>
      <c r="D382" s="23" t="str">
        <f>IF(Table1[[#This Row],[Duration of Campaign]]=0, "Ongoing","Completed")</f>
        <v>Ongoing</v>
      </c>
      <c r="E382" s="25">
        <f>Table1[[#This Row],[End Date]]-Table1[[#This Row],[Start Date]]</f>
        <v>0</v>
      </c>
      <c r="F382" s="8">
        <v>8916</v>
      </c>
      <c r="G382" s="21" t="s">
        <v>14</v>
      </c>
      <c r="H382" s="11">
        <v>13679</v>
      </c>
      <c r="I382" s="11">
        <v>1546</v>
      </c>
      <c r="J382" s="11">
        <v>396</v>
      </c>
      <c r="K382" s="13">
        <v>1575</v>
      </c>
      <c r="L382" s="16">
        <f t="shared" si="30"/>
        <v>0.1130199575992397</v>
      </c>
      <c r="M382" s="16">
        <f t="shared" si="31"/>
        <v>0.25614489003880986</v>
      </c>
      <c r="N382" s="17">
        <f t="shared" si="32"/>
        <v>4.3130659767141006</v>
      </c>
      <c r="O382" s="17">
        <f t="shared" si="33"/>
        <v>16.838383838383837</v>
      </c>
      <c r="P382" s="16">
        <f t="shared" si="34"/>
        <v>0.74786899955136832</v>
      </c>
      <c r="Q382" s="16">
        <f t="shared" si="35"/>
        <v>0.23620275944811037</v>
      </c>
      <c r="R382" s="2" t="s">
        <v>786</v>
      </c>
      <c r="S382" s="21" t="s">
        <v>21</v>
      </c>
      <c r="T382" s="21" t="s">
        <v>45</v>
      </c>
      <c r="U382" s="8">
        <v>6668</v>
      </c>
      <c r="V382" s="11">
        <v>2</v>
      </c>
      <c r="W382" t="str">
        <f>IF(Table1[[#This Row],[Satisfaction Rating]]&lt;2, "Low", IF(Table1[[#This Row],[Satisfaction Rating]]&lt;4, "Medium", "High"))</f>
        <v>Medium</v>
      </c>
    </row>
    <row r="383" spans="1:23" ht="13" x14ac:dyDescent="0.15">
      <c r="A383" s="2" t="s">
        <v>787</v>
      </c>
      <c r="B383" s="23">
        <v>45351.221967592595</v>
      </c>
      <c r="C383" s="23">
        <v>45351.221967592595</v>
      </c>
      <c r="D383" s="23" t="str">
        <f>IF(Table1[[#This Row],[Duration of Campaign]]=0, "Ongoing","Completed")</f>
        <v>Ongoing</v>
      </c>
      <c r="E383" s="25">
        <f>Table1[[#This Row],[End Date]]-Table1[[#This Row],[Start Date]]</f>
        <v>0</v>
      </c>
      <c r="F383" s="8">
        <v>3118</v>
      </c>
      <c r="G383" s="21" t="s">
        <v>53</v>
      </c>
      <c r="H383" s="11">
        <v>19648</v>
      </c>
      <c r="I383" s="11">
        <v>689</v>
      </c>
      <c r="J383" s="11">
        <v>96</v>
      </c>
      <c r="K383" s="13">
        <v>891</v>
      </c>
      <c r="L383" s="16">
        <f t="shared" si="30"/>
        <v>3.5067182410423454E-2</v>
      </c>
      <c r="M383" s="16">
        <f t="shared" si="31"/>
        <v>0.13933236574746008</v>
      </c>
      <c r="N383" s="17">
        <f t="shared" si="32"/>
        <v>2.2278664731494922</v>
      </c>
      <c r="O383" s="17">
        <f t="shared" si="33"/>
        <v>15.989583333333334</v>
      </c>
      <c r="P383" s="16">
        <f t="shared" si="34"/>
        <v>0.49230275817831942</v>
      </c>
      <c r="Q383" s="16">
        <f t="shared" si="35"/>
        <v>0.58045602605863189</v>
      </c>
      <c r="R383" s="2" t="s">
        <v>788</v>
      </c>
      <c r="S383" s="21" t="s">
        <v>35</v>
      </c>
      <c r="T383" s="21" t="s">
        <v>17</v>
      </c>
      <c r="U383" s="8">
        <v>1535</v>
      </c>
      <c r="V383" s="11">
        <v>4</v>
      </c>
      <c r="W383" t="str">
        <f>IF(Table1[[#This Row],[Satisfaction Rating]]&lt;2, "Low", IF(Table1[[#This Row],[Satisfaction Rating]]&lt;4, "Medium", "High"))</f>
        <v>High</v>
      </c>
    </row>
    <row r="384" spans="1:23" ht="13" x14ac:dyDescent="0.15">
      <c r="A384" s="2" t="s">
        <v>789</v>
      </c>
      <c r="B384" s="23">
        <v>45051.77171296296</v>
      </c>
      <c r="C384" s="23">
        <v>45101.781770833331</v>
      </c>
      <c r="D384" s="23" t="str">
        <f>IF(Table1[[#This Row],[Duration of Campaign]]=0, "Ongoing","Completed")</f>
        <v>Completed</v>
      </c>
      <c r="E384" s="25">
        <f>Table1[[#This Row],[End Date]]-Table1[[#This Row],[Start Date]]</f>
        <v>50.010057870371384</v>
      </c>
      <c r="F384" s="8">
        <v>4056</v>
      </c>
      <c r="G384" s="21" t="s">
        <v>14</v>
      </c>
      <c r="H384" s="11">
        <v>16216</v>
      </c>
      <c r="I384" s="11">
        <v>414</v>
      </c>
      <c r="J384" s="11">
        <v>349</v>
      </c>
      <c r="K384" s="13">
        <v>2271</v>
      </c>
      <c r="L384" s="16">
        <f t="shared" si="30"/>
        <v>2.5530340404538727E-2</v>
      </c>
      <c r="M384" s="16">
        <f t="shared" si="31"/>
        <v>0.84299516908212557</v>
      </c>
      <c r="N384" s="17">
        <f t="shared" si="32"/>
        <v>35.937198067632849</v>
      </c>
      <c r="O384" s="17">
        <f t="shared" si="33"/>
        <v>42.630372492836678</v>
      </c>
      <c r="P384" s="16">
        <f t="shared" si="34"/>
        <v>3.668145956607495</v>
      </c>
      <c r="Q384" s="16">
        <f t="shared" si="35"/>
        <v>0.15264148407043956</v>
      </c>
      <c r="R384" s="2" t="s">
        <v>790</v>
      </c>
      <c r="S384" s="21" t="s">
        <v>24</v>
      </c>
      <c r="T384" s="21" t="s">
        <v>27</v>
      </c>
      <c r="U384" s="8">
        <v>14878</v>
      </c>
      <c r="V384" s="11">
        <v>1</v>
      </c>
      <c r="W384" t="str">
        <f>IF(Table1[[#This Row],[Satisfaction Rating]]&lt;2, "Low", IF(Table1[[#This Row],[Satisfaction Rating]]&lt;4, "Medium", "High"))</f>
        <v>Low</v>
      </c>
    </row>
    <row r="385" spans="1:23" ht="13" x14ac:dyDescent="0.15">
      <c r="A385" s="2" t="s">
        <v>791</v>
      </c>
      <c r="B385" s="23">
        <v>45629.053541666668</v>
      </c>
      <c r="C385" s="23">
        <v>45629.053541666668</v>
      </c>
      <c r="D385" s="23" t="str">
        <f>IF(Table1[[#This Row],[Duration of Campaign]]=0, "Ongoing","Completed")</f>
        <v>Ongoing</v>
      </c>
      <c r="E385" s="25">
        <f>Table1[[#This Row],[End Date]]-Table1[[#This Row],[Start Date]]</f>
        <v>0</v>
      </c>
      <c r="F385" s="8">
        <v>8601</v>
      </c>
      <c r="G385" s="21" t="s">
        <v>19</v>
      </c>
      <c r="H385" s="11">
        <v>16515</v>
      </c>
      <c r="I385" s="11">
        <v>1495</v>
      </c>
      <c r="J385" s="11">
        <v>493</v>
      </c>
      <c r="K385" s="13">
        <v>13041</v>
      </c>
      <c r="L385" s="16">
        <f t="shared" si="30"/>
        <v>9.0523766273085074E-2</v>
      </c>
      <c r="M385" s="16">
        <f t="shared" si="31"/>
        <v>0.32976588628762543</v>
      </c>
      <c r="N385" s="17">
        <f t="shared" si="32"/>
        <v>2.3605351170568563</v>
      </c>
      <c r="O385" s="17">
        <f t="shared" si="33"/>
        <v>7.1582150101419879</v>
      </c>
      <c r="P385" s="16">
        <f t="shared" si="34"/>
        <v>0.41030112777583999</v>
      </c>
      <c r="Q385" s="16">
        <f t="shared" si="35"/>
        <v>3.6953811277982433</v>
      </c>
      <c r="R385" s="2" t="s">
        <v>792</v>
      </c>
      <c r="S385" s="21" t="s">
        <v>30</v>
      </c>
      <c r="T385" s="21" t="s">
        <v>27</v>
      </c>
      <c r="U385" s="8">
        <v>3529</v>
      </c>
      <c r="V385" s="11">
        <v>5</v>
      </c>
      <c r="W385" t="str">
        <f>IF(Table1[[#This Row],[Satisfaction Rating]]&lt;2, "Low", IF(Table1[[#This Row],[Satisfaction Rating]]&lt;4, "Medium", "High"))</f>
        <v>High</v>
      </c>
    </row>
    <row r="386" spans="1:23" ht="13" x14ac:dyDescent="0.15">
      <c r="A386" s="2" t="s">
        <v>793</v>
      </c>
      <c r="B386" s="23">
        <v>45326.901817129627</v>
      </c>
      <c r="C386" s="23">
        <v>45326.901817129627</v>
      </c>
      <c r="D386" s="23" t="str">
        <f>IF(Table1[[#This Row],[Duration of Campaign]]=0, "Ongoing","Completed")</f>
        <v>Ongoing</v>
      </c>
      <c r="E386" s="25">
        <f>Table1[[#This Row],[End Date]]-Table1[[#This Row],[Start Date]]</f>
        <v>0</v>
      </c>
      <c r="F386" s="8">
        <v>3550</v>
      </c>
      <c r="G386" s="21" t="s">
        <v>37</v>
      </c>
      <c r="H386" s="11">
        <v>10253</v>
      </c>
      <c r="I386" s="11">
        <v>443</v>
      </c>
      <c r="J386" s="11">
        <v>120</v>
      </c>
      <c r="K386" s="13">
        <v>1930</v>
      </c>
      <c r="L386" s="16">
        <f t="shared" si="30"/>
        <v>4.320686628303911E-2</v>
      </c>
      <c r="M386" s="16">
        <f t="shared" si="31"/>
        <v>0.27088036117381492</v>
      </c>
      <c r="N386" s="17">
        <f t="shared" si="32"/>
        <v>29.042889390519186</v>
      </c>
      <c r="O386" s="17">
        <f t="shared" si="33"/>
        <v>107.21666666666667</v>
      </c>
      <c r="P386" s="16">
        <f t="shared" si="34"/>
        <v>3.6242253521126759</v>
      </c>
      <c r="Q386" s="16">
        <f t="shared" si="35"/>
        <v>0.15000777242344163</v>
      </c>
      <c r="R386" s="2" t="s">
        <v>794</v>
      </c>
      <c r="S386" s="21" t="s">
        <v>16</v>
      </c>
      <c r="T386" s="21" t="s">
        <v>27</v>
      </c>
      <c r="U386" s="8">
        <v>12866</v>
      </c>
      <c r="V386" s="11">
        <v>3</v>
      </c>
      <c r="W386" t="str">
        <f>IF(Table1[[#This Row],[Satisfaction Rating]]&lt;2, "Low", IF(Table1[[#This Row],[Satisfaction Rating]]&lt;4, "Medium", "High"))</f>
        <v>Medium</v>
      </c>
    </row>
    <row r="387" spans="1:23" ht="13" x14ac:dyDescent="0.15">
      <c r="A387" s="2" t="s">
        <v>795</v>
      </c>
      <c r="B387" s="23">
        <v>44955.945543981485</v>
      </c>
      <c r="C387" s="23">
        <v>45372.399733796294</v>
      </c>
      <c r="D387" s="23" t="str">
        <f>IF(Table1[[#This Row],[Duration of Campaign]]=0, "Ongoing","Completed")</f>
        <v>Completed</v>
      </c>
      <c r="E387" s="25">
        <f>Table1[[#This Row],[End Date]]-Table1[[#This Row],[Start Date]]</f>
        <v>416.45418981480907</v>
      </c>
      <c r="F387" s="8">
        <v>4913</v>
      </c>
      <c r="G387" s="21" t="s">
        <v>19</v>
      </c>
      <c r="H387" s="11">
        <v>5205</v>
      </c>
      <c r="I387" s="11">
        <v>1922</v>
      </c>
      <c r="J387" s="11">
        <v>261</v>
      </c>
      <c r="K387" s="13">
        <v>863</v>
      </c>
      <c r="L387" s="16">
        <f t="shared" ref="L387:L450" si="36">I387/H387</f>
        <v>0.3692603266090298</v>
      </c>
      <c r="M387" s="16">
        <f t="shared" ref="M387:M450" si="37">J387/I387</f>
        <v>0.13579604578563995</v>
      </c>
      <c r="N387" s="17">
        <f t="shared" ref="N387:N450" si="38">U387/I387</f>
        <v>4.8621227887617069</v>
      </c>
      <c r="O387" s="17">
        <f t="shared" ref="O387:O450" si="39">U387/J387</f>
        <v>35.804597701149426</v>
      </c>
      <c r="P387" s="16">
        <f t="shared" ref="P387:P450" si="40">U387/F387</f>
        <v>1.9020964787299002</v>
      </c>
      <c r="Q387" s="16">
        <f t="shared" ref="Q387:Q450" si="41">K387/U387</f>
        <v>9.2348849652220441E-2</v>
      </c>
      <c r="R387" s="2" t="s">
        <v>796</v>
      </c>
      <c r="S387" s="21" t="s">
        <v>30</v>
      </c>
      <c r="T387" s="21" t="s">
        <v>45</v>
      </c>
      <c r="U387" s="8">
        <v>9345</v>
      </c>
      <c r="V387" s="11">
        <v>1</v>
      </c>
      <c r="W387" t="str">
        <f>IF(Table1[[#This Row],[Satisfaction Rating]]&lt;2, "Low", IF(Table1[[#This Row],[Satisfaction Rating]]&lt;4, "Medium", "High"))</f>
        <v>Low</v>
      </c>
    </row>
    <row r="388" spans="1:23" ht="13" x14ac:dyDescent="0.15">
      <c r="A388" s="2" t="s">
        <v>797</v>
      </c>
      <c r="B388" s="23">
        <v>45136.150648148148</v>
      </c>
      <c r="C388" s="23">
        <v>45136.150648148148</v>
      </c>
      <c r="D388" s="23" t="str">
        <f>IF(Table1[[#This Row],[Duration of Campaign]]=0, "Ongoing","Completed")</f>
        <v>Ongoing</v>
      </c>
      <c r="E388" s="25">
        <f>Table1[[#This Row],[End Date]]-Table1[[#This Row],[Start Date]]</f>
        <v>0</v>
      </c>
      <c r="F388" s="8">
        <v>3861</v>
      </c>
      <c r="G388" s="21" t="s">
        <v>14</v>
      </c>
      <c r="H388" s="11">
        <v>4229</v>
      </c>
      <c r="I388" s="11">
        <v>226</v>
      </c>
      <c r="J388" s="11">
        <v>255</v>
      </c>
      <c r="K388" s="13">
        <v>12977</v>
      </c>
      <c r="L388" s="16">
        <f t="shared" si="36"/>
        <v>5.3440529676046344E-2</v>
      </c>
      <c r="M388" s="16">
        <f t="shared" si="37"/>
        <v>1.1283185840707965</v>
      </c>
      <c r="N388" s="17">
        <f t="shared" si="38"/>
        <v>55.818584070796462</v>
      </c>
      <c r="O388" s="17">
        <f t="shared" si="39"/>
        <v>49.470588235294116</v>
      </c>
      <c r="P388" s="16">
        <f t="shared" si="40"/>
        <v>3.2672882672882673</v>
      </c>
      <c r="Q388" s="16">
        <f t="shared" si="41"/>
        <v>1.0286959968291716</v>
      </c>
      <c r="R388" s="2" t="s">
        <v>798</v>
      </c>
      <c r="S388" s="21" t="s">
        <v>21</v>
      </c>
      <c r="T388" s="21" t="s">
        <v>17</v>
      </c>
      <c r="U388" s="8">
        <v>12615</v>
      </c>
      <c r="V388" s="11">
        <v>3</v>
      </c>
      <c r="W388" t="str">
        <f>IF(Table1[[#This Row],[Satisfaction Rating]]&lt;2, "Low", IF(Table1[[#This Row],[Satisfaction Rating]]&lt;4, "Medium", "High"))</f>
        <v>Medium</v>
      </c>
    </row>
    <row r="389" spans="1:23" ht="13" x14ac:dyDescent="0.15">
      <c r="A389" s="2" t="s">
        <v>799</v>
      </c>
      <c r="B389" s="23">
        <v>45120.42083333333</v>
      </c>
      <c r="C389" s="23">
        <v>45284.763344907406</v>
      </c>
      <c r="D389" s="23" t="str">
        <f>IF(Table1[[#This Row],[Duration of Campaign]]=0, "Ongoing","Completed")</f>
        <v>Completed</v>
      </c>
      <c r="E389" s="25">
        <f>Table1[[#This Row],[End Date]]-Table1[[#This Row],[Start Date]]</f>
        <v>164.34251157407562</v>
      </c>
      <c r="F389" s="8">
        <v>8002</v>
      </c>
      <c r="G389" s="21" t="s">
        <v>14</v>
      </c>
      <c r="H389" s="11">
        <v>8337</v>
      </c>
      <c r="I389" s="11">
        <v>1143</v>
      </c>
      <c r="J389" s="11">
        <v>383</v>
      </c>
      <c r="K389" s="13">
        <v>12814</v>
      </c>
      <c r="L389" s="16">
        <f t="shared" si="36"/>
        <v>0.1370996761424973</v>
      </c>
      <c r="M389" s="16">
        <f t="shared" si="37"/>
        <v>0.33508311461067369</v>
      </c>
      <c r="N389" s="17">
        <f t="shared" si="38"/>
        <v>3.3595800524934383</v>
      </c>
      <c r="O389" s="17">
        <f t="shared" si="39"/>
        <v>10.026109660574413</v>
      </c>
      <c r="P389" s="16">
        <f t="shared" si="40"/>
        <v>0.4798800299925019</v>
      </c>
      <c r="Q389" s="16">
        <f t="shared" si="41"/>
        <v>3.3369791666666666</v>
      </c>
      <c r="R389" s="2" t="s">
        <v>800</v>
      </c>
      <c r="S389" s="21" t="s">
        <v>16</v>
      </c>
      <c r="T389" s="21" t="s">
        <v>27</v>
      </c>
      <c r="U389" s="8">
        <v>3840</v>
      </c>
      <c r="V389" s="11">
        <v>5</v>
      </c>
      <c r="W389" t="str">
        <f>IF(Table1[[#This Row],[Satisfaction Rating]]&lt;2, "Low", IF(Table1[[#This Row],[Satisfaction Rating]]&lt;4, "Medium", "High"))</f>
        <v>High</v>
      </c>
    </row>
    <row r="390" spans="1:23" ht="13" x14ac:dyDescent="0.15">
      <c r="A390" s="2" t="s">
        <v>801</v>
      </c>
      <c r="B390" s="23">
        <v>45001.654444444444</v>
      </c>
      <c r="C390" s="23">
        <v>45054.074456018519</v>
      </c>
      <c r="D390" s="23" t="str">
        <f>IF(Table1[[#This Row],[Duration of Campaign]]=0, "Ongoing","Completed")</f>
        <v>Completed</v>
      </c>
      <c r="E390" s="25">
        <f>Table1[[#This Row],[End Date]]-Table1[[#This Row],[Start Date]]</f>
        <v>52.420011574075033</v>
      </c>
      <c r="F390" s="8">
        <v>9069</v>
      </c>
      <c r="G390" s="21" t="s">
        <v>53</v>
      </c>
      <c r="H390" s="11">
        <v>14103</v>
      </c>
      <c r="I390" s="11">
        <v>1274</v>
      </c>
      <c r="J390" s="11">
        <v>345</v>
      </c>
      <c r="K390" s="13">
        <v>5596</v>
      </c>
      <c r="L390" s="16">
        <f t="shared" si="36"/>
        <v>9.0335389633411325E-2</v>
      </c>
      <c r="M390" s="16">
        <f t="shared" si="37"/>
        <v>0.27080062794348508</v>
      </c>
      <c r="N390" s="17">
        <f t="shared" si="38"/>
        <v>5.2558869701726847</v>
      </c>
      <c r="O390" s="17">
        <f t="shared" si="39"/>
        <v>19.408695652173915</v>
      </c>
      <c r="P390" s="16">
        <f t="shared" si="40"/>
        <v>0.73833939794905723</v>
      </c>
      <c r="Q390" s="16">
        <f t="shared" si="41"/>
        <v>0.83572281959378736</v>
      </c>
      <c r="R390" s="2" t="s">
        <v>802</v>
      </c>
      <c r="S390" s="21" t="s">
        <v>30</v>
      </c>
      <c r="T390" s="21" t="s">
        <v>17</v>
      </c>
      <c r="U390" s="8">
        <v>6696</v>
      </c>
      <c r="V390" s="11">
        <v>5</v>
      </c>
      <c r="W390" t="str">
        <f>IF(Table1[[#This Row],[Satisfaction Rating]]&lt;2, "Low", IF(Table1[[#This Row],[Satisfaction Rating]]&lt;4, "Medium", "High"))</f>
        <v>High</v>
      </c>
    </row>
    <row r="391" spans="1:23" ht="13" x14ac:dyDescent="0.15">
      <c r="A391" s="2" t="s">
        <v>803</v>
      </c>
      <c r="B391" s="23">
        <v>45593.092951388891</v>
      </c>
      <c r="C391" s="23">
        <v>45593.092951388891</v>
      </c>
      <c r="D391" s="23" t="str">
        <f>IF(Table1[[#This Row],[Duration of Campaign]]=0, "Ongoing","Completed")</f>
        <v>Ongoing</v>
      </c>
      <c r="E391" s="25">
        <f>Table1[[#This Row],[End Date]]-Table1[[#This Row],[Start Date]]</f>
        <v>0</v>
      </c>
      <c r="F391" s="8">
        <v>2166</v>
      </c>
      <c r="G391" s="21" t="s">
        <v>37</v>
      </c>
      <c r="H391" s="11">
        <v>7121</v>
      </c>
      <c r="I391" s="11">
        <v>1300</v>
      </c>
      <c r="J391" s="11">
        <v>137</v>
      </c>
      <c r="K391" s="13">
        <v>13691</v>
      </c>
      <c r="L391" s="16">
        <f t="shared" si="36"/>
        <v>0.1825586294059823</v>
      </c>
      <c r="M391" s="16">
        <f t="shared" si="37"/>
        <v>0.10538461538461538</v>
      </c>
      <c r="N391" s="17">
        <f t="shared" si="38"/>
        <v>1.0592307692307692</v>
      </c>
      <c r="O391" s="17">
        <f t="shared" si="39"/>
        <v>10.051094890510949</v>
      </c>
      <c r="P391" s="16">
        <f t="shared" si="40"/>
        <v>0.6357340720221607</v>
      </c>
      <c r="Q391" s="16">
        <f t="shared" si="41"/>
        <v>9.9426289034132171</v>
      </c>
      <c r="R391" s="2" t="s">
        <v>804</v>
      </c>
      <c r="S391" s="21" t="s">
        <v>21</v>
      </c>
      <c r="T391" s="21" t="s">
        <v>27</v>
      </c>
      <c r="U391" s="8">
        <v>1377</v>
      </c>
      <c r="V391" s="11">
        <v>5</v>
      </c>
      <c r="W391" t="str">
        <f>IF(Table1[[#This Row],[Satisfaction Rating]]&lt;2, "Low", IF(Table1[[#This Row],[Satisfaction Rating]]&lt;4, "Medium", "High"))</f>
        <v>High</v>
      </c>
    </row>
    <row r="392" spans="1:23" ht="13" x14ac:dyDescent="0.15">
      <c r="A392" s="2" t="s">
        <v>805</v>
      </c>
      <c r="B392" s="23">
        <v>45128.756030092591</v>
      </c>
      <c r="C392" s="23">
        <v>45128.756030092591</v>
      </c>
      <c r="D392" s="23" t="str">
        <f>IF(Table1[[#This Row],[Duration of Campaign]]=0, "Ongoing","Completed")</f>
        <v>Ongoing</v>
      </c>
      <c r="E392" s="25">
        <f>Table1[[#This Row],[End Date]]-Table1[[#This Row],[Start Date]]</f>
        <v>0</v>
      </c>
      <c r="F392" s="8">
        <v>1691</v>
      </c>
      <c r="G392" s="21" t="s">
        <v>53</v>
      </c>
      <c r="H392" s="11">
        <v>18582</v>
      </c>
      <c r="I392" s="11">
        <v>1560</v>
      </c>
      <c r="J392" s="11">
        <v>168</v>
      </c>
      <c r="K392" s="13">
        <v>534</v>
      </c>
      <c r="L392" s="16">
        <f t="shared" si="36"/>
        <v>8.3952211817888284E-2</v>
      </c>
      <c r="M392" s="16">
        <f t="shared" si="37"/>
        <v>0.1076923076923077</v>
      </c>
      <c r="N392" s="17">
        <f t="shared" si="38"/>
        <v>4.1141025641025637</v>
      </c>
      <c r="O392" s="17">
        <f t="shared" si="39"/>
        <v>38.202380952380949</v>
      </c>
      <c r="P392" s="16">
        <f t="shared" si="40"/>
        <v>3.7953873447664104</v>
      </c>
      <c r="Q392" s="16">
        <f t="shared" si="41"/>
        <v>8.3203490183857906E-2</v>
      </c>
      <c r="R392" s="2" t="s">
        <v>806</v>
      </c>
      <c r="S392" s="21" t="s">
        <v>30</v>
      </c>
      <c r="T392" s="21" t="s">
        <v>17</v>
      </c>
      <c r="U392" s="8">
        <v>6418</v>
      </c>
      <c r="V392" s="11">
        <v>1</v>
      </c>
      <c r="W392" t="str">
        <f>IF(Table1[[#This Row],[Satisfaction Rating]]&lt;2, "Low", IF(Table1[[#This Row],[Satisfaction Rating]]&lt;4, "Medium", "High"))</f>
        <v>Low</v>
      </c>
    </row>
    <row r="393" spans="1:23" ht="13" x14ac:dyDescent="0.15">
      <c r="A393" s="2" t="s">
        <v>807</v>
      </c>
      <c r="B393" s="23">
        <v>45164.093634259261</v>
      </c>
      <c r="C393" s="23">
        <v>45164.093634259261</v>
      </c>
      <c r="D393" s="23" t="str">
        <f>IF(Table1[[#This Row],[Duration of Campaign]]=0, "Ongoing","Completed")</f>
        <v>Ongoing</v>
      </c>
      <c r="E393" s="25">
        <f>Table1[[#This Row],[End Date]]-Table1[[#This Row],[Start Date]]</f>
        <v>0</v>
      </c>
      <c r="F393" s="8">
        <v>4990</v>
      </c>
      <c r="G393" s="21" t="s">
        <v>19</v>
      </c>
      <c r="H393" s="11">
        <v>17792</v>
      </c>
      <c r="I393" s="11">
        <v>1967</v>
      </c>
      <c r="J393" s="11">
        <v>261</v>
      </c>
      <c r="K393" s="13">
        <v>7750</v>
      </c>
      <c r="L393" s="16">
        <f t="shared" si="36"/>
        <v>0.11055530575539568</v>
      </c>
      <c r="M393" s="16">
        <f t="shared" si="37"/>
        <v>0.13268937468225725</v>
      </c>
      <c r="N393" s="17">
        <f t="shared" si="38"/>
        <v>8.7173360447381807</v>
      </c>
      <c r="O393" s="17">
        <f t="shared" si="39"/>
        <v>65.69731800766283</v>
      </c>
      <c r="P393" s="16">
        <f t="shared" si="40"/>
        <v>3.4362725450901803</v>
      </c>
      <c r="Q393" s="16">
        <f t="shared" si="41"/>
        <v>0.45197410625765438</v>
      </c>
      <c r="R393" s="2" t="s">
        <v>808</v>
      </c>
      <c r="S393" s="21" t="s">
        <v>30</v>
      </c>
      <c r="T393" s="21" t="s">
        <v>17</v>
      </c>
      <c r="U393" s="8">
        <v>17147</v>
      </c>
      <c r="V393" s="11">
        <v>2</v>
      </c>
      <c r="W393" t="str">
        <f>IF(Table1[[#This Row],[Satisfaction Rating]]&lt;2, "Low", IF(Table1[[#This Row],[Satisfaction Rating]]&lt;4, "Medium", "High"))</f>
        <v>Medium</v>
      </c>
    </row>
    <row r="394" spans="1:23" ht="13" x14ac:dyDescent="0.15">
      <c r="A394" s="2" t="s">
        <v>809</v>
      </c>
      <c r="B394" s="23">
        <v>45500.516979166663</v>
      </c>
      <c r="C394" s="23">
        <v>45500.516979166663</v>
      </c>
      <c r="D394" s="23" t="str">
        <f>IF(Table1[[#This Row],[Duration of Campaign]]=0, "Ongoing","Completed")</f>
        <v>Ongoing</v>
      </c>
      <c r="E394" s="25">
        <f>Table1[[#This Row],[End Date]]-Table1[[#This Row],[Start Date]]</f>
        <v>0</v>
      </c>
      <c r="F394" s="8">
        <v>1196</v>
      </c>
      <c r="G394" s="21" t="s">
        <v>19</v>
      </c>
      <c r="H394" s="11">
        <v>2329</v>
      </c>
      <c r="I394" s="11">
        <v>268</v>
      </c>
      <c r="J394" s="11">
        <v>69</v>
      </c>
      <c r="K394" s="13">
        <v>4792</v>
      </c>
      <c r="L394" s="16">
        <f t="shared" si="36"/>
        <v>0.11507084585659082</v>
      </c>
      <c r="M394" s="16">
        <f t="shared" si="37"/>
        <v>0.2574626865671642</v>
      </c>
      <c r="N394" s="17">
        <f t="shared" si="38"/>
        <v>16.134328358208954</v>
      </c>
      <c r="O394" s="17">
        <f t="shared" si="39"/>
        <v>62.666666666666664</v>
      </c>
      <c r="P394" s="16">
        <f t="shared" si="40"/>
        <v>3.6153846153846154</v>
      </c>
      <c r="Q394" s="16">
        <f t="shared" si="41"/>
        <v>1.1082331174838114</v>
      </c>
      <c r="R394" s="2" t="s">
        <v>810</v>
      </c>
      <c r="S394" s="21" t="s">
        <v>21</v>
      </c>
      <c r="T394" s="21" t="s">
        <v>17</v>
      </c>
      <c r="U394" s="8">
        <v>4324</v>
      </c>
      <c r="V394" s="11">
        <v>5</v>
      </c>
      <c r="W394" t="str">
        <f>IF(Table1[[#This Row],[Satisfaction Rating]]&lt;2, "Low", IF(Table1[[#This Row],[Satisfaction Rating]]&lt;4, "Medium", "High"))</f>
        <v>High</v>
      </c>
    </row>
    <row r="395" spans="1:23" ht="13" x14ac:dyDescent="0.15">
      <c r="A395" s="2" t="s">
        <v>811</v>
      </c>
      <c r="B395" s="23">
        <v>45247.559398148151</v>
      </c>
      <c r="C395" s="23">
        <v>45247.559398148151</v>
      </c>
      <c r="D395" s="23" t="str">
        <f>IF(Table1[[#This Row],[Duration of Campaign]]=0, "Ongoing","Completed")</f>
        <v>Ongoing</v>
      </c>
      <c r="E395" s="25">
        <f>Table1[[#This Row],[End Date]]-Table1[[#This Row],[Start Date]]</f>
        <v>0</v>
      </c>
      <c r="F395" s="8">
        <v>3077</v>
      </c>
      <c r="G395" s="21" t="s">
        <v>37</v>
      </c>
      <c r="H395" s="11">
        <v>14375</v>
      </c>
      <c r="I395" s="11">
        <v>1427</v>
      </c>
      <c r="J395" s="11">
        <v>469</v>
      </c>
      <c r="K395" s="13">
        <v>5465</v>
      </c>
      <c r="L395" s="16">
        <f t="shared" si="36"/>
        <v>9.9269565217391303E-2</v>
      </c>
      <c r="M395" s="16">
        <f t="shared" si="37"/>
        <v>0.32866152768044848</v>
      </c>
      <c r="N395" s="17">
        <f t="shared" si="38"/>
        <v>6.8605466012613876</v>
      </c>
      <c r="O395" s="17">
        <f t="shared" si="39"/>
        <v>20.874200426439231</v>
      </c>
      <c r="P395" s="16">
        <f t="shared" si="40"/>
        <v>3.181670458238544</v>
      </c>
      <c r="Q395" s="16">
        <f t="shared" si="41"/>
        <v>0.55822267620020427</v>
      </c>
      <c r="R395" s="2" t="s">
        <v>812</v>
      </c>
      <c r="S395" s="21" t="s">
        <v>30</v>
      </c>
      <c r="T395" s="21" t="s">
        <v>27</v>
      </c>
      <c r="U395" s="8">
        <v>9790</v>
      </c>
      <c r="V395" s="11">
        <v>5</v>
      </c>
      <c r="W395" t="str">
        <f>IF(Table1[[#This Row],[Satisfaction Rating]]&lt;2, "Low", IF(Table1[[#This Row],[Satisfaction Rating]]&lt;4, "Medium", "High"))</f>
        <v>High</v>
      </c>
    </row>
    <row r="396" spans="1:23" ht="13" x14ac:dyDescent="0.15">
      <c r="A396" s="2" t="s">
        <v>813</v>
      </c>
      <c r="B396" s="23">
        <v>45554.99790509259</v>
      </c>
      <c r="C396" s="23">
        <v>45573.102164351854</v>
      </c>
      <c r="D396" s="23" t="str">
        <f>IF(Table1[[#This Row],[Duration of Campaign]]=0, "Ongoing","Completed")</f>
        <v>Completed</v>
      </c>
      <c r="E396" s="25">
        <f>Table1[[#This Row],[End Date]]-Table1[[#This Row],[Start Date]]</f>
        <v>18.104259259263927</v>
      </c>
      <c r="F396" s="8">
        <v>2867</v>
      </c>
      <c r="G396" s="21" t="s">
        <v>19</v>
      </c>
      <c r="H396" s="11">
        <v>3783</v>
      </c>
      <c r="I396" s="11">
        <v>1856</v>
      </c>
      <c r="J396" s="11">
        <v>413</v>
      </c>
      <c r="K396" s="13">
        <v>12037</v>
      </c>
      <c r="L396" s="16">
        <f t="shared" si="36"/>
        <v>0.49061591329632565</v>
      </c>
      <c r="M396" s="16">
        <f t="shared" si="37"/>
        <v>0.22252155172413793</v>
      </c>
      <c r="N396" s="17">
        <f t="shared" si="38"/>
        <v>9.5678879310344822</v>
      </c>
      <c r="O396" s="17">
        <f t="shared" si="39"/>
        <v>42.997578692493946</v>
      </c>
      <c r="P396" s="16">
        <f t="shared" si="40"/>
        <v>6.1939309382629926</v>
      </c>
      <c r="Q396" s="16">
        <f t="shared" si="41"/>
        <v>0.67783534181777227</v>
      </c>
      <c r="R396" s="2" t="s">
        <v>814</v>
      </c>
      <c r="S396" s="21" t="s">
        <v>16</v>
      </c>
      <c r="T396" s="21" t="s">
        <v>45</v>
      </c>
      <c r="U396" s="8">
        <v>17758</v>
      </c>
      <c r="V396" s="11">
        <v>5</v>
      </c>
      <c r="W396" t="str">
        <f>IF(Table1[[#This Row],[Satisfaction Rating]]&lt;2, "Low", IF(Table1[[#This Row],[Satisfaction Rating]]&lt;4, "Medium", "High"))</f>
        <v>High</v>
      </c>
    </row>
    <row r="397" spans="1:23" ht="13" x14ac:dyDescent="0.15">
      <c r="A397" s="2" t="s">
        <v>815</v>
      </c>
      <c r="B397" s="23">
        <v>45397.483923611115</v>
      </c>
      <c r="C397" s="23">
        <v>45397.483923611115</v>
      </c>
      <c r="D397" s="23" t="str">
        <f>IF(Table1[[#This Row],[Duration of Campaign]]=0, "Ongoing","Completed")</f>
        <v>Ongoing</v>
      </c>
      <c r="E397" s="25">
        <f>Table1[[#This Row],[End Date]]-Table1[[#This Row],[Start Date]]</f>
        <v>0</v>
      </c>
      <c r="F397" s="8">
        <v>7300</v>
      </c>
      <c r="G397" s="21" t="s">
        <v>19</v>
      </c>
      <c r="H397" s="11">
        <v>6056</v>
      </c>
      <c r="I397" s="11">
        <v>1513</v>
      </c>
      <c r="J397" s="11">
        <v>399</v>
      </c>
      <c r="K397" s="13">
        <v>4155</v>
      </c>
      <c r="L397" s="16">
        <f t="shared" si="36"/>
        <v>0.24983487450462352</v>
      </c>
      <c r="M397" s="16">
        <f t="shared" si="37"/>
        <v>0.26371447455386648</v>
      </c>
      <c r="N397" s="17">
        <f t="shared" si="38"/>
        <v>3.6378056840713815</v>
      </c>
      <c r="O397" s="17">
        <f t="shared" si="39"/>
        <v>13.794486215538846</v>
      </c>
      <c r="P397" s="16">
        <f t="shared" si="40"/>
        <v>0.75397260273972599</v>
      </c>
      <c r="Q397" s="16">
        <f t="shared" si="41"/>
        <v>0.75490552325581395</v>
      </c>
      <c r="R397" s="2" t="s">
        <v>816</v>
      </c>
      <c r="S397" s="21" t="s">
        <v>35</v>
      </c>
      <c r="T397" s="21" t="s">
        <v>17</v>
      </c>
      <c r="U397" s="8">
        <v>5504</v>
      </c>
      <c r="V397" s="11">
        <v>4</v>
      </c>
      <c r="W397" t="str">
        <f>IF(Table1[[#This Row],[Satisfaction Rating]]&lt;2, "Low", IF(Table1[[#This Row],[Satisfaction Rating]]&lt;4, "Medium", "High"))</f>
        <v>High</v>
      </c>
    </row>
    <row r="398" spans="1:23" ht="13" x14ac:dyDescent="0.15">
      <c r="A398" s="2" t="s">
        <v>817</v>
      </c>
      <c r="B398" s="23">
        <v>45279.09233796296</v>
      </c>
      <c r="C398" s="23">
        <v>45279.09233796296</v>
      </c>
      <c r="D398" s="23" t="str">
        <f>IF(Table1[[#This Row],[Duration of Campaign]]=0, "Ongoing","Completed")</f>
        <v>Ongoing</v>
      </c>
      <c r="E398" s="25">
        <f>Table1[[#This Row],[End Date]]-Table1[[#This Row],[Start Date]]</f>
        <v>0</v>
      </c>
      <c r="F398" s="8">
        <v>8882</v>
      </c>
      <c r="G398" s="21" t="s">
        <v>14</v>
      </c>
      <c r="H398" s="11">
        <v>4404</v>
      </c>
      <c r="I398" s="11">
        <v>796</v>
      </c>
      <c r="J398" s="11">
        <v>337</v>
      </c>
      <c r="K398" s="13">
        <v>1056</v>
      </c>
      <c r="L398" s="16">
        <f t="shared" si="36"/>
        <v>0.18074477747502271</v>
      </c>
      <c r="M398" s="16">
        <f t="shared" si="37"/>
        <v>0.42336683417085424</v>
      </c>
      <c r="N398" s="17">
        <f t="shared" si="38"/>
        <v>18.002512562814072</v>
      </c>
      <c r="O398" s="17">
        <f t="shared" si="39"/>
        <v>42.52225519287834</v>
      </c>
      <c r="P398" s="16">
        <f t="shared" si="40"/>
        <v>1.6133753659085792</v>
      </c>
      <c r="Q398" s="16">
        <f t="shared" si="41"/>
        <v>7.369155617585485E-2</v>
      </c>
      <c r="R398" s="2" t="s">
        <v>818</v>
      </c>
      <c r="S398" s="21" t="s">
        <v>35</v>
      </c>
      <c r="T398" s="21" t="s">
        <v>45</v>
      </c>
      <c r="U398" s="8">
        <v>14330</v>
      </c>
      <c r="V398" s="11">
        <v>1</v>
      </c>
      <c r="W398" t="str">
        <f>IF(Table1[[#This Row],[Satisfaction Rating]]&lt;2, "Low", IF(Table1[[#This Row],[Satisfaction Rating]]&lt;4, "Medium", "High"))</f>
        <v>Low</v>
      </c>
    </row>
    <row r="399" spans="1:23" ht="13" x14ac:dyDescent="0.15">
      <c r="A399" s="2" t="s">
        <v>819</v>
      </c>
      <c r="B399" s="23">
        <v>45161.723634259259</v>
      </c>
      <c r="C399" s="23">
        <v>45161.723634259259</v>
      </c>
      <c r="D399" s="23" t="str">
        <f>IF(Table1[[#This Row],[Duration of Campaign]]=0, "Ongoing","Completed")</f>
        <v>Ongoing</v>
      </c>
      <c r="E399" s="25">
        <f>Table1[[#This Row],[End Date]]-Table1[[#This Row],[Start Date]]</f>
        <v>0</v>
      </c>
      <c r="F399" s="8">
        <v>1927</v>
      </c>
      <c r="G399" s="21" t="s">
        <v>19</v>
      </c>
      <c r="H399" s="11">
        <v>7775</v>
      </c>
      <c r="I399" s="11">
        <v>469</v>
      </c>
      <c r="J399" s="11">
        <v>58</v>
      </c>
      <c r="K399" s="13">
        <v>10080</v>
      </c>
      <c r="L399" s="16">
        <f t="shared" si="36"/>
        <v>6.0321543408360129E-2</v>
      </c>
      <c r="M399" s="16">
        <f t="shared" si="37"/>
        <v>0.12366737739872068</v>
      </c>
      <c r="N399" s="17">
        <f t="shared" si="38"/>
        <v>28.882729211087419</v>
      </c>
      <c r="O399" s="17">
        <f t="shared" si="39"/>
        <v>233.55172413793105</v>
      </c>
      <c r="P399" s="16">
        <f t="shared" si="40"/>
        <v>7.0295796574987026</v>
      </c>
      <c r="Q399" s="16">
        <f t="shared" si="41"/>
        <v>0.74413110881441014</v>
      </c>
      <c r="R399" s="2" t="s">
        <v>820</v>
      </c>
      <c r="S399" s="21" t="s">
        <v>21</v>
      </c>
      <c r="T399" s="21" t="s">
        <v>17</v>
      </c>
      <c r="U399" s="8">
        <v>13546</v>
      </c>
      <c r="V399" s="11">
        <v>4</v>
      </c>
      <c r="W399" t="str">
        <f>IF(Table1[[#This Row],[Satisfaction Rating]]&lt;2, "Low", IF(Table1[[#This Row],[Satisfaction Rating]]&lt;4, "Medium", "High"))</f>
        <v>High</v>
      </c>
    </row>
    <row r="400" spans="1:23" ht="13" x14ac:dyDescent="0.15">
      <c r="A400" s="2" t="s">
        <v>821</v>
      </c>
      <c r="B400" s="23">
        <v>45501.707384259258</v>
      </c>
      <c r="C400" s="23">
        <v>45501.707384259258</v>
      </c>
      <c r="D400" s="23" t="str">
        <f>IF(Table1[[#This Row],[Duration of Campaign]]=0, "Ongoing","Completed")</f>
        <v>Ongoing</v>
      </c>
      <c r="E400" s="25">
        <f>Table1[[#This Row],[End Date]]-Table1[[#This Row],[Start Date]]</f>
        <v>0</v>
      </c>
      <c r="F400" s="8">
        <v>3404</v>
      </c>
      <c r="G400" s="21" t="s">
        <v>14</v>
      </c>
      <c r="H400" s="11">
        <v>11748</v>
      </c>
      <c r="I400" s="11">
        <v>1017</v>
      </c>
      <c r="J400" s="11">
        <v>267</v>
      </c>
      <c r="K400" s="13">
        <v>10034</v>
      </c>
      <c r="L400" s="16">
        <f t="shared" si="36"/>
        <v>8.6567926455566907E-2</v>
      </c>
      <c r="M400" s="16">
        <f t="shared" si="37"/>
        <v>0.26253687315634217</v>
      </c>
      <c r="N400" s="17">
        <f t="shared" si="38"/>
        <v>19.661750245821043</v>
      </c>
      <c r="O400" s="17">
        <f t="shared" si="39"/>
        <v>74.891385767790268</v>
      </c>
      <c r="P400" s="16">
        <f t="shared" si="40"/>
        <v>5.8742655699177435</v>
      </c>
      <c r="Q400" s="16">
        <f t="shared" si="41"/>
        <v>0.50180036007201445</v>
      </c>
      <c r="R400" s="2" t="s">
        <v>822</v>
      </c>
      <c r="S400" s="21" t="s">
        <v>30</v>
      </c>
      <c r="T400" s="21" t="s">
        <v>17</v>
      </c>
      <c r="U400" s="8">
        <v>19996</v>
      </c>
      <c r="V400" s="11">
        <v>3</v>
      </c>
      <c r="W400" t="str">
        <f>IF(Table1[[#This Row],[Satisfaction Rating]]&lt;2, "Low", IF(Table1[[#This Row],[Satisfaction Rating]]&lt;4, "Medium", "High"))</f>
        <v>Medium</v>
      </c>
    </row>
    <row r="401" spans="1:23" ht="13" x14ac:dyDescent="0.15">
      <c r="A401" s="2" t="s">
        <v>823</v>
      </c>
      <c r="B401" s="23">
        <v>45475.275752314818</v>
      </c>
      <c r="C401" s="23">
        <v>45475.275752314818</v>
      </c>
      <c r="D401" s="23" t="str">
        <f>IF(Table1[[#This Row],[Duration of Campaign]]=0, "Ongoing","Completed")</f>
        <v>Ongoing</v>
      </c>
      <c r="E401" s="25">
        <f>Table1[[#This Row],[End Date]]-Table1[[#This Row],[Start Date]]</f>
        <v>0</v>
      </c>
      <c r="F401" s="8">
        <v>2759</v>
      </c>
      <c r="G401" s="21" t="s">
        <v>14</v>
      </c>
      <c r="H401" s="11">
        <v>5464</v>
      </c>
      <c r="I401" s="11">
        <v>1929</v>
      </c>
      <c r="J401" s="11">
        <v>258</v>
      </c>
      <c r="K401" s="13">
        <v>4870</v>
      </c>
      <c r="L401" s="16">
        <f t="shared" si="36"/>
        <v>0.35303806734992682</v>
      </c>
      <c r="M401" s="16">
        <f t="shared" si="37"/>
        <v>0.13374805598755832</v>
      </c>
      <c r="N401" s="17">
        <f t="shared" si="38"/>
        <v>2.2306894764126493</v>
      </c>
      <c r="O401" s="17">
        <f t="shared" si="39"/>
        <v>16.678294573643409</v>
      </c>
      <c r="P401" s="16">
        <f t="shared" si="40"/>
        <v>1.5596230518303733</v>
      </c>
      <c r="Q401" s="16">
        <f t="shared" si="41"/>
        <v>1.1317685335812224</v>
      </c>
      <c r="R401" s="2" t="s">
        <v>824</v>
      </c>
      <c r="S401" s="21" t="s">
        <v>30</v>
      </c>
      <c r="T401" s="21" t="s">
        <v>45</v>
      </c>
      <c r="U401" s="8">
        <v>4303</v>
      </c>
      <c r="V401" s="11">
        <v>5</v>
      </c>
      <c r="W401" t="str">
        <f>IF(Table1[[#This Row],[Satisfaction Rating]]&lt;2, "Low", IF(Table1[[#This Row],[Satisfaction Rating]]&lt;4, "Medium", "High"))</f>
        <v>High</v>
      </c>
    </row>
    <row r="402" spans="1:23" ht="13" x14ac:dyDescent="0.15">
      <c r="A402" s="2" t="s">
        <v>825</v>
      </c>
      <c r="B402" s="23">
        <v>45176.017743055556</v>
      </c>
      <c r="C402" s="23">
        <v>45235.344826388886</v>
      </c>
      <c r="D402" s="23" t="str">
        <f>IF(Table1[[#This Row],[Duration of Campaign]]=0, "Ongoing","Completed")</f>
        <v>Completed</v>
      </c>
      <c r="E402" s="25">
        <f>Table1[[#This Row],[End Date]]-Table1[[#This Row],[Start Date]]</f>
        <v>59.327083333329938</v>
      </c>
      <c r="F402" s="8">
        <v>6840</v>
      </c>
      <c r="G402" s="21" t="s">
        <v>19</v>
      </c>
      <c r="H402" s="11">
        <v>17853</v>
      </c>
      <c r="I402" s="11">
        <v>433</v>
      </c>
      <c r="J402" s="11">
        <v>87</v>
      </c>
      <c r="K402" s="13">
        <v>6891</v>
      </c>
      <c r="L402" s="16">
        <f t="shared" si="36"/>
        <v>2.425362684142721E-2</v>
      </c>
      <c r="M402" s="16">
        <f t="shared" si="37"/>
        <v>0.20092378752886836</v>
      </c>
      <c r="N402" s="17">
        <f t="shared" si="38"/>
        <v>1.7598152424942264</v>
      </c>
      <c r="O402" s="17">
        <f t="shared" si="39"/>
        <v>8.7586206896551726</v>
      </c>
      <c r="P402" s="16">
        <f t="shared" si="40"/>
        <v>0.11140350877192982</v>
      </c>
      <c r="Q402" s="16">
        <f t="shared" si="41"/>
        <v>9.043307086614174</v>
      </c>
      <c r="R402" s="2" t="s">
        <v>826</v>
      </c>
      <c r="S402" s="21" t="s">
        <v>24</v>
      </c>
      <c r="T402" s="21" t="s">
        <v>27</v>
      </c>
      <c r="U402" s="8">
        <v>762</v>
      </c>
      <c r="V402" s="11">
        <v>2</v>
      </c>
      <c r="W402" t="str">
        <f>IF(Table1[[#This Row],[Satisfaction Rating]]&lt;2, "Low", IF(Table1[[#This Row],[Satisfaction Rating]]&lt;4, "Medium", "High"))</f>
        <v>Medium</v>
      </c>
    </row>
    <row r="403" spans="1:23" ht="13" x14ac:dyDescent="0.15">
      <c r="A403" s="2" t="s">
        <v>827</v>
      </c>
      <c r="B403" s="23">
        <v>45402.835972222223</v>
      </c>
      <c r="C403" s="23">
        <v>45638.151712962965</v>
      </c>
      <c r="D403" s="23" t="str">
        <f>IF(Table1[[#This Row],[Duration of Campaign]]=0, "Ongoing","Completed")</f>
        <v>Completed</v>
      </c>
      <c r="E403" s="25">
        <f>Table1[[#This Row],[End Date]]-Table1[[#This Row],[Start Date]]</f>
        <v>235.3157407407416</v>
      </c>
      <c r="F403" s="8">
        <v>1191</v>
      </c>
      <c r="G403" s="21" t="s">
        <v>37</v>
      </c>
      <c r="H403" s="11">
        <v>17041</v>
      </c>
      <c r="I403" s="11">
        <v>134</v>
      </c>
      <c r="J403" s="11">
        <v>407</v>
      </c>
      <c r="K403" s="13">
        <v>10599</v>
      </c>
      <c r="L403" s="16">
        <f t="shared" si="36"/>
        <v>7.8633882988087562E-3</v>
      </c>
      <c r="M403" s="16">
        <f t="shared" si="37"/>
        <v>3.0373134328358211</v>
      </c>
      <c r="N403" s="17">
        <f t="shared" si="38"/>
        <v>60.559701492537314</v>
      </c>
      <c r="O403" s="17">
        <f t="shared" si="39"/>
        <v>19.938574938574938</v>
      </c>
      <c r="P403" s="16">
        <f t="shared" si="40"/>
        <v>6.8136020151133501</v>
      </c>
      <c r="Q403" s="16">
        <f t="shared" si="41"/>
        <v>1.3060998151571164</v>
      </c>
      <c r="R403" s="2" t="s">
        <v>828</v>
      </c>
      <c r="S403" s="21" t="s">
        <v>30</v>
      </c>
      <c r="T403" s="21" t="s">
        <v>17</v>
      </c>
      <c r="U403" s="8">
        <v>8115</v>
      </c>
      <c r="V403" s="11">
        <v>3</v>
      </c>
      <c r="W403" t="str">
        <f>IF(Table1[[#This Row],[Satisfaction Rating]]&lt;2, "Low", IF(Table1[[#This Row],[Satisfaction Rating]]&lt;4, "Medium", "High"))</f>
        <v>Medium</v>
      </c>
    </row>
    <row r="404" spans="1:23" ht="13" x14ac:dyDescent="0.15">
      <c r="A404" s="2" t="s">
        <v>829</v>
      </c>
      <c r="B404" s="23">
        <v>45245.461030092592</v>
      </c>
      <c r="C404" s="23">
        <v>45245.461030092592</v>
      </c>
      <c r="D404" s="23" t="str">
        <f>IF(Table1[[#This Row],[Duration of Campaign]]=0, "Ongoing","Completed")</f>
        <v>Ongoing</v>
      </c>
      <c r="E404" s="25">
        <f>Table1[[#This Row],[End Date]]-Table1[[#This Row],[Start Date]]</f>
        <v>0</v>
      </c>
      <c r="F404" s="8">
        <v>5948</v>
      </c>
      <c r="G404" s="21" t="s">
        <v>53</v>
      </c>
      <c r="H404" s="11">
        <v>13974</v>
      </c>
      <c r="I404" s="11">
        <v>1091</v>
      </c>
      <c r="J404" s="11">
        <v>292</v>
      </c>
      <c r="K404" s="13">
        <v>11148</v>
      </c>
      <c r="L404" s="16">
        <f t="shared" si="36"/>
        <v>7.807356519250036E-2</v>
      </c>
      <c r="M404" s="16">
        <f t="shared" si="37"/>
        <v>0.26764436296975253</v>
      </c>
      <c r="N404" s="17">
        <f t="shared" si="38"/>
        <v>7.3363886342804765</v>
      </c>
      <c r="O404" s="17">
        <f t="shared" si="39"/>
        <v>27.410958904109588</v>
      </c>
      <c r="P404" s="16">
        <f t="shared" si="40"/>
        <v>1.3456624075319434</v>
      </c>
      <c r="Q404" s="16">
        <f t="shared" si="41"/>
        <v>1.3928035982008995</v>
      </c>
      <c r="R404" s="2" t="s">
        <v>830</v>
      </c>
      <c r="S404" s="21" t="s">
        <v>16</v>
      </c>
      <c r="T404" s="21" t="s">
        <v>27</v>
      </c>
      <c r="U404" s="8">
        <v>8004</v>
      </c>
      <c r="V404" s="11">
        <v>4</v>
      </c>
      <c r="W404" t="str">
        <f>IF(Table1[[#This Row],[Satisfaction Rating]]&lt;2, "Low", IF(Table1[[#This Row],[Satisfaction Rating]]&lt;4, "Medium", "High"))</f>
        <v>High</v>
      </c>
    </row>
    <row r="405" spans="1:23" ht="13" x14ac:dyDescent="0.15">
      <c r="A405" s="2" t="s">
        <v>831</v>
      </c>
      <c r="B405" s="23">
        <v>45387.999756944446</v>
      </c>
      <c r="C405" s="23">
        <v>45553.351261574076</v>
      </c>
      <c r="D405" s="23" t="str">
        <f>IF(Table1[[#This Row],[Duration of Campaign]]=0, "Ongoing","Completed")</f>
        <v>Completed</v>
      </c>
      <c r="E405" s="25">
        <f>Table1[[#This Row],[End Date]]-Table1[[#This Row],[Start Date]]</f>
        <v>165.35150462963065</v>
      </c>
      <c r="F405" s="8">
        <v>4607</v>
      </c>
      <c r="G405" s="21" t="s">
        <v>37</v>
      </c>
      <c r="H405" s="11">
        <v>15724</v>
      </c>
      <c r="I405" s="11">
        <v>1338</v>
      </c>
      <c r="J405" s="11">
        <v>32</v>
      </c>
      <c r="K405" s="13">
        <v>1319</v>
      </c>
      <c r="L405" s="16">
        <f t="shared" si="36"/>
        <v>8.5092851691681501E-2</v>
      </c>
      <c r="M405" s="16">
        <f t="shared" si="37"/>
        <v>2.391629297458894E-2</v>
      </c>
      <c r="N405" s="17">
        <f t="shared" si="38"/>
        <v>7.6420029895366222</v>
      </c>
      <c r="O405" s="17">
        <f t="shared" si="39"/>
        <v>319.53125</v>
      </c>
      <c r="P405" s="16">
        <f t="shared" si="40"/>
        <v>2.2194486650748861</v>
      </c>
      <c r="Q405" s="16">
        <f t="shared" si="41"/>
        <v>0.12899755501222493</v>
      </c>
      <c r="R405" s="2" t="s">
        <v>832</v>
      </c>
      <c r="S405" s="21" t="s">
        <v>35</v>
      </c>
      <c r="T405" s="21" t="s">
        <v>27</v>
      </c>
      <c r="U405" s="8">
        <v>10225</v>
      </c>
      <c r="V405" s="11">
        <v>1</v>
      </c>
      <c r="W405" t="str">
        <f>IF(Table1[[#This Row],[Satisfaction Rating]]&lt;2, "Low", IF(Table1[[#This Row],[Satisfaction Rating]]&lt;4, "Medium", "High"))</f>
        <v>Low</v>
      </c>
    </row>
    <row r="406" spans="1:23" ht="13" x14ac:dyDescent="0.15">
      <c r="A406" s="2" t="s">
        <v>833</v>
      </c>
      <c r="B406" s="23">
        <v>45180.609155092592</v>
      </c>
      <c r="C406" s="23">
        <v>45180.609155092592</v>
      </c>
      <c r="D406" s="23" t="str">
        <f>IF(Table1[[#This Row],[Duration of Campaign]]=0, "Ongoing","Completed")</f>
        <v>Ongoing</v>
      </c>
      <c r="E406" s="25">
        <f>Table1[[#This Row],[End Date]]-Table1[[#This Row],[Start Date]]</f>
        <v>0</v>
      </c>
      <c r="F406" s="8">
        <v>4102</v>
      </c>
      <c r="G406" s="21" t="s">
        <v>53</v>
      </c>
      <c r="H406" s="11">
        <v>7332</v>
      </c>
      <c r="I406" s="11">
        <v>576</v>
      </c>
      <c r="J406" s="11">
        <v>117</v>
      </c>
      <c r="K406" s="13">
        <v>12765</v>
      </c>
      <c r="L406" s="16">
        <f t="shared" si="36"/>
        <v>7.855973813420622E-2</v>
      </c>
      <c r="M406" s="16">
        <f t="shared" si="37"/>
        <v>0.203125</v>
      </c>
      <c r="N406" s="17">
        <f t="shared" si="38"/>
        <v>23.901041666666668</v>
      </c>
      <c r="O406" s="17">
        <f t="shared" si="39"/>
        <v>117.66666666666667</v>
      </c>
      <c r="P406" s="16">
        <f t="shared" si="40"/>
        <v>3.3561677230619211</v>
      </c>
      <c r="Q406" s="16">
        <f t="shared" si="41"/>
        <v>0.92721725866201787</v>
      </c>
      <c r="R406" s="2" t="s">
        <v>834</v>
      </c>
      <c r="S406" s="21" t="s">
        <v>16</v>
      </c>
      <c r="T406" s="21" t="s">
        <v>17</v>
      </c>
      <c r="U406" s="8">
        <v>13767</v>
      </c>
      <c r="V406" s="11">
        <v>2</v>
      </c>
      <c r="W406" t="str">
        <f>IF(Table1[[#This Row],[Satisfaction Rating]]&lt;2, "Low", IF(Table1[[#This Row],[Satisfaction Rating]]&lt;4, "Medium", "High"))</f>
        <v>Medium</v>
      </c>
    </row>
    <row r="407" spans="1:23" ht="13" x14ac:dyDescent="0.15">
      <c r="A407" s="2" t="s">
        <v>835</v>
      </c>
      <c r="B407" s="23">
        <v>45271.245462962965</v>
      </c>
      <c r="C407" s="23">
        <v>45271.245462962965</v>
      </c>
      <c r="D407" s="23" t="str">
        <f>IF(Table1[[#This Row],[Duration of Campaign]]=0, "Ongoing","Completed")</f>
        <v>Ongoing</v>
      </c>
      <c r="E407" s="25">
        <f>Table1[[#This Row],[End Date]]-Table1[[#This Row],[Start Date]]</f>
        <v>0</v>
      </c>
      <c r="F407" s="8">
        <v>6450</v>
      </c>
      <c r="G407" s="21" t="s">
        <v>14</v>
      </c>
      <c r="H407" s="11">
        <v>15723</v>
      </c>
      <c r="I407" s="11">
        <v>247</v>
      </c>
      <c r="J407" s="11">
        <v>481</v>
      </c>
      <c r="K407" s="13">
        <v>14396</v>
      </c>
      <c r="L407" s="16">
        <f t="shared" si="36"/>
        <v>1.5709470202887491E-2</v>
      </c>
      <c r="M407" s="16">
        <f t="shared" si="37"/>
        <v>1.9473684210526316</v>
      </c>
      <c r="N407" s="17">
        <f t="shared" si="38"/>
        <v>50.890688259109311</v>
      </c>
      <c r="O407" s="17">
        <f t="shared" si="39"/>
        <v>26.133056133056133</v>
      </c>
      <c r="P407" s="16">
        <f t="shared" si="40"/>
        <v>1.9488372093023256</v>
      </c>
      <c r="Q407" s="16">
        <f t="shared" si="41"/>
        <v>1.1452665075576771</v>
      </c>
      <c r="R407" s="2" t="s">
        <v>836</v>
      </c>
      <c r="S407" s="21" t="s">
        <v>16</v>
      </c>
      <c r="T407" s="21" t="s">
        <v>17</v>
      </c>
      <c r="U407" s="8">
        <v>12570</v>
      </c>
      <c r="V407" s="11">
        <v>4</v>
      </c>
      <c r="W407" t="str">
        <f>IF(Table1[[#This Row],[Satisfaction Rating]]&lt;2, "Low", IF(Table1[[#This Row],[Satisfaction Rating]]&lt;4, "Medium", "High"))</f>
        <v>High</v>
      </c>
    </row>
    <row r="408" spans="1:23" ht="13" x14ac:dyDescent="0.15">
      <c r="A408" s="2" t="s">
        <v>837</v>
      </c>
      <c r="B408" s="23">
        <v>45368.04078703704</v>
      </c>
      <c r="C408" s="23">
        <v>45368.04078703704</v>
      </c>
      <c r="D408" s="23" t="str">
        <f>IF(Table1[[#This Row],[Duration of Campaign]]=0, "Ongoing","Completed")</f>
        <v>Ongoing</v>
      </c>
      <c r="E408" s="25">
        <f>Table1[[#This Row],[End Date]]-Table1[[#This Row],[Start Date]]</f>
        <v>0</v>
      </c>
      <c r="F408" s="8">
        <v>7845</v>
      </c>
      <c r="G408" s="21" t="s">
        <v>37</v>
      </c>
      <c r="H408" s="11">
        <v>19020</v>
      </c>
      <c r="I408" s="11">
        <v>1327</v>
      </c>
      <c r="J408" s="11">
        <v>236</v>
      </c>
      <c r="K408" s="13">
        <v>5248</v>
      </c>
      <c r="L408" s="16">
        <f t="shared" si="36"/>
        <v>6.9768664563617244E-2</v>
      </c>
      <c r="M408" s="16">
        <f t="shared" si="37"/>
        <v>0.17784476262245666</v>
      </c>
      <c r="N408" s="17">
        <f t="shared" si="38"/>
        <v>12.968349660889224</v>
      </c>
      <c r="O408" s="17">
        <f t="shared" si="39"/>
        <v>72.919491525423723</v>
      </c>
      <c r="P408" s="16">
        <f t="shared" si="40"/>
        <v>2.1936265137029953</v>
      </c>
      <c r="Q408" s="16">
        <f t="shared" si="41"/>
        <v>0.3049567086989366</v>
      </c>
      <c r="R408" s="2" t="s">
        <v>838</v>
      </c>
      <c r="S408" s="21" t="s">
        <v>16</v>
      </c>
      <c r="T408" s="21" t="s">
        <v>27</v>
      </c>
      <c r="U408" s="8">
        <v>17209</v>
      </c>
      <c r="V408" s="11">
        <v>1</v>
      </c>
      <c r="W408" t="str">
        <f>IF(Table1[[#This Row],[Satisfaction Rating]]&lt;2, "Low", IF(Table1[[#This Row],[Satisfaction Rating]]&lt;4, "Medium", "High"))</f>
        <v>Low</v>
      </c>
    </row>
    <row r="409" spans="1:23" ht="13" x14ac:dyDescent="0.15">
      <c r="A409" s="2" t="s">
        <v>839</v>
      </c>
      <c r="B409" s="23">
        <v>45589.998229166667</v>
      </c>
      <c r="C409" s="23">
        <v>45589.998229166667</v>
      </c>
      <c r="D409" s="23" t="str">
        <f>IF(Table1[[#This Row],[Duration of Campaign]]=0, "Ongoing","Completed")</f>
        <v>Ongoing</v>
      </c>
      <c r="E409" s="25">
        <f>Table1[[#This Row],[End Date]]-Table1[[#This Row],[Start Date]]</f>
        <v>0</v>
      </c>
      <c r="F409" s="8">
        <v>1916</v>
      </c>
      <c r="G409" s="21" t="s">
        <v>14</v>
      </c>
      <c r="H409" s="11">
        <v>8882</v>
      </c>
      <c r="I409" s="11">
        <v>949</v>
      </c>
      <c r="J409" s="11">
        <v>230</v>
      </c>
      <c r="K409" s="13">
        <v>6242</v>
      </c>
      <c r="L409" s="16">
        <f t="shared" si="36"/>
        <v>0.10684530511146138</v>
      </c>
      <c r="M409" s="16">
        <f t="shared" si="37"/>
        <v>0.24236037934668073</v>
      </c>
      <c r="N409" s="17">
        <f t="shared" si="38"/>
        <v>5.2297154899894629</v>
      </c>
      <c r="O409" s="17">
        <f t="shared" si="39"/>
        <v>21.578260869565216</v>
      </c>
      <c r="P409" s="16">
        <f t="shared" si="40"/>
        <v>2.5902922755741127</v>
      </c>
      <c r="Q409" s="16">
        <f t="shared" si="41"/>
        <v>1.2577070320370745</v>
      </c>
      <c r="R409" s="2" t="s">
        <v>840</v>
      </c>
      <c r="S409" s="21" t="s">
        <v>30</v>
      </c>
      <c r="T409" s="21" t="s">
        <v>27</v>
      </c>
      <c r="U409" s="8">
        <v>4963</v>
      </c>
      <c r="V409" s="11">
        <v>1</v>
      </c>
      <c r="W409" t="str">
        <f>IF(Table1[[#This Row],[Satisfaction Rating]]&lt;2, "Low", IF(Table1[[#This Row],[Satisfaction Rating]]&lt;4, "Medium", "High"))</f>
        <v>Low</v>
      </c>
    </row>
    <row r="410" spans="1:23" ht="13" x14ac:dyDescent="0.15">
      <c r="A410" s="2" t="s">
        <v>841</v>
      </c>
      <c r="B410" s="23">
        <v>45304.225960648146</v>
      </c>
      <c r="C410" s="23">
        <v>45585.690671296295</v>
      </c>
      <c r="D410" s="23" t="str">
        <f>IF(Table1[[#This Row],[Duration of Campaign]]=0, "Ongoing","Completed")</f>
        <v>Completed</v>
      </c>
      <c r="E410" s="25">
        <f>Table1[[#This Row],[End Date]]-Table1[[#This Row],[Start Date]]</f>
        <v>281.46471064814978</v>
      </c>
      <c r="F410" s="8">
        <v>3824</v>
      </c>
      <c r="G410" s="21" t="s">
        <v>14</v>
      </c>
      <c r="H410" s="11">
        <v>19696</v>
      </c>
      <c r="I410" s="11">
        <v>1245</v>
      </c>
      <c r="J410" s="11">
        <v>468</v>
      </c>
      <c r="K410" s="13">
        <v>4470</v>
      </c>
      <c r="L410" s="16">
        <f t="shared" si="36"/>
        <v>6.3210804224207967E-2</v>
      </c>
      <c r="M410" s="16">
        <f t="shared" si="37"/>
        <v>0.37590361445783133</v>
      </c>
      <c r="N410" s="17">
        <f t="shared" si="38"/>
        <v>13.327710843373493</v>
      </c>
      <c r="O410" s="17">
        <f t="shared" si="39"/>
        <v>35.455128205128204</v>
      </c>
      <c r="P410" s="16">
        <f t="shared" si="40"/>
        <v>4.3391736401673642</v>
      </c>
      <c r="Q410" s="16">
        <f t="shared" si="41"/>
        <v>0.26939070692460676</v>
      </c>
      <c r="R410" s="2" t="s">
        <v>842</v>
      </c>
      <c r="S410" s="21" t="s">
        <v>30</v>
      </c>
      <c r="T410" s="21" t="s">
        <v>17</v>
      </c>
      <c r="U410" s="8">
        <v>16593</v>
      </c>
      <c r="V410" s="11">
        <v>4</v>
      </c>
      <c r="W410" t="str">
        <f>IF(Table1[[#This Row],[Satisfaction Rating]]&lt;2, "Low", IF(Table1[[#This Row],[Satisfaction Rating]]&lt;4, "Medium", "High"))</f>
        <v>High</v>
      </c>
    </row>
    <row r="411" spans="1:23" ht="13" x14ac:dyDescent="0.15">
      <c r="A411" s="2" t="s">
        <v>843</v>
      </c>
      <c r="B411" s="23">
        <v>45047.040254629632</v>
      </c>
      <c r="C411" s="23">
        <v>45453.822384259256</v>
      </c>
      <c r="D411" s="23" t="str">
        <f>IF(Table1[[#This Row],[Duration of Campaign]]=0, "Ongoing","Completed")</f>
        <v>Completed</v>
      </c>
      <c r="E411" s="25">
        <f>Table1[[#This Row],[End Date]]-Table1[[#This Row],[Start Date]]</f>
        <v>406.78212962962425</v>
      </c>
      <c r="F411" s="8">
        <v>6089</v>
      </c>
      <c r="G411" s="21" t="s">
        <v>19</v>
      </c>
      <c r="H411" s="11">
        <v>2757</v>
      </c>
      <c r="I411" s="11">
        <v>490</v>
      </c>
      <c r="J411" s="11">
        <v>122</v>
      </c>
      <c r="K411" s="13">
        <v>2677</v>
      </c>
      <c r="L411" s="16">
        <f t="shared" si="36"/>
        <v>0.17772941603191875</v>
      </c>
      <c r="M411" s="16">
        <f t="shared" si="37"/>
        <v>0.24897959183673468</v>
      </c>
      <c r="N411" s="17">
        <f t="shared" si="38"/>
        <v>24.685714285714287</v>
      </c>
      <c r="O411" s="17">
        <f t="shared" si="39"/>
        <v>99.147540983606561</v>
      </c>
      <c r="P411" s="16">
        <f t="shared" si="40"/>
        <v>1.9865330924618163</v>
      </c>
      <c r="Q411" s="16">
        <f t="shared" si="41"/>
        <v>0.2213128306878307</v>
      </c>
      <c r="R411" s="2" t="s">
        <v>844</v>
      </c>
      <c r="S411" s="21" t="s">
        <v>21</v>
      </c>
      <c r="T411" s="21" t="s">
        <v>17</v>
      </c>
      <c r="U411" s="8">
        <v>12096</v>
      </c>
      <c r="V411" s="11">
        <v>4</v>
      </c>
      <c r="W411" t="str">
        <f>IF(Table1[[#This Row],[Satisfaction Rating]]&lt;2, "Low", IF(Table1[[#This Row],[Satisfaction Rating]]&lt;4, "Medium", "High"))</f>
        <v>High</v>
      </c>
    </row>
    <row r="412" spans="1:23" ht="13" x14ac:dyDescent="0.15">
      <c r="A412" s="2" t="s">
        <v>845</v>
      </c>
      <c r="B412" s="23">
        <v>45463.03197916667</v>
      </c>
      <c r="C412" s="23">
        <v>45463.03197916667</v>
      </c>
      <c r="D412" s="23" t="str">
        <f>IF(Table1[[#This Row],[Duration of Campaign]]=0, "Ongoing","Completed")</f>
        <v>Ongoing</v>
      </c>
      <c r="E412" s="25">
        <f>Table1[[#This Row],[End Date]]-Table1[[#This Row],[Start Date]]</f>
        <v>0</v>
      </c>
      <c r="F412" s="8">
        <v>8208</v>
      </c>
      <c r="G412" s="21" t="s">
        <v>19</v>
      </c>
      <c r="H412" s="11">
        <v>11319</v>
      </c>
      <c r="I412" s="11">
        <v>197</v>
      </c>
      <c r="J412" s="11">
        <v>147</v>
      </c>
      <c r="K412" s="13">
        <v>11781</v>
      </c>
      <c r="L412" s="16">
        <f t="shared" si="36"/>
        <v>1.7404364343139852E-2</v>
      </c>
      <c r="M412" s="16">
        <f t="shared" si="37"/>
        <v>0.74619289340101524</v>
      </c>
      <c r="N412" s="17">
        <f t="shared" si="38"/>
        <v>33.44670050761421</v>
      </c>
      <c r="O412" s="17">
        <f t="shared" si="39"/>
        <v>44.823129251700678</v>
      </c>
      <c r="P412" s="16">
        <f t="shared" si="40"/>
        <v>0.80275341130604283</v>
      </c>
      <c r="Q412" s="16">
        <f t="shared" si="41"/>
        <v>1.7879799666110183</v>
      </c>
      <c r="R412" s="2" t="s">
        <v>846</v>
      </c>
      <c r="S412" s="21" t="s">
        <v>21</v>
      </c>
      <c r="T412" s="21" t="s">
        <v>27</v>
      </c>
      <c r="U412" s="8">
        <v>6589</v>
      </c>
      <c r="V412" s="11">
        <v>4</v>
      </c>
      <c r="W412" t="str">
        <f>IF(Table1[[#This Row],[Satisfaction Rating]]&lt;2, "Low", IF(Table1[[#This Row],[Satisfaction Rating]]&lt;4, "Medium", "High"))</f>
        <v>High</v>
      </c>
    </row>
    <row r="413" spans="1:23" ht="13" x14ac:dyDescent="0.15">
      <c r="A413" s="2" t="s">
        <v>847</v>
      </c>
      <c r="B413" s="23">
        <v>45581.260868055557</v>
      </c>
      <c r="C413" s="23">
        <v>45581.260868055557</v>
      </c>
      <c r="D413" s="23" t="str">
        <f>IF(Table1[[#This Row],[Duration of Campaign]]=0, "Ongoing","Completed")</f>
        <v>Ongoing</v>
      </c>
      <c r="E413" s="25">
        <f>Table1[[#This Row],[End Date]]-Table1[[#This Row],[Start Date]]</f>
        <v>0</v>
      </c>
      <c r="F413" s="8">
        <v>2488</v>
      </c>
      <c r="G413" s="21" t="s">
        <v>19</v>
      </c>
      <c r="H413" s="11">
        <v>9278</v>
      </c>
      <c r="I413" s="11">
        <v>1339</v>
      </c>
      <c r="J413" s="11">
        <v>219</v>
      </c>
      <c r="K413" s="13">
        <v>2817</v>
      </c>
      <c r="L413" s="16">
        <f t="shared" si="36"/>
        <v>0.14431989652942445</v>
      </c>
      <c r="M413" s="16">
        <f t="shared" si="37"/>
        <v>0.16355489171023152</v>
      </c>
      <c r="N413" s="17">
        <f t="shared" si="38"/>
        <v>2.2150858849887975</v>
      </c>
      <c r="O413" s="17">
        <f t="shared" si="39"/>
        <v>13.543378995433789</v>
      </c>
      <c r="P413" s="16">
        <f t="shared" si="40"/>
        <v>1.1921221864951768</v>
      </c>
      <c r="Q413" s="16">
        <f t="shared" si="41"/>
        <v>0.94976399190829397</v>
      </c>
      <c r="R413" s="2" t="s">
        <v>848</v>
      </c>
      <c r="S413" s="21" t="s">
        <v>35</v>
      </c>
      <c r="T413" s="21" t="s">
        <v>45</v>
      </c>
      <c r="U413" s="8">
        <v>2966</v>
      </c>
      <c r="V413" s="11">
        <v>5</v>
      </c>
      <c r="W413" t="str">
        <f>IF(Table1[[#This Row],[Satisfaction Rating]]&lt;2, "Low", IF(Table1[[#This Row],[Satisfaction Rating]]&lt;4, "Medium", "High"))</f>
        <v>High</v>
      </c>
    </row>
    <row r="414" spans="1:23" ht="13" x14ac:dyDescent="0.15">
      <c r="A414" s="2" t="s">
        <v>849</v>
      </c>
      <c r="B414" s="23">
        <v>45023.960486111115</v>
      </c>
      <c r="C414" s="23">
        <v>45143.132013888891</v>
      </c>
      <c r="D414" s="23" t="str">
        <f>IF(Table1[[#This Row],[Duration of Campaign]]=0, "Ongoing","Completed")</f>
        <v>Completed</v>
      </c>
      <c r="E414" s="25">
        <f>Table1[[#This Row],[End Date]]-Table1[[#This Row],[Start Date]]</f>
        <v>119.17152777777665</v>
      </c>
      <c r="F414" s="8">
        <v>6774</v>
      </c>
      <c r="G414" s="21" t="s">
        <v>19</v>
      </c>
      <c r="H414" s="11">
        <v>13678</v>
      </c>
      <c r="I414" s="11">
        <v>1422</v>
      </c>
      <c r="J414" s="11">
        <v>488</v>
      </c>
      <c r="K414" s="13">
        <v>10430</v>
      </c>
      <c r="L414" s="16">
        <f t="shared" si="36"/>
        <v>0.10396256762684603</v>
      </c>
      <c r="M414" s="16">
        <f t="shared" si="37"/>
        <v>0.34317862165963431</v>
      </c>
      <c r="N414" s="17">
        <f t="shared" si="38"/>
        <v>2.5513361462728552</v>
      </c>
      <c r="O414" s="17">
        <f t="shared" si="39"/>
        <v>7.4344262295081966</v>
      </c>
      <c r="P414" s="16">
        <f t="shared" si="40"/>
        <v>0.53557720696781808</v>
      </c>
      <c r="Q414" s="16">
        <f t="shared" si="41"/>
        <v>2.874862183020948</v>
      </c>
      <c r="R414" s="2" t="s">
        <v>850</v>
      </c>
      <c r="S414" s="21" t="s">
        <v>24</v>
      </c>
      <c r="T414" s="21" t="s">
        <v>17</v>
      </c>
      <c r="U414" s="8">
        <v>3628</v>
      </c>
      <c r="V414" s="11">
        <v>1</v>
      </c>
      <c r="W414" t="str">
        <f>IF(Table1[[#This Row],[Satisfaction Rating]]&lt;2, "Low", IF(Table1[[#This Row],[Satisfaction Rating]]&lt;4, "Medium", "High"))</f>
        <v>Low</v>
      </c>
    </row>
    <row r="415" spans="1:23" ht="13" x14ac:dyDescent="0.15">
      <c r="A415" s="2" t="s">
        <v>851</v>
      </c>
      <c r="B415" s="23">
        <v>45266.512499999997</v>
      </c>
      <c r="C415" s="23">
        <v>45307.068171296298</v>
      </c>
      <c r="D415" s="23" t="str">
        <f>IF(Table1[[#This Row],[Duration of Campaign]]=0, "Ongoing","Completed")</f>
        <v>Completed</v>
      </c>
      <c r="E415" s="25">
        <f>Table1[[#This Row],[End Date]]-Table1[[#This Row],[Start Date]]</f>
        <v>40.555671296300716</v>
      </c>
      <c r="F415" s="8">
        <v>1795</v>
      </c>
      <c r="G415" s="21" t="s">
        <v>14</v>
      </c>
      <c r="H415" s="11">
        <v>13476</v>
      </c>
      <c r="I415" s="11">
        <v>1699</v>
      </c>
      <c r="J415" s="11">
        <v>434</v>
      </c>
      <c r="K415" s="13">
        <v>8932</v>
      </c>
      <c r="L415" s="16">
        <f t="shared" si="36"/>
        <v>0.12607598693974473</v>
      </c>
      <c r="M415" s="16">
        <f t="shared" si="37"/>
        <v>0.25544437904649792</v>
      </c>
      <c r="N415" s="17">
        <f t="shared" si="38"/>
        <v>2.6044732195409064</v>
      </c>
      <c r="O415" s="17">
        <f t="shared" si="39"/>
        <v>10.195852534562212</v>
      </c>
      <c r="P415" s="16">
        <f t="shared" si="40"/>
        <v>2.4651810584958218</v>
      </c>
      <c r="Q415" s="16">
        <f t="shared" si="41"/>
        <v>2.0185310734463275</v>
      </c>
      <c r="R415" s="2" t="s">
        <v>852</v>
      </c>
      <c r="S415" s="21" t="s">
        <v>30</v>
      </c>
      <c r="T415" s="21" t="s">
        <v>17</v>
      </c>
      <c r="U415" s="8">
        <v>4425</v>
      </c>
      <c r="V415" s="11">
        <v>2</v>
      </c>
      <c r="W415" t="str">
        <f>IF(Table1[[#This Row],[Satisfaction Rating]]&lt;2, "Low", IF(Table1[[#This Row],[Satisfaction Rating]]&lt;4, "Medium", "High"))</f>
        <v>Medium</v>
      </c>
    </row>
    <row r="416" spans="1:23" ht="13" x14ac:dyDescent="0.15">
      <c r="A416" s="2" t="s">
        <v>853</v>
      </c>
      <c r="B416" s="23">
        <v>45397.268333333333</v>
      </c>
      <c r="C416" s="23">
        <v>45397.268333333333</v>
      </c>
      <c r="D416" s="23" t="str">
        <f>IF(Table1[[#This Row],[Duration of Campaign]]=0, "Ongoing","Completed")</f>
        <v>Ongoing</v>
      </c>
      <c r="E416" s="25">
        <f>Table1[[#This Row],[End Date]]-Table1[[#This Row],[Start Date]]</f>
        <v>0</v>
      </c>
      <c r="F416" s="8">
        <v>3347</v>
      </c>
      <c r="G416" s="21" t="s">
        <v>14</v>
      </c>
      <c r="H416" s="11">
        <v>19222</v>
      </c>
      <c r="I416" s="11">
        <v>1141</v>
      </c>
      <c r="J416" s="11">
        <v>171</v>
      </c>
      <c r="K416" s="13">
        <v>8249</v>
      </c>
      <c r="L416" s="16">
        <f t="shared" si="36"/>
        <v>5.9359067734887111E-2</v>
      </c>
      <c r="M416" s="16">
        <f t="shared" si="37"/>
        <v>0.14986853637160386</v>
      </c>
      <c r="N416" s="17">
        <f t="shared" si="38"/>
        <v>13.85626643295355</v>
      </c>
      <c r="O416" s="17">
        <f t="shared" si="39"/>
        <v>92.456140350877192</v>
      </c>
      <c r="P416" s="16">
        <f t="shared" si="40"/>
        <v>4.7236331042724826</v>
      </c>
      <c r="Q416" s="16">
        <f t="shared" si="41"/>
        <v>0.52175838077166348</v>
      </c>
      <c r="R416" s="2" t="s">
        <v>854</v>
      </c>
      <c r="S416" s="21" t="s">
        <v>35</v>
      </c>
      <c r="T416" s="21" t="s">
        <v>17</v>
      </c>
      <c r="U416" s="8">
        <v>15810</v>
      </c>
      <c r="V416" s="11">
        <v>1</v>
      </c>
      <c r="W416" t="str">
        <f>IF(Table1[[#This Row],[Satisfaction Rating]]&lt;2, "Low", IF(Table1[[#This Row],[Satisfaction Rating]]&lt;4, "Medium", "High"))</f>
        <v>Low</v>
      </c>
    </row>
    <row r="417" spans="1:23" ht="13" x14ac:dyDescent="0.15">
      <c r="A417" s="2" t="s">
        <v>855</v>
      </c>
      <c r="B417" s="23">
        <v>45150.871631944443</v>
      </c>
      <c r="C417" s="23">
        <v>45429.307326388887</v>
      </c>
      <c r="D417" s="23" t="str">
        <f>IF(Table1[[#This Row],[Duration of Campaign]]=0, "Ongoing","Completed")</f>
        <v>Completed</v>
      </c>
      <c r="E417" s="25">
        <f>Table1[[#This Row],[End Date]]-Table1[[#This Row],[Start Date]]</f>
        <v>278.43569444444438</v>
      </c>
      <c r="F417" s="8">
        <v>6590</v>
      </c>
      <c r="G417" s="21" t="s">
        <v>14</v>
      </c>
      <c r="H417" s="11">
        <v>10235</v>
      </c>
      <c r="I417" s="11">
        <v>1404</v>
      </c>
      <c r="J417" s="11">
        <v>228</v>
      </c>
      <c r="K417" s="13">
        <v>7288</v>
      </c>
      <c r="L417" s="16">
        <f t="shared" si="36"/>
        <v>0.13717635564240352</v>
      </c>
      <c r="M417" s="16">
        <f t="shared" si="37"/>
        <v>0.1623931623931624</v>
      </c>
      <c r="N417" s="17">
        <f t="shared" si="38"/>
        <v>5.6068376068376065</v>
      </c>
      <c r="O417" s="17">
        <f t="shared" si="39"/>
        <v>34.526315789473685</v>
      </c>
      <c r="P417" s="16">
        <f t="shared" si="40"/>
        <v>1.1945371775417299</v>
      </c>
      <c r="Q417" s="16">
        <f t="shared" si="41"/>
        <v>0.92581300813008127</v>
      </c>
      <c r="R417" s="2" t="s">
        <v>856</v>
      </c>
      <c r="S417" s="21" t="s">
        <v>16</v>
      </c>
      <c r="T417" s="21" t="s">
        <v>17</v>
      </c>
      <c r="U417" s="8">
        <v>7872</v>
      </c>
      <c r="V417" s="11">
        <v>3</v>
      </c>
      <c r="W417" t="str">
        <f>IF(Table1[[#This Row],[Satisfaction Rating]]&lt;2, "Low", IF(Table1[[#This Row],[Satisfaction Rating]]&lt;4, "Medium", "High"))</f>
        <v>Medium</v>
      </c>
    </row>
    <row r="418" spans="1:23" ht="13" x14ac:dyDescent="0.15">
      <c r="A418" s="2" t="s">
        <v>857</v>
      </c>
      <c r="B418" s="23">
        <v>45503.573831018519</v>
      </c>
      <c r="C418" s="23">
        <v>45503.573831018519</v>
      </c>
      <c r="D418" s="23" t="str">
        <f>IF(Table1[[#This Row],[Duration of Campaign]]=0, "Ongoing","Completed")</f>
        <v>Ongoing</v>
      </c>
      <c r="E418" s="25">
        <f>Table1[[#This Row],[End Date]]-Table1[[#This Row],[Start Date]]</f>
        <v>0</v>
      </c>
      <c r="F418" s="8">
        <v>2648</v>
      </c>
      <c r="G418" s="21" t="s">
        <v>53</v>
      </c>
      <c r="H418" s="11">
        <v>3559</v>
      </c>
      <c r="I418" s="11">
        <v>699</v>
      </c>
      <c r="J418" s="11">
        <v>246</v>
      </c>
      <c r="K418" s="13">
        <v>14090</v>
      </c>
      <c r="L418" s="16">
        <f t="shared" si="36"/>
        <v>0.19640348412475414</v>
      </c>
      <c r="M418" s="16">
        <f t="shared" si="37"/>
        <v>0.35193133047210301</v>
      </c>
      <c r="N418" s="17">
        <f t="shared" si="38"/>
        <v>24.254649499284692</v>
      </c>
      <c r="O418" s="17">
        <f t="shared" si="39"/>
        <v>68.918699186991873</v>
      </c>
      <c r="P418" s="16">
        <f t="shared" si="40"/>
        <v>6.4025679758308156</v>
      </c>
      <c r="Q418" s="16">
        <f t="shared" si="41"/>
        <v>0.83107231331839093</v>
      </c>
      <c r="R418" s="2" t="s">
        <v>858</v>
      </c>
      <c r="S418" s="21" t="s">
        <v>21</v>
      </c>
      <c r="T418" s="21" t="s">
        <v>45</v>
      </c>
      <c r="U418" s="8">
        <v>16954</v>
      </c>
      <c r="V418" s="11">
        <v>4</v>
      </c>
      <c r="W418" t="str">
        <f>IF(Table1[[#This Row],[Satisfaction Rating]]&lt;2, "Low", IF(Table1[[#This Row],[Satisfaction Rating]]&lt;4, "Medium", "High"))</f>
        <v>High</v>
      </c>
    </row>
    <row r="419" spans="1:23" ht="13" x14ac:dyDescent="0.15">
      <c r="A419" s="2" t="s">
        <v>859</v>
      </c>
      <c r="B419" s="23">
        <v>45594.326157407406</v>
      </c>
      <c r="C419" s="23">
        <v>45594.326157407406</v>
      </c>
      <c r="D419" s="23" t="str">
        <f>IF(Table1[[#This Row],[Duration of Campaign]]=0, "Ongoing","Completed")</f>
        <v>Ongoing</v>
      </c>
      <c r="E419" s="25">
        <f>Table1[[#This Row],[End Date]]-Table1[[#This Row],[Start Date]]</f>
        <v>0</v>
      </c>
      <c r="F419" s="8">
        <v>7904</v>
      </c>
      <c r="G419" s="21" t="s">
        <v>37</v>
      </c>
      <c r="H419" s="11">
        <v>17575</v>
      </c>
      <c r="I419" s="11">
        <v>1423</v>
      </c>
      <c r="J419" s="11">
        <v>145</v>
      </c>
      <c r="K419" s="13">
        <v>3301</v>
      </c>
      <c r="L419" s="16">
        <f t="shared" si="36"/>
        <v>8.0967283072546234E-2</v>
      </c>
      <c r="M419" s="16">
        <f t="shared" si="37"/>
        <v>0.10189739985945186</v>
      </c>
      <c r="N419" s="17">
        <f t="shared" si="38"/>
        <v>1.7990161630358397</v>
      </c>
      <c r="O419" s="17">
        <f t="shared" si="39"/>
        <v>17.655172413793103</v>
      </c>
      <c r="P419" s="16">
        <f t="shared" si="40"/>
        <v>0.32388663967611336</v>
      </c>
      <c r="Q419" s="16">
        <f t="shared" si="41"/>
        <v>1.2894531250000001</v>
      </c>
      <c r="R419" s="2" t="s">
        <v>860</v>
      </c>
      <c r="S419" s="21" t="s">
        <v>35</v>
      </c>
      <c r="T419" s="21" t="s">
        <v>45</v>
      </c>
      <c r="U419" s="8">
        <v>2560</v>
      </c>
      <c r="V419" s="11">
        <v>1</v>
      </c>
      <c r="W419" t="str">
        <f>IF(Table1[[#This Row],[Satisfaction Rating]]&lt;2, "Low", IF(Table1[[#This Row],[Satisfaction Rating]]&lt;4, "Medium", "High"))</f>
        <v>Low</v>
      </c>
    </row>
    <row r="420" spans="1:23" ht="13" x14ac:dyDescent="0.15">
      <c r="A420" s="2" t="s">
        <v>861</v>
      </c>
      <c r="B420" s="23">
        <v>45648.669872685183</v>
      </c>
      <c r="C420" s="23">
        <v>45648.669872685183</v>
      </c>
      <c r="D420" s="23" t="str">
        <f>IF(Table1[[#This Row],[Duration of Campaign]]=0, "Ongoing","Completed")</f>
        <v>Ongoing</v>
      </c>
      <c r="E420" s="25">
        <f>Table1[[#This Row],[End Date]]-Table1[[#This Row],[Start Date]]</f>
        <v>0</v>
      </c>
      <c r="F420" s="8">
        <v>9634</v>
      </c>
      <c r="G420" s="21" t="s">
        <v>14</v>
      </c>
      <c r="H420" s="11">
        <v>19247</v>
      </c>
      <c r="I420" s="11">
        <v>982</v>
      </c>
      <c r="J420" s="11">
        <v>95</v>
      </c>
      <c r="K420" s="13">
        <v>9774</v>
      </c>
      <c r="L420" s="16">
        <f t="shared" si="36"/>
        <v>5.1020938328051123E-2</v>
      </c>
      <c r="M420" s="16">
        <f t="shared" si="37"/>
        <v>9.6741344195519344E-2</v>
      </c>
      <c r="N420" s="17">
        <f t="shared" si="38"/>
        <v>17.553971486761711</v>
      </c>
      <c r="O420" s="17">
        <f t="shared" si="39"/>
        <v>181.45263157894738</v>
      </c>
      <c r="P420" s="16">
        <f t="shared" si="40"/>
        <v>1.7892879385509652</v>
      </c>
      <c r="Q420" s="16">
        <f t="shared" si="41"/>
        <v>0.56700313261399238</v>
      </c>
      <c r="R420" s="2" t="s">
        <v>862</v>
      </c>
      <c r="S420" s="21" t="s">
        <v>16</v>
      </c>
      <c r="T420" s="21" t="s">
        <v>45</v>
      </c>
      <c r="U420" s="8">
        <v>17238</v>
      </c>
      <c r="V420" s="11">
        <v>1</v>
      </c>
      <c r="W420" t="str">
        <f>IF(Table1[[#This Row],[Satisfaction Rating]]&lt;2, "Low", IF(Table1[[#This Row],[Satisfaction Rating]]&lt;4, "Medium", "High"))</f>
        <v>Low</v>
      </c>
    </row>
    <row r="421" spans="1:23" ht="13" x14ac:dyDescent="0.15">
      <c r="A421" s="2" t="s">
        <v>863</v>
      </c>
      <c r="B421" s="23">
        <v>45357.996481481481</v>
      </c>
      <c r="C421" s="23">
        <v>45357.996481481481</v>
      </c>
      <c r="D421" s="23" t="str">
        <f>IF(Table1[[#This Row],[Duration of Campaign]]=0, "Ongoing","Completed")</f>
        <v>Ongoing</v>
      </c>
      <c r="E421" s="25">
        <f>Table1[[#This Row],[End Date]]-Table1[[#This Row],[Start Date]]</f>
        <v>0</v>
      </c>
      <c r="F421" s="8">
        <v>1942</v>
      </c>
      <c r="G421" s="21" t="s">
        <v>19</v>
      </c>
      <c r="H421" s="11">
        <v>13041</v>
      </c>
      <c r="I421" s="11">
        <v>1259</v>
      </c>
      <c r="J421" s="11">
        <v>141</v>
      </c>
      <c r="K421" s="13">
        <v>4847</v>
      </c>
      <c r="L421" s="16">
        <f t="shared" si="36"/>
        <v>9.6541676251821182E-2</v>
      </c>
      <c r="M421" s="16">
        <f t="shared" si="37"/>
        <v>0.11199364575059571</v>
      </c>
      <c r="N421" s="17">
        <f t="shared" si="38"/>
        <v>14.430500397140587</v>
      </c>
      <c r="O421" s="17">
        <f t="shared" si="39"/>
        <v>128.85106382978722</v>
      </c>
      <c r="P421" s="16">
        <f t="shared" si="40"/>
        <v>9.3553038105046351</v>
      </c>
      <c r="Q421" s="16">
        <f t="shared" si="41"/>
        <v>0.26678775869660942</v>
      </c>
      <c r="R421" s="2" t="s">
        <v>864</v>
      </c>
      <c r="S421" s="21" t="s">
        <v>35</v>
      </c>
      <c r="T421" s="21" t="s">
        <v>45</v>
      </c>
      <c r="U421" s="8">
        <v>18168</v>
      </c>
      <c r="V421" s="11">
        <v>2</v>
      </c>
      <c r="W421" t="str">
        <f>IF(Table1[[#This Row],[Satisfaction Rating]]&lt;2, "Low", IF(Table1[[#This Row],[Satisfaction Rating]]&lt;4, "Medium", "High"))</f>
        <v>Medium</v>
      </c>
    </row>
    <row r="422" spans="1:23" ht="13" x14ac:dyDescent="0.15">
      <c r="A422" s="2" t="s">
        <v>865</v>
      </c>
      <c r="B422" s="23">
        <v>45406.529918981483</v>
      </c>
      <c r="C422" s="23">
        <v>45406.529918981483</v>
      </c>
      <c r="D422" s="23" t="str">
        <f>IF(Table1[[#This Row],[Duration of Campaign]]=0, "Ongoing","Completed")</f>
        <v>Ongoing</v>
      </c>
      <c r="E422" s="25">
        <f>Table1[[#This Row],[End Date]]-Table1[[#This Row],[Start Date]]</f>
        <v>0</v>
      </c>
      <c r="F422" s="8">
        <v>2572</v>
      </c>
      <c r="G422" s="21" t="s">
        <v>19</v>
      </c>
      <c r="H422" s="11">
        <v>5148</v>
      </c>
      <c r="I422" s="11">
        <v>1664</v>
      </c>
      <c r="J422" s="11">
        <v>346</v>
      </c>
      <c r="K422" s="13">
        <v>587</v>
      </c>
      <c r="L422" s="16">
        <f t="shared" si="36"/>
        <v>0.32323232323232326</v>
      </c>
      <c r="M422" s="16">
        <f t="shared" si="37"/>
        <v>0.20793269230769232</v>
      </c>
      <c r="N422" s="17">
        <f t="shared" si="38"/>
        <v>1.2578125</v>
      </c>
      <c r="O422" s="17">
        <f t="shared" si="39"/>
        <v>6.0491329479768785</v>
      </c>
      <c r="P422" s="16">
        <f t="shared" si="40"/>
        <v>0.81376360808709181</v>
      </c>
      <c r="Q422" s="16">
        <f t="shared" si="41"/>
        <v>0.28045867176301958</v>
      </c>
      <c r="R422" s="2" t="s">
        <v>866</v>
      </c>
      <c r="S422" s="21" t="s">
        <v>21</v>
      </c>
      <c r="T422" s="21" t="s">
        <v>27</v>
      </c>
      <c r="U422" s="8">
        <v>2093</v>
      </c>
      <c r="V422" s="11">
        <v>5</v>
      </c>
      <c r="W422" t="str">
        <f>IF(Table1[[#This Row],[Satisfaction Rating]]&lt;2, "Low", IF(Table1[[#This Row],[Satisfaction Rating]]&lt;4, "Medium", "High"))</f>
        <v>High</v>
      </c>
    </row>
    <row r="423" spans="1:23" ht="13" x14ac:dyDescent="0.15">
      <c r="A423" s="2" t="s">
        <v>867</v>
      </c>
      <c r="B423" s="23">
        <v>45111.542870370373</v>
      </c>
      <c r="C423" s="23">
        <v>45642.714375000003</v>
      </c>
      <c r="D423" s="23" t="str">
        <f>IF(Table1[[#This Row],[Duration of Campaign]]=0, "Ongoing","Completed")</f>
        <v>Completed</v>
      </c>
      <c r="E423" s="25">
        <f>Table1[[#This Row],[End Date]]-Table1[[#This Row],[Start Date]]</f>
        <v>531.17150462963036</v>
      </c>
      <c r="F423" s="8">
        <v>4464</v>
      </c>
      <c r="G423" s="21" t="s">
        <v>53</v>
      </c>
      <c r="H423" s="11">
        <v>2953</v>
      </c>
      <c r="I423" s="11">
        <v>267</v>
      </c>
      <c r="J423" s="11">
        <v>215</v>
      </c>
      <c r="K423" s="13">
        <v>3020</v>
      </c>
      <c r="L423" s="16">
        <f t="shared" si="36"/>
        <v>9.0416525567219783E-2</v>
      </c>
      <c r="M423" s="16">
        <f t="shared" si="37"/>
        <v>0.80524344569288386</v>
      </c>
      <c r="N423" s="17">
        <f t="shared" si="38"/>
        <v>67.970037453183522</v>
      </c>
      <c r="O423" s="17">
        <f t="shared" si="39"/>
        <v>84.409302325581393</v>
      </c>
      <c r="P423" s="16">
        <f t="shared" si="40"/>
        <v>4.0654121863799286</v>
      </c>
      <c r="Q423" s="16">
        <f t="shared" si="41"/>
        <v>0.16640952171038131</v>
      </c>
      <c r="R423" s="2" t="s">
        <v>868</v>
      </c>
      <c r="S423" s="21" t="s">
        <v>30</v>
      </c>
      <c r="T423" s="21" t="s">
        <v>45</v>
      </c>
      <c r="U423" s="8">
        <v>18148</v>
      </c>
      <c r="V423" s="11">
        <v>1</v>
      </c>
      <c r="W423" t="str">
        <f>IF(Table1[[#This Row],[Satisfaction Rating]]&lt;2, "Low", IF(Table1[[#This Row],[Satisfaction Rating]]&lt;4, "Medium", "High"))</f>
        <v>Low</v>
      </c>
    </row>
    <row r="424" spans="1:23" ht="13" x14ac:dyDescent="0.15">
      <c r="A424" s="2" t="s">
        <v>869</v>
      </c>
      <c r="B424" s="23">
        <v>45106.999386574076</v>
      </c>
      <c r="C424" s="23">
        <v>45654.821319444447</v>
      </c>
      <c r="D424" s="23" t="str">
        <f>IF(Table1[[#This Row],[Duration of Campaign]]=0, "Ongoing","Completed")</f>
        <v>Completed</v>
      </c>
      <c r="E424" s="25">
        <f>Table1[[#This Row],[End Date]]-Table1[[#This Row],[Start Date]]</f>
        <v>547.8219328703708</v>
      </c>
      <c r="F424" s="8">
        <v>9336</v>
      </c>
      <c r="G424" s="21" t="s">
        <v>19</v>
      </c>
      <c r="H424" s="11">
        <v>8451</v>
      </c>
      <c r="I424" s="11">
        <v>1570</v>
      </c>
      <c r="J424" s="11">
        <v>425</v>
      </c>
      <c r="K424" s="13">
        <v>12153</v>
      </c>
      <c r="L424" s="16">
        <f t="shared" si="36"/>
        <v>0.18577683114424329</v>
      </c>
      <c r="M424" s="16">
        <f t="shared" si="37"/>
        <v>0.27070063694267515</v>
      </c>
      <c r="N424" s="17">
        <f t="shared" si="38"/>
        <v>7.8261146496815286</v>
      </c>
      <c r="O424" s="17">
        <f t="shared" si="39"/>
        <v>28.910588235294117</v>
      </c>
      <c r="P424" s="16">
        <f t="shared" si="40"/>
        <v>1.3160882604970008</v>
      </c>
      <c r="Q424" s="16">
        <f t="shared" si="41"/>
        <v>0.98909416456417354</v>
      </c>
      <c r="R424" s="2" t="s">
        <v>870</v>
      </c>
      <c r="S424" s="21" t="s">
        <v>30</v>
      </c>
      <c r="T424" s="21" t="s">
        <v>27</v>
      </c>
      <c r="U424" s="8">
        <v>12287</v>
      </c>
      <c r="V424" s="11">
        <v>1</v>
      </c>
      <c r="W424" t="str">
        <f>IF(Table1[[#This Row],[Satisfaction Rating]]&lt;2, "Low", IF(Table1[[#This Row],[Satisfaction Rating]]&lt;4, "Medium", "High"))</f>
        <v>Low</v>
      </c>
    </row>
    <row r="425" spans="1:23" ht="13" x14ac:dyDescent="0.15">
      <c r="A425" s="2" t="s">
        <v>871</v>
      </c>
      <c r="B425" s="23">
        <v>45206.869525462964</v>
      </c>
      <c r="C425" s="23">
        <v>45206.869525462964</v>
      </c>
      <c r="D425" s="23" t="str">
        <f>IF(Table1[[#This Row],[Duration of Campaign]]=0, "Ongoing","Completed")</f>
        <v>Ongoing</v>
      </c>
      <c r="E425" s="25">
        <f>Table1[[#This Row],[End Date]]-Table1[[#This Row],[Start Date]]</f>
        <v>0</v>
      </c>
      <c r="F425" s="8">
        <v>1380</v>
      </c>
      <c r="G425" s="21" t="s">
        <v>53</v>
      </c>
      <c r="H425" s="11">
        <v>4780</v>
      </c>
      <c r="I425" s="11">
        <v>912</v>
      </c>
      <c r="J425" s="11">
        <v>326</v>
      </c>
      <c r="K425" s="13">
        <v>4654</v>
      </c>
      <c r="L425" s="16">
        <f t="shared" si="36"/>
        <v>0.19079497907949791</v>
      </c>
      <c r="M425" s="16">
        <f t="shared" si="37"/>
        <v>0.35745614035087719</v>
      </c>
      <c r="N425" s="17">
        <f t="shared" si="38"/>
        <v>14.987938596491228</v>
      </c>
      <c r="O425" s="17">
        <f t="shared" si="39"/>
        <v>41.929447852760738</v>
      </c>
      <c r="P425" s="16">
        <f t="shared" si="40"/>
        <v>9.905072463768116</v>
      </c>
      <c r="Q425" s="16">
        <f t="shared" si="41"/>
        <v>0.34047845489794426</v>
      </c>
      <c r="R425" s="2" t="s">
        <v>872</v>
      </c>
      <c r="S425" s="21" t="s">
        <v>30</v>
      </c>
      <c r="T425" s="21" t="s">
        <v>17</v>
      </c>
      <c r="U425" s="8">
        <v>13669</v>
      </c>
      <c r="V425" s="11">
        <v>4</v>
      </c>
      <c r="W425" t="str">
        <f>IF(Table1[[#This Row],[Satisfaction Rating]]&lt;2, "Low", IF(Table1[[#This Row],[Satisfaction Rating]]&lt;4, "Medium", "High"))</f>
        <v>High</v>
      </c>
    </row>
    <row r="426" spans="1:23" ht="13" x14ac:dyDescent="0.15">
      <c r="A426" s="2" t="s">
        <v>873</v>
      </c>
      <c r="B426" s="23">
        <v>45608.769548611112</v>
      </c>
      <c r="C426" s="23">
        <v>45608.769548611112</v>
      </c>
      <c r="D426" s="23" t="str">
        <f>IF(Table1[[#This Row],[Duration of Campaign]]=0, "Ongoing","Completed")</f>
        <v>Ongoing</v>
      </c>
      <c r="E426" s="25">
        <f>Table1[[#This Row],[End Date]]-Table1[[#This Row],[Start Date]]</f>
        <v>0</v>
      </c>
      <c r="F426" s="8">
        <v>1880</v>
      </c>
      <c r="G426" s="21" t="s">
        <v>14</v>
      </c>
      <c r="H426" s="11">
        <v>10981</v>
      </c>
      <c r="I426" s="11">
        <v>697</v>
      </c>
      <c r="J426" s="11">
        <v>211</v>
      </c>
      <c r="K426" s="13">
        <v>14584</v>
      </c>
      <c r="L426" s="16">
        <f t="shared" si="36"/>
        <v>6.3473272015299148E-2</v>
      </c>
      <c r="M426" s="16">
        <f t="shared" si="37"/>
        <v>0.30272596843615496</v>
      </c>
      <c r="N426" s="17">
        <f t="shared" si="38"/>
        <v>17.680057388809182</v>
      </c>
      <c r="O426" s="17">
        <f t="shared" si="39"/>
        <v>58.402843601895732</v>
      </c>
      <c r="P426" s="16">
        <f t="shared" si="40"/>
        <v>6.5547872340425535</v>
      </c>
      <c r="Q426" s="16">
        <f t="shared" si="41"/>
        <v>1.183478049176337</v>
      </c>
      <c r="R426" s="2" t="s">
        <v>874</v>
      </c>
      <c r="S426" s="21" t="s">
        <v>30</v>
      </c>
      <c r="T426" s="21" t="s">
        <v>17</v>
      </c>
      <c r="U426" s="8">
        <v>12323</v>
      </c>
      <c r="V426" s="11">
        <v>2</v>
      </c>
      <c r="W426" t="str">
        <f>IF(Table1[[#This Row],[Satisfaction Rating]]&lt;2, "Low", IF(Table1[[#This Row],[Satisfaction Rating]]&lt;4, "Medium", "High"))</f>
        <v>Medium</v>
      </c>
    </row>
    <row r="427" spans="1:23" ht="13" x14ac:dyDescent="0.15">
      <c r="A427" s="2" t="s">
        <v>875</v>
      </c>
      <c r="B427" s="23">
        <v>45180.289224537039</v>
      </c>
      <c r="C427" s="23">
        <v>45227.182997685188</v>
      </c>
      <c r="D427" s="23" t="str">
        <f>IF(Table1[[#This Row],[Duration of Campaign]]=0, "Ongoing","Completed")</f>
        <v>Completed</v>
      </c>
      <c r="E427" s="25">
        <f>Table1[[#This Row],[End Date]]-Table1[[#This Row],[Start Date]]</f>
        <v>46.893773148149194</v>
      </c>
      <c r="F427" s="8">
        <v>7268</v>
      </c>
      <c r="G427" s="21" t="s">
        <v>19</v>
      </c>
      <c r="H427" s="11">
        <v>7972</v>
      </c>
      <c r="I427" s="11">
        <v>237</v>
      </c>
      <c r="J427" s="11">
        <v>317</v>
      </c>
      <c r="K427" s="13">
        <v>6477</v>
      </c>
      <c r="L427" s="16">
        <f t="shared" si="36"/>
        <v>2.9729051680883092E-2</v>
      </c>
      <c r="M427" s="16">
        <f t="shared" si="37"/>
        <v>1.3375527426160339</v>
      </c>
      <c r="N427" s="17">
        <f t="shared" si="38"/>
        <v>83.877637130801688</v>
      </c>
      <c r="O427" s="17">
        <f t="shared" si="39"/>
        <v>62.709779179810724</v>
      </c>
      <c r="P427" s="16">
        <f t="shared" si="40"/>
        <v>2.7351403412217943</v>
      </c>
      <c r="Q427" s="16">
        <f t="shared" si="41"/>
        <v>0.32582121837114542</v>
      </c>
      <c r="R427" s="2" t="s">
        <v>876</v>
      </c>
      <c r="S427" s="21" t="s">
        <v>24</v>
      </c>
      <c r="T427" s="21" t="s">
        <v>45</v>
      </c>
      <c r="U427" s="8">
        <v>19879</v>
      </c>
      <c r="V427" s="11">
        <v>5</v>
      </c>
      <c r="W427" t="str">
        <f>IF(Table1[[#This Row],[Satisfaction Rating]]&lt;2, "Low", IF(Table1[[#This Row],[Satisfaction Rating]]&lt;4, "Medium", "High"))</f>
        <v>High</v>
      </c>
    </row>
    <row r="428" spans="1:23" ht="13" x14ac:dyDescent="0.15">
      <c r="A428" s="2" t="s">
        <v>877</v>
      </c>
      <c r="B428" s="23">
        <v>45651.547858796293</v>
      </c>
      <c r="C428" s="23">
        <v>45651.547858796293</v>
      </c>
      <c r="D428" s="23" t="str">
        <f>IF(Table1[[#This Row],[Duration of Campaign]]=0, "Ongoing","Completed")</f>
        <v>Ongoing</v>
      </c>
      <c r="E428" s="25">
        <f>Table1[[#This Row],[End Date]]-Table1[[#This Row],[Start Date]]</f>
        <v>0</v>
      </c>
      <c r="F428" s="8">
        <v>5779</v>
      </c>
      <c r="G428" s="21" t="s">
        <v>53</v>
      </c>
      <c r="H428" s="11">
        <v>10108</v>
      </c>
      <c r="I428" s="11">
        <v>1520</v>
      </c>
      <c r="J428" s="11">
        <v>320</v>
      </c>
      <c r="K428" s="13">
        <v>10359</v>
      </c>
      <c r="L428" s="16">
        <f t="shared" si="36"/>
        <v>0.15037593984962405</v>
      </c>
      <c r="M428" s="16">
        <f t="shared" si="37"/>
        <v>0.21052631578947367</v>
      </c>
      <c r="N428" s="17">
        <f t="shared" si="38"/>
        <v>7.8348684210526311</v>
      </c>
      <c r="O428" s="17">
        <f t="shared" si="39"/>
        <v>37.215625000000003</v>
      </c>
      <c r="P428" s="16">
        <f t="shared" si="40"/>
        <v>2.0607371517563591</v>
      </c>
      <c r="Q428" s="16">
        <f t="shared" si="41"/>
        <v>0.86984633470484507</v>
      </c>
      <c r="R428" s="2" t="s">
        <v>878</v>
      </c>
      <c r="S428" s="21" t="s">
        <v>35</v>
      </c>
      <c r="T428" s="21" t="s">
        <v>45</v>
      </c>
      <c r="U428" s="8">
        <v>11909</v>
      </c>
      <c r="V428" s="11">
        <v>5</v>
      </c>
      <c r="W428" t="str">
        <f>IF(Table1[[#This Row],[Satisfaction Rating]]&lt;2, "Low", IF(Table1[[#This Row],[Satisfaction Rating]]&lt;4, "Medium", "High"))</f>
        <v>High</v>
      </c>
    </row>
    <row r="429" spans="1:23" ht="13" x14ac:dyDescent="0.15">
      <c r="A429" s="2" t="s">
        <v>879</v>
      </c>
      <c r="B429" s="23">
        <v>45417.772974537038</v>
      </c>
      <c r="C429" s="23">
        <v>45488.369699074072</v>
      </c>
      <c r="D429" s="23" t="str">
        <f>IF(Table1[[#This Row],[Duration of Campaign]]=0, "Ongoing","Completed")</f>
        <v>Completed</v>
      </c>
      <c r="E429" s="25">
        <f>Table1[[#This Row],[End Date]]-Table1[[#This Row],[Start Date]]</f>
        <v>70.596724537033879</v>
      </c>
      <c r="F429" s="8">
        <v>8027</v>
      </c>
      <c r="G429" s="21" t="s">
        <v>37</v>
      </c>
      <c r="H429" s="11">
        <v>11224</v>
      </c>
      <c r="I429" s="11">
        <v>343</v>
      </c>
      <c r="J429" s="11">
        <v>285</v>
      </c>
      <c r="K429" s="13">
        <v>12267</v>
      </c>
      <c r="L429" s="16">
        <f t="shared" si="36"/>
        <v>3.0559515324305061E-2</v>
      </c>
      <c r="M429" s="16">
        <f t="shared" si="37"/>
        <v>0.83090379008746351</v>
      </c>
      <c r="N429" s="17">
        <f t="shared" si="38"/>
        <v>37.895043731778422</v>
      </c>
      <c r="O429" s="17">
        <f t="shared" si="39"/>
        <v>45.607017543859648</v>
      </c>
      <c r="P429" s="16">
        <f t="shared" si="40"/>
        <v>1.6192849134172169</v>
      </c>
      <c r="Q429" s="16">
        <f t="shared" si="41"/>
        <v>0.94376057855054629</v>
      </c>
      <c r="R429" s="2" t="s">
        <v>880</v>
      </c>
      <c r="S429" s="21" t="s">
        <v>21</v>
      </c>
      <c r="T429" s="21" t="s">
        <v>45</v>
      </c>
      <c r="U429" s="8">
        <v>12998</v>
      </c>
      <c r="V429" s="11">
        <v>5</v>
      </c>
      <c r="W429" t="str">
        <f>IF(Table1[[#This Row],[Satisfaction Rating]]&lt;2, "Low", IF(Table1[[#This Row],[Satisfaction Rating]]&lt;4, "Medium", "High"))</f>
        <v>High</v>
      </c>
    </row>
    <row r="430" spans="1:23" ht="13" x14ac:dyDescent="0.15">
      <c r="A430" s="2" t="s">
        <v>881</v>
      </c>
      <c r="B430" s="23">
        <v>44977.784120370372</v>
      </c>
      <c r="C430" s="23">
        <v>45312.536597222221</v>
      </c>
      <c r="D430" s="23" t="str">
        <f>IF(Table1[[#This Row],[Duration of Campaign]]=0, "Ongoing","Completed")</f>
        <v>Completed</v>
      </c>
      <c r="E430" s="25">
        <f>Table1[[#This Row],[End Date]]-Table1[[#This Row],[Start Date]]</f>
        <v>334.75247685184877</v>
      </c>
      <c r="F430" s="8">
        <v>1550</v>
      </c>
      <c r="G430" s="21" t="s">
        <v>19</v>
      </c>
      <c r="H430" s="11">
        <v>19280</v>
      </c>
      <c r="I430" s="11">
        <v>1234</v>
      </c>
      <c r="J430" s="11">
        <v>301</v>
      </c>
      <c r="K430" s="13">
        <v>9835</v>
      </c>
      <c r="L430" s="16">
        <f t="shared" si="36"/>
        <v>6.4004149377593356E-2</v>
      </c>
      <c r="M430" s="16">
        <f t="shared" si="37"/>
        <v>0.2439222042139384</v>
      </c>
      <c r="N430" s="17">
        <f t="shared" si="38"/>
        <v>6.8727714748784443</v>
      </c>
      <c r="O430" s="17">
        <f t="shared" si="39"/>
        <v>28.176079734219268</v>
      </c>
      <c r="P430" s="16">
        <f t="shared" si="40"/>
        <v>5.4716129032258065</v>
      </c>
      <c r="Q430" s="16">
        <f t="shared" si="41"/>
        <v>1.1596509845537082</v>
      </c>
      <c r="R430" s="2" t="s">
        <v>882</v>
      </c>
      <c r="S430" s="21" t="s">
        <v>16</v>
      </c>
      <c r="T430" s="21" t="s">
        <v>17</v>
      </c>
      <c r="U430" s="8">
        <v>8481</v>
      </c>
      <c r="V430" s="11">
        <v>5</v>
      </c>
      <c r="W430" t="str">
        <f>IF(Table1[[#This Row],[Satisfaction Rating]]&lt;2, "Low", IF(Table1[[#This Row],[Satisfaction Rating]]&lt;4, "Medium", "High"))</f>
        <v>High</v>
      </c>
    </row>
    <row r="431" spans="1:23" ht="13" x14ac:dyDescent="0.15">
      <c r="A431" s="2" t="s">
        <v>883</v>
      </c>
      <c r="B431" s="23">
        <v>45058.421851851854</v>
      </c>
      <c r="C431" s="23">
        <v>45610.531608796293</v>
      </c>
      <c r="D431" s="23" t="str">
        <f>IF(Table1[[#This Row],[Duration of Campaign]]=0, "Ongoing","Completed")</f>
        <v>Completed</v>
      </c>
      <c r="E431" s="25">
        <f>Table1[[#This Row],[End Date]]-Table1[[#This Row],[Start Date]]</f>
        <v>552.10975694443914</v>
      </c>
      <c r="F431" s="8">
        <v>8114</v>
      </c>
      <c r="G431" s="21" t="s">
        <v>53</v>
      </c>
      <c r="H431" s="11">
        <v>6964</v>
      </c>
      <c r="I431" s="11">
        <v>526</v>
      </c>
      <c r="J431" s="11">
        <v>208</v>
      </c>
      <c r="K431" s="13">
        <v>13836</v>
      </c>
      <c r="L431" s="16">
        <f t="shared" si="36"/>
        <v>7.5531303848363013E-2</v>
      </c>
      <c r="M431" s="16">
        <f t="shared" si="37"/>
        <v>0.39543726235741444</v>
      </c>
      <c r="N431" s="17">
        <f t="shared" si="38"/>
        <v>1.0722433460076046</v>
      </c>
      <c r="O431" s="17">
        <f t="shared" si="39"/>
        <v>2.7115384615384617</v>
      </c>
      <c r="P431" s="16">
        <f t="shared" si="40"/>
        <v>6.9509489770766583E-2</v>
      </c>
      <c r="Q431" s="16">
        <f t="shared" si="41"/>
        <v>24.531914893617021</v>
      </c>
      <c r="R431" s="2" t="s">
        <v>884</v>
      </c>
      <c r="S431" s="21" t="s">
        <v>16</v>
      </c>
      <c r="T431" s="21" t="s">
        <v>27</v>
      </c>
      <c r="U431" s="8">
        <v>564</v>
      </c>
      <c r="V431" s="11">
        <v>2</v>
      </c>
      <c r="W431" t="str">
        <f>IF(Table1[[#This Row],[Satisfaction Rating]]&lt;2, "Low", IF(Table1[[#This Row],[Satisfaction Rating]]&lt;4, "Medium", "High"))</f>
        <v>Medium</v>
      </c>
    </row>
    <row r="432" spans="1:23" ht="13" x14ac:dyDescent="0.15">
      <c r="A432" s="2" t="s">
        <v>885</v>
      </c>
      <c r="B432" s="23">
        <v>44947.217245370368</v>
      </c>
      <c r="C432" s="23">
        <v>45580.755127314813</v>
      </c>
      <c r="D432" s="23" t="str">
        <f>IF(Table1[[#This Row],[Duration of Campaign]]=0, "Ongoing","Completed")</f>
        <v>Completed</v>
      </c>
      <c r="E432" s="25">
        <f>Table1[[#This Row],[End Date]]-Table1[[#This Row],[Start Date]]</f>
        <v>633.53788194444496</v>
      </c>
      <c r="F432" s="8">
        <v>3919</v>
      </c>
      <c r="G432" s="21" t="s">
        <v>19</v>
      </c>
      <c r="H432" s="11">
        <v>16035</v>
      </c>
      <c r="I432" s="11">
        <v>925</v>
      </c>
      <c r="J432" s="11">
        <v>97</v>
      </c>
      <c r="K432" s="13">
        <v>14747</v>
      </c>
      <c r="L432" s="16">
        <f t="shared" si="36"/>
        <v>5.7686311194262548E-2</v>
      </c>
      <c r="M432" s="16">
        <f t="shared" si="37"/>
        <v>0.10486486486486486</v>
      </c>
      <c r="N432" s="17">
        <f t="shared" si="38"/>
        <v>2.4367567567567567</v>
      </c>
      <c r="O432" s="17">
        <f t="shared" si="39"/>
        <v>23.237113402061855</v>
      </c>
      <c r="P432" s="16">
        <f t="shared" si="40"/>
        <v>0.57514672110232201</v>
      </c>
      <c r="Q432" s="16">
        <f t="shared" si="41"/>
        <v>6.5425909494232473</v>
      </c>
      <c r="R432" s="2" t="s">
        <v>886</v>
      </c>
      <c r="S432" s="21" t="s">
        <v>24</v>
      </c>
      <c r="T432" s="21" t="s">
        <v>17</v>
      </c>
      <c r="U432" s="8">
        <v>2254</v>
      </c>
      <c r="V432" s="11">
        <v>3</v>
      </c>
      <c r="W432" t="str">
        <f>IF(Table1[[#This Row],[Satisfaction Rating]]&lt;2, "Low", IF(Table1[[#This Row],[Satisfaction Rating]]&lt;4, "Medium", "High"))</f>
        <v>Medium</v>
      </c>
    </row>
    <row r="433" spans="1:23" ht="13" x14ac:dyDescent="0.15">
      <c r="A433" s="2" t="s">
        <v>887</v>
      </c>
      <c r="B433" s="23">
        <v>45395.530925925923</v>
      </c>
      <c r="C433" s="23">
        <v>45395.530925925923</v>
      </c>
      <c r="D433" s="23" t="str">
        <f>IF(Table1[[#This Row],[Duration of Campaign]]=0, "Ongoing","Completed")</f>
        <v>Ongoing</v>
      </c>
      <c r="E433" s="25">
        <f>Table1[[#This Row],[End Date]]-Table1[[#This Row],[Start Date]]</f>
        <v>0</v>
      </c>
      <c r="F433" s="8">
        <v>8655</v>
      </c>
      <c r="G433" s="21" t="s">
        <v>53</v>
      </c>
      <c r="H433" s="11">
        <v>4770</v>
      </c>
      <c r="I433" s="11">
        <v>1268</v>
      </c>
      <c r="J433" s="11">
        <v>142</v>
      </c>
      <c r="K433" s="13">
        <v>774</v>
      </c>
      <c r="L433" s="16">
        <f t="shared" si="36"/>
        <v>0.2658280922431866</v>
      </c>
      <c r="M433" s="16">
        <f t="shared" si="37"/>
        <v>0.11198738170347003</v>
      </c>
      <c r="N433" s="17">
        <f t="shared" si="38"/>
        <v>8.7168769716088335</v>
      </c>
      <c r="O433" s="17">
        <f t="shared" si="39"/>
        <v>77.838028169014081</v>
      </c>
      <c r="P433" s="16">
        <f t="shared" si="40"/>
        <v>1.2770652801848643</v>
      </c>
      <c r="Q433" s="16">
        <f t="shared" si="41"/>
        <v>7.0026237220664075E-2</v>
      </c>
      <c r="R433" s="2" t="s">
        <v>888</v>
      </c>
      <c r="S433" s="21" t="s">
        <v>16</v>
      </c>
      <c r="T433" s="21" t="s">
        <v>27</v>
      </c>
      <c r="U433" s="8">
        <v>11053</v>
      </c>
      <c r="V433" s="11">
        <v>3</v>
      </c>
      <c r="W433" t="str">
        <f>IF(Table1[[#This Row],[Satisfaction Rating]]&lt;2, "Low", IF(Table1[[#This Row],[Satisfaction Rating]]&lt;4, "Medium", "High"))</f>
        <v>Medium</v>
      </c>
    </row>
    <row r="434" spans="1:23" ht="13" x14ac:dyDescent="0.15">
      <c r="A434" s="2" t="s">
        <v>889</v>
      </c>
      <c r="B434" s="23">
        <v>45281.002812500003</v>
      </c>
      <c r="C434" s="23">
        <v>45333.505196759259</v>
      </c>
      <c r="D434" s="23" t="str">
        <f>IF(Table1[[#This Row],[Duration of Campaign]]=0, "Ongoing","Completed")</f>
        <v>Completed</v>
      </c>
      <c r="E434" s="25">
        <f>Table1[[#This Row],[End Date]]-Table1[[#This Row],[Start Date]]</f>
        <v>52.50238425925636</v>
      </c>
      <c r="F434" s="8">
        <v>7806</v>
      </c>
      <c r="G434" s="21" t="s">
        <v>37</v>
      </c>
      <c r="H434" s="11">
        <v>4961</v>
      </c>
      <c r="I434" s="11">
        <v>1295</v>
      </c>
      <c r="J434" s="11">
        <v>294</v>
      </c>
      <c r="K434" s="13">
        <v>14583</v>
      </c>
      <c r="L434" s="16">
        <f t="shared" si="36"/>
        <v>0.26103608143519452</v>
      </c>
      <c r="M434" s="16">
        <f t="shared" si="37"/>
        <v>0.22702702702702704</v>
      </c>
      <c r="N434" s="17">
        <f t="shared" si="38"/>
        <v>5.3111969111969115</v>
      </c>
      <c r="O434" s="17">
        <f t="shared" si="39"/>
        <v>23.394557823129251</v>
      </c>
      <c r="P434" s="16">
        <f t="shared" si="40"/>
        <v>0.88111708941839606</v>
      </c>
      <c r="Q434" s="16">
        <f t="shared" si="41"/>
        <v>2.1202384414073858</v>
      </c>
      <c r="R434" s="2" t="s">
        <v>890</v>
      </c>
      <c r="S434" s="21" t="s">
        <v>24</v>
      </c>
      <c r="T434" s="21" t="s">
        <v>45</v>
      </c>
      <c r="U434" s="8">
        <v>6878</v>
      </c>
      <c r="V434" s="11">
        <v>1</v>
      </c>
      <c r="W434" t="str">
        <f>IF(Table1[[#This Row],[Satisfaction Rating]]&lt;2, "Low", IF(Table1[[#This Row],[Satisfaction Rating]]&lt;4, "Medium", "High"))</f>
        <v>Low</v>
      </c>
    </row>
    <row r="435" spans="1:23" ht="13" x14ac:dyDescent="0.15">
      <c r="A435" s="2" t="s">
        <v>891</v>
      </c>
      <c r="B435" s="23">
        <v>45315.280289351853</v>
      </c>
      <c r="C435" s="23">
        <v>45315.280289351853</v>
      </c>
      <c r="D435" s="23" t="str">
        <f>IF(Table1[[#This Row],[Duration of Campaign]]=0, "Ongoing","Completed")</f>
        <v>Ongoing</v>
      </c>
      <c r="E435" s="25">
        <f>Table1[[#This Row],[End Date]]-Table1[[#This Row],[Start Date]]</f>
        <v>0</v>
      </c>
      <c r="F435" s="8">
        <v>7451</v>
      </c>
      <c r="G435" s="21" t="s">
        <v>19</v>
      </c>
      <c r="H435" s="11">
        <v>7670</v>
      </c>
      <c r="I435" s="11">
        <v>1880</v>
      </c>
      <c r="J435" s="11">
        <v>118</v>
      </c>
      <c r="K435" s="13">
        <v>7190</v>
      </c>
      <c r="L435" s="16">
        <f t="shared" si="36"/>
        <v>0.24511082138200782</v>
      </c>
      <c r="M435" s="16">
        <f t="shared" si="37"/>
        <v>6.2765957446808504E-2</v>
      </c>
      <c r="N435" s="17">
        <f t="shared" si="38"/>
        <v>8.4095744680851059</v>
      </c>
      <c r="O435" s="17">
        <f t="shared" si="39"/>
        <v>133.98305084745763</v>
      </c>
      <c r="P435" s="16">
        <f t="shared" si="40"/>
        <v>2.1218628372030599</v>
      </c>
      <c r="Q435" s="16">
        <f t="shared" si="41"/>
        <v>0.45477545857052498</v>
      </c>
      <c r="R435" s="2" t="s">
        <v>892</v>
      </c>
      <c r="S435" s="21" t="s">
        <v>21</v>
      </c>
      <c r="T435" s="21" t="s">
        <v>17</v>
      </c>
      <c r="U435" s="8">
        <v>15810</v>
      </c>
      <c r="V435" s="11">
        <v>5</v>
      </c>
      <c r="W435" t="str">
        <f>IF(Table1[[#This Row],[Satisfaction Rating]]&lt;2, "Low", IF(Table1[[#This Row],[Satisfaction Rating]]&lt;4, "Medium", "High"))</f>
        <v>High</v>
      </c>
    </row>
    <row r="436" spans="1:23" ht="13" x14ac:dyDescent="0.15">
      <c r="A436" s="2" t="s">
        <v>893</v>
      </c>
      <c r="B436" s="23">
        <v>45144.603206018517</v>
      </c>
      <c r="C436" s="23">
        <v>45578.000416666669</v>
      </c>
      <c r="D436" s="23" t="str">
        <f>IF(Table1[[#This Row],[Duration of Campaign]]=0, "Ongoing","Completed")</f>
        <v>Completed</v>
      </c>
      <c r="E436" s="25">
        <f>Table1[[#This Row],[End Date]]-Table1[[#This Row],[Start Date]]</f>
        <v>433.3972106481524</v>
      </c>
      <c r="F436" s="8">
        <v>6639</v>
      </c>
      <c r="G436" s="21" t="s">
        <v>14</v>
      </c>
      <c r="H436" s="11">
        <v>6989</v>
      </c>
      <c r="I436" s="11">
        <v>311</v>
      </c>
      <c r="J436" s="11">
        <v>73</v>
      </c>
      <c r="K436" s="13">
        <v>11310</v>
      </c>
      <c r="L436" s="16">
        <f t="shared" si="36"/>
        <v>4.4498497639147233E-2</v>
      </c>
      <c r="M436" s="16">
        <f t="shared" si="37"/>
        <v>0.2347266881028939</v>
      </c>
      <c r="N436" s="17">
        <f t="shared" si="38"/>
        <v>7.321543408360129</v>
      </c>
      <c r="O436" s="17">
        <f t="shared" si="39"/>
        <v>31.19178082191781</v>
      </c>
      <c r="P436" s="16">
        <f t="shared" si="40"/>
        <v>0.34297333935833713</v>
      </c>
      <c r="Q436" s="16">
        <f t="shared" si="41"/>
        <v>4.9670619235836631</v>
      </c>
      <c r="R436" s="2" t="s">
        <v>894</v>
      </c>
      <c r="S436" s="21" t="s">
        <v>21</v>
      </c>
      <c r="T436" s="21" t="s">
        <v>27</v>
      </c>
      <c r="U436" s="8">
        <v>2277</v>
      </c>
      <c r="V436" s="11">
        <v>1</v>
      </c>
      <c r="W436" t="str">
        <f>IF(Table1[[#This Row],[Satisfaction Rating]]&lt;2, "Low", IF(Table1[[#This Row],[Satisfaction Rating]]&lt;4, "Medium", "High"))</f>
        <v>Low</v>
      </c>
    </row>
    <row r="437" spans="1:23" ht="13" x14ac:dyDescent="0.15">
      <c r="A437" s="2" t="s">
        <v>895</v>
      </c>
      <c r="B437" s="23">
        <v>45455.526990740742</v>
      </c>
      <c r="C437" s="23">
        <v>45455.526990740742</v>
      </c>
      <c r="D437" s="23" t="str">
        <f>IF(Table1[[#This Row],[Duration of Campaign]]=0, "Ongoing","Completed")</f>
        <v>Ongoing</v>
      </c>
      <c r="E437" s="25">
        <f>Table1[[#This Row],[End Date]]-Table1[[#This Row],[Start Date]]</f>
        <v>0</v>
      </c>
      <c r="F437" s="8">
        <v>4870</v>
      </c>
      <c r="G437" s="21" t="s">
        <v>37</v>
      </c>
      <c r="H437" s="11">
        <v>7372</v>
      </c>
      <c r="I437" s="11">
        <v>892</v>
      </c>
      <c r="J437" s="11">
        <v>360</v>
      </c>
      <c r="K437" s="13">
        <v>7410</v>
      </c>
      <c r="L437" s="16">
        <f t="shared" si="36"/>
        <v>0.12099837221920781</v>
      </c>
      <c r="M437" s="16">
        <f t="shared" si="37"/>
        <v>0.40358744394618834</v>
      </c>
      <c r="N437" s="17">
        <f t="shared" si="38"/>
        <v>12.414798206278027</v>
      </c>
      <c r="O437" s="17">
        <f t="shared" si="39"/>
        <v>30.761111111111113</v>
      </c>
      <c r="P437" s="16">
        <f t="shared" si="40"/>
        <v>2.2739219712525669</v>
      </c>
      <c r="Q437" s="16">
        <f t="shared" si="41"/>
        <v>0.66913491060140873</v>
      </c>
      <c r="R437" s="2" t="s">
        <v>896</v>
      </c>
      <c r="S437" s="21" t="s">
        <v>21</v>
      </c>
      <c r="T437" s="21" t="s">
        <v>17</v>
      </c>
      <c r="U437" s="8">
        <v>11074</v>
      </c>
      <c r="V437" s="11">
        <v>2</v>
      </c>
      <c r="W437" t="str">
        <f>IF(Table1[[#This Row],[Satisfaction Rating]]&lt;2, "Low", IF(Table1[[#This Row],[Satisfaction Rating]]&lt;4, "Medium", "High"))</f>
        <v>Medium</v>
      </c>
    </row>
    <row r="438" spans="1:23" ht="13" x14ac:dyDescent="0.15">
      <c r="A438" s="2" t="s">
        <v>897</v>
      </c>
      <c r="B438" s="23">
        <v>45370.427118055559</v>
      </c>
      <c r="C438" s="23">
        <v>45370.427118055559</v>
      </c>
      <c r="D438" s="23" t="str">
        <f>IF(Table1[[#This Row],[Duration of Campaign]]=0, "Ongoing","Completed")</f>
        <v>Ongoing</v>
      </c>
      <c r="E438" s="25">
        <f>Table1[[#This Row],[End Date]]-Table1[[#This Row],[Start Date]]</f>
        <v>0</v>
      </c>
      <c r="F438" s="8">
        <v>1521</v>
      </c>
      <c r="G438" s="21" t="s">
        <v>53</v>
      </c>
      <c r="H438" s="11">
        <v>15203</v>
      </c>
      <c r="I438" s="11">
        <v>603</v>
      </c>
      <c r="J438" s="11">
        <v>255</v>
      </c>
      <c r="K438" s="13">
        <v>2854</v>
      </c>
      <c r="L438" s="16">
        <f t="shared" si="36"/>
        <v>3.9663224363612443E-2</v>
      </c>
      <c r="M438" s="16">
        <f t="shared" si="37"/>
        <v>0.4228855721393035</v>
      </c>
      <c r="N438" s="17">
        <f t="shared" si="38"/>
        <v>25.384742951907132</v>
      </c>
      <c r="O438" s="17">
        <f t="shared" si="39"/>
        <v>60.02745098039216</v>
      </c>
      <c r="P438" s="16">
        <f t="shared" si="40"/>
        <v>10.063773833004602</v>
      </c>
      <c r="Q438" s="16">
        <f t="shared" si="41"/>
        <v>0.18645064349643953</v>
      </c>
      <c r="R438" s="2" t="s">
        <v>898</v>
      </c>
      <c r="S438" s="21" t="s">
        <v>30</v>
      </c>
      <c r="T438" s="21" t="s">
        <v>45</v>
      </c>
      <c r="U438" s="8">
        <v>15307</v>
      </c>
      <c r="V438" s="11">
        <v>2</v>
      </c>
      <c r="W438" t="str">
        <f>IF(Table1[[#This Row],[Satisfaction Rating]]&lt;2, "Low", IF(Table1[[#This Row],[Satisfaction Rating]]&lt;4, "Medium", "High"))</f>
        <v>Medium</v>
      </c>
    </row>
    <row r="439" spans="1:23" ht="13" x14ac:dyDescent="0.15">
      <c r="A439" s="2" t="s">
        <v>899</v>
      </c>
      <c r="B439" s="23">
        <v>45250.578912037039</v>
      </c>
      <c r="C439" s="23">
        <v>45482.640393518515</v>
      </c>
      <c r="D439" s="23" t="str">
        <f>IF(Table1[[#This Row],[Duration of Campaign]]=0, "Ongoing","Completed")</f>
        <v>Completed</v>
      </c>
      <c r="E439" s="25">
        <f>Table1[[#This Row],[End Date]]-Table1[[#This Row],[Start Date]]</f>
        <v>232.06148148147622</v>
      </c>
      <c r="F439" s="8">
        <v>1306</v>
      </c>
      <c r="G439" s="21" t="s">
        <v>14</v>
      </c>
      <c r="H439" s="11">
        <v>7355</v>
      </c>
      <c r="I439" s="11">
        <v>1272</v>
      </c>
      <c r="J439" s="11">
        <v>26</v>
      </c>
      <c r="K439" s="13">
        <v>3853</v>
      </c>
      <c r="L439" s="16">
        <f t="shared" si="36"/>
        <v>0.17294357579877634</v>
      </c>
      <c r="M439" s="16">
        <f t="shared" si="37"/>
        <v>2.0440251572327043E-2</v>
      </c>
      <c r="N439" s="17">
        <f t="shared" si="38"/>
        <v>2.0534591194968552</v>
      </c>
      <c r="O439" s="17">
        <f t="shared" si="39"/>
        <v>100.46153846153847</v>
      </c>
      <c r="P439" s="16">
        <f t="shared" si="40"/>
        <v>2</v>
      </c>
      <c r="Q439" s="16">
        <f t="shared" si="41"/>
        <v>1.4751148545176109</v>
      </c>
      <c r="R439" s="2" t="s">
        <v>900</v>
      </c>
      <c r="S439" s="21" t="s">
        <v>21</v>
      </c>
      <c r="T439" s="21" t="s">
        <v>17</v>
      </c>
      <c r="U439" s="8">
        <v>2612</v>
      </c>
      <c r="V439" s="11">
        <v>2</v>
      </c>
      <c r="W439" t="str">
        <f>IF(Table1[[#This Row],[Satisfaction Rating]]&lt;2, "Low", IF(Table1[[#This Row],[Satisfaction Rating]]&lt;4, "Medium", "High"))</f>
        <v>Medium</v>
      </c>
    </row>
    <row r="440" spans="1:23" ht="13" x14ac:dyDescent="0.15">
      <c r="A440" s="2" t="s">
        <v>901</v>
      </c>
      <c r="B440" s="23">
        <v>45555.474537037036</v>
      </c>
      <c r="C440" s="23">
        <v>45555.474537037036</v>
      </c>
      <c r="D440" s="23" t="str">
        <f>IF(Table1[[#This Row],[Duration of Campaign]]=0, "Ongoing","Completed")</f>
        <v>Ongoing</v>
      </c>
      <c r="E440" s="25">
        <f>Table1[[#This Row],[End Date]]-Table1[[#This Row],[Start Date]]</f>
        <v>0</v>
      </c>
      <c r="F440" s="8">
        <v>8706</v>
      </c>
      <c r="G440" s="21" t="s">
        <v>37</v>
      </c>
      <c r="H440" s="11">
        <v>19396</v>
      </c>
      <c r="I440" s="11">
        <v>1444</v>
      </c>
      <c r="J440" s="11">
        <v>372</v>
      </c>
      <c r="K440" s="13">
        <v>4445</v>
      </c>
      <c r="L440" s="16">
        <f t="shared" si="36"/>
        <v>7.4448339863889462E-2</v>
      </c>
      <c r="M440" s="16">
        <f t="shared" si="37"/>
        <v>0.25761772853185594</v>
      </c>
      <c r="N440" s="17">
        <f t="shared" si="38"/>
        <v>7.7583102493074794</v>
      </c>
      <c r="O440" s="17">
        <f t="shared" si="39"/>
        <v>30.115591397849464</v>
      </c>
      <c r="P440" s="16">
        <f t="shared" si="40"/>
        <v>1.2868136917068689</v>
      </c>
      <c r="Q440" s="16">
        <f t="shared" si="41"/>
        <v>0.39676872266357227</v>
      </c>
      <c r="R440" s="2" t="s">
        <v>902</v>
      </c>
      <c r="S440" s="21" t="s">
        <v>35</v>
      </c>
      <c r="T440" s="21" t="s">
        <v>17</v>
      </c>
      <c r="U440" s="8">
        <v>11203</v>
      </c>
      <c r="V440" s="11">
        <v>2</v>
      </c>
      <c r="W440" t="str">
        <f>IF(Table1[[#This Row],[Satisfaction Rating]]&lt;2, "Low", IF(Table1[[#This Row],[Satisfaction Rating]]&lt;4, "Medium", "High"))</f>
        <v>Medium</v>
      </c>
    </row>
    <row r="441" spans="1:23" ht="13" x14ac:dyDescent="0.15">
      <c r="A441" s="2" t="s">
        <v>903</v>
      </c>
      <c r="B441" s="23">
        <v>45326.044502314813</v>
      </c>
      <c r="C441" s="23">
        <v>45391.311921296299</v>
      </c>
      <c r="D441" s="23" t="str">
        <f>IF(Table1[[#This Row],[Duration of Campaign]]=0, "Ongoing","Completed")</f>
        <v>Completed</v>
      </c>
      <c r="E441" s="25">
        <f>Table1[[#This Row],[End Date]]-Table1[[#This Row],[Start Date]]</f>
        <v>65.267418981486117</v>
      </c>
      <c r="F441" s="8">
        <v>7073</v>
      </c>
      <c r="G441" s="21" t="s">
        <v>53</v>
      </c>
      <c r="H441" s="11">
        <v>8727</v>
      </c>
      <c r="I441" s="11">
        <v>1663</v>
      </c>
      <c r="J441" s="11">
        <v>40</v>
      </c>
      <c r="K441" s="13">
        <v>7968</v>
      </c>
      <c r="L441" s="16">
        <f t="shared" si="36"/>
        <v>0.19055803827202933</v>
      </c>
      <c r="M441" s="16">
        <f t="shared" si="37"/>
        <v>2.4052916416115455E-2</v>
      </c>
      <c r="N441" s="17">
        <f t="shared" si="38"/>
        <v>9.1076368009621174</v>
      </c>
      <c r="O441" s="17">
        <f t="shared" si="39"/>
        <v>378.65</v>
      </c>
      <c r="P441" s="16">
        <f t="shared" si="40"/>
        <v>2.1413827230312457</v>
      </c>
      <c r="Q441" s="16">
        <f t="shared" si="41"/>
        <v>0.52607949293542855</v>
      </c>
      <c r="R441" s="2" t="s">
        <v>904</v>
      </c>
      <c r="S441" s="21" t="s">
        <v>35</v>
      </c>
      <c r="T441" s="21" t="s">
        <v>27</v>
      </c>
      <c r="U441" s="8">
        <v>15146</v>
      </c>
      <c r="V441" s="11">
        <v>5</v>
      </c>
      <c r="W441" t="str">
        <f>IF(Table1[[#This Row],[Satisfaction Rating]]&lt;2, "Low", IF(Table1[[#This Row],[Satisfaction Rating]]&lt;4, "Medium", "High"))</f>
        <v>High</v>
      </c>
    </row>
    <row r="442" spans="1:23" ht="13" x14ac:dyDescent="0.15">
      <c r="A442" s="2" t="s">
        <v>905</v>
      </c>
      <c r="B442" s="23">
        <v>45513.266747685186</v>
      </c>
      <c r="C442" s="23">
        <v>45513.266747685186</v>
      </c>
      <c r="D442" s="23" t="str">
        <f>IF(Table1[[#This Row],[Duration of Campaign]]=0, "Ongoing","Completed")</f>
        <v>Ongoing</v>
      </c>
      <c r="E442" s="25">
        <f>Table1[[#This Row],[End Date]]-Table1[[#This Row],[Start Date]]</f>
        <v>0</v>
      </c>
      <c r="F442" s="8">
        <v>4673</v>
      </c>
      <c r="G442" s="21" t="s">
        <v>53</v>
      </c>
      <c r="H442" s="11">
        <v>19276</v>
      </c>
      <c r="I442" s="11">
        <v>1017</v>
      </c>
      <c r="J442" s="11">
        <v>196</v>
      </c>
      <c r="K442" s="13">
        <v>655</v>
      </c>
      <c r="L442" s="16">
        <f t="shared" si="36"/>
        <v>5.2759908694749946E-2</v>
      </c>
      <c r="M442" s="16">
        <f t="shared" si="37"/>
        <v>0.1927236971484759</v>
      </c>
      <c r="N442" s="17">
        <f t="shared" si="38"/>
        <v>1.2713864306784661</v>
      </c>
      <c r="O442" s="17">
        <f t="shared" si="39"/>
        <v>6.5969387755102042</v>
      </c>
      <c r="P442" s="16">
        <f t="shared" si="40"/>
        <v>0.27669591268992083</v>
      </c>
      <c r="Q442" s="16">
        <f t="shared" si="41"/>
        <v>0.50657385924207265</v>
      </c>
      <c r="R442" s="2" t="s">
        <v>906</v>
      </c>
      <c r="S442" s="21" t="s">
        <v>21</v>
      </c>
      <c r="T442" s="21" t="s">
        <v>45</v>
      </c>
      <c r="U442" s="8">
        <v>1293</v>
      </c>
      <c r="V442" s="11">
        <v>1</v>
      </c>
      <c r="W442" t="str">
        <f>IF(Table1[[#This Row],[Satisfaction Rating]]&lt;2, "Low", IF(Table1[[#This Row],[Satisfaction Rating]]&lt;4, "Medium", "High"))</f>
        <v>Low</v>
      </c>
    </row>
    <row r="443" spans="1:23" ht="13" x14ac:dyDescent="0.15">
      <c r="A443" s="2" t="s">
        <v>907</v>
      </c>
      <c r="B443" s="23">
        <v>45375.504988425928</v>
      </c>
      <c r="C443" s="23">
        <v>45504.703877314816</v>
      </c>
      <c r="D443" s="23" t="str">
        <f>IF(Table1[[#This Row],[Duration of Campaign]]=0, "Ongoing","Completed")</f>
        <v>Completed</v>
      </c>
      <c r="E443" s="25">
        <f>Table1[[#This Row],[End Date]]-Table1[[#This Row],[Start Date]]</f>
        <v>129.19888888888818</v>
      </c>
      <c r="F443" s="8">
        <v>4653</v>
      </c>
      <c r="G443" s="21" t="s">
        <v>53</v>
      </c>
      <c r="H443" s="11">
        <v>16758</v>
      </c>
      <c r="I443" s="11">
        <v>996</v>
      </c>
      <c r="J443" s="11">
        <v>262</v>
      </c>
      <c r="K443" s="13">
        <v>1275</v>
      </c>
      <c r="L443" s="16">
        <f t="shared" si="36"/>
        <v>5.9434300035803793E-2</v>
      </c>
      <c r="M443" s="16">
        <f t="shared" si="37"/>
        <v>0.26305220883534136</v>
      </c>
      <c r="N443" s="17">
        <f t="shared" si="38"/>
        <v>1.072289156626506</v>
      </c>
      <c r="O443" s="17">
        <f t="shared" si="39"/>
        <v>4.0763358778625953</v>
      </c>
      <c r="P443" s="16">
        <f t="shared" si="40"/>
        <v>0.22952933591231464</v>
      </c>
      <c r="Q443" s="16">
        <f t="shared" si="41"/>
        <v>1.1938202247191012</v>
      </c>
      <c r="R443" s="2" t="s">
        <v>908</v>
      </c>
      <c r="S443" s="21" t="s">
        <v>35</v>
      </c>
      <c r="T443" s="21" t="s">
        <v>27</v>
      </c>
      <c r="U443" s="8">
        <v>1068</v>
      </c>
      <c r="V443" s="11">
        <v>4</v>
      </c>
      <c r="W443" t="str">
        <f>IF(Table1[[#This Row],[Satisfaction Rating]]&lt;2, "Low", IF(Table1[[#This Row],[Satisfaction Rating]]&lt;4, "Medium", "High"))</f>
        <v>High</v>
      </c>
    </row>
    <row r="444" spans="1:23" ht="13" x14ac:dyDescent="0.15">
      <c r="A444" s="2" t="s">
        <v>909</v>
      </c>
      <c r="B444" s="23">
        <v>45139.221643518518</v>
      </c>
      <c r="C444" s="23">
        <v>45241.391967592594</v>
      </c>
      <c r="D444" s="23" t="str">
        <f>IF(Table1[[#This Row],[Duration of Campaign]]=0, "Ongoing","Completed")</f>
        <v>Completed</v>
      </c>
      <c r="E444" s="25">
        <f>Table1[[#This Row],[End Date]]-Table1[[#This Row],[Start Date]]</f>
        <v>102.17032407407532</v>
      </c>
      <c r="F444" s="8">
        <v>6620</v>
      </c>
      <c r="G444" s="21" t="s">
        <v>37</v>
      </c>
      <c r="H444" s="11">
        <v>15455</v>
      </c>
      <c r="I444" s="11">
        <v>982</v>
      </c>
      <c r="J444" s="11">
        <v>76</v>
      </c>
      <c r="K444" s="13">
        <v>2345</v>
      </c>
      <c r="L444" s="16">
        <f t="shared" si="36"/>
        <v>6.3539307667421552E-2</v>
      </c>
      <c r="M444" s="16">
        <f t="shared" si="37"/>
        <v>7.7393075356415472E-2</v>
      </c>
      <c r="N444" s="17">
        <f t="shared" si="38"/>
        <v>3.718940936863544</v>
      </c>
      <c r="O444" s="17">
        <f t="shared" si="39"/>
        <v>48.05263157894737</v>
      </c>
      <c r="P444" s="16">
        <f t="shared" si="40"/>
        <v>0.55166163141993962</v>
      </c>
      <c r="Q444" s="16">
        <f t="shared" si="41"/>
        <v>0.64211391018619934</v>
      </c>
      <c r="R444" s="2" t="s">
        <v>910</v>
      </c>
      <c r="S444" s="21" t="s">
        <v>16</v>
      </c>
      <c r="T444" s="21" t="s">
        <v>17</v>
      </c>
      <c r="U444" s="8">
        <v>3652</v>
      </c>
      <c r="V444" s="11">
        <v>2</v>
      </c>
      <c r="W444" t="str">
        <f>IF(Table1[[#This Row],[Satisfaction Rating]]&lt;2, "Low", IF(Table1[[#This Row],[Satisfaction Rating]]&lt;4, "Medium", "High"))</f>
        <v>Medium</v>
      </c>
    </row>
    <row r="445" spans="1:23" ht="13" x14ac:dyDescent="0.15">
      <c r="A445" s="2" t="s">
        <v>911</v>
      </c>
      <c r="B445" s="23">
        <v>44961.087476851855</v>
      </c>
      <c r="C445" s="23">
        <v>45426.29859953704</v>
      </c>
      <c r="D445" s="23" t="str">
        <f>IF(Table1[[#This Row],[Duration of Campaign]]=0, "Ongoing","Completed")</f>
        <v>Completed</v>
      </c>
      <c r="E445" s="25">
        <f>Table1[[#This Row],[End Date]]-Table1[[#This Row],[Start Date]]</f>
        <v>465.21112268518482</v>
      </c>
      <c r="F445" s="8">
        <v>1105</v>
      </c>
      <c r="G445" s="21" t="s">
        <v>19</v>
      </c>
      <c r="H445" s="11">
        <v>10272</v>
      </c>
      <c r="I445" s="11">
        <v>1740</v>
      </c>
      <c r="J445" s="11">
        <v>33</v>
      </c>
      <c r="K445" s="13">
        <v>13700</v>
      </c>
      <c r="L445" s="16">
        <f t="shared" si="36"/>
        <v>0.16939252336448599</v>
      </c>
      <c r="M445" s="16">
        <f t="shared" si="37"/>
        <v>1.896551724137931E-2</v>
      </c>
      <c r="N445" s="17">
        <f t="shared" si="38"/>
        <v>8.1919540229885062</v>
      </c>
      <c r="O445" s="17">
        <f t="shared" si="39"/>
        <v>431.93939393939394</v>
      </c>
      <c r="P445" s="16">
        <f t="shared" si="40"/>
        <v>12.899547511312218</v>
      </c>
      <c r="Q445" s="16">
        <f t="shared" si="41"/>
        <v>0.96113371685141014</v>
      </c>
      <c r="R445" s="2" t="s">
        <v>912</v>
      </c>
      <c r="S445" s="21" t="s">
        <v>24</v>
      </c>
      <c r="T445" s="21" t="s">
        <v>45</v>
      </c>
      <c r="U445" s="8">
        <v>14254</v>
      </c>
      <c r="V445" s="11">
        <v>5</v>
      </c>
      <c r="W445" t="str">
        <f>IF(Table1[[#This Row],[Satisfaction Rating]]&lt;2, "Low", IF(Table1[[#This Row],[Satisfaction Rating]]&lt;4, "Medium", "High"))</f>
        <v>High</v>
      </c>
    </row>
    <row r="446" spans="1:23" ht="13" x14ac:dyDescent="0.15">
      <c r="A446" s="2" t="s">
        <v>913</v>
      </c>
      <c r="B446" s="23">
        <v>45532.435682870368</v>
      </c>
      <c r="C446" s="23">
        <v>45608.937557870369</v>
      </c>
      <c r="D446" s="23" t="str">
        <f>IF(Table1[[#This Row],[Duration of Campaign]]=0, "Ongoing","Completed")</f>
        <v>Completed</v>
      </c>
      <c r="E446" s="25">
        <f>Table1[[#This Row],[End Date]]-Table1[[#This Row],[Start Date]]</f>
        <v>76.501875000001746</v>
      </c>
      <c r="F446" s="8">
        <v>1155</v>
      </c>
      <c r="G446" s="21" t="s">
        <v>37</v>
      </c>
      <c r="H446" s="11">
        <v>6308</v>
      </c>
      <c r="I446" s="11">
        <v>930</v>
      </c>
      <c r="J446" s="11">
        <v>234</v>
      </c>
      <c r="K446" s="13">
        <v>7894</v>
      </c>
      <c r="L446" s="16">
        <f t="shared" si="36"/>
        <v>0.14743183259353201</v>
      </c>
      <c r="M446" s="16">
        <f t="shared" si="37"/>
        <v>0.25161290322580643</v>
      </c>
      <c r="N446" s="17">
        <f t="shared" si="38"/>
        <v>12.316129032258065</v>
      </c>
      <c r="O446" s="17">
        <f t="shared" si="39"/>
        <v>48.948717948717949</v>
      </c>
      <c r="P446" s="16">
        <f t="shared" si="40"/>
        <v>9.9168831168831169</v>
      </c>
      <c r="Q446" s="16">
        <f t="shared" si="41"/>
        <v>0.68919154880391131</v>
      </c>
      <c r="R446" s="2" t="s">
        <v>914</v>
      </c>
      <c r="S446" s="21" t="s">
        <v>30</v>
      </c>
      <c r="T446" s="21" t="s">
        <v>45</v>
      </c>
      <c r="U446" s="8">
        <v>11454</v>
      </c>
      <c r="V446" s="11">
        <v>5</v>
      </c>
      <c r="W446" t="str">
        <f>IF(Table1[[#This Row],[Satisfaction Rating]]&lt;2, "Low", IF(Table1[[#This Row],[Satisfaction Rating]]&lt;4, "Medium", "High"))</f>
        <v>High</v>
      </c>
    </row>
    <row r="447" spans="1:23" ht="13" x14ac:dyDescent="0.15">
      <c r="A447" s="2" t="s">
        <v>915</v>
      </c>
      <c r="B447" s="23">
        <v>45478.305601851855</v>
      </c>
      <c r="C447" s="23">
        <v>45478.305601851855</v>
      </c>
      <c r="D447" s="23" t="str">
        <f>IF(Table1[[#This Row],[Duration of Campaign]]=0, "Ongoing","Completed")</f>
        <v>Ongoing</v>
      </c>
      <c r="E447" s="25">
        <f>Table1[[#This Row],[End Date]]-Table1[[#This Row],[Start Date]]</f>
        <v>0</v>
      </c>
      <c r="F447" s="8">
        <v>9362</v>
      </c>
      <c r="G447" s="21" t="s">
        <v>14</v>
      </c>
      <c r="H447" s="11">
        <v>15866</v>
      </c>
      <c r="I447" s="11">
        <v>335</v>
      </c>
      <c r="J447" s="11">
        <v>133</v>
      </c>
      <c r="K447" s="13">
        <v>9491</v>
      </c>
      <c r="L447" s="16">
        <f t="shared" si="36"/>
        <v>2.1114332534980462E-2</v>
      </c>
      <c r="M447" s="16">
        <f t="shared" si="37"/>
        <v>0.39701492537313432</v>
      </c>
      <c r="N447" s="17">
        <f t="shared" si="38"/>
        <v>29.220895522388059</v>
      </c>
      <c r="O447" s="17">
        <f t="shared" si="39"/>
        <v>73.601503759398497</v>
      </c>
      <c r="P447" s="16">
        <f t="shared" si="40"/>
        <v>1.0456099124118778</v>
      </c>
      <c r="Q447" s="16">
        <f t="shared" si="41"/>
        <v>0.96955766676882216</v>
      </c>
      <c r="R447" s="2" t="s">
        <v>916</v>
      </c>
      <c r="S447" s="21" t="s">
        <v>21</v>
      </c>
      <c r="T447" s="21" t="s">
        <v>45</v>
      </c>
      <c r="U447" s="8">
        <v>9789</v>
      </c>
      <c r="V447" s="11">
        <v>3</v>
      </c>
      <c r="W447" t="str">
        <f>IF(Table1[[#This Row],[Satisfaction Rating]]&lt;2, "Low", IF(Table1[[#This Row],[Satisfaction Rating]]&lt;4, "Medium", "High"))</f>
        <v>Medium</v>
      </c>
    </row>
    <row r="448" spans="1:23" ht="13" x14ac:dyDescent="0.15">
      <c r="A448" s="2" t="s">
        <v>917</v>
      </c>
      <c r="B448" s="23">
        <v>45649.099039351851</v>
      </c>
      <c r="C448" s="23">
        <v>45649.099039351851</v>
      </c>
      <c r="D448" s="23" t="str">
        <f>IF(Table1[[#This Row],[Duration of Campaign]]=0, "Ongoing","Completed")</f>
        <v>Ongoing</v>
      </c>
      <c r="E448" s="25">
        <f>Table1[[#This Row],[End Date]]-Table1[[#This Row],[Start Date]]</f>
        <v>0</v>
      </c>
      <c r="F448" s="8">
        <v>2847</v>
      </c>
      <c r="G448" s="21" t="s">
        <v>37</v>
      </c>
      <c r="H448" s="11">
        <v>7767</v>
      </c>
      <c r="I448" s="11">
        <v>462</v>
      </c>
      <c r="J448" s="11">
        <v>323</v>
      </c>
      <c r="K448" s="13">
        <v>6640</v>
      </c>
      <c r="L448" s="16">
        <f t="shared" si="36"/>
        <v>5.9482425646967943E-2</v>
      </c>
      <c r="M448" s="16">
        <f t="shared" si="37"/>
        <v>0.69913419913419916</v>
      </c>
      <c r="N448" s="17">
        <f t="shared" si="38"/>
        <v>26.666666666666668</v>
      </c>
      <c r="O448" s="17">
        <f t="shared" si="39"/>
        <v>38.142414860681114</v>
      </c>
      <c r="P448" s="16">
        <f t="shared" si="40"/>
        <v>4.3273621355813141</v>
      </c>
      <c r="Q448" s="16">
        <f t="shared" si="41"/>
        <v>0.53896103896103897</v>
      </c>
      <c r="R448" s="2" t="s">
        <v>918</v>
      </c>
      <c r="S448" s="21" t="s">
        <v>16</v>
      </c>
      <c r="T448" s="21" t="s">
        <v>45</v>
      </c>
      <c r="U448" s="8">
        <v>12320</v>
      </c>
      <c r="V448" s="11">
        <v>5</v>
      </c>
      <c r="W448" t="str">
        <f>IF(Table1[[#This Row],[Satisfaction Rating]]&lt;2, "Low", IF(Table1[[#This Row],[Satisfaction Rating]]&lt;4, "Medium", "High"))</f>
        <v>High</v>
      </c>
    </row>
    <row r="449" spans="1:23" ht="13" x14ac:dyDescent="0.15">
      <c r="A449" s="2" t="s">
        <v>919</v>
      </c>
      <c r="B449" s="23">
        <v>45009.091423611113</v>
      </c>
      <c r="C449" s="23">
        <v>45476.899942129632</v>
      </c>
      <c r="D449" s="23" t="str">
        <f>IF(Table1[[#This Row],[Duration of Campaign]]=0, "Ongoing","Completed")</f>
        <v>Completed</v>
      </c>
      <c r="E449" s="25">
        <f>Table1[[#This Row],[End Date]]-Table1[[#This Row],[Start Date]]</f>
        <v>467.80851851851912</v>
      </c>
      <c r="F449" s="8">
        <v>9669</v>
      </c>
      <c r="G449" s="21" t="s">
        <v>14</v>
      </c>
      <c r="H449" s="11">
        <v>16212</v>
      </c>
      <c r="I449" s="11">
        <v>482</v>
      </c>
      <c r="J449" s="11">
        <v>316</v>
      </c>
      <c r="K449" s="13">
        <v>3472</v>
      </c>
      <c r="L449" s="16">
        <f t="shared" si="36"/>
        <v>2.9731063409819885E-2</v>
      </c>
      <c r="M449" s="16">
        <f t="shared" si="37"/>
        <v>0.65560165975103735</v>
      </c>
      <c r="N449" s="17">
        <f t="shared" si="38"/>
        <v>8.8443983402489632</v>
      </c>
      <c r="O449" s="17">
        <f t="shared" si="39"/>
        <v>13.490506329113924</v>
      </c>
      <c r="P449" s="16">
        <f t="shared" si="40"/>
        <v>0.44089357741234875</v>
      </c>
      <c r="Q449" s="16">
        <f t="shared" si="41"/>
        <v>0.81444991789819376</v>
      </c>
      <c r="R449" s="2" t="s">
        <v>920</v>
      </c>
      <c r="S449" s="21" t="s">
        <v>16</v>
      </c>
      <c r="T449" s="21" t="s">
        <v>27</v>
      </c>
      <c r="U449" s="8">
        <v>4263</v>
      </c>
      <c r="V449" s="11">
        <v>2</v>
      </c>
      <c r="W449" t="str">
        <f>IF(Table1[[#This Row],[Satisfaction Rating]]&lt;2, "Low", IF(Table1[[#This Row],[Satisfaction Rating]]&lt;4, "Medium", "High"))</f>
        <v>Medium</v>
      </c>
    </row>
    <row r="450" spans="1:23" ht="13" x14ac:dyDescent="0.15">
      <c r="A450" s="2" t="s">
        <v>921</v>
      </c>
      <c r="B450" s="23">
        <v>45021.602106481485</v>
      </c>
      <c r="C450" s="23">
        <v>45250.398900462962</v>
      </c>
      <c r="D450" s="23" t="str">
        <f>IF(Table1[[#This Row],[Duration of Campaign]]=0, "Ongoing","Completed")</f>
        <v>Completed</v>
      </c>
      <c r="E450" s="25">
        <f>Table1[[#This Row],[End Date]]-Table1[[#This Row],[Start Date]]</f>
        <v>228.79679398147709</v>
      </c>
      <c r="F450" s="8">
        <v>8935</v>
      </c>
      <c r="G450" s="21" t="s">
        <v>14</v>
      </c>
      <c r="H450" s="11">
        <v>7211</v>
      </c>
      <c r="I450" s="11">
        <v>1739</v>
      </c>
      <c r="J450" s="11">
        <v>119</v>
      </c>
      <c r="K450" s="13">
        <v>13906</v>
      </c>
      <c r="L450" s="16">
        <f t="shared" si="36"/>
        <v>0.241159339897379</v>
      </c>
      <c r="M450" s="16">
        <f t="shared" si="37"/>
        <v>6.8430132259919493E-2</v>
      </c>
      <c r="N450" s="17">
        <f t="shared" si="38"/>
        <v>0.71132834962622193</v>
      </c>
      <c r="O450" s="17">
        <f t="shared" si="39"/>
        <v>10.394957983193278</v>
      </c>
      <c r="P450" s="16">
        <f t="shared" si="40"/>
        <v>0.13844432008953553</v>
      </c>
      <c r="Q450" s="16">
        <f t="shared" si="41"/>
        <v>11.241713823767178</v>
      </c>
      <c r="R450" s="2" t="s">
        <v>922</v>
      </c>
      <c r="S450" s="21" t="s">
        <v>21</v>
      </c>
      <c r="T450" s="21" t="s">
        <v>27</v>
      </c>
      <c r="U450" s="8">
        <v>1237</v>
      </c>
      <c r="V450" s="11">
        <v>1</v>
      </c>
      <c r="W450" t="str">
        <f>IF(Table1[[#This Row],[Satisfaction Rating]]&lt;2, "Low", IF(Table1[[#This Row],[Satisfaction Rating]]&lt;4, "Medium", "High"))</f>
        <v>Low</v>
      </c>
    </row>
    <row r="451" spans="1:23" ht="13" x14ac:dyDescent="0.15">
      <c r="A451" s="2" t="s">
        <v>923</v>
      </c>
      <c r="B451" s="23">
        <v>45199.961898148147</v>
      </c>
      <c r="C451" s="23">
        <v>45476.044641203705</v>
      </c>
      <c r="D451" s="23" t="str">
        <f>IF(Table1[[#This Row],[Duration of Campaign]]=0, "Ongoing","Completed")</f>
        <v>Completed</v>
      </c>
      <c r="E451" s="25">
        <f>Table1[[#This Row],[End Date]]-Table1[[#This Row],[Start Date]]</f>
        <v>276.08274305555824</v>
      </c>
      <c r="F451" s="8">
        <v>6769</v>
      </c>
      <c r="G451" s="21" t="s">
        <v>14</v>
      </c>
      <c r="H451" s="11">
        <v>10377</v>
      </c>
      <c r="I451" s="11">
        <v>836</v>
      </c>
      <c r="J451" s="11">
        <v>247</v>
      </c>
      <c r="K451" s="13">
        <v>13953</v>
      </c>
      <c r="L451" s="16">
        <f t="shared" ref="L451:L514" si="42">I451/H451</f>
        <v>8.0562783077960873E-2</v>
      </c>
      <c r="M451" s="16">
        <f t="shared" ref="M451:M514" si="43">J451/I451</f>
        <v>0.29545454545454547</v>
      </c>
      <c r="N451" s="17">
        <f t="shared" ref="N451:N514" si="44">U451/I451</f>
        <v>15.088516746411484</v>
      </c>
      <c r="O451" s="17">
        <f t="shared" ref="O451:O514" si="45">U451/J451</f>
        <v>51.068825910931174</v>
      </c>
      <c r="P451" s="16">
        <f t="shared" ref="P451:P514" si="46">U451/F451</f>
        <v>1.8634953464322648</v>
      </c>
      <c r="Q451" s="16">
        <f t="shared" ref="Q451:Q514" si="47">K451/U451</f>
        <v>1.1061518947201523</v>
      </c>
      <c r="R451" s="2" t="s">
        <v>924</v>
      </c>
      <c r="S451" s="21" t="s">
        <v>35</v>
      </c>
      <c r="T451" s="21" t="s">
        <v>45</v>
      </c>
      <c r="U451" s="8">
        <v>12614</v>
      </c>
      <c r="V451" s="11">
        <v>2</v>
      </c>
      <c r="W451" t="str">
        <f>IF(Table1[[#This Row],[Satisfaction Rating]]&lt;2, "Low", IF(Table1[[#This Row],[Satisfaction Rating]]&lt;4, "Medium", "High"))</f>
        <v>Medium</v>
      </c>
    </row>
    <row r="452" spans="1:23" ht="13" x14ac:dyDescent="0.15">
      <c r="A452" s="2" t="s">
        <v>925</v>
      </c>
      <c r="B452" s="23">
        <v>45026.617662037039</v>
      </c>
      <c r="C452" s="23">
        <v>45026.617662037039</v>
      </c>
      <c r="D452" s="23" t="str">
        <f>IF(Table1[[#This Row],[Duration of Campaign]]=0, "Ongoing","Completed")</f>
        <v>Ongoing</v>
      </c>
      <c r="E452" s="25">
        <f>Table1[[#This Row],[End Date]]-Table1[[#This Row],[Start Date]]</f>
        <v>0</v>
      </c>
      <c r="F452" s="8">
        <v>3197</v>
      </c>
      <c r="G452" s="21" t="s">
        <v>53</v>
      </c>
      <c r="H452" s="11">
        <v>17617</v>
      </c>
      <c r="I452" s="11">
        <v>844</v>
      </c>
      <c r="J452" s="11">
        <v>491</v>
      </c>
      <c r="K452" s="13">
        <v>9626</v>
      </c>
      <c r="L452" s="16">
        <f t="shared" si="42"/>
        <v>4.7908270420616447E-2</v>
      </c>
      <c r="M452" s="16">
        <f t="shared" si="43"/>
        <v>0.58175355450236965</v>
      </c>
      <c r="N452" s="17">
        <f t="shared" si="44"/>
        <v>12.548578199052132</v>
      </c>
      <c r="O452" s="17">
        <f t="shared" si="45"/>
        <v>21.570264765784113</v>
      </c>
      <c r="P452" s="16">
        <f t="shared" si="46"/>
        <v>3.3127932436659369</v>
      </c>
      <c r="Q452" s="16">
        <f t="shared" si="47"/>
        <v>0.90888490227551699</v>
      </c>
      <c r="R452" s="2" t="s">
        <v>926</v>
      </c>
      <c r="S452" s="21" t="s">
        <v>16</v>
      </c>
      <c r="T452" s="21" t="s">
        <v>17</v>
      </c>
      <c r="U452" s="8">
        <v>10591</v>
      </c>
      <c r="V452" s="11">
        <v>1</v>
      </c>
      <c r="W452" t="str">
        <f>IF(Table1[[#This Row],[Satisfaction Rating]]&lt;2, "Low", IF(Table1[[#This Row],[Satisfaction Rating]]&lt;4, "Medium", "High"))</f>
        <v>Low</v>
      </c>
    </row>
    <row r="453" spans="1:23" ht="13" x14ac:dyDescent="0.15">
      <c r="A453" s="2" t="s">
        <v>927</v>
      </c>
      <c r="B453" s="23">
        <v>45475.284120370372</v>
      </c>
      <c r="C453" s="23">
        <v>45475.284120370372</v>
      </c>
      <c r="D453" s="23" t="str">
        <f>IF(Table1[[#This Row],[Duration of Campaign]]=0, "Ongoing","Completed")</f>
        <v>Ongoing</v>
      </c>
      <c r="E453" s="25">
        <f>Table1[[#This Row],[End Date]]-Table1[[#This Row],[Start Date]]</f>
        <v>0</v>
      </c>
      <c r="F453" s="8">
        <v>3690</v>
      </c>
      <c r="G453" s="21" t="s">
        <v>14</v>
      </c>
      <c r="H453" s="11">
        <v>1710</v>
      </c>
      <c r="I453" s="11">
        <v>875</v>
      </c>
      <c r="J453" s="11">
        <v>197</v>
      </c>
      <c r="K453" s="13">
        <v>969</v>
      </c>
      <c r="L453" s="16">
        <f t="shared" si="42"/>
        <v>0.51169590643274854</v>
      </c>
      <c r="M453" s="16">
        <f t="shared" si="43"/>
        <v>0.22514285714285714</v>
      </c>
      <c r="N453" s="17">
        <f t="shared" si="44"/>
        <v>13.922285714285714</v>
      </c>
      <c r="O453" s="17">
        <f t="shared" si="45"/>
        <v>61.837563451776653</v>
      </c>
      <c r="P453" s="16">
        <f t="shared" si="46"/>
        <v>3.3013550135501357</v>
      </c>
      <c r="Q453" s="16">
        <f t="shared" si="47"/>
        <v>7.9543588901658191E-2</v>
      </c>
      <c r="R453" s="2" t="s">
        <v>928</v>
      </c>
      <c r="S453" s="21" t="s">
        <v>30</v>
      </c>
      <c r="T453" s="21" t="s">
        <v>17</v>
      </c>
      <c r="U453" s="8">
        <v>12182</v>
      </c>
      <c r="V453" s="11">
        <v>4</v>
      </c>
      <c r="W453" t="str">
        <f>IF(Table1[[#This Row],[Satisfaction Rating]]&lt;2, "Low", IF(Table1[[#This Row],[Satisfaction Rating]]&lt;4, "Medium", "High"))</f>
        <v>High</v>
      </c>
    </row>
    <row r="454" spans="1:23" ht="13" x14ac:dyDescent="0.15">
      <c r="A454" s="2" t="s">
        <v>929</v>
      </c>
      <c r="B454" s="23">
        <v>45158.786574074074</v>
      </c>
      <c r="C454" s="23">
        <v>45266.464768518519</v>
      </c>
      <c r="D454" s="23" t="str">
        <f>IF(Table1[[#This Row],[Duration of Campaign]]=0, "Ongoing","Completed")</f>
        <v>Completed</v>
      </c>
      <c r="E454" s="25">
        <f>Table1[[#This Row],[End Date]]-Table1[[#This Row],[Start Date]]</f>
        <v>107.67819444444467</v>
      </c>
      <c r="F454" s="8">
        <v>9098</v>
      </c>
      <c r="G454" s="21" t="s">
        <v>14</v>
      </c>
      <c r="H454" s="11">
        <v>15596</v>
      </c>
      <c r="I454" s="11">
        <v>1097</v>
      </c>
      <c r="J454" s="11">
        <v>418</v>
      </c>
      <c r="K454" s="13">
        <v>10166</v>
      </c>
      <c r="L454" s="16">
        <f t="shared" si="42"/>
        <v>7.0338548345729668E-2</v>
      </c>
      <c r="M454" s="16">
        <f t="shared" si="43"/>
        <v>0.38103919781221512</v>
      </c>
      <c r="N454" s="17">
        <f t="shared" si="44"/>
        <v>15.263445761166819</v>
      </c>
      <c r="O454" s="17">
        <f t="shared" si="45"/>
        <v>40.057416267942585</v>
      </c>
      <c r="P454" s="16">
        <f t="shared" si="46"/>
        <v>1.8404044845020884</v>
      </c>
      <c r="Q454" s="16">
        <f t="shared" si="47"/>
        <v>0.6071428571428571</v>
      </c>
      <c r="R454" s="2" t="s">
        <v>930</v>
      </c>
      <c r="S454" s="21" t="s">
        <v>24</v>
      </c>
      <c r="T454" s="21" t="s">
        <v>45</v>
      </c>
      <c r="U454" s="8">
        <v>16744</v>
      </c>
      <c r="V454" s="11">
        <v>1</v>
      </c>
      <c r="W454" t="str">
        <f>IF(Table1[[#This Row],[Satisfaction Rating]]&lt;2, "Low", IF(Table1[[#This Row],[Satisfaction Rating]]&lt;4, "Medium", "High"))</f>
        <v>Low</v>
      </c>
    </row>
    <row r="455" spans="1:23" ht="13" x14ac:dyDescent="0.15">
      <c r="A455" s="2" t="s">
        <v>931</v>
      </c>
      <c r="B455" s="23">
        <v>45601.163124999999</v>
      </c>
      <c r="C455" s="23">
        <v>45601.163124999999</v>
      </c>
      <c r="D455" s="23" t="str">
        <f>IF(Table1[[#This Row],[Duration of Campaign]]=0, "Ongoing","Completed")</f>
        <v>Ongoing</v>
      </c>
      <c r="E455" s="25">
        <f>Table1[[#This Row],[End Date]]-Table1[[#This Row],[Start Date]]</f>
        <v>0</v>
      </c>
      <c r="F455" s="8">
        <v>5380</v>
      </c>
      <c r="G455" s="21" t="s">
        <v>19</v>
      </c>
      <c r="H455" s="11">
        <v>19743</v>
      </c>
      <c r="I455" s="11">
        <v>1807</v>
      </c>
      <c r="J455" s="11">
        <v>108</v>
      </c>
      <c r="K455" s="13">
        <v>7842</v>
      </c>
      <c r="L455" s="16">
        <f t="shared" si="42"/>
        <v>9.1526110520184376E-2</v>
      </c>
      <c r="M455" s="16">
        <f t="shared" si="43"/>
        <v>5.9767570558937465E-2</v>
      </c>
      <c r="N455" s="17">
        <f t="shared" si="44"/>
        <v>0.98505810736026567</v>
      </c>
      <c r="O455" s="17">
        <f t="shared" si="45"/>
        <v>16.481481481481481</v>
      </c>
      <c r="P455" s="16">
        <f t="shared" si="46"/>
        <v>0.33085501858736061</v>
      </c>
      <c r="Q455" s="16">
        <f t="shared" si="47"/>
        <v>4.4056179775280899</v>
      </c>
      <c r="R455" s="2" t="s">
        <v>932</v>
      </c>
      <c r="S455" s="21" t="s">
        <v>35</v>
      </c>
      <c r="T455" s="21" t="s">
        <v>27</v>
      </c>
      <c r="U455" s="8">
        <v>1780</v>
      </c>
      <c r="V455" s="11">
        <v>4</v>
      </c>
      <c r="W455" t="str">
        <f>IF(Table1[[#This Row],[Satisfaction Rating]]&lt;2, "Low", IF(Table1[[#This Row],[Satisfaction Rating]]&lt;4, "Medium", "High"))</f>
        <v>High</v>
      </c>
    </row>
    <row r="456" spans="1:23" ht="13" x14ac:dyDescent="0.15">
      <c r="A456" s="2" t="s">
        <v>933</v>
      </c>
      <c r="B456" s="23">
        <v>45149.684317129628</v>
      </c>
      <c r="C456" s="23">
        <v>45149.684317129628</v>
      </c>
      <c r="D456" s="23" t="str">
        <f>IF(Table1[[#This Row],[Duration of Campaign]]=0, "Ongoing","Completed")</f>
        <v>Ongoing</v>
      </c>
      <c r="E456" s="25">
        <f>Table1[[#This Row],[End Date]]-Table1[[#This Row],[Start Date]]</f>
        <v>0</v>
      </c>
      <c r="F456" s="8">
        <v>4545</v>
      </c>
      <c r="G456" s="21" t="s">
        <v>14</v>
      </c>
      <c r="H456" s="11">
        <v>5818</v>
      </c>
      <c r="I456" s="11">
        <v>1390</v>
      </c>
      <c r="J456" s="11">
        <v>227</v>
      </c>
      <c r="K456" s="13">
        <v>11523</v>
      </c>
      <c r="L456" s="16">
        <f t="shared" si="42"/>
        <v>0.23891371605362668</v>
      </c>
      <c r="M456" s="16">
        <f t="shared" si="43"/>
        <v>0.16330935251798562</v>
      </c>
      <c r="N456" s="17">
        <f t="shared" si="44"/>
        <v>12.496402877697841</v>
      </c>
      <c r="O456" s="17">
        <f t="shared" si="45"/>
        <v>76.519823788546262</v>
      </c>
      <c r="P456" s="16">
        <f t="shared" si="46"/>
        <v>3.8217821782178216</v>
      </c>
      <c r="Q456" s="16">
        <f t="shared" si="47"/>
        <v>0.66338514680483596</v>
      </c>
      <c r="R456" s="2" t="s">
        <v>934</v>
      </c>
      <c r="S456" s="21" t="s">
        <v>35</v>
      </c>
      <c r="T456" s="21" t="s">
        <v>27</v>
      </c>
      <c r="U456" s="8">
        <v>17370</v>
      </c>
      <c r="V456" s="11">
        <v>5</v>
      </c>
      <c r="W456" t="str">
        <f>IF(Table1[[#This Row],[Satisfaction Rating]]&lt;2, "Low", IF(Table1[[#This Row],[Satisfaction Rating]]&lt;4, "Medium", "High"))</f>
        <v>High</v>
      </c>
    </row>
    <row r="457" spans="1:23" ht="13" x14ac:dyDescent="0.15">
      <c r="A457" s="2" t="s">
        <v>935</v>
      </c>
      <c r="B457" s="23">
        <v>45023.178379629629</v>
      </c>
      <c r="C457" s="23">
        <v>45431.013437499998</v>
      </c>
      <c r="D457" s="23" t="str">
        <f>IF(Table1[[#This Row],[Duration of Campaign]]=0, "Ongoing","Completed")</f>
        <v>Completed</v>
      </c>
      <c r="E457" s="25">
        <f>Table1[[#This Row],[End Date]]-Table1[[#This Row],[Start Date]]</f>
        <v>407.83505787036847</v>
      </c>
      <c r="F457" s="8">
        <v>5719</v>
      </c>
      <c r="G457" s="21" t="s">
        <v>53</v>
      </c>
      <c r="H457" s="11">
        <v>1528</v>
      </c>
      <c r="I457" s="11">
        <v>1896</v>
      </c>
      <c r="J457" s="11">
        <v>281</v>
      </c>
      <c r="K457" s="13">
        <v>3912</v>
      </c>
      <c r="L457" s="16">
        <f t="shared" si="42"/>
        <v>1.2408376963350785</v>
      </c>
      <c r="M457" s="16">
        <f t="shared" si="43"/>
        <v>0.14820675105485231</v>
      </c>
      <c r="N457" s="17">
        <f t="shared" si="44"/>
        <v>7.0421940928270041</v>
      </c>
      <c r="O457" s="17">
        <f t="shared" si="45"/>
        <v>47.516014234875442</v>
      </c>
      <c r="P457" s="16">
        <f t="shared" si="46"/>
        <v>2.3346738940374192</v>
      </c>
      <c r="Q457" s="16">
        <f t="shared" si="47"/>
        <v>0.29298981426003595</v>
      </c>
      <c r="R457" s="2" t="s">
        <v>936</v>
      </c>
      <c r="S457" s="21" t="s">
        <v>16</v>
      </c>
      <c r="T457" s="21" t="s">
        <v>45</v>
      </c>
      <c r="U457" s="8">
        <v>13352</v>
      </c>
      <c r="V457" s="11">
        <v>4</v>
      </c>
      <c r="W457" t="str">
        <f>IF(Table1[[#This Row],[Satisfaction Rating]]&lt;2, "Low", IF(Table1[[#This Row],[Satisfaction Rating]]&lt;4, "Medium", "High"))</f>
        <v>High</v>
      </c>
    </row>
    <row r="458" spans="1:23" ht="13" x14ac:dyDescent="0.15">
      <c r="A458" s="2" t="s">
        <v>937</v>
      </c>
      <c r="B458" s="23">
        <v>45348.452511574076</v>
      </c>
      <c r="C458" s="23">
        <v>45419.053587962961</v>
      </c>
      <c r="D458" s="23" t="str">
        <f>IF(Table1[[#This Row],[Duration of Campaign]]=0, "Ongoing","Completed")</f>
        <v>Completed</v>
      </c>
      <c r="E458" s="25">
        <f>Table1[[#This Row],[End Date]]-Table1[[#This Row],[Start Date]]</f>
        <v>70.601076388884394</v>
      </c>
      <c r="F458" s="8">
        <v>5000</v>
      </c>
      <c r="G458" s="21" t="s">
        <v>53</v>
      </c>
      <c r="H458" s="11">
        <v>16684</v>
      </c>
      <c r="I458" s="11">
        <v>1395</v>
      </c>
      <c r="J458" s="11">
        <v>414</v>
      </c>
      <c r="K458" s="13">
        <v>9107</v>
      </c>
      <c r="L458" s="16">
        <f t="shared" si="42"/>
        <v>8.3613042435866702E-2</v>
      </c>
      <c r="M458" s="16">
        <f t="shared" si="43"/>
        <v>0.29677419354838708</v>
      </c>
      <c r="N458" s="17">
        <f t="shared" si="44"/>
        <v>7.268817204301075</v>
      </c>
      <c r="O458" s="17">
        <f t="shared" si="45"/>
        <v>24.492753623188406</v>
      </c>
      <c r="P458" s="16">
        <f t="shared" si="46"/>
        <v>2.028</v>
      </c>
      <c r="Q458" s="16">
        <f t="shared" si="47"/>
        <v>0.8981262327416174</v>
      </c>
      <c r="R458" s="2" t="s">
        <v>938</v>
      </c>
      <c r="S458" s="21" t="s">
        <v>24</v>
      </c>
      <c r="T458" s="21" t="s">
        <v>27</v>
      </c>
      <c r="U458" s="8">
        <v>10140</v>
      </c>
      <c r="V458" s="11">
        <v>3</v>
      </c>
      <c r="W458" t="str">
        <f>IF(Table1[[#This Row],[Satisfaction Rating]]&lt;2, "Low", IF(Table1[[#This Row],[Satisfaction Rating]]&lt;4, "Medium", "High"))</f>
        <v>Medium</v>
      </c>
    </row>
    <row r="459" spans="1:23" ht="13" x14ac:dyDescent="0.15">
      <c r="A459" s="2" t="s">
        <v>939</v>
      </c>
      <c r="B459" s="23">
        <v>45550.114062499997</v>
      </c>
      <c r="C459" s="23">
        <v>45550.114062499997</v>
      </c>
      <c r="D459" s="23" t="str">
        <f>IF(Table1[[#This Row],[Duration of Campaign]]=0, "Ongoing","Completed")</f>
        <v>Ongoing</v>
      </c>
      <c r="E459" s="25">
        <f>Table1[[#This Row],[End Date]]-Table1[[#This Row],[Start Date]]</f>
        <v>0</v>
      </c>
      <c r="F459" s="8">
        <v>5352</v>
      </c>
      <c r="G459" s="21" t="s">
        <v>53</v>
      </c>
      <c r="H459" s="11">
        <v>13353</v>
      </c>
      <c r="I459" s="11">
        <v>1427</v>
      </c>
      <c r="J459" s="11">
        <v>216</v>
      </c>
      <c r="K459" s="13">
        <v>13510</v>
      </c>
      <c r="L459" s="16">
        <f t="shared" si="42"/>
        <v>0.10686737062832323</v>
      </c>
      <c r="M459" s="16">
        <f t="shared" si="43"/>
        <v>0.15136650315346881</v>
      </c>
      <c r="N459" s="17">
        <f t="shared" si="44"/>
        <v>5.4519971969166079</v>
      </c>
      <c r="O459" s="17">
        <f t="shared" si="45"/>
        <v>36.018518518518519</v>
      </c>
      <c r="P459" s="16">
        <f t="shared" si="46"/>
        <v>1.4536621823617339</v>
      </c>
      <c r="Q459" s="16">
        <f t="shared" si="47"/>
        <v>1.736503856041131</v>
      </c>
      <c r="R459" s="2" t="s">
        <v>940</v>
      </c>
      <c r="S459" s="21" t="s">
        <v>35</v>
      </c>
      <c r="T459" s="21" t="s">
        <v>45</v>
      </c>
      <c r="U459" s="8">
        <v>7780</v>
      </c>
      <c r="V459" s="11">
        <v>5</v>
      </c>
      <c r="W459" t="str">
        <f>IF(Table1[[#This Row],[Satisfaction Rating]]&lt;2, "Low", IF(Table1[[#This Row],[Satisfaction Rating]]&lt;4, "Medium", "High"))</f>
        <v>High</v>
      </c>
    </row>
    <row r="460" spans="1:23" ht="13" x14ac:dyDescent="0.15">
      <c r="A460" s="2" t="s">
        <v>941</v>
      </c>
      <c r="B460" s="23">
        <v>45042.14025462963</v>
      </c>
      <c r="C460" s="23">
        <v>45042.14025462963</v>
      </c>
      <c r="D460" s="23" t="str">
        <f>IF(Table1[[#This Row],[Duration of Campaign]]=0, "Ongoing","Completed")</f>
        <v>Ongoing</v>
      </c>
      <c r="E460" s="25">
        <f>Table1[[#This Row],[End Date]]-Table1[[#This Row],[Start Date]]</f>
        <v>0</v>
      </c>
      <c r="F460" s="8">
        <v>1904</v>
      </c>
      <c r="G460" s="21" t="s">
        <v>37</v>
      </c>
      <c r="H460" s="11">
        <v>12681</v>
      </c>
      <c r="I460" s="11">
        <v>1433</v>
      </c>
      <c r="J460" s="11">
        <v>499</v>
      </c>
      <c r="K460" s="13">
        <v>11315</v>
      </c>
      <c r="L460" s="16">
        <f t="shared" si="42"/>
        <v>0.11300370633230818</v>
      </c>
      <c r="M460" s="16">
        <f t="shared" si="43"/>
        <v>0.34822051639916257</v>
      </c>
      <c r="N460" s="17">
        <f t="shared" si="44"/>
        <v>9.9441730635031398</v>
      </c>
      <c r="O460" s="17">
        <f t="shared" si="45"/>
        <v>28.557114228456914</v>
      </c>
      <c r="P460" s="16">
        <f t="shared" si="46"/>
        <v>7.4842436974789912</v>
      </c>
      <c r="Q460" s="16">
        <f t="shared" si="47"/>
        <v>0.7940350877192982</v>
      </c>
      <c r="R460" s="2" t="s">
        <v>942</v>
      </c>
      <c r="S460" s="21" t="s">
        <v>24</v>
      </c>
      <c r="T460" s="21" t="s">
        <v>17</v>
      </c>
      <c r="U460" s="8">
        <v>14250</v>
      </c>
      <c r="V460" s="11">
        <v>4</v>
      </c>
      <c r="W460" t="str">
        <f>IF(Table1[[#This Row],[Satisfaction Rating]]&lt;2, "Low", IF(Table1[[#This Row],[Satisfaction Rating]]&lt;4, "Medium", "High"))</f>
        <v>High</v>
      </c>
    </row>
    <row r="461" spans="1:23" ht="13" x14ac:dyDescent="0.15">
      <c r="A461" s="2" t="s">
        <v>943</v>
      </c>
      <c r="B461" s="23">
        <v>45462.740937499999</v>
      </c>
      <c r="C461" s="23">
        <v>45462.740937499999</v>
      </c>
      <c r="D461" s="23" t="str">
        <f>IF(Table1[[#This Row],[Duration of Campaign]]=0, "Ongoing","Completed")</f>
        <v>Ongoing</v>
      </c>
      <c r="E461" s="25">
        <f>Table1[[#This Row],[End Date]]-Table1[[#This Row],[Start Date]]</f>
        <v>0</v>
      </c>
      <c r="F461" s="8">
        <v>4754</v>
      </c>
      <c r="G461" s="21" t="s">
        <v>37</v>
      </c>
      <c r="H461" s="11">
        <v>13740</v>
      </c>
      <c r="I461" s="11">
        <v>1339</v>
      </c>
      <c r="J461" s="11">
        <v>102</v>
      </c>
      <c r="K461" s="13">
        <v>8743</v>
      </c>
      <c r="L461" s="16">
        <f t="shared" si="42"/>
        <v>9.7452692867540033E-2</v>
      </c>
      <c r="M461" s="16">
        <f t="shared" si="43"/>
        <v>7.6176250933532488E-2</v>
      </c>
      <c r="N461" s="17">
        <f t="shared" si="44"/>
        <v>6.5810306198655715</v>
      </c>
      <c r="O461" s="17">
        <f t="shared" si="45"/>
        <v>86.392156862745097</v>
      </c>
      <c r="P461" s="16">
        <f t="shared" si="46"/>
        <v>1.8535969709718132</v>
      </c>
      <c r="Q461" s="16">
        <f t="shared" si="47"/>
        <v>0.99216976849750338</v>
      </c>
      <c r="R461" s="2" t="s">
        <v>944</v>
      </c>
      <c r="S461" s="21" t="s">
        <v>21</v>
      </c>
      <c r="T461" s="21" t="s">
        <v>17</v>
      </c>
      <c r="U461" s="8">
        <v>8812</v>
      </c>
      <c r="V461" s="11">
        <v>4</v>
      </c>
      <c r="W461" t="str">
        <f>IF(Table1[[#This Row],[Satisfaction Rating]]&lt;2, "Low", IF(Table1[[#This Row],[Satisfaction Rating]]&lt;4, "Medium", "High"))</f>
        <v>High</v>
      </c>
    </row>
    <row r="462" spans="1:23" ht="13" x14ac:dyDescent="0.15">
      <c r="A462" s="2" t="s">
        <v>945</v>
      </c>
      <c r="B462" s="23">
        <v>45093.292245370372</v>
      </c>
      <c r="C462" s="23">
        <v>45510.062094907407</v>
      </c>
      <c r="D462" s="23" t="str">
        <f>IF(Table1[[#This Row],[Duration of Campaign]]=0, "Ongoing","Completed")</f>
        <v>Completed</v>
      </c>
      <c r="E462" s="25">
        <f>Table1[[#This Row],[End Date]]-Table1[[#This Row],[Start Date]]</f>
        <v>416.76984953703504</v>
      </c>
      <c r="F462" s="8">
        <v>7742</v>
      </c>
      <c r="G462" s="21" t="s">
        <v>37</v>
      </c>
      <c r="H462" s="11">
        <v>11872</v>
      </c>
      <c r="I462" s="11">
        <v>255</v>
      </c>
      <c r="J462" s="11">
        <v>169</v>
      </c>
      <c r="K462" s="13">
        <v>5483</v>
      </c>
      <c r="L462" s="16">
        <f t="shared" si="42"/>
        <v>2.147911051212938E-2</v>
      </c>
      <c r="M462" s="16">
        <f t="shared" si="43"/>
        <v>0.66274509803921566</v>
      </c>
      <c r="N462" s="17">
        <f t="shared" si="44"/>
        <v>59.505882352941178</v>
      </c>
      <c r="O462" s="17">
        <f t="shared" si="45"/>
        <v>89.786982248520715</v>
      </c>
      <c r="P462" s="16">
        <f t="shared" si="46"/>
        <v>1.9599586670111082</v>
      </c>
      <c r="Q462" s="16">
        <f t="shared" si="47"/>
        <v>0.3613417688150784</v>
      </c>
      <c r="R462" s="2" t="s">
        <v>946</v>
      </c>
      <c r="S462" s="21" t="s">
        <v>30</v>
      </c>
      <c r="T462" s="21" t="s">
        <v>17</v>
      </c>
      <c r="U462" s="8">
        <v>15174</v>
      </c>
      <c r="V462" s="11">
        <v>2</v>
      </c>
      <c r="W462" t="str">
        <f>IF(Table1[[#This Row],[Satisfaction Rating]]&lt;2, "Low", IF(Table1[[#This Row],[Satisfaction Rating]]&lt;4, "Medium", "High"))</f>
        <v>Medium</v>
      </c>
    </row>
    <row r="463" spans="1:23" ht="13" x14ac:dyDescent="0.15">
      <c r="A463" s="2" t="s">
        <v>947</v>
      </c>
      <c r="B463" s="23">
        <v>44959.374155092592</v>
      </c>
      <c r="C463" s="23">
        <v>45575.949930555558</v>
      </c>
      <c r="D463" s="23" t="str">
        <f>IF(Table1[[#This Row],[Duration of Campaign]]=0, "Ongoing","Completed")</f>
        <v>Completed</v>
      </c>
      <c r="E463" s="25">
        <f>Table1[[#This Row],[End Date]]-Table1[[#This Row],[Start Date]]</f>
        <v>616.5757754629667</v>
      </c>
      <c r="F463" s="8">
        <v>8604</v>
      </c>
      <c r="G463" s="21" t="s">
        <v>19</v>
      </c>
      <c r="H463" s="11">
        <v>4277</v>
      </c>
      <c r="I463" s="11">
        <v>1010</v>
      </c>
      <c r="J463" s="11">
        <v>381</v>
      </c>
      <c r="K463" s="13">
        <v>13221</v>
      </c>
      <c r="L463" s="16">
        <f t="shared" si="42"/>
        <v>0.23614683189151275</v>
      </c>
      <c r="M463" s="16">
        <f t="shared" si="43"/>
        <v>0.37722772277227723</v>
      </c>
      <c r="N463" s="17">
        <f t="shared" si="44"/>
        <v>16.136633663366336</v>
      </c>
      <c r="O463" s="17">
        <f t="shared" si="45"/>
        <v>42.776902887139109</v>
      </c>
      <c r="P463" s="16">
        <f t="shared" si="46"/>
        <v>1.894235239423524</v>
      </c>
      <c r="Q463" s="16">
        <f t="shared" si="47"/>
        <v>0.8112038286906369</v>
      </c>
      <c r="R463" s="2" t="s">
        <v>948</v>
      </c>
      <c r="S463" s="21" t="s">
        <v>24</v>
      </c>
      <c r="T463" s="21" t="s">
        <v>45</v>
      </c>
      <c r="U463" s="8">
        <v>16298</v>
      </c>
      <c r="V463" s="11">
        <v>1</v>
      </c>
      <c r="W463" t="str">
        <f>IF(Table1[[#This Row],[Satisfaction Rating]]&lt;2, "Low", IF(Table1[[#This Row],[Satisfaction Rating]]&lt;4, "Medium", "High"))</f>
        <v>Low</v>
      </c>
    </row>
    <row r="464" spans="1:23" ht="13" x14ac:dyDescent="0.15">
      <c r="A464" s="2" t="s">
        <v>949</v>
      </c>
      <c r="B464" s="23">
        <v>45334.716909722221</v>
      </c>
      <c r="C464" s="23">
        <v>45334.716909722221</v>
      </c>
      <c r="D464" s="23" t="str">
        <f>IF(Table1[[#This Row],[Duration of Campaign]]=0, "Ongoing","Completed")</f>
        <v>Ongoing</v>
      </c>
      <c r="E464" s="25">
        <f>Table1[[#This Row],[End Date]]-Table1[[#This Row],[Start Date]]</f>
        <v>0</v>
      </c>
      <c r="F464" s="8">
        <v>5104</v>
      </c>
      <c r="G464" s="21" t="s">
        <v>53</v>
      </c>
      <c r="H464" s="11">
        <v>12723</v>
      </c>
      <c r="I464" s="11">
        <v>167</v>
      </c>
      <c r="J464" s="11">
        <v>37</v>
      </c>
      <c r="K464" s="13">
        <v>7221</v>
      </c>
      <c r="L464" s="16">
        <f t="shared" si="42"/>
        <v>1.312583510178417E-2</v>
      </c>
      <c r="M464" s="16">
        <f t="shared" si="43"/>
        <v>0.22155688622754491</v>
      </c>
      <c r="N464" s="17">
        <f t="shared" si="44"/>
        <v>64.844311377245504</v>
      </c>
      <c r="O464" s="17">
        <f t="shared" si="45"/>
        <v>292.67567567567568</v>
      </c>
      <c r="P464" s="16">
        <f t="shared" si="46"/>
        <v>2.1216692789968654</v>
      </c>
      <c r="Q464" s="16">
        <f t="shared" si="47"/>
        <v>0.66682057438359954</v>
      </c>
      <c r="R464" s="2" t="s">
        <v>950</v>
      </c>
      <c r="S464" s="21" t="s">
        <v>24</v>
      </c>
      <c r="T464" s="21" t="s">
        <v>45</v>
      </c>
      <c r="U464" s="8">
        <v>10829</v>
      </c>
      <c r="V464" s="11">
        <v>5</v>
      </c>
      <c r="W464" t="str">
        <f>IF(Table1[[#This Row],[Satisfaction Rating]]&lt;2, "Low", IF(Table1[[#This Row],[Satisfaction Rating]]&lt;4, "Medium", "High"))</f>
        <v>High</v>
      </c>
    </row>
    <row r="465" spans="1:23" ht="13" x14ac:dyDescent="0.15">
      <c r="A465" s="2" t="s">
        <v>951</v>
      </c>
      <c r="B465" s="23">
        <v>45531.93378472222</v>
      </c>
      <c r="C465" s="23">
        <v>45531.93378472222</v>
      </c>
      <c r="D465" s="23" t="str">
        <f>IF(Table1[[#This Row],[Duration of Campaign]]=0, "Ongoing","Completed")</f>
        <v>Ongoing</v>
      </c>
      <c r="E465" s="25">
        <f>Table1[[#This Row],[End Date]]-Table1[[#This Row],[Start Date]]</f>
        <v>0</v>
      </c>
      <c r="F465" s="8">
        <v>4883</v>
      </c>
      <c r="G465" s="21" t="s">
        <v>14</v>
      </c>
      <c r="H465" s="11">
        <v>6129</v>
      </c>
      <c r="I465" s="11">
        <v>848</v>
      </c>
      <c r="J465" s="11">
        <v>298</v>
      </c>
      <c r="K465" s="13">
        <v>4256</v>
      </c>
      <c r="L465" s="16">
        <f t="shared" si="42"/>
        <v>0.13835862294012075</v>
      </c>
      <c r="M465" s="16">
        <f t="shared" si="43"/>
        <v>0.35141509433962265</v>
      </c>
      <c r="N465" s="17">
        <f t="shared" si="44"/>
        <v>8.8761792452830193</v>
      </c>
      <c r="O465" s="17">
        <f t="shared" si="45"/>
        <v>25.258389261744966</v>
      </c>
      <c r="P465" s="16">
        <f t="shared" si="46"/>
        <v>1.5414704075363506</v>
      </c>
      <c r="Q465" s="16">
        <f t="shared" si="47"/>
        <v>0.5654311146539126</v>
      </c>
      <c r="R465" s="2" t="s">
        <v>952</v>
      </c>
      <c r="S465" s="21" t="s">
        <v>16</v>
      </c>
      <c r="T465" s="21" t="s">
        <v>27</v>
      </c>
      <c r="U465" s="8">
        <v>7527</v>
      </c>
      <c r="V465" s="11">
        <v>5</v>
      </c>
      <c r="W465" t="str">
        <f>IF(Table1[[#This Row],[Satisfaction Rating]]&lt;2, "Low", IF(Table1[[#This Row],[Satisfaction Rating]]&lt;4, "Medium", "High"))</f>
        <v>High</v>
      </c>
    </row>
    <row r="466" spans="1:23" ht="13" x14ac:dyDescent="0.15">
      <c r="A466" s="2" t="s">
        <v>953</v>
      </c>
      <c r="B466" s="23">
        <v>45307.13653935185</v>
      </c>
      <c r="C466" s="23">
        <v>45307.13653935185</v>
      </c>
      <c r="D466" s="23" t="str">
        <f>IF(Table1[[#This Row],[Duration of Campaign]]=0, "Ongoing","Completed")</f>
        <v>Ongoing</v>
      </c>
      <c r="E466" s="25">
        <f>Table1[[#This Row],[End Date]]-Table1[[#This Row],[Start Date]]</f>
        <v>0</v>
      </c>
      <c r="F466" s="8">
        <v>6978</v>
      </c>
      <c r="G466" s="21" t="s">
        <v>19</v>
      </c>
      <c r="H466" s="11">
        <v>12166</v>
      </c>
      <c r="I466" s="11">
        <v>1030</v>
      </c>
      <c r="J466" s="11">
        <v>470</v>
      </c>
      <c r="K466" s="13">
        <v>11755</v>
      </c>
      <c r="L466" s="16">
        <f t="shared" si="42"/>
        <v>8.4662173269768201E-2</v>
      </c>
      <c r="M466" s="16">
        <f t="shared" si="43"/>
        <v>0.4563106796116505</v>
      </c>
      <c r="N466" s="17">
        <f t="shared" si="44"/>
        <v>2.4747572815533982</v>
      </c>
      <c r="O466" s="17">
        <f t="shared" si="45"/>
        <v>5.4234042553191486</v>
      </c>
      <c r="P466" s="16">
        <f t="shared" si="46"/>
        <v>0.36529091430209232</v>
      </c>
      <c r="Q466" s="16">
        <f t="shared" si="47"/>
        <v>4.6116123970184386</v>
      </c>
      <c r="R466" s="2" t="s">
        <v>954</v>
      </c>
      <c r="S466" s="21" t="s">
        <v>24</v>
      </c>
      <c r="T466" s="21" t="s">
        <v>45</v>
      </c>
      <c r="U466" s="8">
        <v>2549</v>
      </c>
      <c r="V466" s="11">
        <v>3</v>
      </c>
      <c r="W466" t="str">
        <f>IF(Table1[[#This Row],[Satisfaction Rating]]&lt;2, "Low", IF(Table1[[#This Row],[Satisfaction Rating]]&lt;4, "Medium", "High"))</f>
        <v>Medium</v>
      </c>
    </row>
    <row r="467" spans="1:23" ht="13" x14ac:dyDescent="0.15">
      <c r="A467" s="2" t="s">
        <v>955</v>
      </c>
      <c r="B467" s="23">
        <v>45023.977696759262</v>
      </c>
      <c r="C467" s="23">
        <v>45427.47084490741</v>
      </c>
      <c r="D467" s="23" t="str">
        <f>IF(Table1[[#This Row],[Duration of Campaign]]=0, "Ongoing","Completed")</f>
        <v>Completed</v>
      </c>
      <c r="E467" s="25">
        <f>Table1[[#This Row],[End Date]]-Table1[[#This Row],[Start Date]]</f>
        <v>403.49314814814716</v>
      </c>
      <c r="F467" s="8">
        <v>6151</v>
      </c>
      <c r="G467" s="21" t="s">
        <v>19</v>
      </c>
      <c r="H467" s="11">
        <v>16649</v>
      </c>
      <c r="I467" s="11">
        <v>1376</v>
      </c>
      <c r="J467" s="11">
        <v>482</v>
      </c>
      <c r="K467" s="13">
        <v>10396</v>
      </c>
      <c r="L467" s="16">
        <f t="shared" si="42"/>
        <v>8.2647606462850617E-2</v>
      </c>
      <c r="M467" s="16">
        <f t="shared" si="43"/>
        <v>0.35029069767441862</v>
      </c>
      <c r="N467" s="17">
        <f t="shared" si="44"/>
        <v>1.9861918604651163</v>
      </c>
      <c r="O467" s="17">
        <f t="shared" si="45"/>
        <v>5.6701244813278011</v>
      </c>
      <c r="P467" s="16">
        <f t="shared" si="46"/>
        <v>0.44431799707364655</v>
      </c>
      <c r="Q467" s="16">
        <f t="shared" si="47"/>
        <v>3.8038785217709479</v>
      </c>
      <c r="R467" s="2" t="s">
        <v>956</v>
      </c>
      <c r="S467" s="21" t="s">
        <v>24</v>
      </c>
      <c r="T467" s="21" t="s">
        <v>17</v>
      </c>
      <c r="U467" s="8">
        <v>2733</v>
      </c>
      <c r="V467" s="11">
        <v>2</v>
      </c>
      <c r="W467" t="str">
        <f>IF(Table1[[#This Row],[Satisfaction Rating]]&lt;2, "Low", IF(Table1[[#This Row],[Satisfaction Rating]]&lt;4, "Medium", "High"))</f>
        <v>Medium</v>
      </c>
    </row>
    <row r="468" spans="1:23" ht="13" x14ac:dyDescent="0.15">
      <c r="A468" s="2" t="s">
        <v>957</v>
      </c>
      <c r="B468" s="23">
        <v>45634.451249999998</v>
      </c>
      <c r="C468" s="23">
        <v>45634.451249999998</v>
      </c>
      <c r="D468" s="23" t="str">
        <f>IF(Table1[[#This Row],[Duration of Campaign]]=0, "Ongoing","Completed")</f>
        <v>Ongoing</v>
      </c>
      <c r="E468" s="25">
        <f>Table1[[#This Row],[End Date]]-Table1[[#This Row],[Start Date]]</f>
        <v>0</v>
      </c>
      <c r="F468" s="8">
        <v>8372</v>
      </c>
      <c r="G468" s="21" t="s">
        <v>37</v>
      </c>
      <c r="H468" s="11">
        <v>17962</v>
      </c>
      <c r="I468" s="11">
        <v>750</v>
      </c>
      <c r="J468" s="11">
        <v>38</v>
      </c>
      <c r="K468" s="13">
        <v>4106</v>
      </c>
      <c r="L468" s="16">
        <f t="shared" si="42"/>
        <v>4.1754815722079945E-2</v>
      </c>
      <c r="M468" s="16">
        <f t="shared" si="43"/>
        <v>5.0666666666666665E-2</v>
      </c>
      <c r="N468" s="17">
        <f t="shared" si="44"/>
        <v>20.588000000000001</v>
      </c>
      <c r="O468" s="17">
        <f t="shared" si="45"/>
        <v>406.34210526315792</v>
      </c>
      <c r="P468" s="16">
        <f t="shared" si="46"/>
        <v>1.844362159579551</v>
      </c>
      <c r="Q468" s="16">
        <f t="shared" si="47"/>
        <v>0.26591541998575224</v>
      </c>
      <c r="R468" s="2" t="s">
        <v>958</v>
      </c>
      <c r="S468" s="21" t="s">
        <v>16</v>
      </c>
      <c r="T468" s="21" t="s">
        <v>27</v>
      </c>
      <c r="U468" s="8">
        <v>15441</v>
      </c>
      <c r="V468" s="11">
        <v>5</v>
      </c>
      <c r="W468" t="str">
        <f>IF(Table1[[#This Row],[Satisfaction Rating]]&lt;2, "Low", IF(Table1[[#This Row],[Satisfaction Rating]]&lt;4, "Medium", "High"))</f>
        <v>High</v>
      </c>
    </row>
    <row r="469" spans="1:23" ht="13" x14ac:dyDescent="0.15">
      <c r="A469" s="2" t="s">
        <v>959</v>
      </c>
      <c r="B469" s="23">
        <v>45487.832152777781</v>
      </c>
      <c r="C469" s="23">
        <v>45487.832152777781</v>
      </c>
      <c r="D469" s="23" t="str">
        <f>IF(Table1[[#This Row],[Duration of Campaign]]=0, "Ongoing","Completed")</f>
        <v>Ongoing</v>
      </c>
      <c r="E469" s="25">
        <f>Table1[[#This Row],[End Date]]-Table1[[#This Row],[Start Date]]</f>
        <v>0</v>
      </c>
      <c r="F469" s="8">
        <v>6912</v>
      </c>
      <c r="G469" s="21" t="s">
        <v>37</v>
      </c>
      <c r="H469" s="11">
        <v>6878</v>
      </c>
      <c r="I469" s="11">
        <v>1814</v>
      </c>
      <c r="J469" s="11">
        <v>240</v>
      </c>
      <c r="K469" s="13">
        <v>9531</v>
      </c>
      <c r="L469" s="16">
        <f t="shared" si="42"/>
        <v>0.26373945914510033</v>
      </c>
      <c r="M469" s="16">
        <f t="shared" si="43"/>
        <v>0.13230429988974643</v>
      </c>
      <c r="N469" s="17">
        <f t="shared" si="44"/>
        <v>3.4079382579933846</v>
      </c>
      <c r="O469" s="17">
        <f t="shared" si="45"/>
        <v>25.758333333333333</v>
      </c>
      <c r="P469" s="16">
        <f t="shared" si="46"/>
        <v>0.89438657407407407</v>
      </c>
      <c r="Q469" s="16">
        <f t="shared" si="47"/>
        <v>1.5417340666450987</v>
      </c>
      <c r="R469" s="2" t="s">
        <v>960</v>
      </c>
      <c r="S469" s="21" t="s">
        <v>30</v>
      </c>
      <c r="T469" s="21" t="s">
        <v>45</v>
      </c>
      <c r="U469" s="8">
        <v>6182</v>
      </c>
      <c r="V469" s="11">
        <v>2</v>
      </c>
      <c r="W469" t="str">
        <f>IF(Table1[[#This Row],[Satisfaction Rating]]&lt;2, "Low", IF(Table1[[#This Row],[Satisfaction Rating]]&lt;4, "Medium", "High"))</f>
        <v>Medium</v>
      </c>
    </row>
    <row r="470" spans="1:23" ht="13" x14ac:dyDescent="0.15">
      <c r="A470" s="2" t="s">
        <v>961</v>
      </c>
      <c r="B470" s="23">
        <v>45465.576828703706</v>
      </c>
      <c r="C470" s="23">
        <v>45465.576828703706</v>
      </c>
      <c r="D470" s="23" t="str">
        <f>IF(Table1[[#This Row],[Duration of Campaign]]=0, "Ongoing","Completed")</f>
        <v>Ongoing</v>
      </c>
      <c r="E470" s="25">
        <f>Table1[[#This Row],[End Date]]-Table1[[#This Row],[Start Date]]</f>
        <v>0</v>
      </c>
      <c r="F470" s="8">
        <v>3578</v>
      </c>
      <c r="G470" s="21" t="s">
        <v>19</v>
      </c>
      <c r="H470" s="11">
        <v>7549</v>
      </c>
      <c r="I470" s="11">
        <v>819</v>
      </c>
      <c r="J470" s="11">
        <v>67</v>
      </c>
      <c r="K470" s="13">
        <v>11008</v>
      </c>
      <c r="L470" s="16">
        <f t="shared" si="42"/>
        <v>0.10849119088621009</v>
      </c>
      <c r="M470" s="16">
        <f t="shared" si="43"/>
        <v>8.1807081807081808E-2</v>
      </c>
      <c r="N470" s="17">
        <f t="shared" si="44"/>
        <v>2.9133089133089132</v>
      </c>
      <c r="O470" s="17">
        <f t="shared" si="45"/>
        <v>35.611940298507463</v>
      </c>
      <c r="P470" s="16">
        <f t="shared" si="46"/>
        <v>0.66685299049748459</v>
      </c>
      <c r="Q470" s="16">
        <f t="shared" si="47"/>
        <v>4.6135792120704107</v>
      </c>
      <c r="R470" s="2" t="s">
        <v>962</v>
      </c>
      <c r="S470" s="21" t="s">
        <v>16</v>
      </c>
      <c r="T470" s="21" t="s">
        <v>17</v>
      </c>
      <c r="U470" s="8">
        <v>2386</v>
      </c>
      <c r="V470" s="11">
        <v>3</v>
      </c>
      <c r="W470" t="str">
        <f>IF(Table1[[#This Row],[Satisfaction Rating]]&lt;2, "Low", IF(Table1[[#This Row],[Satisfaction Rating]]&lt;4, "Medium", "High"))</f>
        <v>Medium</v>
      </c>
    </row>
    <row r="471" spans="1:23" ht="13" x14ac:dyDescent="0.15">
      <c r="A471" s="2" t="s">
        <v>963</v>
      </c>
      <c r="B471" s="23">
        <v>45365.749907407408</v>
      </c>
      <c r="C471" s="23">
        <v>45538.780671296299</v>
      </c>
      <c r="D471" s="23" t="str">
        <f>IF(Table1[[#This Row],[Duration of Campaign]]=0, "Ongoing","Completed")</f>
        <v>Completed</v>
      </c>
      <c r="E471" s="25">
        <f>Table1[[#This Row],[End Date]]-Table1[[#This Row],[Start Date]]</f>
        <v>173.03076388889167</v>
      </c>
      <c r="F471" s="8">
        <v>5057</v>
      </c>
      <c r="G471" s="21" t="s">
        <v>37</v>
      </c>
      <c r="H471" s="11">
        <v>4503</v>
      </c>
      <c r="I471" s="11">
        <v>1827</v>
      </c>
      <c r="J471" s="11">
        <v>369</v>
      </c>
      <c r="K471" s="13">
        <v>14118</v>
      </c>
      <c r="L471" s="16">
        <f t="shared" si="42"/>
        <v>0.4057295136575616</v>
      </c>
      <c r="M471" s="16">
        <f t="shared" si="43"/>
        <v>0.2019704433497537</v>
      </c>
      <c r="N471" s="17">
        <f t="shared" si="44"/>
        <v>6.1702244116037219</v>
      </c>
      <c r="O471" s="17">
        <f t="shared" si="45"/>
        <v>30.550135501355015</v>
      </c>
      <c r="P471" s="16">
        <f t="shared" si="46"/>
        <v>2.2291872651769822</v>
      </c>
      <c r="Q471" s="16">
        <f t="shared" si="47"/>
        <v>1.2523729264614565</v>
      </c>
      <c r="R471" s="2" t="s">
        <v>964</v>
      </c>
      <c r="S471" s="21" t="s">
        <v>24</v>
      </c>
      <c r="T471" s="21" t="s">
        <v>45</v>
      </c>
      <c r="U471" s="8">
        <v>11273</v>
      </c>
      <c r="V471" s="11">
        <v>4</v>
      </c>
      <c r="W471" t="str">
        <f>IF(Table1[[#This Row],[Satisfaction Rating]]&lt;2, "Low", IF(Table1[[#This Row],[Satisfaction Rating]]&lt;4, "Medium", "High"))</f>
        <v>High</v>
      </c>
    </row>
    <row r="472" spans="1:23" ht="13" x14ac:dyDescent="0.15">
      <c r="A472" s="2" t="s">
        <v>965</v>
      </c>
      <c r="B472" s="23">
        <v>45028.079583333332</v>
      </c>
      <c r="C472" s="23">
        <v>45490.493217592593</v>
      </c>
      <c r="D472" s="23" t="str">
        <f>IF(Table1[[#This Row],[Duration of Campaign]]=0, "Ongoing","Completed")</f>
        <v>Completed</v>
      </c>
      <c r="E472" s="25">
        <f>Table1[[#This Row],[End Date]]-Table1[[#This Row],[Start Date]]</f>
        <v>462.41363425926102</v>
      </c>
      <c r="F472" s="8">
        <v>1289</v>
      </c>
      <c r="G472" s="21" t="s">
        <v>53</v>
      </c>
      <c r="H472" s="11">
        <v>12269</v>
      </c>
      <c r="I472" s="11">
        <v>1648</v>
      </c>
      <c r="J472" s="11">
        <v>254</v>
      </c>
      <c r="K472" s="13">
        <v>13598</v>
      </c>
      <c r="L472" s="16">
        <f t="shared" si="42"/>
        <v>0.13432227565408753</v>
      </c>
      <c r="M472" s="16">
        <f t="shared" si="43"/>
        <v>0.154126213592233</v>
      </c>
      <c r="N472" s="17">
        <f t="shared" si="44"/>
        <v>1.004247572815534</v>
      </c>
      <c r="O472" s="17">
        <f t="shared" si="45"/>
        <v>6.515748031496063</v>
      </c>
      <c r="P472" s="16">
        <f t="shared" si="46"/>
        <v>1.2839410395655546</v>
      </c>
      <c r="Q472" s="16">
        <f t="shared" si="47"/>
        <v>8.2163141993957698</v>
      </c>
      <c r="R472" s="2" t="s">
        <v>966</v>
      </c>
      <c r="S472" s="21" t="s">
        <v>16</v>
      </c>
      <c r="T472" s="21" t="s">
        <v>27</v>
      </c>
      <c r="U472" s="8">
        <v>1655</v>
      </c>
      <c r="V472" s="11">
        <v>5</v>
      </c>
      <c r="W472" t="str">
        <f>IF(Table1[[#This Row],[Satisfaction Rating]]&lt;2, "Low", IF(Table1[[#This Row],[Satisfaction Rating]]&lt;4, "Medium", "High"))</f>
        <v>High</v>
      </c>
    </row>
    <row r="473" spans="1:23" ht="13" x14ac:dyDescent="0.15">
      <c r="A473" s="2" t="s">
        <v>967</v>
      </c>
      <c r="B473" s="23">
        <v>45573.310266203705</v>
      </c>
      <c r="C473" s="23">
        <v>45573.310266203705</v>
      </c>
      <c r="D473" s="23" t="str">
        <f>IF(Table1[[#This Row],[Duration of Campaign]]=0, "Ongoing","Completed")</f>
        <v>Ongoing</v>
      </c>
      <c r="E473" s="25">
        <f>Table1[[#This Row],[End Date]]-Table1[[#This Row],[Start Date]]</f>
        <v>0</v>
      </c>
      <c r="F473" s="8">
        <v>6846</v>
      </c>
      <c r="G473" s="21" t="s">
        <v>53</v>
      </c>
      <c r="H473" s="11">
        <v>9128</v>
      </c>
      <c r="I473" s="11">
        <v>617</v>
      </c>
      <c r="J473" s="11">
        <v>318</v>
      </c>
      <c r="K473" s="13">
        <v>7949</v>
      </c>
      <c r="L473" s="16">
        <f t="shared" si="42"/>
        <v>6.7594215600350574E-2</v>
      </c>
      <c r="M473" s="16">
        <f t="shared" si="43"/>
        <v>0.51539708265802264</v>
      </c>
      <c r="N473" s="17">
        <f t="shared" si="44"/>
        <v>4.3095623987034033</v>
      </c>
      <c r="O473" s="17">
        <f t="shared" si="45"/>
        <v>8.3616352201257858</v>
      </c>
      <c r="P473" s="16">
        <f t="shared" si="46"/>
        <v>0.38840198656149577</v>
      </c>
      <c r="Q473" s="16">
        <f t="shared" si="47"/>
        <v>2.9894697254606997</v>
      </c>
      <c r="R473" s="2" t="s">
        <v>968</v>
      </c>
      <c r="S473" s="21" t="s">
        <v>30</v>
      </c>
      <c r="T473" s="21" t="s">
        <v>45</v>
      </c>
      <c r="U473" s="8">
        <v>2659</v>
      </c>
      <c r="V473" s="11">
        <v>1</v>
      </c>
      <c r="W473" t="str">
        <f>IF(Table1[[#This Row],[Satisfaction Rating]]&lt;2, "Low", IF(Table1[[#This Row],[Satisfaction Rating]]&lt;4, "Medium", "High"))</f>
        <v>Low</v>
      </c>
    </row>
    <row r="474" spans="1:23" ht="13" x14ac:dyDescent="0.15">
      <c r="A474" s="2" t="s">
        <v>969</v>
      </c>
      <c r="B474" s="23">
        <v>45091.985601851855</v>
      </c>
      <c r="C474" s="23">
        <v>45220.191458333335</v>
      </c>
      <c r="D474" s="23" t="str">
        <f>IF(Table1[[#This Row],[Duration of Campaign]]=0, "Ongoing","Completed")</f>
        <v>Completed</v>
      </c>
      <c r="E474" s="25">
        <f>Table1[[#This Row],[End Date]]-Table1[[#This Row],[Start Date]]</f>
        <v>128.20585648147971</v>
      </c>
      <c r="F474" s="8">
        <v>7737</v>
      </c>
      <c r="G474" s="21" t="s">
        <v>14</v>
      </c>
      <c r="H474" s="11">
        <v>14512</v>
      </c>
      <c r="I474" s="11">
        <v>1572</v>
      </c>
      <c r="J474" s="11">
        <v>40</v>
      </c>
      <c r="K474" s="13">
        <v>10190</v>
      </c>
      <c r="L474" s="16">
        <f t="shared" si="42"/>
        <v>0.10832414553472988</v>
      </c>
      <c r="M474" s="16">
        <f t="shared" si="43"/>
        <v>2.5445292620865138E-2</v>
      </c>
      <c r="N474" s="17">
        <f t="shared" si="44"/>
        <v>5.9669211195928753</v>
      </c>
      <c r="O474" s="17">
        <f t="shared" si="45"/>
        <v>234.5</v>
      </c>
      <c r="P474" s="16">
        <f t="shared" si="46"/>
        <v>1.2123562104174745</v>
      </c>
      <c r="Q474" s="16">
        <f t="shared" si="47"/>
        <v>1.0863539445628998</v>
      </c>
      <c r="R474" s="2" t="s">
        <v>970</v>
      </c>
      <c r="S474" s="21" t="s">
        <v>16</v>
      </c>
      <c r="T474" s="21" t="s">
        <v>17</v>
      </c>
      <c r="U474" s="8">
        <v>9380</v>
      </c>
      <c r="V474" s="11">
        <v>1</v>
      </c>
      <c r="W474" t="str">
        <f>IF(Table1[[#This Row],[Satisfaction Rating]]&lt;2, "Low", IF(Table1[[#This Row],[Satisfaction Rating]]&lt;4, "Medium", "High"))</f>
        <v>Low</v>
      </c>
    </row>
    <row r="475" spans="1:23" ht="13" x14ac:dyDescent="0.15">
      <c r="A475" s="2" t="s">
        <v>971</v>
      </c>
      <c r="B475" s="23">
        <v>45216.071863425925</v>
      </c>
      <c r="C475" s="23">
        <v>45322.947187500002</v>
      </c>
      <c r="D475" s="23" t="str">
        <f>IF(Table1[[#This Row],[Duration of Campaign]]=0, "Ongoing","Completed")</f>
        <v>Completed</v>
      </c>
      <c r="E475" s="25">
        <f>Table1[[#This Row],[End Date]]-Table1[[#This Row],[Start Date]]</f>
        <v>106.87532407407707</v>
      </c>
      <c r="F475" s="8">
        <v>1805</v>
      </c>
      <c r="G475" s="21" t="s">
        <v>37</v>
      </c>
      <c r="H475" s="11">
        <v>18683</v>
      </c>
      <c r="I475" s="11">
        <v>220</v>
      </c>
      <c r="J475" s="11">
        <v>51</v>
      </c>
      <c r="K475" s="13">
        <v>12151</v>
      </c>
      <c r="L475" s="16">
        <f t="shared" si="42"/>
        <v>1.1775410801263181E-2</v>
      </c>
      <c r="M475" s="16">
        <f t="shared" si="43"/>
        <v>0.23181818181818181</v>
      </c>
      <c r="N475" s="17">
        <f t="shared" si="44"/>
        <v>78.627272727272725</v>
      </c>
      <c r="O475" s="17">
        <f t="shared" si="45"/>
        <v>339.1764705882353</v>
      </c>
      <c r="P475" s="16">
        <f t="shared" si="46"/>
        <v>9.5833795013850409</v>
      </c>
      <c r="Q475" s="16">
        <f t="shared" si="47"/>
        <v>0.70245115042201411</v>
      </c>
      <c r="R475" s="2" t="s">
        <v>972</v>
      </c>
      <c r="S475" s="21" t="s">
        <v>16</v>
      </c>
      <c r="T475" s="21" t="s">
        <v>45</v>
      </c>
      <c r="U475" s="8">
        <v>17298</v>
      </c>
      <c r="V475" s="11">
        <v>3</v>
      </c>
      <c r="W475" t="str">
        <f>IF(Table1[[#This Row],[Satisfaction Rating]]&lt;2, "Low", IF(Table1[[#This Row],[Satisfaction Rating]]&lt;4, "Medium", "High"))</f>
        <v>Medium</v>
      </c>
    </row>
    <row r="476" spans="1:23" ht="13" x14ac:dyDescent="0.15">
      <c r="A476" s="2" t="s">
        <v>973</v>
      </c>
      <c r="B476" s="23">
        <v>45481.535949074074</v>
      </c>
      <c r="C476" s="23">
        <v>45481.535949074074</v>
      </c>
      <c r="D476" s="23" t="str">
        <f>IF(Table1[[#This Row],[Duration of Campaign]]=0, "Ongoing","Completed")</f>
        <v>Ongoing</v>
      </c>
      <c r="E476" s="25">
        <f>Table1[[#This Row],[End Date]]-Table1[[#This Row],[Start Date]]</f>
        <v>0</v>
      </c>
      <c r="F476" s="8">
        <v>7852</v>
      </c>
      <c r="G476" s="21" t="s">
        <v>19</v>
      </c>
      <c r="H476" s="11">
        <v>16513</v>
      </c>
      <c r="I476" s="11">
        <v>1936</v>
      </c>
      <c r="J476" s="11">
        <v>189</v>
      </c>
      <c r="K476" s="13">
        <v>11106</v>
      </c>
      <c r="L476" s="16">
        <f t="shared" si="42"/>
        <v>0.11724096166656574</v>
      </c>
      <c r="M476" s="16">
        <f t="shared" si="43"/>
        <v>9.7623966942148754E-2</v>
      </c>
      <c r="N476" s="17">
        <f t="shared" si="44"/>
        <v>8.2128099173553721</v>
      </c>
      <c r="O476" s="17">
        <f t="shared" si="45"/>
        <v>84.126984126984127</v>
      </c>
      <c r="P476" s="16">
        <f t="shared" si="46"/>
        <v>2.0249617931737136</v>
      </c>
      <c r="Q476" s="16">
        <f t="shared" si="47"/>
        <v>0.69849056603773585</v>
      </c>
      <c r="R476" s="2" t="s">
        <v>974</v>
      </c>
      <c r="S476" s="21" t="s">
        <v>21</v>
      </c>
      <c r="T476" s="21" t="s">
        <v>27</v>
      </c>
      <c r="U476" s="8">
        <v>15900</v>
      </c>
      <c r="V476" s="11">
        <v>2</v>
      </c>
      <c r="W476" t="str">
        <f>IF(Table1[[#This Row],[Satisfaction Rating]]&lt;2, "Low", IF(Table1[[#This Row],[Satisfaction Rating]]&lt;4, "Medium", "High"))</f>
        <v>Medium</v>
      </c>
    </row>
    <row r="477" spans="1:23" ht="13" x14ac:dyDescent="0.15">
      <c r="A477" s="2" t="s">
        <v>975</v>
      </c>
      <c r="B477" s="23">
        <v>45614.340381944443</v>
      </c>
      <c r="C477" s="23">
        <v>45614.340381944443</v>
      </c>
      <c r="D477" s="23" t="str">
        <f>IF(Table1[[#This Row],[Duration of Campaign]]=0, "Ongoing","Completed")</f>
        <v>Ongoing</v>
      </c>
      <c r="E477" s="25">
        <f>Table1[[#This Row],[End Date]]-Table1[[#This Row],[Start Date]]</f>
        <v>0</v>
      </c>
      <c r="F477" s="8">
        <v>8187</v>
      </c>
      <c r="G477" s="21" t="s">
        <v>19</v>
      </c>
      <c r="H477" s="11">
        <v>18559</v>
      </c>
      <c r="I477" s="11">
        <v>1621</v>
      </c>
      <c r="J477" s="11">
        <v>283</v>
      </c>
      <c r="K477" s="13">
        <v>6199</v>
      </c>
      <c r="L477" s="16">
        <f t="shared" si="42"/>
        <v>8.734306805323562E-2</v>
      </c>
      <c r="M477" s="16">
        <f t="shared" si="43"/>
        <v>0.17458359037631091</v>
      </c>
      <c r="N477" s="17">
        <f t="shared" si="44"/>
        <v>11.814312152991981</v>
      </c>
      <c r="O477" s="17">
        <f t="shared" si="45"/>
        <v>67.671378091872796</v>
      </c>
      <c r="P477" s="16">
        <f t="shared" si="46"/>
        <v>2.33919628679614</v>
      </c>
      <c r="Q477" s="16">
        <f t="shared" si="47"/>
        <v>0.32369066889457471</v>
      </c>
      <c r="R477" s="2" t="s">
        <v>976</v>
      </c>
      <c r="S477" s="21" t="s">
        <v>30</v>
      </c>
      <c r="T477" s="21" t="s">
        <v>17</v>
      </c>
      <c r="U477" s="8">
        <v>19151</v>
      </c>
      <c r="V477" s="11">
        <v>1</v>
      </c>
      <c r="W477" t="str">
        <f>IF(Table1[[#This Row],[Satisfaction Rating]]&lt;2, "Low", IF(Table1[[#This Row],[Satisfaction Rating]]&lt;4, "Medium", "High"))</f>
        <v>Low</v>
      </c>
    </row>
    <row r="478" spans="1:23" ht="13" x14ac:dyDescent="0.15">
      <c r="A478" s="2" t="s">
        <v>977</v>
      </c>
      <c r="B478" s="23">
        <v>45009.757870370369</v>
      </c>
      <c r="C478" s="23">
        <v>45579.922407407408</v>
      </c>
      <c r="D478" s="23" t="str">
        <f>IF(Table1[[#This Row],[Duration of Campaign]]=0, "Ongoing","Completed")</f>
        <v>Completed</v>
      </c>
      <c r="E478" s="25">
        <f>Table1[[#This Row],[End Date]]-Table1[[#This Row],[Start Date]]</f>
        <v>570.16453703703883</v>
      </c>
      <c r="F478" s="8">
        <v>8363</v>
      </c>
      <c r="G478" s="21" t="s">
        <v>53</v>
      </c>
      <c r="H478" s="11">
        <v>12024</v>
      </c>
      <c r="I478" s="11">
        <v>1022</v>
      </c>
      <c r="J478" s="11">
        <v>354</v>
      </c>
      <c r="K478" s="13">
        <v>7903</v>
      </c>
      <c r="L478" s="16">
        <f t="shared" si="42"/>
        <v>8.4996673320026611E-2</v>
      </c>
      <c r="M478" s="16">
        <f t="shared" si="43"/>
        <v>0.34637964774951074</v>
      </c>
      <c r="N478" s="17">
        <f t="shared" si="44"/>
        <v>13.153620352250488</v>
      </c>
      <c r="O478" s="17">
        <f t="shared" si="45"/>
        <v>37.974576271186443</v>
      </c>
      <c r="P478" s="16">
        <f t="shared" si="46"/>
        <v>1.6074375224201842</v>
      </c>
      <c r="Q478" s="16">
        <f t="shared" si="47"/>
        <v>0.58788960797441048</v>
      </c>
      <c r="R478" s="2" t="s">
        <v>978</v>
      </c>
      <c r="S478" s="21" t="s">
        <v>30</v>
      </c>
      <c r="T478" s="21" t="s">
        <v>27</v>
      </c>
      <c r="U478" s="8">
        <v>13443</v>
      </c>
      <c r="V478" s="11">
        <v>1</v>
      </c>
      <c r="W478" t="str">
        <f>IF(Table1[[#This Row],[Satisfaction Rating]]&lt;2, "Low", IF(Table1[[#This Row],[Satisfaction Rating]]&lt;4, "Medium", "High"))</f>
        <v>Low</v>
      </c>
    </row>
    <row r="479" spans="1:23" ht="13" x14ac:dyDescent="0.15">
      <c r="A479" s="2" t="s">
        <v>979</v>
      </c>
      <c r="B479" s="23">
        <v>45092.38013888889</v>
      </c>
      <c r="C479" s="23">
        <v>45200.457037037035</v>
      </c>
      <c r="D479" s="23" t="str">
        <f>IF(Table1[[#This Row],[Duration of Campaign]]=0, "Ongoing","Completed")</f>
        <v>Completed</v>
      </c>
      <c r="E479" s="25">
        <f>Table1[[#This Row],[End Date]]-Table1[[#This Row],[Start Date]]</f>
        <v>108.07689814814512</v>
      </c>
      <c r="F479" s="8">
        <v>9725</v>
      </c>
      <c r="G479" s="21" t="s">
        <v>14</v>
      </c>
      <c r="H479" s="11">
        <v>3449</v>
      </c>
      <c r="I479" s="11">
        <v>402</v>
      </c>
      <c r="J479" s="11">
        <v>96</v>
      </c>
      <c r="K479" s="13">
        <v>11124</v>
      </c>
      <c r="L479" s="16">
        <f t="shared" si="42"/>
        <v>0.11655552334009858</v>
      </c>
      <c r="M479" s="16">
        <f t="shared" si="43"/>
        <v>0.23880597014925373</v>
      </c>
      <c r="N479" s="17">
        <f t="shared" si="44"/>
        <v>36.4228855721393</v>
      </c>
      <c r="O479" s="17">
        <f t="shared" si="45"/>
        <v>152.52083333333334</v>
      </c>
      <c r="P479" s="16">
        <f t="shared" si="46"/>
        <v>1.5056041131105398</v>
      </c>
      <c r="Q479" s="16">
        <f t="shared" si="47"/>
        <v>0.75973227701133728</v>
      </c>
      <c r="R479" s="2" t="s">
        <v>980</v>
      </c>
      <c r="S479" s="21" t="s">
        <v>16</v>
      </c>
      <c r="T479" s="21" t="s">
        <v>27</v>
      </c>
      <c r="U479" s="8">
        <v>14642</v>
      </c>
      <c r="V479" s="11">
        <v>4</v>
      </c>
      <c r="W479" t="str">
        <f>IF(Table1[[#This Row],[Satisfaction Rating]]&lt;2, "Low", IF(Table1[[#This Row],[Satisfaction Rating]]&lt;4, "Medium", "High"))</f>
        <v>High</v>
      </c>
    </row>
    <row r="480" spans="1:23" ht="13" x14ac:dyDescent="0.15">
      <c r="A480" s="2" t="s">
        <v>981</v>
      </c>
      <c r="B480" s="23">
        <v>45010.33797453704</v>
      </c>
      <c r="C480" s="23">
        <v>45553.145590277774</v>
      </c>
      <c r="D480" s="23" t="str">
        <f>IF(Table1[[#This Row],[Duration of Campaign]]=0, "Ongoing","Completed")</f>
        <v>Completed</v>
      </c>
      <c r="E480" s="25">
        <f>Table1[[#This Row],[End Date]]-Table1[[#This Row],[Start Date]]</f>
        <v>542.80761574073404</v>
      </c>
      <c r="F480" s="8">
        <v>3631</v>
      </c>
      <c r="G480" s="21" t="s">
        <v>37</v>
      </c>
      <c r="H480" s="11">
        <v>2482</v>
      </c>
      <c r="I480" s="11">
        <v>504</v>
      </c>
      <c r="J480" s="11">
        <v>59</v>
      </c>
      <c r="K480" s="13">
        <v>11296</v>
      </c>
      <c r="L480" s="16">
        <f t="shared" si="42"/>
        <v>0.20306204673650283</v>
      </c>
      <c r="M480" s="16">
        <f t="shared" si="43"/>
        <v>0.11706349206349206</v>
      </c>
      <c r="N480" s="17">
        <f t="shared" si="44"/>
        <v>27.253968253968253</v>
      </c>
      <c r="O480" s="17">
        <f t="shared" si="45"/>
        <v>232.81355932203391</v>
      </c>
      <c r="P480" s="16">
        <f t="shared" si="46"/>
        <v>3.7829798953456346</v>
      </c>
      <c r="Q480" s="16">
        <f t="shared" si="47"/>
        <v>0.82236458940011647</v>
      </c>
      <c r="R480" s="2" t="s">
        <v>982</v>
      </c>
      <c r="S480" s="21" t="s">
        <v>21</v>
      </c>
      <c r="T480" s="21" t="s">
        <v>17</v>
      </c>
      <c r="U480" s="8">
        <v>13736</v>
      </c>
      <c r="V480" s="11">
        <v>5</v>
      </c>
      <c r="W480" t="str">
        <f>IF(Table1[[#This Row],[Satisfaction Rating]]&lt;2, "Low", IF(Table1[[#This Row],[Satisfaction Rating]]&lt;4, "Medium", "High"))</f>
        <v>High</v>
      </c>
    </row>
    <row r="481" spans="1:23" ht="13" x14ac:dyDescent="0.15">
      <c r="A481" s="2" t="s">
        <v>983</v>
      </c>
      <c r="B481" s="23">
        <v>45191.392094907409</v>
      </c>
      <c r="C481" s="23">
        <v>45355.446493055555</v>
      </c>
      <c r="D481" s="23" t="str">
        <f>IF(Table1[[#This Row],[Duration of Campaign]]=0, "Ongoing","Completed")</f>
        <v>Completed</v>
      </c>
      <c r="E481" s="25">
        <f>Table1[[#This Row],[End Date]]-Table1[[#This Row],[Start Date]]</f>
        <v>164.05439814814599</v>
      </c>
      <c r="F481" s="8">
        <v>7871</v>
      </c>
      <c r="G481" s="21" t="s">
        <v>14</v>
      </c>
      <c r="H481" s="11">
        <v>3443</v>
      </c>
      <c r="I481" s="11">
        <v>1241</v>
      </c>
      <c r="J481" s="11">
        <v>352</v>
      </c>
      <c r="K481" s="13">
        <v>9718</v>
      </c>
      <c r="L481" s="16">
        <f t="shared" si="42"/>
        <v>0.36044147545744992</v>
      </c>
      <c r="M481" s="16">
        <f t="shared" si="43"/>
        <v>0.28364222401289285</v>
      </c>
      <c r="N481" s="17">
        <f t="shared" si="44"/>
        <v>12.882352941176471</v>
      </c>
      <c r="O481" s="17">
        <f t="shared" si="45"/>
        <v>45.417613636363633</v>
      </c>
      <c r="P481" s="16">
        <f t="shared" si="46"/>
        <v>2.0311269216109769</v>
      </c>
      <c r="Q481" s="16">
        <f t="shared" si="47"/>
        <v>0.60786889347594919</v>
      </c>
      <c r="R481" s="2" t="s">
        <v>984</v>
      </c>
      <c r="S481" s="21" t="s">
        <v>30</v>
      </c>
      <c r="T481" s="21" t="s">
        <v>17</v>
      </c>
      <c r="U481" s="8">
        <v>15987</v>
      </c>
      <c r="V481" s="11">
        <v>4</v>
      </c>
      <c r="W481" t="str">
        <f>IF(Table1[[#This Row],[Satisfaction Rating]]&lt;2, "Low", IF(Table1[[#This Row],[Satisfaction Rating]]&lt;4, "Medium", "High"))</f>
        <v>High</v>
      </c>
    </row>
    <row r="482" spans="1:23" ht="13" x14ac:dyDescent="0.15">
      <c r="A482" s="2" t="s">
        <v>985</v>
      </c>
      <c r="B482" s="23">
        <v>45208.266041666669</v>
      </c>
      <c r="C482" s="23">
        <v>45399.711886574078</v>
      </c>
      <c r="D482" s="23" t="str">
        <f>IF(Table1[[#This Row],[Duration of Campaign]]=0, "Ongoing","Completed")</f>
        <v>Completed</v>
      </c>
      <c r="E482" s="25">
        <f>Table1[[#This Row],[End Date]]-Table1[[#This Row],[Start Date]]</f>
        <v>191.44584490740817</v>
      </c>
      <c r="F482" s="8">
        <v>7531</v>
      </c>
      <c r="G482" s="21" t="s">
        <v>19</v>
      </c>
      <c r="H482" s="11">
        <v>7428</v>
      </c>
      <c r="I482" s="11">
        <v>397</v>
      </c>
      <c r="J482" s="11">
        <v>469</v>
      </c>
      <c r="K482" s="13">
        <v>7956</v>
      </c>
      <c r="L482" s="16">
        <f t="shared" si="42"/>
        <v>5.3446418955304255E-2</v>
      </c>
      <c r="M482" s="16">
        <f t="shared" si="43"/>
        <v>1.1813602015113349</v>
      </c>
      <c r="N482" s="17">
        <f t="shared" si="44"/>
        <v>26.397984886649873</v>
      </c>
      <c r="O482" s="17">
        <f t="shared" si="45"/>
        <v>22.345415778251599</v>
      </c>
      <c r="P482" s="16">
        <f t="shared" si="46"/>
        <v>1.3915814632850882</v>
      </c>
      <c r="Q482" s="16">
        <f t="shared" si="47"/>
        <v>0.75916030534351142</v>
      </c>
      <c r="R482" s="2" t="s">
        <v>986</v>
      </c>
      <c r="S482" s="21" t="s">
        <v>24</v>
      </c>
      <c r="T482" s="21" t="s">
        <v>17</v>
      </c>
      <c r="U482" s="8">
        <v>10480</v>
      </c>
      <c r="V482" s="11">
        <v>4</v>
      </c>
      <c r="W482" t="str">
        <f>IF(Table1[[#This Row],[Satisfaction Rating]]&lt;2, "Low", IF(Table1[[#This Row],[Satisfaction Rating]]&lt;4, "Medium", "High"))</f>
        <v>High</v>
      </c>
    </row>
    <row r="483" spans="1:23" ht="13" x14ac:dyDescent="0.15">
      <c r="A483" s="2" t="s">
        <v>987</v>
      </c>
      <c r="B483" s="23">
        <v>45384.061469907407</v>
      </c>
      <c r="C483" s="23">
        <v>45384.061469907407</v>
      </c>
      <c r="D483" s="23" t="str">
        <f>IF(Table1[[#This Row],[Duration of Campaign]]=0, "Ongoing","Completed")</f>
        <v>Ongoing</v>
      </c>
      <c r="E483" s="25">
        <f>Table1[[#This Row],[End Date]]-Table1[[#This Row],[Start Date]]</f>
        <v>0</v>
      </c>
      <c r="F483" s="8">
        <v>2399</v>
      </c>
      <c r="G483" s="21" t="s">
        <v>53</v>
      </c>
      <c r="H483" s="11">
        <v>2779</v>
      </c>
      <c r="I483" s="11">
        <v>1066</v>
      </c>
      <c r="J483" s="11">
        <v>271</v>
      </c>
      <c r="K483" s="13">
        <v>6041</v>
      </c>
      <c r="L483" s="16">
        <f t="shared" si="42"/>
        <v>0.38359121986326017</v>
      </c>
      <c r="M483" s="16">
        <f t="shared" si="43"/>
        <v>0.25422138836772984</v>
      </c>
      <c r="N483" s="17">
        <f t="shared" si="44"/>
        <v>1.8789868667917449</v>
      </c>
      <c r="O483" s="17">
        <f t="shared" si="45"/>
        <v>7.391143911439114</v>
      </c>
      <c r="P483" s="16">
        <f t="shared" si="46"/>
        <v>0.83493122134222597</v>
      </c>
      <c r="Q483" s="16">
        <f t="shared" si="47"/>
        <v>3.015976035946081</v>
      </c>
      <c r="R483" s="2" t="s">
        <v>988</v>
      </c>
      <c r="S483" s="21" t="s">
        <v>21</v>
      </c>
      <c r="T483" s="21" t="s">
        <v>27</v>
      </c>
      <c r="U483" s="8">
        <v>2003</v>
      </c>
      <c r="V483" s="11">
        <v>1</v>
      </c>
      <c r="W483" t="str">
        <f>IF(Table1[[#This Row],[Satisfaction Rating]]&lt;2, "Low", IF(Table1[[#This Row],[Satisfaction Rating]]&lt;4, "Medium", "High"))</f>
        <v>Low</v>
      </c>
    </row>
    <row r="484" spans="1:23" ht="13" x14ac:dyDescent="0.15">
      <c r="A484" s="2" t="s">
        <v>989</v>
      </c>
      <c r="B484" s="23">
        <v>45378.616018518522</v>
      </c>
      <c r="C484" s="23">
        <v>45378.616018518522</v>
      </c>
      <c r="D484" s="23" t="str">
        <f>IF(Table1[[#This Row],[Duration of Campaign]]=0, "Ongoing","Completed")</f>
        <v>Ongoing</v>
      </c>
      <c r="E484" s="25">
        <f>Table1[[#This Row],[End Date]]-Table1[[#This Row],[Start Date]]</f>
        <v>0</v>
      </c>
      <c r="F484" s="8">
        <v>5029</v>
      </c>
      <c r="G484" s="21" t="s">
        <v>37</v>
      </c>
      <c r="H484" s="11">
        <v>18865</v>
      </c>
      <c r="I484" s="11">
        <v>135</v>
      </c>
      <c r="J484" s="11">
        <v>467</v>
      </c>
      <c r="K484" s="13">
        <v>6024</v>
      </c>
      <c r="L484" s="16">
        <f t="shared" si="42"/>
        <v>7.1561091969255235E-3</v>
      </c>
      <c r="M484" s="16">
        <f t="shared" si="43"/>
        <v>3.4592592592592593</v>
      </c>
      <c r="N484" s="17">
        <f t="shared" si="44"/>
        <v>60.555555555555557</v>
      </c>
      <c r="O484" s="17">
        <f t="shared" si="45"/>
        <v>17.505353319057814</v>
      </c>
      <c r="P484" s="16">
        <f t="shared" si="46"/>
        <v>1.6255716842314576</v>
      </c>
      <c r="Q484" s="16">
        <f t="shared" si="47"/>
        <v>0.73688073394495412</v>
      </c>
      <c r="R484" s="2" t="s">
        <v>990</v>
      </c>
      <c r="S484" s="21" t="s">
        <v>16</v>
      </c>
      <c r="T484" s="21" t="s">
        <v>45</v>
      </c>
      <c r="U484" s="8">
        <v>8175</v>
      </c>
      <c r="V484" s="11">
        <v>2</v>
      </c>
      <c r="W484" t="str">
        <f>IF(Table1[[#This Row],[Satisfaction Rating]]&lt;2, "Low", IF(Table1[[#This Row],[Satisfaction Rating]]&lt;4, "Medium", "High"))</f>
        <v>Medium</v>
      </c>
    </row>
    <row r="485" spans="1:23" ht="13" x14ac:dyDescent="0.15">
      <c r="A485" s="2" t="s">
        <v>991</v>
      </c>
      <c r="B485" s="23">
        <v>45023.417581018519</v>
      </c>
      <c r="C485" s="23">
        <v>45095.169108796297</v>
      </c>
      <c r="D485" s="23" t="str">
        <f>IF(Table1[[#This Row],[Duration of Campaign]]=0, "Ongoing","Completed")</f>
        <v>Completed</v>
      </c>
      <c r="E485" s="25">
        <f>Table1[[#This Row],[End Date]]-Table1[[#This Row],[Start Date]]</f>
        <v>71.751527777778392</v>
      </c>
      <c r="F485" s="8">
        <v>4671</v>
      </c>
      <c r="G485" s="21" t="s">
        <v>53</v>
      </c>
      <c r="H485" s="11">
        <v>10275</v>
      </c>
      <c r="I485" s="11">
        <v>1773</v>
      </c>
      <c r="J485" s="11">
        <v>443</v>
      </c>
      <c r="K485" s="13">
        <v>9537</v>
      </c>
      <c r="L485" s="16">
        <f t="shared" si="42"/>
        <v>0.17255474452554745</v>
      </c>
      <c r="M485" s="16">
        <f t="shared" si="43"/>
        <v>0.24985899605188946</v>
      </c>
      <c r="N485" s="17">
        <f t="shared" si="44"/>
        <v>6.0699379582628312</v>
      </c>
      <c r="O485" s="17">
        <f t="shared" si="45"/>
        <v>24.293453724604966</v>
      </c>
      <c r="P485" s="16">
        <f t="shared" si="46"/>
        <v>2.3040034253907087</v>
      </c>
      <c r="Q485" s="16">
        <f t="shared" si="47"/>
        <v>0.88617357368518868</v>
      </c>
      <c r="R485" s="2" t="s">
        <v>992</v>
      </c>
      <c r="S485" s="21" t="s">
        <v>30</v>
      </c>
      <c r="T485" s="21" t="s">
        <v>45</v>
      </c>
      <c r="U485" s="8">
        <v>10762</v>
      </c>
      <c r="V485" s="11">
        <v>1</v>
      </c>
      <c r="W485" t="str">
        <f>IF(Table1[[#This Row],[Satisfaction Rating]]&lt;2, "Low", IF(Table1[[#This Row],[Satisfaction Rating]]&lt;4, "Medium", "High"))</f>
        <v>Low</v>
      </c>
    </row>
    <row r="486" spans="1:23" ht="13" x14ac:dyDescent="0.15">
      <c r="A486" s="2" t="s">
        <v>993</v>
      </c>
      <c r="B486" s="23">
        <v>45593.867256944446</v>
      </c>
      <c r="C486" s="23">
        <v>45593.867256944446</v>
      </c>
      <c r="D486" s="23" t="str">
        <f>IF(Table1[[#This Row],[Duration of Campaign]]=0, "Ongoing","Completed")</f>
        <v>Ongoing</v>
      </c>
      <c r="E486" s="25">
        <f>Table1[[#This Row],[End Date]]-Table1[[#This Row],[Start Date]]</f>
        <v>0</v>
      </c>
      <c r="F486" s="8">
        <v>7815</v>
      </c>
      <c r="G486" s="21" t="s">
        <v>53</v>
      </c>
      <c r="H486" s="11">
        <v>12281</v>
      </c>
      <c r="I486" s="11">
        <v>1603</v>
      </c>
      <c r="J486" s="11">
        <v>15</v>
      </c>
      <c r="K486" s="13">
        <v>6488</v>
      </c>
      <c r="L486" s="16">
        <f t="shared" si="42"/>
        <v>0.13052683006269847</v>
      </c>
      <c r="M486" s="16">
        <f t="shared" si="43"/>
        <v>9.3574547723019336E-3</v>
      </c>
      <c r="N486" s="17">
        <f t="shared" si="44"/>
        <v>2.4741110417966312</v>
      </c>
      <c r="O486" s="17">
        <f t="shared" si="45"/>
        <v>264.39999999999998</v>
      </c>
      <c r="P486" s="16">
        <f t="shared" si="46"/>
        <v>0.50748560460652592</v>
      </c>
      <c r="Q486" s="16">
        <f t="shared" si="47"/>
        <v>1.6359051941502774</v>
      </c>
      <c r="R486" s="2" t="s">
        <v>994</v>
      </c>
      <c r="S486" s="21" t="s">
        <v>30</v>
      </c>
      <c r="T486" s="21" t="s">
        <v>27</v>
      </c>
      <c r="U486" s="8">
        <v>3966</v>
      </c>
      <c r="V486" s="11">
        <v>1</v>
      </c>
      <c r="W486" t="str">
        <f>IF(Table1[[#This Row],[Satisfaction Rating]]&lt;2, "Low", IF(Table1[[#This Row],[Satisfaction Rating]]&lt;4, "Medium", "High"))</f>
        <v>Low</v>
      </c>
    </row>
    <row r="487" spans="1:23" ht="13" x14ac:dyDescent="0.15">
      <c r="A487" s="2" t="s">
        <v>995</v>
      </c>
      <c r="B487" s="23">
        <v>45201.316087962965</v>
      </c>
      <c r="C487" s="23">
        <v>45201.316087962965</v>
      </c>
      <c r="D487" s="23" t="str">
        <f>IF(Table1[[#This Row],[Duration of Campaign]]=0, "Ongoing","Completed")</f>
        <v>Ongoing</v>
      </c>
      <c r="E487" s="25">
        <f>Table1[[#This Row],[End Date]]-Table1[[#This Row],[Start Date]]</f>
        <v>0</v>
      </c>
      <c r="F487" s="8">
        <v>5754</v>
      </c>
      <c r="G487" s="21" t="s">
        <v>14</v>
      </c>
      <c r="H487" s="11">
        <v>8264</v>
      </c>
      <c r="I487" s="11">
        <v>195</v>
      </c>
      <c r="J487" s="11">
        <v>307</v>
      </c>
      <c r="K487" s="13">
        <v>6075</v>
      </c>
      <c r="L487" s="16">
        <f t="shared" si="42"/>
        <v>2.3596321393998063E-2</v>
      </c>
      <c r="M487" s="16">
        <f t="shared" si="43"/>
        <v>1.5743589743589743</v>
      </c>
      <c r="N487" s="17">
        <f t="shared" si="44"/>
        <v>57.051282051282051</v>
      </c>
      <c r="O487" s="17">
        <f t="shared" si="45"/>
        <v>36.237785016286644</v>
      </c>
      <c r="P487" s="16">
        <f t="shared" si="46"/>
        <v>1.9334376086200904</v>
      </c>
      <c r="Q487" s="16">
        <f t="shared" si="47"/>
        <v>0.54606741573033712</v>
      </c>
      <c r="R487" s="2" t="s">
        <v>996</v>
      </c>
      <c r="S487" s="21" t="s">
        <v>16</v>
      </c>
      <c r="T487" s="21" t="s">
        <v>17</v>
      </c>
      <c r="U487" s="8">
        <v>11125</v>
      </c>
      <c r="V487" s="11">
        <v>4</v>
      </c>
      <c r="W487" t="str">
        <f>IF(Table1[[#This Row],[Satisfaction Rating]]&lt;2, "Low", IF(Table1[[#This Row],[Satisfaction Rating]]&lt;4, "Medium", "High"))</f>
        <v>High</v>
      </c>
    </row>
    <row r="488" spans="1:23" ht="13" x14ac:dyDescent="0.15">
      <c r="A488" s="2" t="s">
        <v>997</v>
      </c>
      <c r="B488" s="23">
        <v>45380.235011574077</v>
      </c>
      <c r="C488" s="23">
        <v>45380.235011574077</v>
      </c>
      <c r="D488" s="23" t="str">
        <f>IF(Table1[[#This Row],[Duration of Campaign]]=0, "Ongoing","Completed")</f>
        <v>Ongoing</v>
      </c>
      <c r="E488" s="25">
        <f>Table1[[#This Row],[End Date]]-Table1[[#This Row],[Start Date]]</f>
        <v>0</v>
      </c>
      <c r="F488" s="8">
        <v>3008</v>
      </c>
      <c r="G488" s="21" t="s">
        <v>53</v>
      </c>
      <c r="H488" s="11">
        <v>14837</v>
      </c>
      <c r="I488" s="11">
        <v>1018</v>
      </c>
      <c r="J488" s="11">
        <v>395</v>
      </c>
      <c r="K488" s="13">
        <v>8765</v>
      </c>
      <c r="L488" s="16">
        <f t="shared" si="42"/>
        <v>6.8612253150906521E-2</v>
      </c>
      <c r="M488" s="16">
        <f t="shared" si="43"/>
        <v>0.3880157170923379</v>
      </c>
      <c r="N488" s="17">
        <f t="shared" si="44"/>
        <v>13.055992141453832</v>
      </c>
      <c r="O488" s="17">
        <f t="shared" si="45"/>
        <v>33.648101265822788</v>
      </c>
      <c r="P488" s="16">
        <f t="shared" si="46"/>
        <v>4.4185505319148932</v>
      </c>
      <c r="Q488" s="16">
        <f t="shared" si="47"/>
        <v>0.65946881348280795</v>
      </c>
      <c r="R488" s="2" t="s">
        <v>998</v>
      </c>
      <c r="S488" s="21" t="s">
        <v>21</v>
      </c>
      <c r="T488" s="21" t="s">
        <v>17</v>
      </c>
      <c r="U488" s="8">
        <v>13291</v>
      </c>
      <c r="V488" s="11">
        <v>2</v>
      </c>
      <c r="W488" t="str">
        <f>IF(Table1[[#This Row],[Satisfaction Rating]]&lt;2, "Low", IF(Table1[[#This Row],[Satisfaction Rating]]&lt;4, "Medium", "High"))</f>
        <v>Medium</v>
      </c>
    </row>
    <row r="489" spans="1:23" ht="13" x14ac:dyDescent="0.15">
      <c r="A489" s="2" t="s">
        <v>999</v>
      </c>
      <c r="B489" s="23">
        <v>45304.583657407406</v>
      </c>
      <c r="C489" s="23">
        <v>45356.865763888891</v>
      </c>
      <c r="D489" s="23" t="str">
        <f>IF(Table1[[#This Row],[Duration of Campaign]]=0, "Ongoing","Completed")</f>
        <v>Completed</v>
      </c>
      <c r="E489" s="25">
        <f>Table1[[#This Row],[End Date]]-Table1[[#This Row],[Start Date]]</f>
        <v>52.282106481485243</v>
      </c>
      <c r="F489" s="8">
        <v>2872</v>
      </c>
      <c r="G489" s="21" t="s">
        <v>19</v>
      </c>
      <c r="H489" s="11">
        <v>10995</v>
      </c>
      <c r="I489" s="11">
        <v>1082</v>
      </c>
      <c r="J489" s="11">
        <v>226</v>
      </c>
      <c r="K489" s="13">
        <v>1581</v>
      </c>
      <c r="L489" s="16">
        <f t="shared" si="42"/>
        <v>9.8408367439745334E-2</v>
      </c>
      <c r="M489" s="16">
        <f t="shared" si="43"/>
        <v>0.20887245841035121</v>
      </c>
      <c r="N489" s="17">
        <f t="shared" si="44"/>
        <v>10.577634011090574</v>
      </c>
      <c r="O489" s="17">
        <f t="shared" si="45"/>
        <v>50.641592920353979</v>
      </c>
      <c r="P489" s="16">
        <f t="shared" si="46"/>
        <v>3.9850278551532035</v>
      </c>
      <c r="Q489" s="16">
        <f t="shared" si="47"/>
        <v>0.13813892529488861</v>
      </c>
      <c r="R489" s="2" t="s">
        <v>1000</v>
      </c>
      <c r="S489" s="21" t="s">
        <v>21</v>
      </c>
      <c r="T489" s="21" t="s">
        <v>17</v>
      </c>
      <c r="U489" s="8">
        <v>11445</v>
      </c>
      <c r="V489" s="11">
        <v>5</v>
      </c>
      <c r="W489" t="str">
        <f>IF(Table1[[#This Row],[Satisfaction Rating]]&lt;2, "Low", IF(Table1[[#This Row],[Satisfaction Rating]]&lt;4, "Medium", "High"))</f>
        <v>High</v>
      </c>
    </row>
    <row r="490" spans="1:23" ht="13" x14ac:dyDescent="0.15">
      <c r="A490" s="2" t="s">
        <v>1001</v>
      </c>
      <c r="B490" s="23">
        <v>44950.62672453704</v>
      </c>
      <c r="C490" s="23">
        <v>45300.035578703704</v>
      </c>
      <c r="D490" s="23" t="str">
        <f>IF(Table1[[#This Row],[Duration of Campaign]]=0, "Ongoing","Completed")</f>
        <v>Completed</v>
      </c>
      <c r="E490" s="25">
        <f>Table1[[#This Row],[End Date]]-Table1[[#This Row],[Start Date]]</f>
        <v>349.40885416666424</v>
      </c>
      <c r="F490" s="8">
        <v>4741</v>
      </c>
      <c r="G490" s="21" t="s">
        <v>19</v>
      </c>
      <c r="H490" s="11">
        <v>18555</v>
      </c>
      <c r="I490" s="11">
        <v>293</v>
      </c>
      <c r="J490" s="11">
        <v>317</v>
      </c>
      <c r="K490" s="13">
        <v>6126</v>
      </c>
      <c r="L490" s="16">
        <f t="shared" si="42"/>
        <v>1.5790891942872542E-2</v>
      </c>
      <c r="M490" s="16">
        <f t="shared" si="43"/>
        <v>1.0819112627986349</v>
      </c>
      <c r="N490" s="17">
        <f t="shared" si="44"/>
        <v>22.56655290102389</v>
      </c>
      <c r="O490" s="17">
        <f t="shared" si="45"/>
        <v>20.858044164037857</v>
      </c>
      <c r="P490" s="16">
        <f t="shared" si="46"/>
        <v>1.3946424804893482</v>
      </c>
      <c r="Q490" s="16">
        <f t="shared" si="47"/>
        <v>0.926497277676951</v>
      </c>
      <c r="R490" s="2" t="s">
        <v>1002</v>
      </c>
      <c r="S490" s="21" t="s">
        <v>35</v>
      </c>
      <c r="T490" s="21" t="s">
        <v>17</v>
      </c>
      <c r="U490" s="8">
        <v>6612</v>
      </c>
      <c r="V490" s="11">
        <v>2</v>
      </c>
      <c r="W490" t="str">
        <f>IF(Table1[[#This Row],[Satisfaction Rating]]&lt;2, "Low", IF(Table1[[#This Row],[Satisfaction Rating]]&lt;4, "Medium", "High"))</f>
        <v>Medium</v>
      </c>
    </row>
    <row r="491" spans="1:23" ht="13" x14ac:dyDescent="0.15">
      <c r="A491" s="2" t="s">
        <v>1003</v>
      </c>
      <c r="B491" s="23">
        <v>45277.273472222223</v>
      </c>
      <c r="C491" s="23">
        <v>45277.273472222223</v>
      </c>
      <c r="D491" s="23" t="str">
        <f>IF(Table1[[#This Row],[Duration of Campaign]]=0, "Ongoing","Completed")</f>
        <v>Ongoing</v>
      </c>
      <c r="E491" s="25">
        <f>Table1[[#This Row],[End Date]]-Table1[[#This Row],[Start Date]]</f>
        <v>0</v>
      </c>
      <c r="F491" s="8">
        <v>6221</v>
      </c>
      <c r="G491" s="21" t="s">
        <v>14</v>
      </c>
      <c r="H491" s="11">
        <v>19917</v>
      </c>
      <c r="I491" s="11">
        <v>952</v>
      </c>
      <c r="J491" s="11">
        <v>413</v>
      </c>
      <c r="K491" s="13">
        <v>3316</v>
      </c>
      <c r="L491" s="16">
        <f t="shared" si="42"/>
        <v>4.7798363207310339E-2</v>
      </c>
      <c r="M491" s="16">
        <f t="shared" si="43"/>
        <v>0.43382352941176472</v>
      </c>
      <c r="N491" s="17">
        <f t="shared" si="44"/>
        <v>20.134453781512605</v>
      </c>
      <c r="O491" s="17">
        <f t="shared" si="45"/>
        <v>46.411622276029057</v>
      </c>
      <c r="P491" s="16">
        <f t="shared" si="46"/>
        <v>3.0811766597010126</v>
      </c>
      <c r="Q491" s="16">
        <f t="shared" si="47"/>
        <v>0.1729966611018364</v>
      </c>
      <c r="R491" s="2" t="s">
        <v>1004</v>
      </c>
      <c r="S491" s="21" t="s">
        <v>21</v>
      </c>
      <c r="T491" s="21" t="s">
        <v>45</v>
      </c>
      <c r="U491" s="8">
        <v>19168</v>
      </c>
      <c r="V491" s="11">
        <v>2</v>
      </c>
      <c r="W491" t="str">
        <f>IF(Table1[[#This Row],[Satisfaction Rating]]&lt;2, "Low", IF(Table1[[#This Row],[Satisfaction Rating]]&lt;4, "Medium", "High"))</f>
        <v>Medium</v>
      </c>
    </row>
    <row r="492" spans="1:23" ht="13" x14ac:dyDescent="0.15">
      <c r="A492" s="2" t="s">
        <v>1005</v>
      </c>
      <c r="B492" s="23">
        <v>45120.420868055553</v>
      </c>
      <c r="C492" s="23">
        <v>45628.675335648149</v>
      </c>
      <c r="D492" s="23" t="str">
        <f>IF(Table1[[#This Row],[Duration of Campaign]]=0, "Ongoing","Completed")</f>
        <v>Completed</v>
      </c>
      <c r="E492" s="25">
        <f>Table1[[#This Row],[End Date]]-Table1[[#This Row],[Start Date]]</f>
        <v>508.25446759259648</v>
      </c>
      <c r="F492" s="8">
        <v>3942</v>
      </c>
      <c r="G492" s="21" t="s">
        <v>14</v>
      </c>
      <c r="H492" s="11">
        <v>4407</v>
      </c>
      <c r="I492" s="11">
        <v>1168</v>
      </c>
      <c r="J492" s="11">
        <v>277</v>
      </c>
      <c r="K492" s="13">
        <v>14179</v>
      </c>
      <c r="L492" s="16">
        <f t="shared" si="42"/>
        <v>0.26503290220104381</v>
      </c>
      <c r="M492" s="16">
        <f t="shared" si="43"/>
        <v>0.23715753424657535</v>
      </c>
      <c r="N492" s="17">
        <f t="shared" si="44"/>
        <v>15.637842465753424</v>
      </c>
      <c r="O492" s="17">
        <f t="shared" si="45"/>
        <v>65.938628158844764</v>
      </c>
      <c r="P492" s="16">
        <f t="shared" si="46"/>
        <v>4.6334348046676812</v>
      </c>
      <c r="Q492" s="16">
        <f t="shared" si="47"/>
        <v>0.77629345743224742</v>
      </c>
      <c r="R492" s="2" t="s">
        <v>1006</v>
      </c>
      <c r="S492" s="21" t="s">
        <v>35</v>
      </c>
      <c r="T492" s="21" t="s">
        <v>17</v>
      </c>
      <c r="U492" s="8">
        <v>18265</v>
      </c>
      <c r="V492" s="11">
        <v>2</v>
      </c>
      <c r="W492" t="str">
        <f>IF(Table1[[#This Row],[Satisfaction Rating]]&lt;2, "Low", IF(Table1[[#This Row],[Satisfaction Rating]]&lt;4, "Medium", "High"))</f>
        <v>Medium</v>
      </c>
    </row>
    <row r="493" spans="1:23" ht="13" x14ac:dyDescent="0.15">
      <c r="A493" s="2" t="s">
        <v>1007</v>
      </c>
      <c r="B493" s="23">
        <v>45516.625648148147</v>
      </c>
      <c r="C493" s="23">
        <v>45516.625648148147</v>
      </c>
      <c r="D493" s="23" t="str">
        <f>IF(Table1[[#This Row],[Duration of Campaign]]=0, "Ongoing","Completed")</f>
        <v>Ongoing</v>
      </c>
      <c r="E493" s="25">
        <f>Table1[[#This Row],[End Date]]-Table1[[#This Row],[Start Date]]</f>
        <v>0</v>
      </c>
      <c r="F493" s="8">
        <v>1556</v>
      </c>
      <c r="G493" s="21" t="s">
        <v>14</v>
      </c>
      <c r="H493" s="11">
        <v>10582</v>
      </c>
      <c r="I493" s="11">
        <v>650</v>
      </c>
      <c r="J493" s="11">
        <v>41</v>
      </c>
      <c r="K493" s="13">
        <v>14081</v>
      </c>
      <c r="L493" s="16">
        <f t="shared" si="42"/>
        <v>6.1425061425061427E-2</v>
      </c>
      <c r="M493" s="16">
        <f t="shared" si="43"/>
        <v>6.3076923076923072E-2</v>
      </c>
      <c r="N493" s="17">
        <f t="shared" si="44"/>
        <v>27.995384615384616</v>
      </c>
      <c r="O493" s="17">
        <f t="shared" si="45"/>
        <v>443.82926829268291</v>
      </c>
      <c r="P493" s="16">
        <f t="shared" si="46"/>
        <v>11.694730077120823</v>
      </c>
      <c r="Q493" s="16">
        <f t="shared" si="47"/>
        <v>0.77380886959388906</v>
      </c>
      <c r="R493" s="2" t="s">
        <v>1008</v>
      </c>
      <c r="S493" s="21" t="s">
        <v>35</v>
      </c>
      <c r="T493" s="21" t="s">
        <v>45</v>
      </c>
      <c r="U493" s="8">
        <v>18197</v>
      </c>
      <c r="V493" s="11">
        <v>2</v>
      </c>
      <c r="W493" t="str">
        <f>IF(Table1[[#This Row],[Satisfaction Rating]]&lt;2, "Low", IF(Table1[[#This Row],[Satisfaction Rating]]&lt;4, "Medium", "High"))</f>
        <v>Medium</v>
      </c>
    </row>
    <row r="494" spans="1:23" ht="13" x14ac:dyDescent="0.15">
      <c r="A494" s="2" t="s">
        <v>1009</v>
      </c>
      <c r="B494" s="23">
        <v>45136.752581018518</v>
      </c>
      <c r="C494" s="23">
        <v>45415.950902777775</v>
      </c>
      <c r="D494" s="23" t="str">
        <f>IF(Table1[[#This Row],[Duration of Campaign]]=0, "Ongoing","Completed")</f>
        <v>Completed</v>
      </c>
      <c r="E494" s="25">
        <f>Table1[[#This Row],[End Date]]-Table1[[#This Row],[Start Date]]</f>
        <v>279.19832175925694</v>
      </c>
      <c r="F494" s="8">
        <v>6457</v>
      </c>
      <c r="G494" s="21" t="s">
        <v>19</v>
      </c>
      <c r="H494" s="11">
        <v>11756</v>
      </c>
      <c r="I494" s="11">
        <v>445</v>
      </c>
      <c r="J494" s="11">
        <v>176</v>
      </c>
      <c r="K494" s="13">
        <v>12819</v>
      </c>
      <c r="L494" s="16">
        <f t="shared" si="42"/>
        <v>3.7853011228308947E-2</v>
      </c>
      <c r="M494" s="16">
        <f t="shared" si="43"/>
        <v>0.39550561797752809</v>
      </c>
      <c r="N494" s="17">
        <f t="shared" si="44"/>
        <v>17.265168539325842</v>
      </c>
      <c r="O494" s="17">
        <f t="shared" si="45"/>
        <v>43.653409090909093</v>
      </c>
      <c r="P494" s="16">
        <f t="shared" si="46"/>
        <v>1.1898714573331268</v>
      </c>
      <c r="Q494" s="16">
        <f t="shared" si="47"/>
        <v>1.6684888715345567</v>
      </c>
      <c r="R494" s="2" t="s">
        <v>1010</v>
      </c>
      <c r="S494" s="21" t="s">
        <v>16</v>
      </c>
      <c r="T494" s="21" t="s">
        <v>27</v>
      </c>
      <c r="U494" s="8">
        <v>7683</v>
      </c>
      <c r="V494" s="11">
        <v>3</v>
      </c>
      <c r="W494" t="str">
        <f>IF(Table1[[#This Row],[Satisfaction Rating]]&lt;2, "Low", IF(Table1[[#This Row],[Satisfaction Rating]]&lt;4, "Medium", "High"))</f>
        <v>Medium</v>
      </c>
    </row>
    <row r="495" spans="1:23" ht="13" x14ac:dyDescent="0.15">
      <c r="A495" s="2" t="s">
        <v>1011</v>
      </c>
      <c r="B495" s="23">
        <v>45501.856608796297</v>
      </c>
      <c r="C495" s="23">
        <v>45501.856608796297</v>
      </c>
      <c r="D495" s="23" t="str">
        <f>IF(Table1[[#This Row],[Duration of Campaign]]=0, "Ongoing","Completed")</f>
        <v>Ongoing</v>
      </c>
      <c r="E495" s="25">
        <f>Table1[[#This Row],[End Date]]-Table1[[#This Row],[Start Date]]</f>
        <v>0</v>
      </c>
      <c r="F495" s="8">
        <v>1007</v>
      </c>
      <c r="G495" s="21" t="s">
        <v>19</v>
      </c>
      <c r="H495" s="11">
        <v>18899</v>
      </c>
      <c r="I495" s="11">
        <v>763</v>
      </c>
      <c r="J495" s="11">
        <v>206</v>
      </c>
      <c r="K495" s="13">
        <v>2310</v>
      </c>
      <c r="L495" s="16">
        <f t="shared" si="42"/>
        <v>4.0372506481824437E-2</v>
      </c>
      <c r="M495" s="16">
        <f t="shared" si="43"/>
        <v>0.26998689384010482</v>
      </c>
      <c r="N495" s="17">
        <f t="shared" si="44"/>
        <v>12.330275229357799</v>
      </c>
      <c r="O495" s="17">
        <f t="shared" si="45"/>
        <v>45.66990291262136</v>
      </c>
      <c r="P495" s="16">
        <f t="shared" si="46"/>
        <v>9.3426017874875864</v>
      </c>
      <c r="Q495" s="16">
        <f t="shared" si="47"/>
        <v>0.24553571428571427</v>
      </c>
      <c r="R495" s="2" t="s">
        <v>1012</v>
      </c>
      <c r="S495" s="21" t="s">
        <v>16</v>
      </c>
      <c r="T495" s="21" t="s">
        <v>27</v>
      </c>
      <c r="U495" s="8">
        <v>9408</v>
      </c>
      <c r="V495" s="11">
        <v>3</v>
      </c>
      <c r="W495" t="str">
        <f>IF(Table1[[#This Row],[Satisfaction Rating]]&lt;2, "Low", IF(Table1[[#This Row],[Satisfaction Rating]]&lt;4, "Medium", "High"))</f>
        <v>Medium</v>
      </c>
    </row>
    <row r="496" spans="1:23" ht="13" x14ac:dyDescent="0.15">
      <c r="A496" s="2" t="s">
        <v>1013</v>
      </c>
      <c r="B496" s="23">
        <v>45467.683159722219</v>
      </c>
      <c r="C496" s="23">
        <v>45533.542002314818</v>
      </c>
      <c r="D496" s="23" t="str">
        <f>IF(Table1[[#This Row],[Duration of Campaign]]=0, "Ongoing","Completed")</f>
        <v>Completed</v>
      </c>
      <c r="E496" s="25">
        <f>Table1[[#This Row],[End Date]]-Table1[[#This Row],[Start Date]]</f>
        <v>65.858842592599103</v>
      </c>
      <c r="F496" s="8">
        <v>6025</v>
      </c>
      <c r="G496" s="21" t="s">
        <v>53</v>
      </c>
      <c r="H496" s="11">
        <v>6060</v>
      </c>
      <c r="I496" s="11">
        <v>1661</v>
      </c>
      <c r="J496" s="11">
        <v>357</v>
      </c>
      <c r="K496" s="13">
        <v>3817</v>
      </c>
      <c r="L496" s="16">
        <f t="shared" si="42"/>
        <v>0.2740924092409241</v>
      </c>
      <c r="M496" s="16">
        <f t="shared" si="43"/>
        <v>0.21493076459963878</v>
      </c>
      <c r="N496" s="17">
        <f t="shared" si="44"/>
        <v>5.9819385912101142</v>
      </c>
      <c r="O496" s="17">
        <f t="shared" si="45"/>
        <v>27.831932773109244</v>
      </c>
      <c r="P496" s="16">
        <f t="shared" si="46"/>
        <v>1.6491286307053943</v>
      </c>
      <c r="Q496" s="16">
        <f t="shared" si="47"/>
        <v>0.38415861513687599</v>
      </c>
      <c r="R496" s="2" t="s">
        <v>1014</v>
      </c>
      <c r="S496" s="21" t="s">
        <v>30</v>
      </c>
      <c r="T496" s="21" t="s">
        <v>45</v>
      </c>
      <c r="U496" s="8">
        <v>9936</v>
      </c>
      <c r="V496" s="11">
        <v>2</v>
      </c>
      <c r="W496" t="str">
        <f>IF(Table1[[#This Row],[Satisfaction Rating]]&lt;2, "Low", IF(Table1[[#This Row],[Satisfaction Rating]]&lt;4, "Medium", "High"))</f>
        <v>Medium</v>
      </c>
    </row>
    <row r="497" spans="1:23" ht="13" x14ac:dyDescent="0.15">
      <c r="A497" s="2" t="s">
        <v>1015</v>
      </c>
      <c r="B497" s="23">
        <v>45222.155011574076</v>
      </c>
      <c r="C497" s="23">
        <v>45222.155011574076</v>
      </c>
      <c r="D497" s="23" t="str">
        <f>IF(Table1[[#This Row],[Duration of Campaign]]=0, "Ongoing","Completed")</f>
        <v>Ongoing</v>
      </c>
      <c r="E497" s="25">
        <f>Table1[[#This Row],[End Date]]-Table1[[#This Row],[Start Date]]</f>
        <v>0</v>
      </c>
      <c r="F497" s="8">
        <v>8300</v>
      </c>
      <c r="G497" s="21" t="s">
        <v>53</v>
      </c>
      <c r="H497" s="11">
        <v>9577</v>
      </c>
      <c r="I497" s="11">
        <v>1023</v>
      </c>
      <c r="J497" s="11">
        <v>74</v>
      </c>
      <c r="K497" s="13">
        <v>10778</v>
      </c>
      <c r="L497" s="16">
        <f t="shared" si="42"/>
        <v>0.10681841912916362</v>
      </c>
      <c r="M497" s="16">
        <f t="shared" si="43"/>
        <v>7.2336265884652987E-2</v>
      </c>
      <c r="N497" s="17">
        <f t="shared" si="44"/>
        <v>4.021505376344086</v>
      </c>
      <c r="O497" s="17">
        <f t="shared" si="45"/>
        <v>55.594594594594597</v>
      </c>
      <c r="P497" s="16">
        <f t="shared" si="46"/>
        <v>0.49566265060240966</v>
      </c>
      <c r="Q497" s="16">
        <f t="shared" si="47"/>
        <v>2.6198347107438016</v>
      </c>
      <c r="R497" s="2" t="s">
        <v>1016</v>
      </c>
      <c r="S497" s="21" t="s">
        <v>30</v>
      </c>
      <c r="T497" s="21" t="s">
        <v>45</v>
      </c>
      <c r="U497" s="8">
        <v>4114</v>
      </c>
      <c r="V497" s="11">
        <v>1</v>
      </c>
      <c r="W497" t="str">
        <f>IF(Table1[[#This Row],[Satisfaction Rating]]&lt;2, "Low", IF(Table1[[#This Row],[Satisfaction Rating]]&lt;4, "Medium", "High"))</f>
        <v>Low</v>
      </c>
    </row>
    <row r="498" spans="1:23" ht="13" x14ac:dyDescent="0.15">
      <c r="A498" s="2" t="s">
        <v>1017</v>
      </c>
      <c r="B498" s="23">
        <v>45053.451053240744</v>
      </c>
      <c r="C498" s="23">
        <v>45291.504861111112</v>
      </c>
      <c r="D498" s="23" t="str">
        <f>IF(Table1[[#This Row],[Duration of Campaign]]=0, "Ongoing","Completed")</f>
        <v>Completed</v>
      </c>
      <c r="E498" s="25">
        <f>Table1[[#This Row],[End Date]]-Table1[[#This Row],[Start Date]]</f>
        <v>238.05380787036847</v>
      </c>
      <c r="F498" s="8">
        <v>3253</v>
      </c>
      <c r="G498" s="21" t="s">
        <v>14</v>
      </c>
      <c r="H498" s="11">
        <v>17667</v>
      </c>
      <c r="I498" s="11">
        <v>1885</v>
      </c>
      <c r="J498" s="11">
        <v>171</v>
      </c>
      <c r="K498" s="13">
        <v>1123</v>
      </c>
      <c r="L498" s="16">
        <f t="shared" si="42"/>
        <v>0.10669610007358352</v>
      </c>
      <c r="M498" s="16">
        <f t="shared" si="43"/>
        <v>9.0716180371352789E-2</v>
      </c>
      <c r="N498" s="17">
        <f t="shared" si="44"/>
        <v>10.508753315649868</v>
      </c>
      <c r="O498" s="17">
        <f t="shared" si="45"/>
        <v>115.84210526315789</v>
      </c>
      <c r="P498" s="16">
        <f t="shared" si="46"/>
        <v>6.0894558868736555</v>
      </c>
      <c r="Q498" s="16">
        <f t="shared" si="47"/>
        <v>5.6691402897672778E-2</v>
      </c>
      <c r="R498" s="2" t="s">
        <v>1018</v>
      </c>
      <c r="S498" s="21" t="s">
        <v>30</v>
      </c>
      <c r="T498" s="21" t="s">
        <v>45</v>
      </c>
      <c r="U498" s="8">
        <v>19809</v>
      </c>
      <c r="V498" s="11">
        <v>3</v>
      </c>
      <c r="W498" t="str">
        <f>IF(Table1[[#This Row],[Satisfaction Rating]]&lt;2, "Low", IF(Table1[[#This Row],[Satisfaction Rating]]&lt;4, "Medium", "High"))</f>
        <v>Medium</v>
      </c>
    </row>
    <row r="499" spans="1:23" ht="13" x14ac:dyDescent="0.15">
      <c r="A499" s="2" t="s">
        <v>1019</v>
      </c>
      <c r="B499" s="23">
        <v>45223.817569444444</v>
      </c>
      <c r="C499" s="23">
        <v>45381.009166666663</v>
      </c>
      <c r="D499" s="23" t="str">
        <f>IF(Table1[[#This Row],[Duration of Campaign]]=0, "Ongoing","Completed")</f>
        <v>Completed</v>
      </c>
      <c r="E499" s="25">
        <f>Table1[[#This Row],[End Date]]-Table1[[#This Row],[Start Date]]</f>
        <v>157.19159722221957</v>
      </c>
      <c r="F499" s="8">
        <v>1009</v>
      </c>
      <c r="G499" s="21" t="s">
        <v>53</v>
      </c>
      <c r="H499" s="11">
        <v>5575</v>
      </c>
      <c r="I499" s="11">
        <v>1821</v>
      </c>
      <c r="J499" s="11">
        <v>471</v>
      </c>
      <c r="K499" s="13">
        <v>5890</v>
      </c>
      <c r="L499" s="16">
        <f t="shared" si="42"/>
        <v>0.32663677130044844</v>
      </c>
      <c r="M499" s="16">
        <f t="shared" si="43"/>
        <v>0.25864909390444812</v>
      </c>
      <c r="N499" s="17">
        <f t="shared" si="44"/>
        <v>3.4695222405271831</v>
      </c>
      <c r="O499" s="17">
        <f t="shared" si="45"/>
        <v>13.414012738853502</v>
      </c>
      <c r="P499" s="16">
        <f t="shared" si="46"/>
        <v>6.2616451932606543</v>
      </c>
      <c r="Q499" s="16">
        <f t="shared" si="47"/>
        <v>0.93225704336815451</v>
      </c>
      <c r="R499" s="2" t="s">
        <v>1020</v>
      </c>
      <c r="S499" s="21" t="s">
        <v>35</v>
      </c>
      <c r="T499" s="21" t="s">
        <v>17</v>
      </c>
      <c r="U499" s="8">
        <v>6318</v>
      </c>
      <c r="V499" s="11">
        <v>3</v>
      </c>
      <c r="W499" t="str">
        <f>IF(Table1[[#This Row],[Satisfaction Rating]]&lt;2, "Low", IF(Table1[[#This Row],[Satisfaction Rating]]&lt;4, "Medium", "High"))</f>
        <v>Medium</v>
      </c>
    </row>
    <row r="500" spans="1:23" ht="13" x14ac:dyDescent="0.15">
      <c r="A500" s="2" t="s">
        <v>1021</v>
      </c>
      <c r="B500" s="23">
        <v>45535.577002314814</v>
      </c>
      <c r="C500" s="23">
        <v>45535.577002314814</v>
      </c>
      <c r="D500" s="23" t="str">
        <f>IF(Table1[[#This Row],[Duration of Campaign]]=0, "Ongoing","Completed")</f>
        <v>Ongoing</v>
      </c>
      <c r="E500" s="25">
        <f>Table1[[#This Row],[End Date]]-Table1[[#This Row],[Start Date]]</f>
        <v>0</v>
      </c>
      <c r="F500" s="8">
        <v>6814</v>
      </c>
      <c r="G500" s="21" t="s">
        <v>14</v>
      </c>
      <c r="H500" s="11">
        <v>10040</v>
      </c>
      <c r="I500" s="11">
        <v>1601</v>
      </c>
      <c r="J500" s="11">
        <v>329</v>
      </c>
      <c r="K500" s="13">
        <v>13398</v>
      </c>
      <c r="L500" s="16">
        <f t="shared" si="42"/>
        <v>0.15946215139442232</v>
      </c>
      <c r="M500" s="16">
        <f t="shared" si="43"/>
        <v>0.20549656464709556</v>
      </c>
      <c r="N500" s="17">
        <f t="shared" si="44"/>
        <v>9.872579637726421</v>
      </c>
      <c r="O500" s="17">
        <f t="shared" si="45"/>
        <v>48.042553191489361</v>
      </c>
      <c r="P500" s="16">
        <f t="shared" si="46"/>
        <v>2.3196360434399765</v>
      </c>
      <c r="Q500" s="16">
        <f t="shared" si="47"/>
        <v>0.84765279007971661</v>
      </c>
      <c r="R500" s="2" t="s">
        <v>1022</v>
      </c>
      <c r="S500" s="21" t="s">
        <v>16</v>
      </c>
      <c r="T500" s="21" t="s">
        <v>17</v>
      </c>
      <c r="U500" s="8">
        <v>15806</v>
      </c>
      <c r="V500" s="11">
        <v>2</v>
      </c>
      <c r="W500" t="str">
        <f>IF(Table1[[#This Row],[Satisfaction Rating]]&lt;2, "Low", IF(Table1[[#This Row],[Satisfaction Rating]]&lt;4, "Medium", "High"))</f>
        <v>Medium</v>
      </c>
    </row>
    <row r="501" spans="1:23" ht="13" x14ac:dyDescent="0.15">
      <c r="A501" s="2" t="s">
        <v>1023</v>
      </c>
      <c r="B501" s="23">
        <v>45107.965567129628</v>
      </c>
      <c r="C501" s="23">
        <v>45637.8984375</v>
      </c>
      <c r="D501" s="23" t="str">
        <f>IF(Table1[[#This Row],[Duration of Campaign]]=0, "Ongoing","Completed")</f>
        <v>Completed</v>
      </c>
      <c r="E501" s="25">
        <f>Table1[[#This Row],[End Date]]-Table1[[#This Row],[Start Date]]</f>
        <v>529.93287037037226</v>
      </c>
      <c r="F501" s="8">
        <v>6018</v>
      </c>
      <c r="G501" s="21" t="s">
        <v>53</v>
      </c>
      <c r="H501" s="11">
        <v>14252</v>
      </c>
      <c r="I501" s="11">
        <v>159</v>
      </c>
      <c r="J501" s="11">
        <v>244</v>
      </c>
      <c r="K501" s="13">
        <v>6141</v>
      </c>
      <c r="L501" s="16">
        <f t="shared" si="42"/>
        <v>1.1156328936289643E-2</v>
      </c>
      <c r="M501" s="16">
        <f t="shared" si="43"/>
        <v>1.5345911949685536</v>
      </c>
      <c r="N501" s="17">
        <f t="shared" si="44"/>
        <v>113.57232704402516</v>
      </c>
      <c r="O501" s="17">
        <f t="shared" si="45"/>
        <v>74.008196721311478</v>
      </c>
      <c r="P501" s="16">
        <f t="shared" si="46"/>
        <v>3.0006646726487207</v>
      </c>
      <c r="Q501" s="16">
        <f t="shared" si="47"/>
        <v>0.34007088271126373</v>
      </c>
      <c r="R501" s="2" t="s">
        <v>1024</v>
      </c>
      <c r="S501" s="21" t="s">
        <v>24</v>
      </c>
      <c r="T501" s="21" t="s">
        <v>27</v>
      </c>
      <c r="U501" s="8">
        <v>18058</v>
      </c>
      <c r="V501" s="11">
        <v>2</v>
      </c>
      <c r="W501" t="str">
        <f>IF(Table1[[#This Row],[Satisfaction Rating]]&lt;2, "Low", IF(Table1[[#This Row],[Satisfaction Rating]]&lt;4, "Medium", "High"))</f>
        <v>Medium</v>
      </c>
    </row>
    <row r="502" spans="1:23" ht="13" x14ac:dyDescent="0.15">
      <c r="A502" s="2" t="s">
        <v>1025</v>
      </c>
      <c r="B502" s="23">
        <v>45146.511446759258</v>
      </c>
      <c r="C502" s="23">
        <v>45146.511446759258</v>
      </c>
      <c r="D502" s="23" t="str">
        <f>IF(Table1[[#This Row],[Duration of Campaign]]=0, "Ongoing","Completed")</f>
        <v>Ongoing</v>
      </c>
      <c r="E502" s="25">
        <f>Table1[[#This Row],[End Date]]-Table1[[#This Row],[Start Date]]</f>
        <v>0</v>
      </c>
      <c r="F502" s="8">
        <v>1891</v>
      </c>
      <c r="G502" s="21" t="s">
        <v>37</v>
      </c>
      <c r="H502" s="11">
        <v>2885</v>
      </c>
      <c r="I502" s="11">
        <v>191</v>
      </c>
      <c r="J502" s="11">
        <v>374</v>
      </c>
      <c r="K502" s="13">
        <v>12103</v>
      </c>
      <c r="L502" s="16">
        <f t="shared" si="42"/>
        <v>6.6204506065857885E-2</v>
      </c>
      <c r="M502" s="16">
        <f t="shared" si="43"/>
        <v>1.9581151832460733</v>
      </c>
      <c r="N502" s="17">
        <f t="shared" si="44"/>
        <v>88.8848167539267</v>
      </c>
      <c r="O502" s="17">
        <f t="shared" si="45"/>
        <v>45.393048128342244</v>
      </c>
      <c r="P502" s="16">
        <f t="shared" si="46"/>
        <v>8.9777895293495504</v>
      </c>
      <c r="Q502" s="16">
        <f t="shared" si="47"/>
        <v>0.71290569594156805</v>
      </c>
      <c r="R502" s="2" t="s">
        <v>1026</v>
      </c>
      <c r="S502" s="21" t="s">
        <v>21</v>
      </c>
      <c r="T502" s="21" t="s">
        <v>45</v>
      </c>
      <c r="U502" s="8">
        <v>16977</v>
      </c>
      <c r="V502" s="11">
        <v>2</v>
      </c>
      <c r="W502" t="str">
        <f>IF(Table1[[#This Row],[Satisfaction Rating]]&lt;2, "Low", IF(Table1[[#This Row],[Satisfaction Rating]]&lt;4, "Medium", "High"))</f>
        <v>Medium</v>
      </c>
    </row>
    <row r="503" spans="1:23" ht="13" x14ac:dyDescent="0.15">
      <c r="A503" s="2" t="s">
        <v>1027</v>
      </c>
      <c r="B503" s="23">
        <v>45418.732638888891</v>
      </c>
      <c r="C503" s="23">
        <v>45423.197812500002</v>
      </c>
      <c r="D503" s="23" t="str">
        <f>IF(Table1[[#This Row],[Duration of Campaign]]=0, "Ongoing","Completed")</f>
        <v>Completed</v>
      </c>
      <c r="E503" s="25">
        <f>Table1[[#This Row],[End Date]]-Table1[[#This Row],[Start Date]]</f>
        <v>4.4651736111118225</v>
      </c>
      <c r="F503" s="8">
        <v>8866</v>
      </c>
      <c r="G503" s="21" t="s">
        <v>19</v>
      </c>
      <c r="H503" s="11">
        <v>18338</v>
      </c>
      <c r="I503" s="11">
        <v>1112</v>
      </c>
      <c r="J503" s="11">
        <v>135</v>
      </c>
      <c r="K503" s="13">
        <v>14936</v>
      </c>
      <c r="L503" s="16">
        <f t="shared" si="42"/>
        <v>6.0639110044715894E-2</v>
      </c>
      <c r="M503" s="16">
        <f t="shared" si="43"/>
        <v>0.12140287769784172</v>
      </c>
      <c r="N503" s="17">
        <f t="shared" si="44"/>
        <v>17.855215827338128</v>
      </c>
      <c r="O503" s="17">
        <f t="shared" si="45"/>
        <v>147.07407407407408</v>
      </c>
      <c r="P503" s="16">
        <f t="shared" si="46"/>
        <v>2.2394540942928041</v>
      </c>
      <c r="Q503" s="16">
        <f t="shared" si="47"/>
        <v>0.75225384034248299</v>
      </c>
      <c r="R503" s="2" t="s">
        <v>1028</v>
      </c>
      <c r="S503" s="21" t="s">
        <v>30</v>
      </c>
      <c r="T503" s="21" t="s">
        <v>45</v>
      </c>
      <c r="U503" s="8">
        <v>19855</v>
      </c>
      <c r="V503" s="11">
        <v>1</v>
      </c>
      <c r="W503" t="str">
        <f>IF(Table1[[#This Row],[Satisfaction Rating]]&lt;2, "Low", IF(Table1[[#This Row],[Satisfaction Rating]]&lt;4, "Medium", "High"))</f>
        <v>Low</v>
      </c>
    </row>
    <row r="504" spans="1:23" ht="13" x14ac:dyDescent="0.15">
      <c r="A504" s="2" t="s">
        <v>1029</v>
      </c>
      <c r="B504" s="23">
        <v>45170.039583333331</v>
      </c>
      <c r="C504" s="23">
        <v>45522.940821759257</v>
      </c>
      <c r="D504" s="23" t="str">
        <f>IF(Table1[[#This Row],[Duration of Campaign]]=0, "Ongoing","Completed")</f>
        <v>Completed</v>
      </c>
      <c r="E504" s="25">
        <f>Table1[[#This Row],[End Date]]-Table1[[#This Row],[Start Date]]</f>
        <v>352.90123842592584</v>
      </c>
      <c r="F504" s="8">
        <v>7334</v>
      </c>
      <c r="G504" s="21" t="s">
        <v>37</v>
      </c>
      <c r="H504" s="11">
        <v>13655</v>
      </c>
      <c r="I504" s="11">
        <v>923</v>
      </c>
      <c r="J504" s="11">
        <v>141</v>
      </c>
      <c r="K504" s="13">
        <v>2130</v>
      </c>
      <c r="L504" s="16">
        <f t="shared" si="42"/>
        <v>6.7594287806664224E-2</v>
      </c>
      <c r="M504" s="16">
        <f t="shared" si="43"/>
        <v>0.15276273022751896</v>
      </c>
      <c r="N504" s="17">
        <f t="shared" si="44"/>
        <v>8.1148429035752976</v>
      </c>
      <c r="O504" s="17">
        <f t="shared" si="45"/>
        <v>53.120567375886523</v>
      </c>
      <c r="P504" s="16">
        <f t="shared" si="46"/>
        <v>1.0212707935642213</v>
      </c>
      <c r="Q504" s="16">
        <f t="shared" si="47"/>
        <v>0.28437917222963954</v>
      </c>
      <c r="R504" s="2" t="s">
        <v>1030</v>
      </c>
      <c r="S504" s="21" t="s">
        <v>30</v>
      </c>
      <c r="T504" s="21" t="s">
        <v>45</v>
      </c>
      <c r="U504" s="8">
        <v>7490</v>
      </c>
      <c r="V504" s="11">
        <v>1</v>
      </c>
      <c r="W504" t="str">
        <f>IF(Table1[[#This Row],[Satisfaction Rating]]&lt;2, "Low", IF(Table1[[#This Row],[Satisfaction Rating]]&lt;4, "Medium", "High"))</f>
        <v>Low</v>
      </c>
    </row>
    <row r="505" spans="1:23" ht="13" x14ac:dyDescent="0.15">
      <c r="A505" s="2" t="s">
        <v>1031</v>
      </c>
      <c r="B505" s="23">
        <v>44941.441099537034</v>
      </c>
      <c r="C505" s="23">
        <v>45537.281875000001</v>
      </c>
      <c r="D505" s="23" t="str">
        <f>IF(Table1[[#This Row],[Duration of Campaign]]=0, "Ongoing","Completed")</f>
        <v>Completed</v>
      </c>
      <c r="E505" s="25">
        <f>Table1[[#This Row],[End Date]]-Table1[[#This Row],[Start Date]]</f>
        <v>595.84077546296612</v>
      </c>
      <c r="F505" s="8">
        <v>6194</v>
      </c>
      <c r="G505" s="21" t="s">
        <v>19</v>
      </c>
      <c r="H505" s="11">
        <v>16206</v>
      </c>
      <c r="I505" s="11">
        <v>656</v>
      </c>
      <c r="J505" s="11">
        <v>333</v>
      </c>
      <c r="K505" s="13">
        <v>2214</v>
      </c>
      <c r="L505" s="16">
        <f t="shared" si="42"/>
        <v>4.0478834999382943E-2</v>
      </c>
      <c r="M505" s="16">
        <f t="shared" si="43"/>
        <v>0.50762195121951215</v>
      </c>
      <c r="N505" s="17">
        <f t="shared" si="44"/>
        <v>23.434451219512194</v>
      </c>
      <c r="O505" s="17">
        <f t="shared" si="45"/>
        <v>46.165165165165163</v>
      </c>
      <c r="P505" s="16">
        <f t="shared" si="46"/>
        <v>2.4819179851469162</v>
      </c>
      <c r="Q505" s="16">
        <f t="shared" si="47"/>
        <v>0.14401873414427893</v>
      </c>
      <c r="R505" s="2" t="s">
        <v>1032</v>
      </c>
      <c r="S505" s="21" t="s">
        <v>24</v>
      </c>
      <c r="T505" s="21" t="s">
        <v>27</v>
      </c>
      <c r="U505" s="8">
        <v>15373</v>
      </c>
      <c r="V505" s="11">
        <v>4</v>
      </c>
      <c r="W505" t="str">
        <f>IF(Table1[[#This Row],[Satisfaction Rating]]&lt;2, "Low", IF(Table1[[#This Row],[Satisfaction Rating]]&lt;4, "Medium", "High"))</f>
        <v>High</v>
      </c>
    </row>
    <row r="506" spans="1:23" ht="13" x14ac:dyDescent="0.15">
      <c r="A506" s="2" t="s">
        <v>1033</v>
      </c>
      <c r="B506" s="23">
        <v>45091.524178240739</v>
      </c>
      <c r="C506" s="23">
        <v>45091.524178240739</v>
      </c>
      <c r="D506" s="23" t="str">
        <f>IF(Table1[[#This Row],[Duration of Campaign]]=0, "Ongoing","Completed")</f>
        <v>Ongoing</v>
      </c>
      <c r="E506" s="25">
        <f>Table1[[#This Row],[End Date]]-Table1[[#This Row],[Start Date]]</f>
        <v>0</v>
      </c>
      <c r="F506" s="8">
        <v>5752</v>
      </c>
      <c r="G506" s="21" t="s">
        <v>37</v>
      </c>
      <c r="H506" s="11">
        <v>7246</v>
      </c>
      <c r="I506" s="11">
        <v>1473</v>
      </c>
      <c r="J506" s="11">
        <v>457</v>
      </c>
      <c r="K506" s="13">
        <v>12270</v>
      </c>
      <c r="L506" s="16">
        <f t="shared" si="42"/>
        <v>0.20328457079768147</v>
      </c>
      <c r="M506" s="16">
        <f t="shared" si="43"/>
        <v>0.31025118805159541</v>
      </c>
      <c r="N506" s="17">
        <f t="shared" si="44"/>
        <v>3.9375424304141209</v>
      </c>
      <c r="O506" s="17">
        <f t="shared" si="45"/>
        <v>12.691466083150985</v>
      </c>
      <c r="P506" s="16">
        <f t="shared" si="46"/>
        <v>1.0083449235048678</v>
      </c>
      <c r="Q506" s="16">
        <f t="shared" si="47"/>
        <v>2.1155172413793104</v>
      </c>
      <c r="R506" s="2" t="s">
        <v>1034</v>
      </c>
      <c r="S506" s="21" t="s">
        <v>35</v>
      </c>
      <c r="T506" s="21" t="s">
        <v>45</v>
      </c>
      <c r="U506" s="8">
        <v>5800</v>
      </c>
      <c r="V506" s="11">
        <v>5</v>
      </c>
      <c r="W506" t="str">
        <f>IF(Table1[[#This Row],[Satisfaction Rating]]&lt;2, "Low", IF(Table1[[#This Row],[Satisfaction Rating]]&lt;4, "Medium", "High"))</f>
        <v>High</v>
      </c>
    </row>
    <row r="507" spans="1:23" ht="13" x14ac:dyDescent="0.15">
      <c r="A507" s="2" t="s">
        <v>1035</v>
      </c>
      <c r="B507" s="23">
        <v>45627.183854166666</v>
      </c>
      <c r="C507" s="23">
        <v>45627.183854166666</v>
      </c>
      <c r="D507" s="23" t="str">
        <f>IF(Table1[[#This Row],[Duration of Campaign]]=0, "Ongoing","Completed")</f>
        <v>Ongoing</v>
      </c>
      <c r="E507" s="25">
        <f>Table1[[#This Row],[End Date]]-Table1[[#This Row],[Start Date]]</f>
        <v>0</v>
      </c>
      <c r="F507" s="8">
        <v>7455</v>
      </c>
      <c r="G507" s="21" t="s">
        <v>14</v>
      </c>
      <c r="H507" s="11">
        <v>11448</v>
      </c>
      <c r="I507" s="11">
        <v>1985</v>
      </c>
      <c r="J507" s="11">
        <v>468</v>
      </c>
      <c r="K507" s="13">
        <v>12153</v>
      </c>
      <c r="L507" s="16">
        <f t="shared" si="42"/>
        <v>0.1733927323549965</v>
      </c>
      <c r="M507" s="16">
        <f t="shared" si="43"/>
        <v>0.23576826196473552</v>
      </c>
      <c r="N507" s="17">
        <f t="shared" si="44"/>
        <v>1.8201511335012595</v>
      </c>
      <c r="O507" s="17">
        <f t="shared" si="45"/>
        <v>7.7200854700854702</v>
      </c>
      <c r="P507" s="16">
        <f t="shared" si="46"/>
        <v>0.48464118041582832</v>
      </c>
      <c r="Q507" s="16">
        <f t="shared" si="47"/>
        <v>3.3636866869637418</v>
      </c>
      <c r="R507" s="2" t="s">
        <v>1036</v>
      </c>
      <c r="S507" s="21" t="s">
        <v>16</v>
      </c>
      <c r="T507" s="21" t="s">
        <v>27</v>
      </c>
      <c r="U507" s="8">
        <v>3613</v>
      </c>
      <c r="V507" s="11">
        <v>4</v>
      </c>
      <c r="W507" t="str">
        <f>IF(Table1[[#This Row],[Satisfaction Rating]]&lt;2, "Low", IF(Table1[[#This Row],[Satisfaction Rating]]&lt;4, "Medium", "High"))</f>
        <v>High</v>
      </c>
    </row>
    <row r="508" spans="1:23" ht="13" x14ac:dyDescent="0.15">
      <c r="A508" s="2" t="s">
        <v>1037</v>
      </c>
      <c r="B508" s="23">
        <v>45628.903449074074</v>
      </c>
      <c r="C508" s="23">
        <v>45628.903449074074</v>
      </c>
      <c r="D508" s="23" t="str">
        <f>IF(Table1[[#This Row],[Duration of Campaign]]=0, "Ongoing","Completed")</f>
        <v>Ongoing</v>
      </c>
      <c r="E508" s="25">
        <f>Table1[[#This Row],[End Date]]-Table1[[#This Row],[Start Date]]</f>
        <v>0</v>
      </c>
      <c r="F508" s="8">
        <v>6534</v>
      </c>
      <c r="G508" s="21" t="s">
        <v>53</v>
      </c>
      <c r="H508" s="11">
        <v>5437</v>
      </c>
      <c r="I508" s="11">
        <v>1983</v>
      </c>
      <c r="J508" s="11">
        <v>254</v>
      </c>
      <c r="K508" s="13">
        <v>5708</v>
      </c>
      <c r="L508" s="16">
        <f t="shared" si="42"/>
        <v>0.36472319293728162</v>
      </c>
      <c r="M508" s="16">
        <f t="shared" si="43"/>
        <v>0.12808875441250631</v>
      </c>
      <c r="N508" s="17">
        <f t="shared" si="44"/>
        <v>8.0741301059001511</v>
      </c>
      <c r="O508" s="17">
        <f t="shared" si="45"/>
        <v>63.035433070866141</v>
      </c>
      <c r="P508" s="16">
        <f t="shared" si="46"/>
        <v>2.450413223140496</v>
      </c>
      <c r="Q508" s="16">
        <f t="shared" si="47"/>
        <v>0.3565049028792705</v>
      </c>
      <c r="R508" s="2" t="s">
        <v>1038</v>
      </c>
      <c r="S508" s="21" t="s">
        <v>21</v>
      </c>
      <c r="T508" s="21" t="s">
        <v>27</v>
      </c>
      <c r="U508" s="8">
        <v>16011</v>
      </c>
      <c r="V508" s="11">
        <v>3</v>
      </c>
      <c r="W508" t="str">
        <f>IF(Table1[[#This Row],[Satisfaction Rating]]&lt;2, "Low", IF(Table1[[#This Row],[Satisfaction Rating]]&lt;4, "Medium", "High"))</f>
        <v>Medium</v>
      </c>
    </row>
    <row r="509" spans="1:23" ht="13" x14ac:dyDescent="0.15">
      <c r="A509" s="2" t="s">
        <v>1039</v>
      </c>
      <c r="B509" s="23">
        <v>45166.590671296297</v>
      </c>
      <c r="C509" s="23">
        <v>45166.590671296297</v>
      </c>
      <c r="D509" s="23" t="str">
        <f>IF(Table1[[#This Row],[Duration of Campaign]]=0, "Ongoing","Completed")</f>
        <v>Ongoing</v>
      </c>
      <c r="E509" s="25">
        <f>Table1[[#This Row],[End Date]]-Table1[[#This Row],[Start Date]]</f>
        <v>0</v>
      </c>
      <c r="F509" s="8">
        <v>6970</v>
      </c>
      <c r="G509" s="21" t="s">
        <v>19</v>
      </c>
      <c r="H509" s="11">
        <v>2589</v>
      </c>
      <c r="I509" s="11">
        <v>647</v>
      </c>
      <c r="J509" s="11">
        <v>394</v>
      </c>
      <c r="K509" s="13">
        <v>13861</v>
      </c>
      <c r="L509" s="16">
        <f t="shared" si="42"/>
        <v>0.24990343762070297</v>
      </c>
      <c r="M509" s="16">
        <f t="shared" si="43"/>
        <v>0.60896445131375576</v>
      </c>
      <c r="N509" s="17">
        <f t="shared" si="44"/>
        <v>6.3493044822256568</v>
      </c>
      <c r="O509" s="17">
        <f t="shared" si="45"/>
        <v>10.426395939086294</v>
      </c>
      <c r="P509" s="16">
        <f t="shared" si="46"/>
        <v>0.58938307030129122</v>
      </c>
      <c r="Q509" s="16">
        <f t="shared" si="47"/>
        <v>3.3741480038948395</v>
      </c>
      <c r="R509" s="2" t="s">
        <v>1040</v>
      </c>
      <c r="S509" s="21" t="s">
        <v>30</v>
      </c>
      <c r="T509" s="21" t="s">
        <v>27</v>
      </c>
      <c r="U509" s="8">
        <v>4108</v>
      </c>
      <c r="V509" s="11">
        <v>3</v>
      </c>
      <c r="W509" t="str">
        <f>IF(Table1[[#This Row],[Satisfaction Rating]]&lt;2, "Low", IF(Table1[[#This Row],[Satisfaction Rating]]&lt;4, "Medium", "High"))</f>
        <v>Medium</v>
      </c>
    </row>
    <row r="510" spans="1:23" ht="13" x14ac:dyDescent="0.15">
      <c r="A510" s="2" t="s">
        <v>1041</v>
      </c>
      <c r="B510" s="23">
        <v>45297.266064814816</v>
      </c>
      <c r="C510" s="23">
        <v>45619.582094907404</v>
      </c>
      <c r="D510" s="23" t="str">
        <f>IF(Table1[[#This Row],[Duration of Campaign]]=0, "Ongoing","Completed")</f>
        <v>Completed</v>
      </c>
      <c r="E510" s="25">
        <f>Table1[[#This Row],[End Date]]-Table1[[#This Row],[Start Date]]</f>
        <v>322.31603009258833</v>
      </c>
      <c r="F510" s="8">
        <v>6373</v>
      </c>
      <c r="G510" s="21" t="s">
        <v>19</v>
      </c>
      <c r="H510" s="11">
        <v>17272</v>
      </c>
      <c r="I510" s="11">
        <v>242</v>
      </c>
      <c r="J510" s="11">
        <v>132</v>
      </c>
      <c r="K510" s="13">
        <v>3430</v>
      </c>
      <c r="L510" s="16">
        <f t="shared" si="42"/>
        <v>1.4011116257526633E-2</v>
      </c>
      <c r="M510" s="16">
        <f t="shared" si="43"/>
        <v>0.54545454545454541</v>
      </c>
      <c r="N510" s="17">
        <f t="shared" si="44"/>
        <v>46.607438016528924</v>
      </c>
      <c r="O510" s="17">
        <f t="shared" si="45"/>
        <v>85.446969696969703</v>
      </c>
      <c r="P510" s="16">
        <f t="shared" si="46"/>
        <v>1.769810136513416</v>
      </c>
      <c r="Q510" s="16">
        <f t="shared" si="47"/>
        <v>0.30410497384519902</v>
      </c>
      <c r="R510" s="2" t="s">
        <v>1042</v>
      </c>
      <c r="S510" s="21" t="s">
        <v>30</v>
      </c>
      <c r="T510" s="21" t="s">
        <v>17</v>
      </c>
      <c r="U510" s="8">
        <v>11279</v>
      </c>
      <c r="V510" s="11">
        <v>1</v>
      </c>
      <c r="W510" t="str">
        <f>IF(Table1[[#This Row],[Satisfaction Rating]]&lt;2, "Low", IF(Table1[[#This Row],[Satisfaction Rating]]&lt;4, "Medium", "High"))</f>
        <v>Low</v>
      </c>
    </row>
    <row r="511" spans="1:23" ht="13" x14ac:dyDescent="0.15">
      <c r="A511" s="2" t="s">
        <v>1043</v>
      </c>
      <c r="B511" s="23">
        <v>45130.617939814816</v>
      </c>
      <c r="C511" s="23">
        <v>45130.617939814816</v>
      </c>
      <c r="D511" s="23" t="str">
        <f>IF(Table1[[#This Row],[Duration of Campaign]]=0, "Ongoing","Completed")</f>
        <v>Ongoing</v>
      </c>
      <c r="E511" s="25">
        <f>Table1[[#This Row],[End Date]]-Table1[[#This Row],[Start Date]]</f>
        <v>0</v>
      </c>
      <c r="F511" s="8">
        <v>2513</v>
      </c>
      <c r="G511" s="21" t="s">
        <v>19</v>
      </c>
      <c r="H511" s="11">
        <v>7506</v>
      </c>
      <c r="I511" s="11">
        <v>1882</v>
      </c>
      <c r="J511" s="11">
        <v>116</v>
      </c>
      <c r="K511" s="13">
        <v>8025</v>
      </c>
      <c r="L511" s="16">
        <f t="shared" si="42"/>
        <v>0.25073274713562482</v>
      </c>
      <c r="M511" s="16">
        <f t="shared" si="43"/>
        <v>6.1636556854410204E-2</v>
      </c>
      <c r="N511" s="17">
        <f t="shared" si="44"/>
        <v>0.75823591923485656</v>
      </c>
      <c r="O511" s="17">
        <f t="shared" si="45"/>
        <v>12.301724137931034</v>
      </c>
      <c r="P511" s="16">
        <f t="shared" si="46"/>
        <v>0.5678471945881417</v>
      </c>
      <c r="Q511" s="16">
        <f t="shared" si="47"/>
        <v>5.6236860546601264</v>
      </c>
      <c r="R511" s="2" t="s">
        <v>1044</v>
      </c>
      <c r="S511" s="21" t="s">
        <v>21</v>
      </c>
      <c r="T511" s="21" t="s">
        <v>27</v>
      </c>
      <c r="U511" s="8">
        <v>1427</v>
      </c>
      <c r="V511" s="11">
        <v>2</v>
      </c>
      <c r="W511" t="str">
        <f>IF(Table1[[#This Row],[Satisfaction Rating]]&lt;2, "Low", IF(Table1[[#This Row],[Satisfaction Rating]]&lt;4, "Medium", "High"))</f>
        <v>Medium</v>
      </c>
    </row>
    <row r="512" spans="1:23" ht="13" x14ac:dyDescent="0.15">
      <c r="A512" s="2" t="s">
        <v>1045</v>
      </c>
      <c r="B512" s="23">
        <v>44988.012013888889</v>
      </c>
      <c r="C512" s="23">
        <v>45529.678622685184</v>
      </c>
      <c r="D512" s="23" t="str">
        <f>IF(Table1[[#This Row],[Duration of Campaign]]=0, "Ongoing","Completed")</f>
        <v>Completed</v>
      </c>
      <c r="E512" s="25">
        <f>Table1[[#This Row],[End Date]]-Table1[[#This Row],[Start Date]]</f>
        <v>541.6666087962949</v>
      </c>
      <c r="F512" s="8">
        <v>4832</v>
      </c>
      <c r="G512" s="21" t="s">
        <v>53</v>
      </c>
      <c r="H512" s="11">
        <v>5363</v>
      </c>
      <c r="I512" s="11">
        <v>648</v>
      </c>
      <c r="J512" s="11">
        <v>80</v>
      </c>
      <c r="K512" s="13">
        <v>3512</v>
      </c>
      <c r="L512" s="16">
        <f t="shared" si="42"/>
        <v>0.12082789483498042</v>
      </c>
      <c r="M512" s="16">
        <f t="shared" si="43"/>
        <v>0.12345679012345678</v>
      </c>
      <c r="N512" s="17">
        <f t="shared" si="44"/>
        <v>13.049382716049383</v>
      </c>
      <c r="O512" s="17">
        <f t="shared" si="45"/>
        <v>105.7</v>
      </c>
      <c r="P512" s="16">
        <f t="shared" si="46"/>
        <v>1.75</v>
      </c>
      <c r="Q512" s="16">
        <f t="shared" si="47"/>
        <v>0.41532639545884581</v>
      </c>
      <c r="R512" s="2" t="s">
        <v>1046</v>
      </c>
      <c r="S512" s="21" t="s">
        <v>21</v>
      </c>
      <c r="T512" s="21" t="s">
        <v>17</v>
      </c>
      <c r="U512" s="8">
        <v>8456</v>
      </c>
      <c r="V512" s="11">
        <v>1</v>
      </c>
      <c r="W512" t="str">
        <f>IF(Table1[[#This Row],[Satisfaction Rating]]&lt;2, "Low", IF(Table1[[#This Row],[Satisfaction Rating]]&lt;4, "Medium", "High"))</f>
        <v>Low</v>
      </c>
    </row>
    <row r="513" spans="1:23" ht="13" x14ac:dyDescent="0.15">
      <c r="A513" s="2" t="s">
        <v>1047</v>
      </c>
      <c r="B513" s="23">
        <v>45440.752581018518</v>
      </c>
      <c r="C513" s="23">
        <v>45606.099872685183</v>
      </c>
      <c r="D513" s="23" t="str">
        <f>IF(Table1[[#This Row],[Duration of Campaign]]=0, "Ongoing","Completed")</f>
        <v>Completed</v>
      </c>
      <c r="E513" s="25">
        <f>Table1[[#This Row],[End Date]]-Table1[[#This Row],[Start Date]]</f>
        <v>165.34729166666511</v>
      </c>
      <c r="F513" s="8">
        <v>1911</v>
      </c>
      <c r="G513" s="21" t="s">
        <v>19</v>
      </c>
      <c r="H513" s="11">
        <v>17644</v>
      </c>
      <c r="I513" s="11">
        <v>1070</v>
      </c>
      <c r="J513" s="11">
        <v>57</v>
      </c>
      <c r="K513" s="13">
        <v>10082</v>
      </c>
      <c r="L513" s="16">
        <f t="shared" si="42"/>
        <v>6.0643844933121742E-2</v>
      </c>
      <c r="M513" s="16">
        <f t="shared" si="43"/>
        <v>5.3271028037383178E-2</v>
      </c>
      <c r="N513" s="17">
        <f t="shared" si="44"/>
        <v>1.4233644859813084</v>
      </c>
      <c r="O513" s="17">
        <f t="shared" si="45"/>
        <v>26.719298245614034</v>
      </c>
      <c r="P513" s="16">
        <f t="shared" si="46"/>
        <v>0.79696493982208272</v>
      </c>
      <c r="Q513" s="16">
        <f t="shared" si="47"/>
        <v>6.6198292843072881</v>
      </c>
      <c r="R513" s="2" t="s">
        <v>1048</v>
      </c>
      <c r="S513" s="21" t="s">
        <v>16</v>
      </c>
      <c r="T513" s="21" t="s">
        <v>45</v>
      </c>
      <c r="U513" s="8">
        <v>1523</v>
      </c>
      <c r="V513" s="11">
        <v>4</v>
      </c>
      <c r="W513" t="str">
        <f>IF(Table1[[#This Row],[Satisfaction Rating]]&lt;2, "Low", IF(Table1[[#This Row],[Satisfaction Rating]]&lt;4, "Medium", "High"))</f>
        <v>High</v>
      </c>
    </row>
    <row r="514" spans="1:23" ht="13" x14ac:dyDescent="0.15">
      <c r="A514" s="2" t="s">
        <v>1049</v>
      </c>
      <c r="B514" s="23">
        <v>45580.866423611114</v>
      </c>
      <c r="C514" s="23">
        <v>45580.866423611114</v>
      </c>
      <c r="D514" s="23" t="str">
        <f>IF(Table1[[#This Row],[Duration of Campaign]]=0, "Ongoing","Completed")</f>
        <v>Ongoing</v>
      </c>
      <c r="E514" s="25">
        <f>Table1[[#This Row],[End Date]]-Table1[[#This Row],[Start Date]]</f>
        <v>0</v>
      </c>
      <c r="F514" s="8">
        <v>8268</v>
      </c>
      <c r="G514" s="21" t="s">
        <v>37</v>
      </c>
      <c r="H514" s="11">
        <v>3055</v>
      </c>
      <c r="I514" s="11">
        <v>1896</v>
      </c>
      <c r="J514" s="11">
        <v>370</v>
      </c>
      <c r="K514" s="13">
        <v>3497</v>
      </c>
      <c r="L514" s="16">
        <f t="shared" si="42"/>
        <v>0.62062193126022913</v>
      </c>
      <c r="M514" s="16">
        <f t="shared" si="43"/>
        <v>0.19514767932489452</v>
      </c>
      <c r="N514" s="17">
        <f t="shared" si="44"/>
        <v>7.208333333333333</v>
      </c>
      <c r="O514" s="17">
        <f t="shared" si="45"/>
        <v>36.93783783783784</v>
      </c>
      <c r="P514" s="16">
        <f t="shared" si="46"/>
        <v>1.6529995162070634</v>
      </c>
      <c r="Q514" s="16">
        <f t="shared" si="47"/>
        <v>0.25587180800468279</v>
      </c>
      <c r="R514" s="2" t="s">
        <v>1050</v>
      </c>
      <c r="S514" s="21" t="s">
        <v>16</v>
      </c>
      <c r="T514" s="21" t="s">
        <v>17</v>
      </c>
      <c r="U514" s="8">
        <v>13667</v>
      </c>
      <c r="V514" s="11">
        <v>3</v>
      </c>
      <c r="W514" t="str">
        <f>IF(Table1[[#This Row],[Satisfaction Rating]]&lt;2, "Low", IF(Table1[[#This Row],[Satisfaction Rating]]&lt;4, "Medium", "High"))</f>
        <v>Medium</v>
      </c>
    </row>
    <row r="515" spans="1:23" ht="13" x14ac:dyDescent="0.15">
      <c r="A515" s="2" t="s">
        <v>1051</v>
      </c>
      <c r="B515" s="23">
        <v>44956.662256944444</v>
      </c>
      <c r="C515" s="23">
        <v>45118.991053240738</v>
      </c>
      <c r="D515" s="23" t="str">
        <f>IF(Table1[[#This Row],[Duration of Campaign]]=0, "Ongoing","Completed")</f>
        <v>Completed</v>
      </c>
      <c r="E515" s="25">
        <f>Table1[[#This Row],[End Date]]-Table1[[#This Row],[Start Date]]</f>
        <v>162.32879629629315</v>
      </c>
      <c r="F515" s="8">
        <v>9236</v>
      </c>
      <c r="G515" s="21" t="s">
        <v>14</v>
      </c>
      <c r="H515" s="11">
        <v>10051</v>
      </c>
      <c r="I515" s="11">
        <v>470</v>
      </c>
      <c r="J515" s="11">
        <v>229</v>
      </c>
      <c r="K515" s="13">
        <v>12573</v>
      </c>
      <c r="L515" s="16">
        <f t="shared" ref="L515:L578" si="48">I515/H515</f>
        <v>4.6761516267038103E-2</v>
      </c>
      <c r="M515" s="16">
        <f t="shared" ref="M515:M578" si="49">J515/I515</f>
        <v>0.48723404255319147</v>
      </c>
      <c r="N515" s="17">
        <f t="shared" ref="N515:N578" si="50">U515/I515</f>
        <v>7.0404255319148934</v>
      </c>
      <c r="O515" s="17">
        <f t="shared" ref="O515:O578" si="51">U515/J515</f>
        <v>14.449781659388647</v>
      </c>
      <c r="P515" s="16">
        <f t="shared" ref="P515:P578" si="52">U515/F515</f>
        <v>0.35827197921178</v>
      </c>
      <c r="Q515" s="16">
        <f t="shared" ref="Q515:Q578" si="53">K515/U515</f>
        <v>3.799637352674524</v>
      </c>
      <c r="R515" s="2" t="s">
        <v>1052</v>
      </c>
      <c r="S515" s="21" t="s">
        <v>30</v>
      </c>
      <c r="T515" s="21" t="s">
        <v>17</v>
      </c>
      <c r="U515" s="8">
        <v>3309</v>
      </c>
      <c r="V515" s="11">
        <v>1</v>
      </c>
      <c r="W515" t="str">
        <f>IF(Table1[[#This Row],[Satisfaction Rating]]&lt;2, "Low", IF(Table1[[#This Row],[Satisfaction Rating]]&lt;4, "Medium", "High"))</f>
        <v>Low</v>
      </c>
    </row>
    <row r="516" spans="1:23" ht="13" x14ac:dyDescent="0.15">
      <c r="A516" s="2" t="s">
        <v>1053</v>
      </c>
      <c r="B516" s="23">
        <v>45583.418981481482</v>
      </c>
      <c r="C516" s="23">
        <v>45583.418981481482</v>
      </c>
      <c r="D516" s="23" t="str">
        <f>IF(Table1[[#This Row],[Duration of Campaign]]=0, "Ongoing","Completed")</f>
        <v>Ongoing</v>
      </c>
      <c r="E516" s="25">
        <f>Table1[[#This Row],[End Date]]-Table1[[#This Row],[Start Date]]</f>
        <v>0</v>
      </c>
      <c r="F516" s="8">
        <v>9065</v>
      </c>
      <c r="G516" s="21" t="s">
        <v>14</v>
      </c>
      <c r="H516" s="11">
        <v>19115</v>
      </c>
      <c r="I516" s="11">
        <v>980</v>
      </c>
      <c r="J516" s="11">
        <v>133</v>
      </c>
      <c r="K516" s="13">
        <v>1826</v>
      </c>
      <c r="L516" s="16">
        <f t="shared" si="48"/>
        <v>5.1268637195919432E-2</v>
      </c>
      <c r="M516" s="16">
        <f t="shared" si="49"/>
        <v>0.1357142857142857</v>
      </c>
      <c r="N516" s="17">
        <f t="shared" si="50"/>
        <v>7.8948979591836732</v>
      </c>
      <c r="O516" s="17">
        <f t="shared" si="51"/>
        <v>58.172932330827066</v>
      </c>
      <c r="P516" s="16">
        <f t="shared" si="52"/>
        <v>0.85350248207391066</v>
      </c>
      <c r="Q516" s="16">
        <f t="shared" si="53"/>
        <v>0.23600878893628022</v>
      </c>
      <c r="R516" s="2" t="s">
        <v>1054</v>
      </c>
      <c r="S516" s="21" t="s">
        <v>16</v>
      </c>
      <c r="T516" s="21" t="s">
        <v>45</v>
      </c>
      <c r="U516" s="8">
        <v>7737</v>
      </c>
      <c r="V516" s="11">
        <v>1</v>
      </c>
      <c r="W516" t="str">
        <f>IF(Table1[[#This Row],[Satisfaction Rating]]&lt;2, "Low", IF(Table1[[#This Row],[Satisfaction Rating]]&lt;4, "Medium", "High"))</f>
        <v>Low</v>
      </c>
    </row>
    <row r="517" spans="1:23" ht="13" x14ac:dyDescent="0.15">
      <c r="A517" s="2" t="s">
        <v>1055</v>
      </c>
      <c r="B517" s="23">
        <v>45570.329745370371</v>
      </c>
      <c r="C517" s="23">
        <v>45570.329745370371</v>
      </c>
      <c r="D517" s="23" t="str">
        <f>IF(Table1[[#This Row],[Duration of Campaign]]=0, "Ongoing","Completed")</f>
        <v>Ongoing</v>
      </c>
      <c r="E517" s="25">
        <f>Table1[[#This Row],[End Date]]-Table1[[#This Row],[Start Date]]</f>
        <v>0</v>
      </c>
      <c r="F517" s="8">
        <v>1556</v>
      </c>
      <c r="G517" s="21" t="s">
        <v>14</v>
      </c>
      <c r="H517" s="11">
        <v>7051</v>
      </c>
      <c r="I517" s="11">
        <v>223</v>
      </c>
      <c r="J517" s="11">
        <v>390</v>
      </c>
      <c r="K517" s="13">
        <v>11104</v>
      </c>
      <c r="L517" s="16">
        <f t="shared" si="48"/>
        <v>3.1626719614239115E-2</v>
      </c>
      <c r="M517" s="16">
        <f t="shared" si="49"/>
        <v>1.7488789237668161</v>
      </c>
      <c r="N517" s="17">
        <f t="shared" si="50"/>
        <v>2.6188340807174888</v>
      </c>
      <c r="O517" s="17">
        <f t="shared" si="51"/>
        <v>1.4974358974358974</v>
      </c>
      <c r="P517" s="16">
        <f t="shared" si="52"/>
        <v>0.37532133676092544</v>
      </c>
      <c r="Q517" s="16">
        <f t="shared" si="53"/>
        <v>19.013698630136986</v>
      </c>
      <c r="R517" s="2" t="s">
        <v>1056</v>
      </c>
      <c r="S517" s="21" t="s">
        <v>16</v>
      </c>
      <c r="T517" s="21" t="s">
        <v>45</v>
      </c>
      <c r="U517" s="8">
        <v>584</v>
      </c>
      <c r="V517" s="11">
        <v>3</v>
      </c>
      <c r="W517" t="str">
        <f>IF(Table1[[#This Row],[Satisfaction Rating]]&lt;2, "Low", IF(Table1[[#This Row],[Satisfaction Rating]]&lt;4, "Medium", "High"))</f>
        <v>Medium</v>
      </c>
    </row>
    <row r="518" spans="1:23" ht="13" x14ac:dyDescent="0.15">
      <c r="A518" s="2" t="s">
        <v>1057</v>
      </c>
      <c r="B518" s="23">
        <v>45255.521111111113</v>
      </c>
      <c r="C518" s="23">
        <v>45382.724675925929</v>
      </c>
      <c r="D518" s="23" t="str">
        <f>IF(Table1[[#This Row],[Duration of Campaign]]=0, "Ongoing","Completed")</f>
        <v>Completed</v>
      </c>
      <c r="E518" s="25">
        <f>Table1[[#This Row],[End Date]]-Table1[[#This Row],[Start Date]]</f>
        <v>127.20356481481576</v>
      </c>
      <c r="F518" s="8">
        <v>7546</v>
      </c>
      <c r="G518" s="21" t="s">
        <v>14</v>
      </c>
      <c r="H518" s="11">
        <v>9956</v>
      </c>
      <c r="I518" s="11">
        <v>1173</v>
      </c>
      <c r="J518" s="11">
        <v>368</v>
      </c>
      <c r="K518" s="13">
        <v>11728</v>
      </c>
      <c r="L518" s="16">
        <f t="shared" si="48"/>
        <v>0.11781840096424266</v>
      </c>
      <c r="M518" s="16">
        <f t="shared" si="49"/>
        <v>0.31372549019607843</v>
      </c>
      <c r="N518" s="17">
        <f t="shared" si="50"/>
        <v>1.4407502131287298</v>
      </c>
      <c r="O518" s="17">
        <f t="shared" si="51"/>
        <v>4.5923913043478262</v>
      </c>
      <c r="P518" s="16">
        <f t="shared" si="52"/>
        <v>0.22395971375563212</v>
      </c>
      <c r="Q518" s="16">
        <f t="shared" si="53"/>
        <v>6.9396449704142009</v>
      </c>
      <c r="R518" s="2" t="s">
        <v>1058</v>
      </c>
      <c r="S518" s="21" t="s">
        <v>16</v>
      </c>
      <c r="T518" s="21" t="s">
        <v>17</v>
      </c>
      <c r="U518" s="8">
        <v>1690</v>
      </c>
      <c r="V518" s="11">
        <v>3</v>
      </c>
      <c r="W518" t="str">
        <f>IF(Table1[[#This Row],[Satisfaction Rating]]&lt;2, "Low", IF(Table1[[#This Row],[Satisfaction Rating]]&lt;4, "Medium", "High"))</f>
        <v>Medium</v>
      </c>
    </row>
    <row r="519" spans="1:23" ht="13" x14ac:dyDescent="0.15">
      <c r="A519" s="2" t="s">
        <v>1059</v>
      </c>
      <c r="B519" s="23">
        <v>45061.896770833337</v>
      </c>
      <c r="C519" s="23">
        <v>45636.872800925928</v>
      </c>
      <c r="D519" s="23" t="str">
        <f>IF(Table1[[#This Row],[Duration of Campaign]]=0, "Ongoing","Completed")</f>
        <v>Completed</v>
      </c>
      <c r="E519" s="25">
        <f>Table1[[#This Row],[End Date]]-Table1[[#This Row],[Start Date]]</f>
        <v>574.97603009259183</v>
      </c>
      <c r="F519" s="8">
        <v>6616</v>
      </c>
      <c r="G519" s="21" t="s">
        <v>37</v>
      </c>
      <c r="H519" s="11">
        <v>13223</v>
      </c>
      <c r="I519" s="11">
        <v>1132</v>
      </c>
      <c r="J519" s="11">
        <v>11</v>
      </c>
      <c r="K519" s="13">
        <v>11315</v>
      </c>
      <c r="L519" s="16">
        <f t="shared" si="48"/>
        <v>8.5608409589351883E-2</v>
      </c>
      <c r="M519" s="16">
        <f t="shared" si="49"/>
        <v>9.7173144876325085E-3</v>
      </c>
      <c r="N519" s="17">
        <f t="shared" si="50"/>
        <v>17.492049469964666</v>
      </c>
      <c r="O519" s="17">
        <f t="shared" si="51"/>
        <v>1800.090909090909</v>
      </c>
      <c r="P519" s="16">
        <f t="shared" si="52"/>
        <v>2.9928960096735189</v>
      </c>
      <c r="Q519" s="16">
        <f t="shared" si="53"/>
        <v>0.57143578607141055</v>
      </c>
      <c r="R519" s="2" t="s">
        <v>1060</v>
      </c>
      <c r="S519" s="21" t="s">
        <v>21</v>
      </c>
      <c r="T519" s="21" t="s">
        <v>17</v>
      </c>
      <c r="U519" s="8">
        <v>19801</v>
      </c>
      <c r="V519" s="11">
        <v>2</v>
      </c>
      <c r="W519" t="str">
        <f>IF(Table1[[#This Row],[Satisfaction Rating]]&lt;2, "Low", IF(Table1[[#This Row],[Satisfaction Rating]]&lt;4, "Medium", "High"))</f>
        <v>Medium</v>
      </c>
    </row>
    <row r="520" spans="1:23" ht="13" x14ac:dyDescent="0.15">
      <c r="A520" s="2" t="s">
        <v>1061</v>
      </c>
      <c r="B520" s="23">
        <v>45125.654745370368</v>
      </c>
      <c r="C520" s="23">
        <v>45509.283368055556</v>
      </c>
      <c r="D520" s="23" t="str">
        <f>IF(Table1[[#This Row],[Duration of Campaign]]=0, "Ongoing","Completed")</f>
        <v>Completed</v>
      </c>
      <c r="E520" s="25">
        <f>Table1[[#This Row],[End Date]]-Table1[[#This Row],[Start Date]]</f>
        <v>383.62862268518802</v>
      </c>
      <c r="F520" s="8">
        <v>5493</v>
      </c>
      <c r="G520" s="21" t="s">
        <v>19</v>
      </c>
      <c r="H520" s="11">
        <v>11235</v>
      </c>
      <c r="I520" s="11">
        <v>1520</v>
      </c>
      <c r="J520" s="11">
        <v>158</v>
      </c>
      <c r="K520" s="13">
        <v>9999</v>
      </c>
      <c r="L520" s="16">
        <f t="shared" si="48"/>
        <v>0.13529149977748109</v>
      </c>
      <c r="M520" s="16">
        <f t="shared" si="49"/>
        <v>0.10394736842105264</v>
      </c>
      <c r="N520" s="17">
        <f t="shared" si="50"/>
        <v>4.7710526315789474</v>
      </c>
      <c r="O520" s="17">
        <f t="shared" si="51"/>
        <v>45.898734177215189</v>
      </c>
      <c r="P520" s="16">
        <f t="shared" si="52"/>
        <v>1.3202257418532677</v>
      </c>
      <c r="Q520" s="16">
        <f t="shared" si="53"/>
        <v>1.378792057363486</v>
      </c>
      <c r="R520" s="2" t="s">
        <v>1062</v>
      </c>
      <c r="S520" s="21" t="s">
        <v>30</v>
      </c>
      <c r="T520" s="21" t="s">
        <v>17</v>
      </c>
      <c r="U520" s="8">
        <v>7252</v>
      </c>
      <c r="V520" s="11">
        <v>5</v>
      </c>
      <c r="W520" t="str">
        <f>IF(Table1[[#This Row],[Satisfaction Rating]]&lt;2, "Low", IF(Table1[[#This Row],[Satisfaction Rating]]&lt;4, "Medium", "High"))</f>
        <v>High</v>
      </c>
    </row>
    <row r="521" spans="1:23" ht="13" x14ac:dyDescent="0.15">
      <c r="A521" s="2" t="s">
        <v>1063</v>
      </c>
      <c r="B521" s="23">
        <v>45341.206180555557</v>
      </c>
      <c r="C521" s="23">
        <v>45341.206180555557</v>
      </c>
      <c r="D521" s="23" t="str">
        <f>IF(Table1[[#This Row],[Duration of Campaign]]=0, "Ongoing","Completed")</f>
        <v>Ongoing</v>
      </c>
      <c r="E521" s="25">
        <f>Table1[[#This Row],[End Date]]-Table1[[#This Row],[Start Date]]</f>
        <v>0</v>
      </c>
      <c r="F521" s="8">
        <v>3216</v>
      </c>
      <c r="G521" s="21" t="s">
        <v>37</v>
      </c>
      <c r="H521" s="11">
        <v>8239</v>
      </c>
      <c r="I521" s="11">
        <v>1538</v>
      </c>
      <c r="J521" s="11">
        <v>233</v>
      </c>
      <c r="K521" s="13">
        <v>867</v>
      </c>
      <c r="L521" s="16">
        <f t="shared" si="48"/>
        <v>0.18667313994416798</v>
      </c>
      <c r="M521" s="16">
        <f t="shared" si="49"/>
        <v>0.15149544863459039</v>
      </c>
      <c r="N521" s="17">
        <f t="shared" si="50"/>
        <v>4.1677503250975292</v>
      </c>
      <c r="O521" s="17">
        <f t="shared" si="51"/>
        <v>27.510729613733904</v>
      </c>
      <c r="P521" s="16">
        <f t="shared" si="52"/>
        <v>1.9931592039800996</v>
      </c>
      <c r="Q521" s="16">
        <f t="shared" si="53"/>
        <v>0.13525741029641186</v>
      </c>
      <c r="R521" s="2" t="s">
        <v>1064</v>
      </c>
      <c r="S521" s="21" t="s">
        <v>24</v>
      </c>
      <c r="T521" s="21" t="s">
        <v>27</v>
      </c>
      <c r="U521" s="8">
        <v>6410</v>
      </c>
      <c r="V521" s="11">
        <v>3</v>
      </c>
      <c r="W521" t="str">
        <f>IF(Table1[[#This Row],[Satisfaction Rating]]&lt;2, "Low", IF(Table1[[#This Row],[Satisfaction Rating]]&lt;4, "Medium", "High"))</f>
        <v>Medium</v>
      </c>
    </row>
    <row r="522" spans="1:23" ht="13" x14ac:dyDescent="0.15">
      <c r="A522" s="2" t="s">
        <v>1065</v>
      </c>
      <c r="B522" s="23">
        <v>45137.406539351854</v>
      </c>
      <c r="C522" s="23">
        <v>45352.090312499997</v>
      </c>
      <c r="D522" s="23" t="str">
        <f>IF(Table1[[#This Row],[Duration of Campaign]]=0, "Ongoing","Completed")</f>
        <v>Completed</v>
      </c>
      <c r="E522" s="25">
        <f>Table1[[#This Row],[End Date]]-Table1[[#This Row],[Start Date]]</f>
        <v>214.68377314814279</v>
      </c>
      <c r="F522" s="8">
        <v>9794</v>
      </c>
      <c r="G522" s="21" t="s">
        <v>19</v>
      </c>
      <c r="H522" s="11">
        <v>13890</v>
      </c>
      <c r="I522" s="11">
        <v>1113</v>
      </c>
      <c r="J522" s="11">
        <v>465</v>
      </c>
      <c r="K522" s="13">
        <v>11345</v>
      </c>
      <c r="L522" s="16">
        <f t="shared" si="48"/>
        <v>8.0129589632829373E-2</v>
      </c>
      <c r="M522" s="16">
        <f t="shared" si="49"/>
        <v>0.41778975741239893</v>
      </c>
      <c r="N522" s="17">
        <f t="shared" si="50"/>
        <v>14.177897574123989</v>
      </c>
      <c r="O522" s="17">
        <f t="shared" si="51"/>
        <v>33.935483870967744</v>
      </c>
      <c r="P522" s="16">
        <f t="shared" si="52"/>
        <v>1.6111905248111089</v>
      </c>
      <c r="Q522" s="16">
        <f t="shared" si="53"/>
        <v>0.71894803548795949</v>
      </c>
      <c r="R522" s="2" t="s">
        <v>1066</v>
      </c>
      <c r="S522" s="21" t="s">
        <v>30</v>
      </c>
      <c r="T522" s="21" t="s">
        <v>45</v>
      </c>
      <c r="U522" s="8">
        <v>15780</v>
      </c>
      <c r="V522" s="11">
        <v>3</v>
      </c>
      <c r="W522" t="str">
        <f>IF(Table1[[#This Row],[Satisfaction Rating]]&lt;2, "Low", IF(Table1[[#This Row],[Satisfaction Rating]]&lt;4, "Medium", "High"))</f>
        <v>Medium</v>
      </c>
    </row>
    <row r="523" spans="1:23" ht="13" x14ac:dyDescent="0.15">
      <c r="A523" s="2" t="s">
        <v>1067</v>
      </c>
      <c r="B523" s="23">
        <v>45635.025069444448</v>
      </c>
      <c r="C523" s="23">
        <v>45635.025069444448</v>
      </c>
      <c r="D523" s="23" t="str">
        <f>IF(Table1[[#This Row],[Duration of Campaign]]=0, "Ongoing","Completed")</f>
        <v>Ongoing</v>
      </c>
      <c r="E523" s="25">
        <f>Table1[[#This Row],[End Date]]-Table1[[#This Row],[Start Date]]</f>
        <v>0</v>
      </c>
      <c r="F523" s="8">
        <v>5499</v>
      </c>
      <c r="G523" s="21" t="s">
        <v>53</v>
      </c>
      <c r="H523" s="11">
        <v>16506</v>
      </c>
      <c r="I523" s="11">
        <v>173</v>
      </c>
      <c r="J523" s="11">
        <v>330</v>
      </c>
      <c r="K523" s="13">
        <v>8733</v>
      </c>
      <c r="L523" s="16">
        <f t="shared" si="48"/>
        <v>1.048103719859445E-2</v>
      </c>
      <c r="M523" s="16">
        <f t="shared" si="49"/>
        <v>1.9075144508670521</v>
      </c>
      <c r="N523" s="17">
        <f t="shared" si="50"/>
        <v>115.3699421965318</v>
      </c>
      <c r="O523" s="17">
        <f t="shared" si="51"/>
        <v>60.481818181818184</v>
      </c>
      <c r="P523" s="16">
        <f t="shared" si="52"/>
        <v>3.6295690125477358</v>
      </c>
      <c r="Q523" s="16">
        <f t="shared" si="53"/>
        <v>0.43754697129114684</v>
      </c>
      <c r="R523" s="2" t="s">
        <v>1068</v>
      </c>
      <c r="S523" s="21" t="s">
        <v>16</v>
      </c>
      <c r="T523" s="21" t="s">
        <v>17</v>
      </c>
      <c r="U523" s="8">
        <v>19959</v>
      </c>
      <c r="V523" s="11">
        <v>4</v>
      </c>
      <c r="W523" t="str">
        <f>IF(Table1[[#This Row],[Satisfaction Rating]]&lt;2, "Low", IF(Table1[[#This Row],[Satisfaction Rating]]&lt;4, "Medium", "High"))</f>
        <v>High</v>
      </c>
    </row>
    <row r="524" spans="1:23" ht="13" x14ac:dyDescent="0.15">
      <c r="A524" s="2" t="s">
        <v>1069</v>
      </c>
      <c r="B524" s="23">
        <v>45368.6249537037</v>
      </c>
      <c r="C524" s="23">
        <v>45368.6249537037</v>
      </c>
      <c r="D524" s="23" t="str">
        <f>IF(Table1[[#This Row],[Duration of Campaign]]=0, "Ongoing","Completed")</f>
        <v>Ongoing</v>
      </c>
      <c r="E524" s="25">
        <f>Table1[[#This Row],[End Date]]-Table1[[#This Row],[Start Date]]</f>
        <v>0</v>
      </c>
      <c r="F524" s="8">
        <v>2164</v>
      </c>
      <c r="G524" s="21" t="s">
        <v>14</v>
      </c>
      <c r="H524" s="11">
        <v>12419</v>
      </c>
      <c r="I524" s="11">
        <v>1359</v>
      </c>
      <c r="J524" s="11">
        <v>88</v>
      </c>
      <c r="K524" s="13">
        <v>10414</v>
      </c>
      <c r="L524" s="16">
        <f t="shared" si="48"/>
        <v>0.10942910057170464</v>
      </c>
      <c r="M524" s="16">
        <f t="shared" si="49"/>
        <v>6.4753495217071383E-2</v>
      </c>
      <c r="N524" s="17">
        <f t="shared" si="50"/>
        <v>14.548197203826343</v>
      </c>
      <c r="O524" s="17">
        <f t="shared" si="51"/>
        <v>224.67045454545453</v>
      </c>
      <c r="P524" s="16">
        <f t="shared" si="52"/>
        <v>9.1363216266173755</v>
      </c>
      <c r="Q524" s="16">
        <f t="shared" si="53"/>
        <v>0.52673107076020431</v>
      </c>
      <c r="R524" s="2" t="s">
        <v>1070</v>
      </c>
      <c r="S524" s="21" t="s">
        <v>21</v>
      </c>
      <c r="T524" s="21" t="s">
        <v>27</v>
      </c>
      <c r="U524" s="8">
        <v>19771</v>
      </c>
      <c r="V524" s="11">
        <v>2</v>
      </c>
      <c r="W524" t="str">
        <f>IF(Table1[[#This Row],[Satisfaction Rating]]&lt;2, "Low", IF(Table1[[#This Row],[Satisfaction Rating]]&lt;4, "Medium", "High"))</f>
        <v>Medium</v>
      </c>
    </row>
    <row r="525" spans="1:23" ht="13" x14ac:dyDescent="0.15">
      <c r="A525" s="2" t="s">
        <v>1071</v>
      </c>
      <c r="B525" s="23">
        <v>44968.559664351851</v>
      </c>
      <c r="C525" s="23">
        <v>45373.768888888888</v>
      </c>
      <c r="D525" s="23" t="str">
        <f>IF(Table1[[#This Row],[Duration of Campaign]]=0, "Ongoing","Completed")</f>
        <v>Completed</v>
      </c>
      <c r="E525" s="25">
        <f>Table1[[#This Row],[End Date]]-Table1[[#This Row],[Start Date]]</f>
        <v>405.20922453703679</v>
      </c>
      <c r="F525" s="8">
        <v>3896</v>
      </c>
      <c r="G525" s="21" t="s">
        <v>37</v>
      </c>
      <c r="H525" s="11">
        <v>1233</v>
      </c>
      <c r="I525" s="11">
        <v>1270</v>
      </c>
      <c r="J525" s="11">
        <v>120</v>
      </c>
      <c r="K525" s="13">
        <v>9344</v>
      </c>
      <c r="L525" s="16">
        <f t="shared" si="48"/>
        <v>1.0300081103000811</v>
      </c>
      <c r="M525" s="16">
        <f t="shared" si="49"/>
        <v>9.4488188976377951E-2</v>
      </c>
      <c r="N525" s="17">
        <f t="shared" si="50"/>
        <v>3.3188976377952755</v>
      </c>
      <c r="O525" s="17">
        <f t="shared" si="51"/>
        <v>35.125</v>
      </c>
      <c r="P525" s="16">
        <f t="shared" si="52"/>
        <v>1.0818788501026695</v>
      </c>
      <c r="Q525" s="16">
        <f t="shared" si="53"/>
        <v>2.216844602609727</v>
      </c>
      <c r="R525" s="2" t="s">
        <v>1072</v>
      </c>
      <c r="S525" s="21" t="s">
        <v>24</v>
      </c>
      <c r="T525" s="21" t="s">
        <v>45</v>
      </c>
      <c r="U525" s="8">
        <v>4215</v>
      </c>
      <c r="V525" s="11">
        <v>2</v>
      </c>
      <c r="W525" t="str">
        <f>IF(Table1[[#This Row],[Satisfaction Rating]]&lt;2, "Low", IF(Table1[[#This Row],[Satisfaction Rating]]&lt;4, "Medium", "High"))</f>
        <v>Medium</v>
      </c>
    </row>
    <row r="526" spans="1:23" ht="13" x14ac:dyDescent="0.15">
      <c r="A526" s="2" t="s">
        <v>1073</v>
      </c>
      <c r="B526" s="23">
        <v>44966.973634259259</v>
      </c>
      <c r="C526" s="23">
        <v>45291.232152777775</v>
      </c>
      <c r="D526" s="23" t="str">
        <f>IF(Table1[[#This Row],[Duration of Campaign]]=0, "Ongoing","Completed")</f>
        <v>Completed</v>
      </c>
      <c r="E526" s="25">
        <f>Table1[[#This Row],[End Date]]-Table1[[#This Row],[Start Date]]</f>
        <v>324.25851851851621</v>
      </c>
      <c r="F526" s="8">
        <v>9933</v>
      </c>
      <c r="G526" s="21" t="s">
        <v>14</v>
      </c>
      <c r="H526" s="11">
        <v>14301</v>
      </c>
      <c r="I526" s="11">
        <v>1650</v>
      </c>
      <c r="J526" s="11">
        <v>342</v>
      </c>
      <c r="K526" s="13">
        <v>7523</v>
      </c>
      <c r="L526" s="16">
        <f t="shared" si="48"/>
        <v>0.11537654709460878</v>
      </c>
      <c r="M526" s="16">
        <f t="shared" si="49"/>
        <v>0.20727272727272728</v>
      </c>
      <c r="N526" s="17">
        <f t="shared" si="50"/>
        <v>4.4139393939393941</v>
      </c>
      <c r="O526" s="17">
        <f t="shared" si="51"/>
        <v>21.295321637426902</v>
      </c>
      <c r="P526" s="16">
        <f t="shared" si="52"/>
        <v>0.73321252391019831</v>
      </c>
      <c r="Q526" s="16">
        <f t="shared" si="53"/>
        <v>1.0329534532472882</v>
      </c>
      <c r="R526" s="2" t="s">
        <v>1074</v>
      </c>
      <c r="S526" s="21" t="s">
        <v>30</v>
      </c>
      <c r="T526" s="21" t="s">
        <v>27</v>
      </c>
      <c r="U526" s="8">
        <v>7283</v>
      </c>
      <c r="V526" s="11">
        <v>4</v>
      </c>
      <c r="W526" t="str">
        <f>IF(Table1[[#This Row],[Satisfaction Rating]]&lt;2, "Low", IF(Table1[[#This Row],[Satisfaction Rating]]&lt;4, "Medium", "High"))</f>
        <v>High</v>
      </c>
    </row>
    <row r="527" spans="1:23" ht="13" x14ac:dyDescent="0.15">
      <c r="A527" s="2" t="s">
        <v>1075</v>
      </c>
      <c r="B527" s="23">
        <v>44997.111724537041</v>
      </c>
      <c r="C527" s="23">
        <v>45223.706574074073</v>
      </c>
      <c r="D527" s="23" t="str">
        <f>IF(Table1[[#This Row],[Duration of Campaign]]=0, "Ongoing","Completed")</f>
        <v>Completed</v>
      </c>
      <c r="E527" s="25">
        <f>Table1[[#This Row],[End Date]]-Table1[[#This Row],[Start Date]]</f>
        <v>226.59484953703213</v>
      </c>
      <c r="F527" s="8">
        <v>1670</v>
      </c>
      <c r="G527" s="21" t="s">
        <v>37</v>
      </c>
      <c r="H527" s="11">
        <v>1767</v>
      </c>
      <c r="I527" s="11">
        <v>644</v>
      </c>
      <c r="J527" s="11">
        <v>370</v>
      </c>
      <c r="K527" s="13">
        <v>1353</v>
      </c>
      <c r="L527" s="16">
        <f t="shared" si="48"/>
        <v>0.36445953593661573</v>
      </c>
      <c r="M527" s="16">
        <f t="shared" si="49"/>
        <v>0.57453416149068326</v>
      </c>
      <c r="N527" s="17">
        <f t="shared" si="50"/>
        <v>25.579192546583851</v>
      </c>
      <c r="O527" s="17">
        <f t="shared" si="51"/>
        <v>44.52162162162162</v>
      </c>
      <c r="P527" s="16">
        <f t="shared" si="52"/>
        <v>9.8640718562874259</v>
      </c>
      <c r="Q527" s="16">
        <f t="shared" si="53"/>
        <v>8.2134401748315419E-2</v>
      </c>
      <c r="R527" s="2" t="s">
        <v>1076</v>
      </c>
      <c r="S527" s="21" t="s">
        <v>30</v>
      </c>
      <c r="T527" s="21" t="s">
        <v>27</v>
      </c>
      <c r="U527" s="8">
        <v>16473</v>
      </c>
      <c r="V527" s="11">
        <v>5</v>
      </c>
      <c r="W527" t="str">
        <f>IF(Table1[[#This Row],[Satisfaction Rating]]&lt;2, "Low", IF(Table1[[#This Row],[Satisfaction Rating]]&lt;4, "Medium", "High"))</f>
        <v>High</v>
      </c>
    </row>
    <row r="528" spans="1:23" ht="13" x14ac:dyDescent="0.15">
      <c r="A528" s="2" t="s">
        <v>1077</v>
      </c>
      <c r="B528" s="23">
        <v>45263.104710648149</v>
      </c>
      <c r="C528" s="23">
        <v>45316.521354166667</v>
      </c>
      <c r="D528" s="23" t="str">
        <f>IF(Table1[[#This Row],[Duration of Campaign]]=0, "Ongoing","Completed")</f>
        <v>Completed</v>
      </c>
      <c r="E528" s="25">
        <f>Table1[[#This Row],[End Date]]-Table1[[#This Row],[Start Date]]</f>
        <v>53.416643518517958</v>
      </c>
      <c r="F528" s="8">
        <v>9979</v>
      </c>
      <c r="G528" s="21" t="s">
        <v>19</v>
      </c>
      <c r="H528" s="11">
        <v>16244</v>
      </c>
      <c r="I528" s="11">
        <v>1096</v>
      </c>
      <c r="J528" s="11">
        <v>303</v>
      </c>
      <c r="K528" s="13">
        <v>12810</v>
      </c>
      <c r="L528" s="16">
        <f t="shared" si="48"/>
        <v>6.7471066239842406E-2</v>
      </c>
      <c r="M528" s="16">
        <f t="shared" si="49"/>
        <v>0.27645985401459855</v>
      </c>
      <c r="N528" s="17">
        <f t="shared" si="50"/>
        <v>11.803832116788321</v>
      </c>
      <c r="O528" s="17">
        <f t="shared" si="51"/>
        <v>42.696369636963695</v>
      </c>
      <c r="P528" s="16">
        <f t="shared" si="52"/>
        <v>1.2964224872231687</v>
      </c>
      <c r="Q528" s="16">
        <f t="shared" si="53"/>
        <v>0.9901831954858159</v>
      </c>
      <c r="R528" s="2" t="s">
        <v>1078</v>
      </c>
      <c r="S528" s="21" t="s">
        <v>21</v>
      </c>
      <c r="T528" s="21" t="s">
        <v>27</v>
      </c>
      <c r="U528" s="8">
        <v>12937</v>
      </c>
      <c r="V528" s="11">
        <v>2</v>
      </c>
      <c r="W528" t="str">
        <f>IF(Table1[[#This Row],[Satisfaction Rating]]&lt;2, "Low", IF(Table1[[#This Row],[Satisfaction Rating]]&lt;4, "Medium", "High"))</f>
        <v>Medium</v>
      </c>
    </row>
    <row r="529" spans="1:23" ht="13" x14ac:dyDescent="0.15">
      <c r="A529" s="2" t="s">
        <v>1079</v>
      </c>
      <c r="B529" s="23">
        <v>45071.790844907409</v>
      </c>
      <c r="C529" s="23">
        <v>45550.431168981479</v>
      </c>
      <c r="D529" s="23" t="str">
        <f>IF(Table1[[#This Row],[Duration of Campaign]]=0, "Ongoing","Completed")</f>
        <v>Completed</v>
      </c>
      <c r="E529" s="25">
        <f>Table1[[#This Row],[End Date]]-Table1[[#This Row],[Start Date]]</f>
        <v>478.64032407406921</v>
      </c>
      <c r="F529" s="8">
        <v>2811</v>
      </c>
      <c r="G529" s="21" t="s">
        <v>14</v>
      </c>
      <c r="H529" s="11">
        <v>1148</v>
      </c>
      <c r="I529" s="11">
        <v>1807</v>
      </c>
      <c r="J529" s="11">
        <v>242</v>
      </c>
      <c r="K529" s="13">
        <v>2033</v>
      </c>
      <c r="L529" s="16">
        <f t="shared" si="48"/>
        <v>1.5740418118466899</v>
      </c>
      <c r="M529" s="16">
        <f t="shared" si="49"/>
        <v>0.13392363032650803</v>
      </c>
      <c r="N529" s="17">
        <f t="shared" si="50"/>
        <v>4.244050913115661</v>
      </c>
      <c r="O529" s="17">
        <f t="shared" si="51"/>
        <v>31.690082644628099</v>
      </c>
      <c r="P529" s="16">
        <f t="shared" si="52"/>
        <v>2.728210601209534</v>
      </c>
      <c r="Q529" s="16">
        <f t="shared" si="53"/>
        <v>0.26509323249445821</v>
      </c>
      <c r="R529" s="2" t="s">
        <v>1080</v>
      </c>
      <c r="S529" s="21" t="s">
        <v>24</v>
      </c>
      <c r="T529" s="21" t="s">
        <v>17</v>
      </c>
      <c r="U529" s="8">
        <v>7669</v>
      </c>
      <c r="V529" s="11">
        <v>1</v>
      </c>
      <c r="W529" t="str">
        <f>IF(Table1[[#This Row],[Satisfaction Rating]]&lt;2, "Low", IF(Table1[[#This Row],[Satisfaction Rating]]&lt;4, "Medium", "High"))</f>
        <v>Low</v>
      </c>
    </row>
    <row r="530" spans="1:23" ht="13" x14ac:dyDescent="0.15">
      <c r="A530" s="2" t="s">
        <v>1081</v>
      </c>
      <c r="B530" s="23">
        <v>45654.12259259259</v>
      </c>
      <c r="C530" s="23">
        <v>45654.12259259259</v>
      </c>
      <c r="D530" s="23" t="str">
        <f>IF(Table1[[#This Row],[Duration of Campaign]]=0, "Ongoing","Completed")</f>
        <v>Ongoing</v>
      </c>
      <c r="E530" s="25">
        <f>Table1[[#This Row],[End Date]]-Table1[[#This Row],[Start Date]]</f>
        <v>0</v>
      </c>
      <c r="F530" s="8">
        <v>2283</v>
      </c>
      <c r="G530" s="21" t="s">
        <v>14</v>
      </c>
      <c r="H530" s="11">
        <v>13584</v>
      </c>
      <c r="I530" s="11">
        <v>993</v>
      </c>
      <c r="J530" s="11">
        <v>473</v>
      </c>
      <c r="K530" s="13">
        <v>4072</v>
      </c>
      <c r="L530" s="16">
        <f t="shared" si="48"/>
        <v>7.3100706713780925E-2</v>
      </c>
      <c r="M530" s="16">
        <f t="shared" si="49"/>
        <v>0.47633434038267874</v>
      </c>
      <c r="N530" s="17">
        <f t="shared" si="50"/>
        <v>13.577039274924472</v>
      </c>
      <c r="O530" s="17">
        <f t="shared" si="51"/>
        <v>28.503171247357294</v>
      </c>
      <c r="P530" s="16">
        <f t="shared" si="52"/>
        <v>5.9053876478317999</v>
      </c>
      <c r="Q530" s="16">
        <f t="shared" si="53"/>
        <v>0.30203233941551699</v>
      </c>
      <c r="R530" s="2" t="s">
        <v>1082</v>
      </c>
      <c r="S530" s="21" t="s">
        <v>24</v>
      </c>
      <c r="T530" s="21" t="s">
        <v>27</v>
      </c>
      <c r="U530" s="8">
        <v>13482</v>
      </c>
      <c r="V530" s="11">
        <v>4</v>
      </c>
      <c r="W530" t="str">
        <f>IF(Table1[[#This Row],[Satisfaction Rating]]&lt;2, "Low", IF(Table1[[#This Row],[Satisfaction Rating]]&lt;4, "Medium", "High"))</f>
        <v>High</v>
      </c>
    </row>
    <row r="531" spans="1:23" ht="13" x14ac:dyDescent="0.15">
      <c r="A531" s="2" t="s">
        <v>1083</v>
      </c>
      <c r="B531" s="23">
        <v>45548.505381944444</v>
      </c>
      <c r="C531" s="23">
        <v>45548.505381944444</v>
      </c>
      <c r="D531" s="23" t="str">
        <f>IF(Table1[[#This Row],[Duration of Campaign]]=0, "Ongoing","Completed")</f>
        <v>Ongoing</v>
      </c>
      <c r="E531" s="25">
        <f>Table1[[#This Row],[End Date]]-Table1[[#This Row],[Start Date]]</f>
        <v>0</v>
      </c>
      <c r="F531" s="8">
        <v>9062</v>
      </c>
      <c r="G531" s="21" t="s">
        <v>19</v>
      </c>
      <c r="H531" s="11">
        <v>13546</v>
      </c>
      <c r="I531" s="11">
        <v>1206</v>
      </c>
      <c r="J531" s="11">
        <v>218</v>
      </c>
      <c r="K531" s="13">
        <v>3249</v>
      </c>
      <c r="L531" s="16">
        <f t="shared" si="48"/>
        <v>8.9029971947438363E-2</v>
      </c>
      <c r="M531" s="16">
        <f t="shared" si="49"/>
        <v>0.18076285240464346</v>
      </c>
      <c r="N531" s="17">
        <f t="shared" si="50"/>
        <v>4.9601990049751246</v>
      </c>
      <c r="O531" s="17">
        <f t="shared" si="51"/>
        <v>27.440366972477065</v>
      </c>
      <c r="P531" s="16">
        <f t="shared" si="52"/>
        <v>0.6601191789891856</v>
      </c>
      <c r="Q531" s="16">
        <f t="shared" si="53"/>
        <v>0.54312938816449352</v>
      </c>
      <c r="R531" s="2" t="s">
        <v>1084</v>
      </c>
      <c r="S531" s="21" t="s">
        <v>35</v>
      </c>
      <c r="T531" s="21" t="s">
        <v>45</v>
      </c>
      <c r="U531" s="8">
        <v>5982</v>
      </c>
      <c r="V531" s="11">
        <v>3</v>
      </c>
      <c r="W531" t="str">
        <f>IF(Table1[[#This Row],[Satisfaction Rating]]&lt;2, "Low", IF(Table1[[#This Row],[Satisfaction Rating]]&lt;4, "Medium", "High"))</f>
        <v>Medium</v>
      </c>
    </row>
    <row r="532" spans="1:23" ht="13" x14ac:dyDescent="0.15">
      <c r="A532" s="2" t="s">
        <v>1085</v>
      </c>
      <c r="B532" s="23">
        <v>45206.095451388886</v>
      </c>
      <c r="C532" s="23">
        <v>45206.095451388886</v>
      </c>
      <c r="D532" s="23" t="str">
        <f>IF(Table1[[#This Row],[Duration of Campaign]]=0, "Ongoing","Completed")</f>
        <v>Ongoing</v>
      </c>
      <c r="E532" s="25">
        <f>Table1[[#This Row],[End Date]]-Table1[[#This Row],[Start Date]]</f>
        <v>0</v>
      </c>
      <c r="F532" s="8">
        <v>3642</v>
      </c>
      <c r="G532" s="21" t="s">
        <v>37</v>
      </c>
      <c r="H532" s="11">
        <v>11976</v>
      </c>
      <c r="I532" s="11">
        <v>998</v>
      </c>
      <c r="J532" s="11">
        <v>185</v>
      </c>
      <c r="K532" s="13">
        <v>7102</v>
      </c>
      <c r="L532" s="16">
        <f t="shared" si="48"/>
        <v>8.3333333333333329E-2</v>
      </c>
      <c r="M532" s="16">
        <f t="shared" si="49"/>
        <v>0.18537074148296592</v>
      </c>
      <c r="N532" s="17">
        <f t="shared" si="50"/>
        <v>2.0210420841683367</v>
      </c>
      <c r="O532" s="17">
        <f t="shared" si="51"/>
        <v>10.902702702702703</v>
      </c>
      <c r="P532" s="16">
        <f t="shared" si="52"/>
        <v>0.55381658429434377</v>
      </c>
      <c r="Q532" s="16">
        <f t="shared" si="53"/>
        <v>3.521070897372335</v>
      </c>
      <c r="R532" s="2" t="s">
        <v>1086</v>
      </c>
      <c r="S532" s="21" t="s">
        <v>30</v>
      </c>
      <c r="T532" s="21" t="s">
        <v>17</v>
      </c>
      <c r="U532" s="8">
        <v>2017</v>
      </c>
      <c r="V532" s="11">
        <v>2</v>
      </c>
      <c r="W532" t="str">
        <f>IF(Table1[[#This Row],[Satisfaction Rating]]&lt;2, "Low", IF(Table1[[#This Row],[Satisfaction Rating]]&lt;4, "Medium", "High"))</f>
        <v>Medium</v>
      </c>
    </row>
    <row r="533" spans="1:23" ht="13" x14ac:dyDescent="0.15">
      <c r="A533" s="2" t="s">
        <v>1087</v>
      </c>
      <c r="B533" s="23">
        <v>45200.411562499998</v>
      </c>
      <c r="C533" s="23">
        <v>45566.05265046296</v>
      </c>
      <c r="D533" s="23" t="str">
        <f>IF(Table1[[#This Row],[Duration of Campaign]]=0, "Ongoing","Completed")</f>
        <v>Completed</v>
      </c>
      <c r="E533" s="25">
        <f>Table1[[#This Row],[End Date]]-Table1[[#This Row],[Start Date]]</f>
        <v>365.64108796296205</v>
      </c>
      <c r="F533" s="8">
        <v>3768</v>
      </c>
      <c r="G533" s="21" t="s">
        <v>14</v>
      </c>
      <c r="H533" s="11">
        <v>19218</v>
      </c>
      <c r="I533" s="11">
        <v>945</v>
      </c>
      <c r="J533" s="11">
        <v>125</v>
      </c>
      <c r="K533" s="13">
        <v>6328</v>
      </c>
      <c r="L533" s="16">
        <f t="shared" si="48"/>
        <v>4.9172650640024976E-2</v>
      </c>
      <c r="M533" s="16">
        <f t="shared" si="49"/>
        <v>0.13227513227513227</v>
      </c>
      <c r="N533" s="17">
        <f t="shared" si="50"/>
        <v>16.785185185185185</v>
      </c>
      <c r="O533" s="17">
        <f t="shared" si="51"/>
        <v>126.896</v>
      </c>
      <c r="P533" s="16">
        <f t="shared" si="52"/>
        <v>4.2096602972399149</v>
      </c>
      <c r="Q533" s="16">
        <f t="shared" si="53"/>
        <v>0.39894086496028242</v>
      </c>
      <c r="R533" s="2" t="s">
        <v>1088</v>
      </c>
      <c r="S533" s="21" t="s">
        <v>24</v>
      </c>
      <c r="T533" s="21" t="s">
        <v>17</v>
      </c>
      <c r="U533" s="8">
        <v>15862</v>
      </c>
      <c r="V533" s="11">
        <v>5</v>
      </c>
      <c r="W533" t="str">
        <f>IF(Table1[[#This Row],[Satisfaction Rating]]&lt;2, "Low", IF(Table1[[#This Row],[Satisfaction Rating]]&lt;4, "Medium", "High"))</f>
        <v>High</v>
      </c>
    </row>
    <row r="534" spans="1:23" ht="13" x14ac:dyDescent="0.15">
      <c r="A534" s="2" t="s">
        <v>1089</v>
      </c>
      <c r="B534" s="23">
        <v>45583.190983796296</v>
      </c>
      <c r="C534" s="23">
        <v>45583.190983796296</v>
      </c>
      <c r="D534" s="23" t="str">
        <f>IF(Table1[[#This Row],[Duration of Campaign]]=0, "Ongoing","Completed")</f>
        <v>Ongoing</v>
      </c>
      <c r="E534" s="25">
        <f>Table1[[#This Row],[End Date]]-Table1[[#This Row],[Start Date]]</f>
        <v>0</v>
      </c>
      <c r="F534" s="8">
        <v>3181</v>
      </c>
      <c r="G534" s="21" t="s">
        <v>19</v>
      </c>
      <c r="H534" s="11">
        <v>2696</v>
      </c>
      <c r="I534" s="11">
        <v>1525</v>
      </c>
      <c r="J534" s="11">
        <v>381</v>
      </c>
      <c r="K534" s="13">
        <v>9831</v>
      </c>
      <c r="L534" s="16">
        <f t="shared" si="48"/>
        <v>0.56565281899109787</v>
      </c>
      <c r="M534" s="16">
        <f t="shared" si="49"/>
        <v>0.2498360655737705</v>
      </c>
      <c r="N534" s="17">
        <f t="shared" si="50"/>
        <v>10.229508196721312</v>
      </c>
      <c r="O534" s="17">
        <f t="shared" si="51"/>
        <v>40.944881889763778</v>
      </c>
      <c r="P534" s="16">
        <f t="shared" si="52"/>
        <v>4.9041182018233256</v>
      </c>
      <c r="Q534" s="16">
        <f t="shared" si="53"/>
        <v>0.63019230769230772</v>
      </c>
      <c r="R534" s="2" t="s">
        <v>1090</v>
      </c>
      <c r="S534" s="21" t="s">
        <v>21</v>
      </c>
      <c r="T534" s="21" t="s">
        <v>17</v>
      </c>
      <c r="U534" s="8">
        <v>15600</v>
      </c>
      <c r="V534" s="11">
        <v>2</v>
      </c>
      <c r="W534" t="str">
        <f>IF(Table1[[#This Row],[Satisfaction Rating]]&lt;2, "Low", IF(Table1[[#This Row],[Satisfaction Rating]]&lt;4, "Medium", "High"))</f>
        <v>Medium</v>
      </c>
    </row>
    <row r="535" spans="1:23" ht="13" x14ac:dyDescent="0.15">
      <c r="A535" s="2" t="s">
        <v>1091</v>
      </c>
      <c r="B535" s="23">
        <v>45209.194814814815</v>
      </c>
      <c r="C535" s="23">
        <v>45639.306307870371</v>
      </c>
      <c r="D535" s="23" t="str">
        <f>IF(Table1[[#This Row],[Duration of Campaign]]=0, "Ongoing","Completed")</f>
        <v>Completed</v>
      </c>
      <c r="E535" s="25">
        <f>Table1[[#This Row],[End Date]]-Table1[[#This Row],[Start Date]]</f>
        <v>430.11149305555591</v>
      </c>
      <c r="F535" s="8">
        <v>5738</v>
      </c>
      <c r="G535" s="21" t="s">
        <v>19</v>
      </c>
      <c r="H535" s="11">
        <v>16044</v>
      </c>
      <c r="I535" s="11">
        <v>279</v>
      </c>
      <c r="J535" s="11">
        <v>397</v>
      </c>
      <c r="K535" s="13">
        <v>4760</v>
      </c>
      <c r="L535" s="16">
        <f t="shared" si="48"/>
        <v>1.7389678384442782E-2</v>
      </c>
      <c r="M535" s="16">
        <f t="shared" si="49"/>
        <v>1.4229390681003584</v>
      </c>
      <c r="N535" s="17">
        <f t="shared" si="50"/>
        <v>8.4551971326164868</v>
      </c>
      <c r="O535" s="17">
        <f t="shared" si="51"/>
        <v>5.9420654911838788</v>
      </c>
      <c r="P535" s="16">
        <f t="shared" si="52"/>
        <v>0.41111885674451026</v>
      </c>
      <c r="Q535" s="16">
        <f t="shared" si="53"/>
        <v>2.0178041543026706</v>
      </c>
      <c r="R535" s="2" t="s">
        <v>1092</v>
      </c>
      <c r="S535" s="21" t="s">
        <v>30</v>
      </c>
      <c r="T535" s="21" t="s">
        <v>27</v>
      </c>
      <c r="U535" s="8">
        <v>2359</v>
      </c>
      <c r="V535" s="11">
        <v>5</v>
      </c>
      <c r="W535" t="str">
        <f>IF(Table1[[#This Row],[Satisfaction Rating]]&lt;2, "Low", IF(Table1[[#This Row],[Satisfaction Rating]]&lt;4, "Medium", "High"))</f>
        <v>High</v>
      </c>
    </row>
    <row r="536" spans="1:23" ht="13" x14ac:dyDescent="0.15">
      <c r="A536" s="2" t="s">
        <v>1093</v>
      </c>
      <c r="B536" s="23">
        <v>45430.087893518517</v>
      </c>
      <c r="C536" s="23">
        <v>45430.087893518517</v>
      </c>
      <c r="D536" s="23" t="str">
        <f>IF(Table1[[#This Row],[Duration of Campaign]]=0, "Ongoing","Completed")</f>
        <v>Ongoing</v>
      </c>
      <c r="E536" s="25">
        <f>Table1[[#This Row],[End Date]]-Table1[[#This Row],[Start Date]]</f>
        <v>0</v>
      </c>
      <c r="F536" s="8">
        <v>7622</v>
      </c>
      <c r="G536" s="21" t="s">
        <v>19</v>
      </c>
      <c r="H536" s="11">
        <v>6194</v>
      </c>
      <c r="I536" s="11">
        <v>1895</v>
      </c>
      <c r="J536" s="11">
        <v>77</v>
      </c>
      <c r="K536" s="13">
        <v>7355</v>
      </c>
      <c r="L536" s="16">
        <f t="shared" si="48"/>
        <v>0.30594123345172747</v>
      </c>
      <c r="M536" s="16">
        <f t="shared" si="49"/>
        <v>4.0633245382585753E-2</v>
      </c>
      <c r="N536" s="17">
        <f t="shared" si="50"/>
        <v>1.4284960422163588</v>
      </c>
      <c r="O536" s="17">
        <f t="shared" si="51"/>
        <v>35.155844155844157</v>
      </c>
      <c r="P536" s="16">
        <f t="shared" si="52"/>
        <v>0.35515612700078719</v>
      </c>
      <c r="Q536" s="16">
        <f t="shared" si="53"/>
        <v>2.7170299224233467</v>
      </c>
      <c r="R536" s="2" t="s">
        <v>1094</v>
      </c>
      <c r="S536" s="21" t="s">
        <v>35</v>
      </c>
      <c r="T536" s="21" t="s">
        <v>45</v>
      </c>
      <c r="U536" s="8">
        <v>2707</v>
      </c>
      <c r="V536" s="11">
        <v>3</v>
      </c>
      <c r="W536" t="str">
        <f>IF(Table1[[#This Row],[Satisfaction Rating]]&lt;2, "Low", IF(Table1[[#This Row],[Satisfaction Rating]]&lt;4, "Medium", "High"))</f>
        <v>Medium</v>
      </c>
    </row>
    <row r="537" spans="1:23" ht="13" x14ac:dyDescent="0.15">
      <c r="A537" s="2" t="s">
        <v>1095</v>
      </c>
      <c r="B537" s="23">
        <v>45162.125462962962</v>
      </c>
      <c r="C537" s="23">
        <v>45162.125462962962</v>
      </c>
      <c r="D537" s="23" t="str">
        <f>IF(Table1[[#This Row],[Duration of Campaign]]=0, "Ongoing","Completed")</f>
        <v>Ongoing</v>
      </c>
      <c r="E537" s="25">
        <f>Table1[[#This Row],[End Date]]-Table1[[#This Row],[Start Date]]</f>
        <v>0</v>
      </c>
      <c r="F537" s="8">
        <v>5576</v>
      </c>
      <c r="G537" s="21" t="s">
        <v>37</v>
      </c>
      <c r="H537" s="11">
        <v>15309</v>
      </c>
      <c r="I537" s="11">
        <v>1379</v>
      </c>
      <c r="J537" s="11">
        <v>254</v>
      </c>
      <c r="K537" s="13">
        <v>11173</v>
      </c>
      <c r="L537" s="16">
        <f t="shared" si="48"/>
        <v>9.0077732053040691E-2</v>
      </c>
      <c r="M537" s="16">
        <f t="shared" si="49"/>
        <v>0.18419144307469182</v>
      </c>
      <c r="N537" s="17">
        <f t="shared" si="50"/>
        <v>1.0848440899202321</v>
      </c>
      <c r="O537" s="17">
        <f t="shared" si="51"/>
        <v>5.8897637795275593</v>
      </c>
      <c r="P537" s="16">
        <f t="shared" si="52"/>
        <v>0.26829268292682928</v>
      </c>
      <c r="Q537" s="16">
        <f t="shared" si="53"/>
        <v>7.4685828877005349</v>
      </c>
      <c r="R537" s="2" t="s">
        <v>1096</v>
      </c>
      <c r="S537" s="21" t="s">
        <v>30</v>
      </c>
      <c r="T537" s="21" t="s">
        <v>45</v>
      </c>
      <c r="U537" s="8">
        <v>1496</v>
      </c>
      <c r="V537" s="11">
        <v>5</v>
      </c>
      <c r="W537" t="str">
        <f>IF(Table1[[#This Row],[Satisfaction Rating]]&lt;2, "Low", IF(Table1[[#This Row],[Satisfaction Rating]]&lt;4, "Medium", "High"))</f>
        <v>High</v>
      </c>
    </row>
    <row r="538" spans="1:23" ht="13" x14ac:dyDescent="0.15">
      <c r="A538" s="2" t="s">
        <v>1097</v>
      </c>
      <c r="B538" s="23">
        <v>44988.552129629628</v>
      </c>
      <c r="C538" s="23">
        <v>45639.967291666668</v>
      </c>
      <c r="D538" s="23" t="str">
        <f>IF(Table1[[#This Row],[Duration of Campaign]]=0, "Ongoing","Completed")</f>
        <v>Completed</v>
      </c>
      <c r="E538" s="25">
        <f>Table1[[#This Row],[End Date]]-Table1[[#This Row],[Start Date]]</f>
        <v>651.41516203703941</v>
      </c>
      <c r="F538" s="8">
        <v>5204</v>
      </c>
      <c r="G538" s="21" t="s">
        <v>37</v>
      </c>
      <c r="H538" s="11">
        <v>3141</v>
      </c>
      <c r="I538" s="11">
        <v>1917</v>
      </c>
      <c r="J538" s="11">
        <v>179</v>
      </c>
      <c r="K538" s="13">
        <v>9250</v>
      </c>
      <c r="L538" s="16">
        <f t="shared" si="48"/>
        <v>0.61031518624641834</v>
      </c>
      <c r="M538" s="16">
        <f t="shared" si="49"/>
        <v>9.3375065206051128E-2</v>
      </c>
      <c r="N538" s="17">
        <f t="shared" si="50"/>
        <v>7.4517475221700575</v>
      </c>
      <c r="O538" s="17">
        <f t="shared" si="51"/>
        <v>79.80446927374301</v>
      </c>
      <c r="P538" s="16">
        <f t="shared" si="52"/>
        <v>2.7450038431975403</v>
      </c>
      <c r="Q538" s="16">
        <f t="shared" si="53"/>
        <v>0.6475323766188309</v>
      </c>
      <c r="R538" s="2" t="s">
        <v>1098</v>
      </c>
      <c r="S538" s="21" t="s">
        <v>16</v>
      </c>
      <c r="T538" s="21" t="s">
        <v>17</v>
      </c>
      <c r="U538" s="8">
        <v>14285</v>
      </c>
      <c r="V538" s="11">
        <v>2</v>
      </c>
      <c r="W538" t="str">
        <f>IF(Table1[[#This Row],[Satisfaction Rating]]&lt;2, "Low", IF(Table1[[#This Row],[Satisfaction Rating]]&lt;4, "Medium", "High"))</f>
        <v>Medium</v>
      </c>
    </row>
    <row r="539" spans="1:23" ht="13" x14ac:dyDescent="0.15">
      <c r="A539" s="2" t="s">
        <v>1099</v>
      </c>
      <c r="B539" s="23">
        <v>45197.072928240741</v>
      </c>
      <c r="C539" s="23">
        <v>45251.153252314813</v>
      </c>
      <c r="D539" s="23" t="str">
        <f>IF(Table1[[#This Row],[Duration of Campaign]]=0, "Ongoing","Completed")</f>
        <v>Completed</v>
      </c>
      <c r="E539" s="25">
        <f>Table1[[#This Row],[End Date]]-Table1[[#This Row],[Start Date]]</f>
        <v>54.080324074071541</v>
      </c>
      <c r="F539" s="8">
        <v>5636</v>
      </c>
      <c r="G539" s="21" t="s">
        <v>37</v>
      </c>
      <c r="H539" s="11">
        <v>5778</v>
      </c>
      <c r="I539" s="11">
        <v>790</v>
      </c>
      <c r="J539" s="11">
        <v>16</v>
      </c>
      <c r="K539" s="13">
        <v>6214</v>
      </c>
      <c r="L539" s="16">
        <f t="shared" si="48"/>
        <v>0.13672551055728627</v>
      </c>
      <c r="M539" s="16">
        <f t="shared" si="49"/>
        <v>2.0253164556962026E-2</v>
      </c>
      <c r="N539" s="17">
        <f t="shared" si="50"/>
        <v>15.10759493670886</v>
      </c>
      <c r="O539" s="17">
        <f t="shared" si="51"/>
        <v>745.9375</v>
      </c>
      <c r="P539" s="16">
        <f t="shared" si="52"/>
        <v>2.11763662171753</v>
      </c>
      <c r="Q539" s="16">
        <f t="shared" si="53"/>
        <v>0.52065354000837871</v>
      </c>
      <c r="R539" s="2" t="s">
        <v>1100</v>
      </c>
      <c r="S539" s="21" t="s">
        <v>24</v>
      </c>
      <c r="T539" s="21" t="s">
        <v>45</v>
      </c>
      <c r="U539" s="8">
        <v>11935</v>
      </c>
      <c r="V539" s="11">
        <v>1</v>
      </c>
      <c r="W539" t="str">
        <f>IF(Table1[[#This Row],[Satisfaction Rating]]&lt;2, "Low", IF(Table1[[#This Row],[Satisfaction Rating]]&lt;4, "Medium", "High"))</f>
        <v>Low</v>
      </c>
    </row>
    <row r="540" spans="1:23" ht="13" x14ac:dyDescent="0.15">
      <c r="A540" s="2" t="s">
        <v>1101</v>
      </c>
      <c r="B540" s="23">
        <v>45028.778182870374</v>
      </c>
      <c r="C540" s="23">
        <v>45407.634872685187</v>
      </c>
      <c r="D540" s="23" t="str">
        <f>IF(Table1[[#This Row],[Duration of Campaign]]=0, "Ongoing","Completed")</f>
        <v>Completed</v>
      </c>
      <c r="E540" s="25">
        <f>Table1[[#This Row],[End Date]]-Table1[[#This Row],[Start Date]]</f>
        <v>378.85668981481285</v>
      </c>
      <c r="F540" s="8">
        <v>9920</v>
      </c>
      <c r="G540" s="21" t="s">
        <v>19</v>
      </c>
      <c r="H540" s="11">
        <v>19592</v>
      </c>
      <c r="I540" s="11">
        <v>524</v>
      </c>
      <c r="J540" s="11">
        <v>387</v>
      </c>
      <c r="K540" s="13">
        <v>13045</v>
      </c>
      <c r="L540" s="16">
        <f t="shared" si="48"/>
        <v>2.6745610453246221E-2</v>
      </c>
      <c r="M540" s="16">
        <f t="shared" si="49"/>
        <v>0.73854961832061072</v>
      </c>
      <c r="N540" s="17">
        <f t="shared" si="50"/>
        <v>30.080152671755727</v>
      </c>
      <c r="O540" s="17">
        <f t="shared" si="51"/>
        <v>40.728682170542633</v>
      </c>
      <c r="P540" s="16">
        <f t="shared" si="52"/>
        <v>1.5889112903225806</v>
      </c>
      <c r="Q540" s="16">
        <f t="shared" si="53"/>
        <v>0.82762339804593321</v>
      </c>
      <c r="R540" s="2" t="s">
        <v>1102</v>
      </c>
      <c r="S540" s="21" t="s">
        <v>35</v>
      </c>
      <c r="T540" s="21" t="s">
        <v>17</v>
      </c>
      <c r="U540" s="8">
        <v>15762</v>
      </c>
      <c r="V540" s="11">
        <v>3</v>
      </c>
      <c r="W540" t="str">
        <f>IF(Table1[[#This Row],[Satisfaction Rating]]&lt;2, "Low", IF(Table1[[#This Row],[Satisfaction Rating]]&lt;4, "Medium", "High"))</f>
        <v>Medium</v>
      </c>
    </row>
    <row r="541" spans="1:23" ht="13" x14ac:dyDescent="0.15">
      <c r="A541" s="2" t="s">
        <v>1103</v>
      </c>
      <c r="B541" s="23">
        <v>45632.212268518517</v>
      </c>
      <c r="C541" s="23">
        <v>45632.212268518517</v>
      </c>
      <c r="D541" s="23" t="str">
        <f>IF(Table1[[#This Row],[Duration of Campaign]]=0, "Ongoing","Completed")</f>
        <v>Ongoing</v>
      </c>
      <c r="E541" s="25">
        <f>Table1[[#This Row],[End Date]]-Table1[[#This Row],[Start Date]]</f>
        <v>0</v>
      </c>
      <c r="F541" s="8">
        <v>9317</v>
      </c>
      <c r="G541" s="21" t="s">
        <v>19</v>
      </c>
      <c r="H541" s="11">
        <v>17601</v>
      </c>
      <c r="I541" s="11">
        <v>1092</v>
      </c>
      <c r="J541" s="11">
        <v>496</v>
      </c>
      <c r="K541" s="13">
        <v>14046</v>
      </c>
      <c r="L541" s="16">
        <f t="shared" si="48"/>
        <v>6.2041929435827509E-2</v>
      </c>
      <c r="M541" s="16">
        <f t="shared" si="49"/>
        <v>0.45421245421245421</v>
      </c>
      <c r="N541" s="17">
        <f t="shared" si="50"/>
        <v>17.983516483516482</v>
      </c>
      <c r="O541" s="17">
        <f t="shared" si="51"/>
        <v>39.592741935483872</v>
      </c>
      <c r="P541" s="16">
        <f t="shared" si="52"/>
        <v>2.107760008586455</v>
      </c>
      <c r="Q541" s="16">
        <f t="shared" si="53"/>
        <v>0.71524595172624506</v>
      </c>
      <c r="R541" s="2" t="s">
        <v>1104</v>
      </c>
      <c r="S541" s="21" t="s">
        <v>21</v>
      </c>
      <c r="T541" s="21" t="s">
        <v>45</v>
      </c>
      <c r="U541" s="8">
        <v>19638</v>
      </c>
      <c r="V541" s="11">
        <v>5</v>
      </c>
      <c r="W541" t="str">
        <f>IF(Table1[[#This Row],[Satisfaction Rating]]&lt;2, "Low", IF(Table1[[#This Row],[Satisfaction Rating]]&lt;4, "Medium", "High"))</f>
        <v>High</v>
      </c>
    </row>
    <row r="542" spans="1:23" ht="13" x14ac:dyDescent="0.15">
      <c r="A542" s="2" t="s">
        <v>1105</v>
      </c>
      <c r="B542" s="23">
        <v>45580.77542824074</v>
      </c>
      <c r="C542" s="23">
        <v>45580.77542824074</v>
      </c>
      <c r="D542" s="23" t="str">
        <f>IF(Table1[[#This Row],[Duration of Campaign]]=0, "Ongoing","Completed")</f>
        <v>Ongoing</v>
      </c>
      <c r="E542" s="25">
        <f>Table1[[#This Row],[End Date]]-Table1[[#This Row],[Start Date]]</f>
        <v>0</v>
      </c>
      <c r="F542" s="8">
        <v>3062</v>
      </c>
      <c r="G542" s="21" t="s">
        <v>53</v>
      </c>
      <c r="H542" s="11">
        <v>6712</v>
      </c>
      <c r="I542" s="11">
        <v>1320</v>
      </c>
      <c r="J542" s="11">
        <v>330</v>
      </c>
      <c r="K542" s="13">
        <v>13475</v>
      </c>
      <c r="L542" s="16">
        <f t="shared" si="48"/>
        <v>0.19666269368295591</v>
      </c>
      <c r="M542" s="16">
        <f t="shared" si="49"/>
        <v>0.25</v>
      </c>
      <c r="N542" s="17">
        <f t="shared" si="50"/>
        <v>9.4931818181818191</v>
      </c>
      <c r="O542" s="17">
        <f t="shared" si="51"/>
        <v>37.972727272727276</v>
      </c>
      <c r="P542" s="16">
        <f t="shared" si="52"/>
        <v>4.0924232527759639</v>
      </c>
      <c r="Q542" s="16">
        <f t="shared" si="53"/>
        <v>1.0753331737291516</v>
      </c>
      <c r="R542" s="2" t="s">
        <v>1106</v>
      </c>
      <c r="S542" s="21" t="s">
        <v>21</v>
      </c>
      <c r="T542" s="21" t="s">
        <v>17</v>
      </c>
      <c r="U542" s="8">
        <v>12531</v>
      </c>
      <c r="V542" s="11">
        <v>4</v>
      </c>
      <c r="W542" t="str">
        <f>IF(Table1[[#This Row],[Satisfaction Rating]]&lt;2, "Low", IF(Table1[[#This Row],[Satisfaction Rating]]&lt;4, "Medium", "High"))</f>
        <v>High</v>
      </c>
    </row>
    <row r="543" spans="1:23" ht="13" x14ac:dyDescent="0.15">
      <c r="A543" s="2" t="s">
        <v>1107</v>
      </c>
      <c r="B543" s="23">
        <v>45520.651273148149</v>
      </c>
      <c r="C543" s="23">
        <v>45554.126064814816</v>
      </c>
      <c r="D543" s="23" t="str">
        <f>IF(Table1[[#This Row],[Duration of Campaign]]=0, "Ongoing","Completed")</f>
        <v>Completed</v>
      </c>
      <c r="E543" s="25">
        <f>Table1[[#This Row],[End Date]]-Table1[[#This Row],[Start Date]]</f>
        <v>33.474791666667443</v>
      </c>
      <c r="F543" s="8">
        <v>3059</v>
      </c>
      <c r="G543" s="21" t="s">
        <v>37</v>
      </c>
      <c r="H543" s="11">
        <v>3335</v>
      </c>
      <c r="I543" s="11">
        <v>357</v>
      </c>
      <c r="J543" s="11">
        <v>249</v>
      </c>
      <c r="K543" s="13">
        <v>4202</v>
      </c>
      <c r="L543" s="16">
        <f t="shared" si="48"/>
        <v>0.10704647676161919</v>
      </c>
      <c r="M543" s="16">
        <f t="shared" si="49"/>
        <v>0.69747899159663862</v>
      </c>
      <c r="N543" s="17">
        <f t="shared" si="50"/>
        <v>25.016806722689076</v>
      </c>
      <c r="O543" s="17">
        <f t="shared" si="51"/>
        <v>35.867469879518069</v>
      </c>
      <c r="P543" s="16">
        <f t="shared" si="52"/>
        <v>2.9195815626021577</v>
      </c>
      <c r="Q543" s="16">
        <f t="shared" si="53"/>
        <v>0.47049602508117794</v>
      </c>
      <c r="R543" s="2" t="s">
        <v>1108</v>
      </c>
      <c r="S543" s="21" t="s">
        <v>21</v>
      </c>
      <c r="T543" s="21" t="s">
        <v>17</v>
      </c>
      <c r="U543" s="8">
        <v>8931</v>
      </c>
      <c r="V543" s="11">
        <v>3</v>
      </c>
      <c r="W543" t="str">
        <f>IF(Table1[[#This Row],[Satisfaction Rating]]&lt;2, "Low", IF(Table1[[#This Row],[Satisfaction Rating]]&lt;4, "Medium", "High"))</f>
        <v>Medium</v>
      </c>
    </row>
    <row r="544" spans="1:23" ht="13" x14ac:dyDescent="0.15">
      <c r="A544" s="2" t="s">
        <v>1109</v>
      </c>
      <c r="B544" s="23">
        <v>45303.840810185182</v>
      </c>
      <c r="C544" s="23">
        <v>45303.840810185182</v>
      </c>
      <c r="D544" s="23" t="str">
        <f>IF(Table1[[#This Row],[Duration of Campaign]]=0, "Ongoing","Completed")</f>
        <v>Ongoing</v>
      </c>
      <c r="E544" s="25">
        <f>Table1[[#This Row],[End Date]]-Table1[[#This Row],[Start Date]]</f>
        <v>0</v>
      </c>
      <c r="F544" s="8">
        <v>8266</v>
      </c>
      <c r="G544" s="21" t="s">
        <v>53</v>
      </c>
      <c r="H544" s="11">
        <v>13618</v>
      </c>
      <c r="I544" s="11">
        <v>434</v>
      </c>
      <c r="J544" s="11">
        <v>57</v>
      </c>
      <c r="K544" s="13">
        <v>8020</v>
      </c>
      <c r="L544" s="16">
        <f t="shared" si="48"/>
        <v>3.1869584373623146E-2</v>
      </c>
      <c r="M544" s="16">
        <f t="shared" si="49"/>
        <v>0.1313364055299539</v>
      </c>
      <c r="N544" s="17">
        <f t="shared" si="50"/>
        <v>4.3364055299539173</v>
      </c>
      <c r="O544" s="17">
        <f t="shared" si="51"/>
        <v>33.017543859649123</v>
      </c>
      <c r="P544" s="16">
        <f t="shared" si="52"/>
        <v>0.22767965158480521</v>
      </c>
      <c r="Q544" s="16">
        <f t="shared" si="53"/>
        <v>4.2614240170031881</v>
      </c>
      <c r="R544" s="2" t="s">
        <v>1110</v>
      </c>
      <c r="S544" s="21" t="s">
        <v>35</v>
      </c>
      <c r="T544" s="21" t="s">
        <v>27</v>
      </c>
      <c r="U544" s="8">
        <v>1882</v>
      </c>
      <c r="V544" s="11">
        <v>2</v>
      </c>
      <c r="W544" t="str">
        <f>IF(Table1[[#This Row],[Satisfaction Rating]]&lt;2, "Low", IF(Table1[[#This Row],[Satisfaction Rating]]&lt;4, "Medium", "High"))</f>
        <v>Medium</v>
      </c>
    </row>
    <row r="545" spans="1:23" ht="13" x14ac:dyDescent="0.15">
      <c r="A545" s="2" t="s">
        <v>1111</v>
      </c>
      <c r="B545" s="23">
        <v>45484.805752314816</v>
      </c>
      <c r="C545" s="23">
        <v>45551.265694444446</v>
      </c>
      <c r="D545" s="23" t="str">
        <f>IF(Table1[[#This Row],[Duration of Campaign]]=0, "Ongoing","Completed")</f>
        <v>Completed</v>
      </c>
      <c r="E545" s="25">
        <f>Table1[[#This Row],[End Date]]-Table1[[#This Row],[Start Date]]</f>
        <v>66.459942129629781</v>
      </c>
      <c r="F545" s="8">
        <v>1895</v>
      </c>
      <c r="G545" s="21" t="s">
        <v>37</v>
      </c>
      <c r="H545" s="11">
        <v>6617</v>
      </c>
      <c r="I545" s="11">
        <v>1361</v>
      </c>
      <c r="J545" s="11">
        <v>173</v>
      </c>
      <c r="K545" s="13">
        <v>2052</v>
      </c>
      <c r="L545" s="16">
        <f t="shared" si="48"/>
        <v>0.20568233338370862</v>
      </c>
      <c r="M545" s="16">
        <f t="shared" si="49"/>
        <v>0.12711241734019105</v>
      </c>
      <c r="N545" s="17">
        <f t="shared" si="50"/>
        <v>1.3497428361498898</v>
      </c>
      <c r="O545" s="17">
        <f t="shared" si="51"/>
        <v>10.61849710982659</v>
      </c>
      <c r="P545" s="16">
        <f t="shared" si="52"/>
        <v>0.96939313984168862</v>
      </c>
      <c r="Q545" s="16">
        <f t="shared" si="53"/>
        <v>1.1170386499727818</v>
      </c>
      <c r="R545" s="2" t="s">
        <v>1112</v>
      </c>
      <c r="S545" s="21" t="s">
        <v>16</v>
      </c>
      <c r="T545" s="21" t="s">
        <v>17</v>
      </c>
      <c r="U545" s="8">
        <v>1837</v>
      </c>
      <c r="V545" s="11">
        <v>4</v>
      </c>
      <c r="W545" t="str">
        <f>IF(Table1[[#This Row],[Satisfaction Rating]]&lt;2, "Low", IF(Table1[[#This Row],[Satisfaction Rating]]&lt;4, "Medium", "High"))</f>
        <v>High</v>
      </c>
    </row>
    <row r="546" spans="1:23" ht="13" x14ac:dyDescent="0.15">
      <c r="A546" s="2" t="s">
        <v>1113</v>
      </c>
      <c r="B546" s="23">
        <v>45091.893263888887</v>
      </c>
      <c r="C546" s="23">
        <v>45091.893263888887</v>
      </c>
      <c r="D546" s="23" t="str">
        <f>IF(Table1[[#This Row],[Duration of Campaign]]=0, "Ongoing","Completed")</f>
        <v>Ongoing</v>
      </c>
      <c r="E546" s="25">
        <f>Table1[[#This Row],[End Date]]-Table1[[#This Row],[Start Date]]</f>
        <v>0</v>
      </c>
      <c r="F546" s="8">
        <v>9107</v>
      </c>
      <c r="G546" s="21" t="s">
        <v>14</v>
      </c>
      <c r="H546" s="11">
        <v>2621</v>
      </c>
      <c r="I546" s="11">
        <v>1580</v>
      </c>
      <c r="J546" s="11">
        <v>263</v>
      </c>
      <c r="K546" s="13">
        <v>6738</v>
      </c>
      <c r="L546" s="16">
        <f t="shared" si="48"/>
        <v>0.60282334986646313</v>
      </c>
      <c r="M546" s="16">
        <f t="shared" si="49"/>
        <v>0.16645569620253164</v>
      </c>
      <c r="N546" s="17">
        <f t="shared" si="50"/>
        <v>10.20506329113924</v>
      </c>
      <c r="O546" s="17">
        <f t="shared" si="51"/>
        <v>61.307984790874528</v>
      </c>
      <c r="P546" s="16">
        <f t="shared" si="52"/>
        <v>1.7705062040188866</v>
      </c>
      <c r="Q546" s="16">
        <f t="shared" si="53"/>
        <v>0.41788638055073185</v>
      </c>
      <c r="R546" s="2" t="s">
        <v>1114</v>
      </c>
      <c r="S546" s="21" t="s">
        <v>21</v>
      </c>
      <c r="T546" s="21" t="s">
        <v>27</v>
      </c>
      <c r="U546" s="8">
        <v>16124</v>
      </c>
      <c r="V546" s="11">
        <v>1</v>
      </c>
      <c r="W546" t="str">
        <f>IF(Table1[[#This Row],[Satisfaction Rating]]&lt;2, "Low", IF(Table1[[#This Row],[Satisfaction Rating]]&lt;4, "Medium", "High"))</f>
        <v>Low</v>
      </c>
    </row>
    <row r="547" spans="1:23" ht="13" x14ac:dyDescent="0.15">
      <c r="A547" s="2" t="s">
        <v>1115</v>
      </c>
      <c r="B547" s="23">
        <v>45248.026354166665</v>
      </c>
      <c r="C547" s="23">
        <v>45405.583611111113</v>
      </c>
      <c r="D547" s="23" t="str">
        <f>IF(Table1[[#This Row],[Duration of Campaign]]=0, "Ongoing","Completed")</f>
        <v>Completed</v>
      </c>
      <c r="E547" s="25">
        <f>Table1[[#This Row],[End Date]]-Table1[[#This Row],[Start Date]]</f>
        <v>157.55725694444845</v>
      </c>
      <c r="F547" s="8">
        <v>6165</v>
      </c>
      <c r="G547" s="21" t="s">
        <v>14</v>
      </c>
      <c r="H547" s="11">
        <v>19647</v>
      </c>
      <c r="I547" s="11">
        <v>1867</v>
      </c>
      <c r="J547" s="11">
        <v>26</v>
      </c>
      <c r="K547" s="13">
        <v>12993</v>
      </c>
      <c r="L547" s="16">
        <f t="shared" si="48"/>
        <v>9.5027230620450959E-2</v>
      </c>
      <c r="M547" s="16">
        <f t="shared" si="49"/>
        <v>1.3926084627745045E-2</v>
      </c>
      <c r="N547" s="17">
        <f t="shared" si="50"/>
        <v>4.5115158007498657</v>
      </c>
      <c r="O547" s="17">
        <f t="shared" si="51"/>
        <v>323.96153846153845</v>
      </c>
      <c r="P547" s="16">
        <f t="shared" si="52"/>
        <v>1.3662611516626115</v>
      </c>
      <c r="Q547" s="16">
        <f t="shared" si="53"/>
        <v>1.5425620325299774</v>
      </c>
      <c r="R547" s="2" t="s">
        <v>1116</v>
      </c>
      <c r="S547" s="21" t="s">
        <v>30</v>
      </c>
      <c r="T547" s="21" t="s">
        <v>17</v>
      </c>
      <c r="U547" s="8">
        <v>8423</v>
      </c>
      <c r="V547" s="11">
        <v>3</v>
      </c>
      <c r="W547" t="str">
        <f>IF(Table1[[#This Row],[Satisfaction Rating]]&lt;2, "Low", IF(Table1[[#This Row],[Satisfaction Rating]]&lt;4, "Medium", "High"))</f>
        <v>Medium</v>
      </c>
    </row>
    <row r="548" spans="1:23" ht="13" x14ac:dyDescent="0.15">
      <c r="A548" s="2" t="s">
        <v>1117</v>
      </c>
      <c r="B548" s="23">
        <v>45503.442384259259</v>
      </c>
      <c r="C548" s="23">
        <v>45503.442384259259</v>
      </c>
      <c r="D548" s="23" t="str">
        <f>IF(Table1[[#This Row],[Duration of Campaign]]=0, "Ongoing","Completed")</f>
        <v>Ongoing</v>
      </c>
      <c r="E548" s="25">
        <f>Table1[[#This Row],[End Date]]-Table1[[#This Row],[Start Date]]</f>
        <v>0</v>
      </c>
      <c r="F548" s="8">
        <v>2096</v>
      </c>
      <c r="G548" s="21" t="s">
        <v>53</v>
      </c>
      <c r="H548" s="11">
        <v>9340</v>
      </c>
      <c r="I548" s="11">
        <v>638</v>
      </c>
      <c r="J548" s="11">
        <v>300</v>
      </c>
      <c r="K548" s="13">
        <v>9466</v>
      </c>
      <c r="L548" s="16">
        <f t="shared" si="48"/>
        <v>6.8308351177730195E-2</v>
      </c>
      <c r="M548" s="16">
        <f t="shared" si="49"/>
        <v>0.47021943573667713</v>
      </c>
      <c r="N548" s="17">
        <f t="shared" si="50"/>
        <v>5</v>
      </c>
      <c r="O548" s="17">
        <f t="shared" si="51"/>
        <v>10.633333333333333</v>
      </c>
      <c r="P548" s="16">
        <f t="shared" si="52"/>
        <v>1.5219465648854962</v>
      </c>
      <c r="Q548" s="16">
        <f t="shared" si="53"/>
        <v>2.9673981191222571</v>
      </c>
      <c r="R548" s="2" t="s">
        <v>1118</v>
      </c>
      <c r="S548" s="21" t="s">
        <v>16</v>
      </c>
      <c r="T548" s="21" t="s">
        <v>17</v>
      </c>
      <c r="U548" s="8">
        <v>3190</v>
      </c>
      <c r="V548" s="11">
        <v>3</v>
      </c>
      <c r="W548" t="str">
        <f>IF(Table1[[#This Row],[Satisfaction Rating]]&lt;2, "Low", IF(Table1[[#This Row],[Satisfaction Rating]]&lt;4, "Medium", "High"))</f>
        <v>Medium</v>
      </c>
    </row>
    <row r="549" spans="1:23" ht="13" x14ac:dyDescent="0.15">
      <c r="A549" s="2" t="s">
        <v>1119</v>
      </c>
      <c r="B549" s="23">
        <v>45631.215798611112</v>
      </c>
      <c r="C549" s="23">
        <v>45631.215798611112</v>
      </c>
      <c r="D549" s="23" t="str">
        <f>IF(Table1[[#This Row],[Duration of Campaign]]=0, "Ongoing","Completed")</f>
        <v>Ongoing</v>
      </c>
      <c r="E549" s="25">
        <f>Table1[[#This Row],[End Date]]-Table1[[#This Row],[Start Date]]</f>
        <v>0</v>
      </c>
      <c r="F549" s="8">
        <v>2509</v>
      </c>
      <c r="G549" s="21" t="s">
        <v>53</v>
      </c>
      <c r="H549" s="11">
        <v>2156</v>
      </c>
      <c r="I549" s="11">
        <v>541</v>
      </c>
      <c r="J549" s="11">
        <v>255</v>
      </c>
      <c r="K549" s="13">
        <v>14349</v>
      </c>
      <c r="L549" s="16">
        <f t="shared" si="48"/>
        <v>0.25092764378478666</v>
      </c>
      <c r="M549" s="16">
        <f t="shared" si="49"/>
        <v>0.4713493530499076</v>
      </c>
      <c r="N549" s="17">
        <f t="shared" si="50"/>
        <v>17.536044362292053</v>
      </c>
      <c r="O549" s="17">
        <f t="shared" si="51"/>
        <v>37.20392156862745</v>
      </c>
      <c r="P549" s="16">
        <f t="shared" si="52"/>
        <v>3.7811877241929057</v>
      </c>
      <c r="Q549" s="16">
        <f t="shared" si="53"/>
        <v>1.5124907768525351</v>
      </c>
      <c r="R549" s="2" t="s">
        <v>1120</v>
      </c>
      <c r="S549" s="21" t="s">
        <v>16</v>
      </c>
      <c r="T549" s="21" t="s">
        <v>27</v>
      </c>
      <c r="U549" s="8">
        <v>9487</v>
      </c>
      <c r="V549" s="11">
        <v>5</v>
      </c>
      <c r="W549" t="str">
        <f>IF(Table1[[#This Row],[Satisfaction Rating]]&lt;2, "Low", IF(Table1[[#This Row],[Satisfaction Rating]]&lt;4, "Medium", "High"))</f>
        <v>High</v>
      </c>
    </row>
    <row r="550" spans="1:23" ht="13" x14ac:dyDescent="0.15">
      <c r="A550" s="2" t="s">
        <v>1121</v>
      </c>
      <c r="B550" s="23">
        <v>45028.594097222223</v>
      </c>
      <c r="C550" s="23">
        <v>45461.611655092594</v>
      </c>
      <c r="D550" s="23" t="str">
        <f>IF(Table1[[#This Row],[Duration of Campaign]]=0, "Ongoing","Completed")</f>
        <v>Completed</v>
      </c>
      <c r="E550" s="25">
        <f>Table1[[#This Row],[End Date]]-Table1[[#This Row],[Start Date]]</f>
        <v>433.01755787037109</v>
      </c>
      <c r="F550" s="8">
        <v>5331</v>
      </c>
      <c r="G550" s="21" t="s">
        <v>53</v>
      </c>
      <c r="H550" s="11">
        <v>12152</v>
      </c>
      <c r="I550" s="11">
        <v>1520</v>
      </c>
      <c r="J550" s="11">
        <v>469</v>
      </c>
      <c r="K550" s="13">
        <v>10246</v>
      </c>
      <c r="L550" s="16">
        <f t="shared" si="48"/>
        <v>0.12508229098090851</v>
      </c>
      <c r="M550" s="16">
        <f t="shared" si="49"/>
        <v>0.30855263157894736</v>
      </c>
      <c r="N550" s="17">
        <f t="shared" si="50"/>
        <v>6.6138157894736844</v>
      </c>
      <c r="O550" s="17">
        <f t="shared" si="51"/>
        <v>21.434968017057571</v>
      </c>
      <c r="P550" s="16">
        <f t="shared" si="52"/>
        <v>1.8857625211029825</v>
      </c>
      <c r="Q550" s="16">
        <f t="shared" si="53"/>
        <v>1.0191982492788223</v>
      </c>
      <c r="R550" s="2" t="s">
        <v>1122</v>
      </c>
      <c r="S550" s="21" t="s">
        <v>35</v>
      </c>
      <c r="T550" s="21" t="s">
        <v>27</v>
      </c>
      <c r="U550" s="8">
        <v>10053</v>
      </c>
      <c r="V550" s="11">
        <v>5</v>
      </c>
      <c r="W550" t="str">
        <f>IF(Table1[[#This Row],[Satisfaction Rating]]&lt;2, "Low", IF(Table1[[#This Row],[Satisfaction Rating]]&lt;4, "Medium", "High"))</f>
        <v>High</v>
      </c>
    </row>
    <row r="551" spans="1:23" ht="13" x14ac:dyDescent="0.15">
      <c r="A551" s="2" t="s">
        <v>1123</v>
      </c>
      <c r="B551" s="23">
        <v>45263.413263888891</v>
      </c>
      <c r="C551" s="23">
        <v>45364.160173611112</v>
      </c>
      <c r="D551" s="23" t="str">
        <f>IF(Table1[[#This Row],[Duration of Campaign]]=0, "Ongoing","Completed")</f>
        <v>Completed</v>
      </c>
      <c r="E551" s="25">
        <f>Table1[[#This Row],[End Date]]-Table1[[#This Row],[Start Date]]</f>
        <v>100.74690972222015</v>
      </c>
      <c r="F551" s="8">
        <v>2960</v>
      </c>
      <c r="G551" s="21" t="s">
        <v>37</v>
      </c>
      <c r="H551" s="11">
        <v>13113</v>
      </c>
      <c r="I551" s="11">
        <v>1125</v>
      </c>
      <c r="J551" s="11">
        <v>111</v>
      </c>
      <c r="K551" s="13">
        <v>1306</v>
      </c>
      <c r="L551" s="16">
        <f t="shared" si="48"/>
        <v>8.5792724776938917E-2</v>
      </c>
      <c r="M551" s="16">
        <f t="shared" si="49"/>
        <v>9.8666666666666666E-2</v>
      </c>
      <c r="N551" s="17">
        <f t="shared" si="50"/>
        <v>0.74311111111111106</v>
      </c>
      <c r="O551" s="17">
        <f t="shared" si="51"/>
        <v>7.5315315315315319</v>
      </c>
      <c r="P551" s="16">
        <f t="shared" si="52"/>
        <v>0.28243243243243243</v>
      </c>
      <c r="Q551" s="16">
        <f t="shared" si="53"/>
        <v>1.562200956937799</v>
      </c>
      <c r="R551" s="2" t="s">
        <v>1124</v>
      </c>
      <c r="S551" s="21" t="s">
        <v>30</v>
      </c>
      <c r="T551" s="21" t="s">
        <v>17</v>
      </c>
      <c r="U551" s="8">
        <v>836</v>
      </c>
      <c r="V551" s="11">
        <v>3</v>
      </c>
      <c r="W551" t="str">
        <f>IF(Table1[[#This Row],[Satisfaction Rating]]&lt;2, "Low", IF(Table1[[#This Row],[Satisfaction Rating]]&lt;4, "Medium", "High"))</f>
        <v>Medium</v>
      </c>
    </row>
    <row r="552" spans="1:23" ht="13" x14ac:dyDescent="0.15">
      <c r="A552" s="2" t="s">
        <v>1125</v>
      </c>
      <c r="B552" s="23">
        <v>45168.817615740743</v>
      </c>
      <c r="C552" s="23">
        <v>45646.36141203704</v>
      </c>
      <c r="D552" s="23" t="str">
        <f>IF(Table1[[#This Row],[Duration of Campaign]]=0, "Ongoing","Completed")</f>
        <v>Completed</v>
      </c>
      <c r="E552" s="25">
        <f>Table1[[#This Row],[End Date]]-Table1[[#This Row],[Start Date]]</f>
        <v>477.54379629629693</v>
      </c>
      <c r="F552" s="8">
        <v>6829</v>
      </c>
      <c r="G552" s="21" t="s">
        <v>37</v>
      </c>
      <c r="H552" s="11">
        <v>4928</v>
      </c>
      <c r="I552" s="11">
        <v>143</v>
      </c>
      <c r="J552" s="11">
        <v>208</v>
      </c>
      <c r="K552" s="13">
        <v>7724</v>
      </c>
      <c r="L552" s="16">
        <f t="shared" si="48"/>
        <v>2.9017857142857144E-2</v>
      </c>
      <c r="M552" s="16">
        <f t="shared" si="49"/>
        <v>1.4545454545454546</v>
      </c>
      <c r="N552" s="17">
        <f t="shared" si="50"/>
        <v>116.25874125874125</v>
      </c>
      <c r="O552" s="17">
        <f t="shared" si="51"/>
        <v>79.927884615384613</v>
      </c>
      <c r="P552" s="16">
        <f t="shared" si="52"/>
        <v>2.4344706399179969</v>
      </c>
      <c r="Q552" s="16">
        <f t="shared" si="53"/>
        <v>0.46460150375939852</v>
      </c>
      <c r="R552" s="2" t="s">
        <v>1126</v>
      </c>
      <c r="S552" s="21" t="s">
        <v>30</v>
      </c>
      <c r="T552" s="21" t="s">
        <v>17</v>
      </c>
      <c r="U552" s="8">
        <v>16625</v>
      </c>
      <c r="V552" s="11">
        <v>1</v>
      </c>
      <c r="W552" t="str">
        <f>IF(Table1[[#This Row],[Satisfaction Rating]]&lt;2, "Low", IF(Table1[[#This Row],[Satisfaction Rating]]&lt;4, "Medium", "High"))</f>
        <v>Low</v>
      </c>
    </row>
    <row r="553" spans="1:23" ht="13" x14ac:dyDescent="0.15">
      <c r="A553" s="2" t="s">
        <v>1127</v>
      </c>
      <c r="B553" s="23">
        <v>45079.102500000001</v>
      </c>
      <c r="C553" s="23">
        <v>45421.490671296298</v>
      </c>
      <c r="D553" s="23" t="str">
        <f>IF(Table1[[#This Row],[Duration of Campaign]]=0, "Ongoing","Completed")</f>
        <v>Completed</v>
      </c>
      <c r="E553" s="25">
        <f>Table1[[#This Row],[End Date]]-Table1[[#This Row],[Start Date]]</f>
        <v>342.38817129629751</v>
      </c>
      <c r="F553" s="8">
        <v>2433</v>
      </c>
      <c r="G553" s="21" t="s">
        <v>14</v>
      </c>
      <c r="H553" s="11">
        <v>8028</v>
      </c>
      <c r="I553" s="11">
        <v>1993</v>
      </c>
      <c r="J553" s="11">
        <v>187</v>
      </c>
      <c r="K553" s="13">
        <v>8897</v>
      </c>
      <c r="L553" s="16">
        <f t="shared" si="48"/>
        <v>0.24825610363726955</v>
      </c>
      <c r="M553" s="16">
        <f t="shared" si="49"/>
        <v>9.3828399397892628E-2</v>
      </c>
      <c r="N553" s="17">
        <f t="shared" si="50"/>
        <v>6.7270446562970401</v>
      </c>
      <c r="O553" s="17">
        <f t="shared" si="51"/>
        <v>71.695187165775394</v>
      </c>
      <c r="P553" s="16">
        <f t="shared" si="52"/>
        <v>5.5104808877928484</v>
      </c>
      <c r="Q553" s="16">
        <f t="shared" si="53"/>
        <v>0.66360856269113155</v>
      </c>
      <c r="R553" s="2" t="s">
        <v>1128</v>
      </c>
      <c r="S553" s="21" t="s">
        <v>16</v>
      </c>
      <c r="T553" s="21" t="s">
        <v>17</v>
      </c>
      <c r="U553" s="8">
        <v>13407</v>
      </c>
      <c r="V553" s="11">
        <v>5</v>
      </c>
      <c r="W553" t="str">
        <f>IF(Table1[[#This Row],[Satisfaction Rating]]&lt;2, "Low", IF(Table1[[#This Row],[Satisfaction Rating]]&lt;4, "Medium", "High"))</f>
        <v>High</v>
      </c>
    </row>
    <row r="554" spans="1:23" ht="13" x14ac:dyDescent="0.15">
      <c r="A554" s="2" t="s">
        <v>1129</v>
      </c>
      <c r="B554" s="23">
        <v>45089.875960648147</v>
      </c>
      <c r="C554" s="23">
        <v>45334.400358796294</v>
      </c>
      <c r="D554" s="23" t="str">
        <f>IF(Table1[[#This Row],[Duration of Campaign]]=0, "Ongoing","Completed")</f>
        <v>Completed</v>
      </c>
      <c r="E554" s="25">
        <f>Table1[[#This Row],[End Date]]-Table1[[#This Row],[Start Date]]</f>
        <v>244.52439814814716</v>
      </c>
      <c r="F554" s="8">
        <v>1716</v>
      </c>
      <c r="G554" s="21" t="s">
        <v>19</v>
      </c>
      <c r="H554" s="11">
        <v>14025</v>
      </c>
      <c r="I554" s="11">
        <v>698</v>
      </c>
      <c r="J554" s="11">
        <v>493</v>
      </c>
      <c r="K554" s="13">
        <v>5012</v>
      </c>
      <c r="L554" s="16">
        <f t="shared" si="48"/>
        <v>4.9768270944741531E-2</v>
      </c>
      <c r="M554" s="16">
        <f t="shared" si="49"/>
        <v>0.70630372492836679</v>
      </c>
      <c r="N554" s="17">
        <f t="shared" si="50"/>
        <v>21.095988538681947</v>
      </c>
      <c r="O554" s="17">
        <f t="shared" si="51"/>
        <v>29.86815415821501</v>
      </c>
      <c r="P554" s="16">
        <f t="shared" si="52"/>
        <v>8.5810023310023311</v>
      </c>
      <c r="Q554" s="16">
        <f t="shared" si="53"/>
        <v>0.34037351443123937</v>
      </c>
      <c r="R554" s="2" t="s">
        <v>1130</v>
      </c>
      <c r="S554" s="21" t="s">
        <v>30</v>
      </c>
      <c r="T554" s="21" t="s">
        <v>27</v>
      </c>
      <c r="U554" s="8">
        <v>14725</v>
      </c>
      <c r="V554" s="11">
        <v>1</v>
      </c>
      <c r="W554" t="str">
        <f>IF(Table1[[#This Row],[Satisfaction Rating]]&lt;2, "Low", IF(Table1[[#This Row],[Satisfaction Rating]]&lt;4, "Medium", "High"))</f>
        <v>Low</v>
      </c>
    </row>
    <row r="555" spans="1:23" ht="13" x14ac:dyDescent="0.15">
      <c r="A555" s="2" t="s">
        <v>1131</v>
      </c>
      <c r="B555" s="23">
        <v>45104.964884259258</v>
      </c>
      <c r="C555" s="23">
        <v>45104.964884259258</v>
      </c>
      <c r="D555" s="23" t="str">
        <f>IF(Table1[[#This Row],[Duration of Campaign]]=0, "Ongoing","Completed")</f>
        <v>Ongoing</v>
      </c>
      <c r="E555" s="25">
        <f>Table1[[#This Row],[End Date]]-Table1[[#This Row],[Start Date]]</f>
        <v>0</v>
      </c>
      <c r="F555" s="8">
        <v>9411</v>
      </c>
      <c r="G555" s="21" t="s">
        <v>53</v>
      </c>
      <c r="H555" s="11">
        <v>9125</v>
      </c>
      <c r="I555" s="11">
        <v>504</v>
      </c>
      <c r="J555" s="11">
        <v>58</v>
      </c>
      <c r="K555" s="13">
        <v>1006</v>
      </c>
      <c r="L555" s="16">
        <f t="shared" si="48"/>
        <v>5.5232876712328766E-2</v>
      </c>
      <c r="M555" s="16">
        <f t="shared" si="49"/>
        <v>0.11507936507936507</v>
      </c>
      <c r="N555" s="17">
        <f t="shared" si="50"/>
        <v>25.863095238095237</v>
      </c>
      <c r="O555" s="17">
        <f t="shared" si="51"/>
        <v>224.74137931034483</v>
      </c>
      <c r="P555" s="16">
        <f t="shared" si="52"/>
        <v>1.3850812878546381</v>
      </c>
      <c r="Q555" s="16">
        <f t="shared" si="53"/>
        <v>7.7176831607211352E-2</v>
      </c>
      <c r="R555" s="2" t="s">
        <v>1132</v>
      </c>
      <c r="S555" s="21" t="s">
        <v>30</v>
      </c>
      <c r="T555" s="21" t="s">
        <v>27</v>
      </c>
      <c r="U555" s="8">
        <v>13035</v>
      </c>
      <c r="V555" s="11">
        <v>3</v>
      </c>
      <c r="W555" t="str">
        <f>IF(Table1[[#This Row],[Satisfaction Rating]]&lt;2, "Low", IF(Table1[[#This Row],[Satisfaction Rating]]&lt;4, "Medium", "High"))</f>
        <v>Medium</v>
      </c>
    </row>
    <row r="556" spans="1:23" ht="13" x14ac:dyDescent="0.15">
      <c r="A556" s="2" t="s">
        <v>1133</v>
      </c>
      <c r="B556" s="23">
        <v>45341.249907407408</v>
      </c>
      <c r="C556" s="23">
        <v>45341.249907407408</v>
      </c>
      <c r="D556" s="23" t="str">
        <f>IF(Table1[[#This Row],[Duration of Campaign]]=0, "Ongoing","Completed")</f>
        <v>Ongoing</v>
      </c>
      <c r="E556" s="25">
        <f>Table1[[#This Row],[End Date]]-Table1[[#This Row],[Start Date]]</f>
        <v>0</v>
      </c>
      <c r="F556" s="8">
        <v>3323</v>
      </c>
      <c r="G556" s="21" t="s">
        <v>19</v>
      </c>
      <c r="H556" s="11">
        <v>10585</v>
      </c>
      <c r="I556" s="11">
        <v>1923</v>
      </c>
      <c r="J556" s="11">
        <v>176</v>
      </c>
      <c r="K556" s="13">
        <v>5306</v>
      </c>
      <c r="L556" s="16">
        <f t="shared" si="48"/>
        <v>0.18167217760982524</v>
      </c>
      <c r="M556" s="16">
        <f t="shared" si="49"/>
        <v>9.1523660946437851E-2</v>
      </c>
      <c r="N556" s="17">
        <f t="shared" si="50"/>
        <v>6.3099323972958921</v>
      </c>
      <c r="O556" s="17">
        <f t="shared" si="51"/>
        <v>68.943181818181813</v>
      </c>
      <c r="P556" s="16">
        <f t="shared" si="52"/>
        <v>3.6515197111044237</v>
      </c>
      <c r="Q556" s="16">
        <f t="shared" si="53"/>
        <v>0.43728366573265204</v>
      </c>
      <c r="R556" s="2" t="s">
        <v>1134</v>
      </c>
      <c r="S556" s="21" t="s">
        <v>21</v>
      </c>
      <c r="T556" s="21" t="s">
        <v>17</v>
      </c>
      <c r="U556" s="8">
        <v>12134</v>
      </c>
      <c r="V556" s="11">
        <v>1</v>
      </c>
      <c r="W556" t="str">
        <f>IF(Table1[[#This Row],[Satisfaction Rating]]&lt;2, "Low", IF(Table1[[#This Row],[Satisfaction Rating]]&lt;4, "Medium", "High"))</f>
        <v>Low</v>
      </c>
    </row>
    <row r="557" spans="1:23" ht="13" x14ac:dyDescent="0.15">
      <c r="A557" s="2" t="s">
        <v>1135</v>
      </c>
      <c r="B557" s="23">
        <v>44960.340416666666</v>
      </c>
      <c r="C557" s="23">
        <v>45628.792210648149</v>
      </c>
      <c r="D557" s="23" t="str">
        <f>IF(Table1[[#This Row],[Duration of Campaign]]=0, "Ongoing","Completed")</f>
        <v>Completed</v>
      </c>
      <c r="E557" s="25">
        <f>Table1[[#This Row],[End Date]]-Table1[[#This Row],[Start Date]]</f>
        <v>668.45179398148321</v>
      </c>
      <c r="F557" s="8">
        <v>4870</v>
      </c>
      <c r="G557" s="21" t="s">
        <v>19</v>
      </c>
      <c r="H557" s="11">
        <v>10362</v>
      </c>
      <c r="I557" s="11">
        <v>1226</v>
      </c>
      <c r="J557" s="11">
        <v>50</v>
      </c>
      <c r="K557" s="13">
        <v>7622</v>
      </c>
      <c r="L557" s="16">
        <f t="shared" si="48"/>
        <v>0.11831692723412468</v>
      </c>
      <c r="M557" s="16">
        <f t="shared" si="49"/>
        <v>4.0783034257748776E-2</v>
      </c>
      <c r="N557" s="17">
        <f t="shared" si="50"/>
        <v>3.1786296900489397</v>
      </c>
      <c r="O557" s="17">
        <f t="shared" si="51"/>
        <v>77.94</v>
      </c>
      <c r="P557" s="16">
        <f t="shared" si="52"/>
        <v>0.80020533880903488</v>
      </c>
      <c r="Q557" s="16">
        <f t="shared" si="53"/>
        <v>1.955863484731845</v>
      </c>
      <c r="R557" s="2" t="s">
        <v>1136</v>
      </c>
      <c r="S557" s="21" t="s">
        <v>24</v>
      </c>
      <c r="T557" s="21" t="s">
        <v>17</v>
      </c>
      <c r="U557" s="8">
        <v>3897</v>
      </c>
      <c r="V557" s="11">
        <v>2</v>
      </c>
      <c r="W557" t="str">
        <f>IF(Table1[[#This Row],[Satisfaction Rating]]&lt;2, "Low", IF(Table1[[#This Row],[Satisfaction Rating]]&lt;4, "Medium", "High"))</f>
        <v>Medium</v>
      </c>
    </row>
    <row r="558" spans="1:23" ht="13" x14ac:dyDescent="0.15">
      <c r="A558" s="2" t="s">
        <v>1137</v>
      </c>
      <c r="B558" s="23">
        <v>45197.581666666665</v>
      </c>
      <c r="C558" s="23">
        <v>45197.581666666665</v>
      </c>
      <c r="D558" s="23" t="str">
        <f>IF(Table1[[#This Row],[Duration of Campaign]]=0, "Ongoing","Completed")</f>
        <v>Ongoing</v>
      </c>
      <c r="E558" s="25">
        <f>Table1[[#This Row],[End Date]]-Table1[[#This Row],[Start Date]]</f>
        <v>0</v>
      </c>
      <c r="F558" s="8">
        <v>3022</v>
      </c>
      <c r="G558" s="21" t="s">
        <v>14</v>
      </c>
      <c r="H558" s="11">
        <v>1335</v>
      </c>
      <c r="I558" s="11">
        <v>637</v>
      </c>
      <c r="J558" s="11">
        <v>98</v>
      </c>
      <c r="K558" s="13">
        <v>2334</v>
      </c>
      <c r="L558" s="16">
        <f t="shared" si="48"/>
        <v>0.47715355805243448</v>
      </c>
      <c r="M558" s="16">
        <f t="shared" si="49"/>
        <v>0.15384615384615385</v>
      </c>
      <c r="N558" s="17">
        <f t="shared" si="50"/>
        <v>31.125588697017267</v>
      </c>
      <c r="O558" s="17">
        <f t="shared" si="51"/>
        <v>202.31632653061226</v>
      </c>
      <c r="P558" s="16">
        <f t="shared" si="52"/>
        <v>6.5608868299139642</v>
      </c>
      <c r="Q558" s="16">
        <f t="shared" si="53"/>
        <v>0.11771826297473142</v>
      </c>
      <c r="R558" s="2" t="s">
        <v>1138</v>
      </c>
      <c r="S558" s="21" t="s">
        <v>24</v>
      </c>
      <c r="T558" s="21" t="s">
        <v>17</v>
      </c>
      <c r="U558" s="8">
        <v>19827</v>
      </c>
      <c r="V558" s="11">
        <v>2</v>
      </c>
      <c r="W558" t="str">
        <f>IF(Table1[[#This Row],[Satisfaction Rating]]&lt;2, "Low", IF(Table1[[#This Row],[Satisfaction Rating]]&lt;4, "Medium", "High"))</f>
        <v>Medium</v>
      </c>
    </row>
    <row r="559" spans="1:23" ht="13" x14ac:dyDescent="0.15">
      <c r="A559" s="2" t="s">
        <v>1139</v>
      </c>
      <c r="B559" s="23">
        <v>45308.868854166663</v>
      </c>
      <c r="C559" s="23">
        <v>45308.868854166663</v>
      </c>
      <c r="D559" s="23" t="str">
        <f>IF(Table1[[#This Row],[Duration of Campaign]]=0, "Ongoing","Completed")</f>
        <v>Ongoing</v>
      </c>
      <c r="E559" s="25">
        <f>Table1[[#This Row],[End Date]]-Table1[[#This Row],[Start Date]]</f>
        <v>0</v>
      </c>
      <c r="F559" s="8">
        <v>1049</v>
      </c>
      <c r="G559" s="21" t="s">
        <v>37</v>
      </c>
      <c r="H559" s="11">
        <v>16422</v>
      </c>
      <c r="I559" s="11">
        <v>1935</v>
      </c>
      <c r="J559" s="11">
        <v>179</v>
      </c>
      <c r="K559" s="13">
        <v>13367</v>
      </c>
      <c r="L559" s="16">
        <f t="shared" si="48"/>
        <v>0.11782974059188893</v>
      </c>
      <c r="M559" s="16">
        <f t="shared" si="49"/>
        <v>9.2506459948320408E-2</v>
      </c>
      <c r="N559" s="17">
        <f t="shared" si="50"/>
        <v>7.7829457364341081</v>
      </c>
      <c r="O559" s="17">
        <f t="shared" si="51"/>
        <v>84.134078212290504</v>
      </c>
      <c r="P559" s="16">
        <f t="shared" si="52"/>
        <v>14.356530028598666</v>
      </c>
      <c r="Q559" s="16">
        <f t="shared" si="53"/>
        <v>0.88758300132802126</v>
      </c>
      <c r="R559" s="2" t="s">
        <v>1140</v>
      </c>
      <c r="S559" s="21" t="s">
        <v>30</v>
      </c>
      <c r="T559" s="21" t="s">
        <v>17</v>
      </c>
      <c r="U559" s="8">
        <v>15060</v>
      </c>
      <c r="V559" s="11">
        <v>2</v>
      </c>
      <c r="W559" t="str">
        <f>IF(Table1[[#This Row],[Satisfaction Rating]]&lt;2, "Low", IF(Table1[[#This Row],[Satisfaction Rating]]&lt;4, "Medium", "High"))</f>
        <v>Medium</v>
      </c>
    </row>
    <row r="560" spans="1:23" ht="13" x14ac:dyDescent="0.15">
      <c r="A560" s="2" t="s">
        <v>1141</v>
      </c>
      <c r="B560" s="23">
        <v>45085.408541666664</v>
      </c>
      <c r="C560" s="23">
        <v>45177.11273148148</v>
      </c>
      <c r="D560" s="23" t="str">
        <f>IF(Table1[[#This Row],[Duration of Campaign]]=0, "Ongoing","Completed")</f>
        <v>Completed</v>
      </c>
      <c r="E560" s="25">
        <f>Table1[[#This Row],[End Date]]-Table1[[#This Row],[Start Date]]</f>
        <v>91.704189814816345</v>
      </c>
      <c r="F560" s="8">
        <v>5089</v>
      </c>
      <c r="G560" s="21" t="s">
        <v>14</v>
      </c>
      <c r="H560" s="11">
        <v>11083</v>
      </c>
      <c r="I560" s="11">
        <v>1696</v>
      </c>
      <c r="J560" s="11">
        <v>372</v>
      </c>
      <c r="K560" s="13">
        <v>8010</v>
      </c>
      <c r="L560" s="16">
        <f t="shared" si="48"/>
        <v>0.15302715871154018</v>
      </c>
      <c r="M560" s="16">
        <f t="shared" si="49"/>
        <v>0.21933962264150944</v>
      </c>
      <c r="N560" s="17">
        <f t="shared" si="50"/>
        <v>8.7676886792452837</v>
      </c>
      <c r="O560" s="17">
        <f t="shared" si="51"/>
        <v>39.973118279569896</v>
      </c>
      <c r="P560" s="16">
        <f t="shared" si="52"/>
        <v>2.9219886028689328</v>
      </c>
      <c r="Q560" s="16">
        <f t="shared" si="53"/>
        <v>0.53866845998655011</v>
      </c>
      <c r="R560" s="2" t="s">
        <v>1142</v>
      </c>
      <c r="S560" s="21" t="s">
        <v>24</v>
      </c>
      <c r="T560" s="21" t="s">
        <v>27</v>
      </c>
      <c r="U560" s="8">
        <v>14870</v>
      </c>
      <c r="V560" s="11">
        <v>3</v>
      </c>
      <c r="W560" t="str">
        <f>IF(Table1[[#This Row],[Satisfaction Rating]]&lt;2, "Low", IF(Table1[[#This Row],[Satisfaction Rating]]&lt;4, "Medium", "High"))</f>
        <v>Medium</v>
      </c>
    </row>
    <row r="561" spans="1:23" ht="13" x14ac:dyDescent="0.15">
      <c r="A561" s="2" t="s">
        <v>1143</v>
      </c>
      <c r="B561" s="23">
        <v>45182.001597222225</v>
      </c>
      <c r="C561" s="23">
        <v>45182.001597222225</v>
      </c>
      <c r="D561" s="23" t="str">
        <f>IF(Table1[[#This Row],[Duration of Campaign]]=0, "Ongoing","Completed")</f>
        <v>Ongoing</v>
      </c>
      <c r="E561" s="25">
        <f>Table1[[#This Row],[End Date]]-Table1[[#This Row],[Start Date]]</f>
        <v>0</v>
      </c>
      <c r="F561" s="8">
        <v>6595</v>
      </c>
      <c r="G561" s="21" t="s">
        <v>19</v>
      </c>
      <c r="H561" s="11">
        <v>12870</v>
      </c>
      <c r="I561" s="11">
        <v>1601</v>
      </c>
      <c r="J561" s="11">
        <v>407</v>
      </c>
      <c r="K561" s="13">
        <v>7441</v>
      </c>
      <c r="L561" s="16">
        <f t="shared" si="48"/>
        <v>0.1243978243978244</v>
      </c>
      <c r="M561" s="16">
        <f t="shared" si="49"/>
        <v>0.25421611492816987</v>
      </c>
      <c r="N561" s="17">
        <f t="shared" si="50"/>
        <v>8.6495940037476569</v>
      </c>
      <c r="O561" s="17">
        <f t="shared" si="51"/>
        <v>34.024570024570025</v>
      </c>
      <c r="P561" s="16">
        <f t="shared" si="52"/>
        <v>2.0997725549658832</v>
      </c>
      <c r="Q561" s="16">
        <f t="shared" si="53"/>
        <v>0.53733391103408434</v>
      </c>
      <c r="R561" s="2" t="s">
        <v>1144</v>
      </c>
      <c r="S561" s="21" t="s">
        <v>21</v>
      </c>
      <c r="T561" s="21" t="s">
        <v>45</v>
      </c>
      <c r="U561" s="8">
        <v>13848</v>
      </c>
      <c r="V561" s="11">
        <v>3</v>
      </c>
      <c r="W561" t="str">
        <f>IF(Table1[[#This Row],[Satisfaction Rating]]&lt;2, "Low", IF(Table1[[#This Row],[Satisfaction Rating]]&lt;4, "Medium", "High"))</f>
        <v>Medium</v>
      </c>
    </row>
    <row r="562" spans="1:23" ht="13" x14ac:dyDescent="0.15">
      <c r="A562" s="2" t="s">
        <v>1145</v>
      </c>
      <c r="B562" s="23">
        <v>45064.100636574076</v>
      </c>
      <c r="C562" s="23">
        <v>45441.469618055555</v>
      </c>
      <c r="D562" s="23" t="str">
        <f>IF(Table1[[#This Row],[Duration of Campaign]]=0, "Ongoing","Completed")</f>
        <v>Completed</v>
      </c>
      <c r="E562" s="25">
        <f>Table1[[#This Row],[End Date]]-Table1[[#This Row],[Start Date]]</f>
        <v>377.36898148147884</v>
      </c>
      <c r="F562" s="8">
        <v>9006</v>
      </c>
      <c r="G562" s="21" t="s">
        <v>14</v>
      </c>
      <c r="H562" s="11">
        <v>10653</v>
      </c>
      <c r="I562" s="11">
        <v>1464</v>
      </c>
      <c r="J562" s="11">
        <v>424</v>
      </c>
      <c r="K562" s="13">
        <v>1455</v>
      </c>
      <c r="L562" s="16">
        <f t="shared" si="48"/>
        <v>0.13742607716136299</v>
      </c>
      <c r="M562" s="16">
        <f t="shared" si="49"/>
        <v>0.2896174863387978</v>
      </c>
      <c r="N562" s="17">
        <f t="shared" si="50"/>
        <v>10.05464480874317</v>
      </c>
      <c r="O562" s="17">
        <f t="shared" si="51"/>
        <v>34.716981132075475</v>
      </c>
      <c r="P562" s="16">
        <f t="shared" si="52"/>
        <v>1.6344659116144793</v>
      </c>
      <c r="Q562" s="16">
        <f t="shared" si="53"/>
        <v>9.8845108695652176E-2</v>
      </c>
      <c r="R562" s="2" t="s">
        <v>1146</v>
      </c>
      <c r="S562" s="21" t="s">
        <v>21</v>
      </c>
      <c r="T562" s="21" t="s">
        <v>45</v>
      </c>
      <c r="U562" s="8">
        <v>14720</v>
      </c>
      <c r="V562" s="11">
        <v>1</v>
      </c>
      <c r="W562" t="str">
        <f>IF(Table1[[#This Row],[Satisfaction Rating]]&lt;2, "Low", IF(Table1[[#This Row],[Satisfaction Rating]]&lt;4, "Medium", "High"))</f>
        <v>Low</v>
      </c>
    </row>
    <row r="563" spans="1:23" ht="13" x14ac:dyDescent="0.15">
      <c r="A563" s="2" t="s">
        <v>1147</v>
      </c>
      <c r="B563" s="23">
        <v>45012.40353009259</v>
      </c>
      <c r="C563" s="23">
        <v>45401.44494212963</v>
      </c>
      <c r="D563" s="23" t="str">
        <f>IF(Table1[[#This Row],[Duration of Campaign]]=0, "Ongoing","Completed")</f>
        <v>Completed</v>
      </c>
      <c r="E563" s="25">
        <f>Table1[[#This Row],[End Date]]-Table1[[#This Row],[Start Date]]</f>
        <v>389.04141203704057</v>
      </c>
      <c r="F563" s="8">
        <v>1730</v>
      </c>
      <c r="G563" s="21" t="s">
        <v>37</v>
      </c>
      <c r="H563" s="11">
        <v>7181</v>
      </c>
      <c r="I563" s="11">
        <v>1407</v>
      </c>
      <c r="J563" s="11">
        <v>168</v>
      </c>
      <c r="K563" s="13">
        <v>14568</v>
      </c>
      <c r="L563" s="16">
        <f t="shared" si="48"/>
        <v>0.19593371396741402</v>
      </c>
      <c r="M563" s="16">
        <f t="shared" si="49"/>
        <v>0.11940298507462686</v>
      </c>
      <c r="N563" s="17">
        <f t="shared" si="50"/>
        <v>4.6417910447761193</v>
      </c>
      <c r="O563" s="17">
        <f t="shared" si="51"/>
        <v>38.875</v>
      </c>
      <c r="P563" s="16">
        <f t="shared" si="52"/>
        <v>3.7751445086705204</v>
      </c>
      <c r="Q563" s="16">
        <f t="shared" si="53"/>
        <v>2.2305925585668351</v>
      </c>
      <c r="R563" s="2" t="s">
        <v>1148</v>
      </c>
      <c r="S563" s="21" t="s">
        <v>16</v>
      </c>
      <c r="T563" s="21" t="s">
        <v>17</v>
      </c>
      <c r="U563" s="8">
        <v>6531</v>
      </c>
      <c r="V563" s="11">
        <v>2</v>
      </c>
      <c r="W563" t="str">
        <f>IF(Table1[[#This Row],[Satisfaction Rating]]&lt;2, "Low", IF(Table1[[#This Row],[Satisfaction Rating]]&lt;4, "Medium", "High"))</f>
        <v>Medium</v>
      </c>
    </row>
    <row r="564" spans="1:23" ht="13" x14ac:dyDescent="0.15">
      <c r="A564" s="2" t="s">
        <v>1149</v>
      </c>
      <c r="B564" s="23">
        <v>45518.179398148146</v>
      </c>
      <c r="C564" s="23">
        <v>45518.179398148146</v>
      </c>
      <c r="D564" s="23" t="str">
        <f>IF(Table1[[#This Row],[Duration of Campaign]]=0, "Ongoing","Completed")</f>
        <v>Ongoing</v>
      </c>
      <c r="E564" s="25">
        <f>Table1[[#This Row],[End Date]]-Table1[[#This Row],[Start Date]]</f>
        <v>0</v>
      </c>
      <c r="F564" s="8">
        <v>1055</v>
      </c>
      <c r="G564" s="21" t="s">
        <v>53</v>
      </c>
      <c r="H564" s="11">
        <v>6320</v>
      </c>
      <c r="I564" s="11">
        <v>111</v>
      </c>
      <c r="J564" s="11">
        <v>393</v>
      </c>
      <c r="K564" s="13">
        <v>14538</v>
      </c>
      <c r="L564" s="16">
        <f t="shared" si="48"/>
        <v>1.7563291139240506E-2</v>
      </c>
      <c r="M564" s="16">
        <f t="shared" si="49"/>
        <v>3.5405405405405403</v>
      </c>
      <c r="N564" s="17">
        <f t="shared" si="50"/>
        <v>32.765765765765764</v>
      </c>
      <c r="O564" s="17">
        <f t="shared" si="51"/>
        <v>9.2544529262086517</v>
      </c>
      <c r="P564" s="16">
        <f t="shared" si="52"/>
        <v>3.4473933649289101</v>
      </c>
      <c r="Q564" s="16">
        <f t="shared" si="53"/>
        <v>3.9972504811657958</v>
      </c>
      <c r="R564" s="2" t="s">
        <v>1150</v>
      </c>
      <c r="S564" s="21" t="s">
        <v>30</v>
      </c>
      <c r="T564" s="21" t="s">
        <v>17</v>
      </c>
      <c r="U564" s="8">
        <v>3637</v>
      </c>
      <c r="V564" s="11">
        <v>5</v>
      </c>
      <c r="W564" t="str">
        <f>IF(Table1[[#This Row],[Satisfaction Rating]]&lt;2, "Low", IF(Table1[[#This Row],[Satisfaction Rating]]&lt;4, "Medium", "High"))</f>
        <v>High</v>
      </c>
    </row>
    <row r="565" spans="1:23" ht="13" x14ac:dyDescent="0.15">
      <c r="A565" s="2" t="s">
        <v>1151</v>
      </c>
      <c r="B565" s="23">
        <v>45328.380694444444</v>
      </c>
      <c r="C565" s="23">
        <v>45602.39916666667</v>
      </c>
      <c r="D565" s="23" t="str">
        <f>IF(Table1[[#This Row],[Duration of Campaign]]=0, "Ongoing","Completed")</f>
        <v>Completed</v>
      </c>
      <c r="E565" s="25">
        <f>Table1[[#This Row],[End Date]]-Table1[[#This Row],[Start Date]]</f>
        <v>274.01847222222568</v>
      </c>
      <c r="F565" s="8">
        <v>7912</v>
      </c>
      <c r="G565" s="21" t="s">
        <v>37</v>
      </c>
      <c r="H565" s="11">
        <v>15781</v>
      </c>
      <c r="I565" s="11">
        <v>183</v>
      </c>
      <c r="J565" s="11">
        <v>316</v>
      </c>
      <c r="K565" s="13">
        <v>11625</v>
      </c>
      <c r="L565" s="16">
        <f t="shared" si="48"/>
        <v>1.1596223306507825E-2</v>
      </c>
      <c r="M565" s="16">
        <f t="shared" si="49"/>
        <v>1.7267759562841529</v>
      </c>
      <c r="N565" s="17">
        <f t="shared" si="50"/>
        <v>71.333333333333329</v>
      </c>
      <c r="O565" s="17">
        <f t="shared" si="51"/>
        <v>41.310126582278478</v>
      </c>
      <c r="P565" s="16">
        <f t="shared" si="52"/>
        <v>1.6498988877654197</v>
      </c>
      <c r="Q565" s="16">
        <f t="shared" si="53"/>
        <v>0.89053163781216482</v>
      </c>
      <c r="R565" s="2" t="s">
        <v>1152</v>
      </c>
      <c r="S565" s="21" t="s">
        <v>24</v>
      </c>
      <c r="T565" s="21" t="s">
        <v>45</v>
      </c>
      <c r="U565" s="8">
        <v>13054</v>
      </c>
      <c r="V565" s="11">
        <v>1</v>
      </c>
      <c r="W565" t="str">
        <f>IF(Table1[[#This Row],[Satisfaction Rating]]&lt;2, "Low", IF(Table1[[#This Row],[Satisfaction Rating]]&lt;4, "Medium", "High"))</f>
        <v>Low</v>
      </c>
    </row>
    <row r="566" spans="1:23" ht="13" x14ac:dyDescent="0.15">
      <c r="A566" s="2" t="s">
        <v>1153</v>
      </c>
      <c r="B566" s="23">
        <v>45072.055694444447</v>
      </c>
      <c r="C566" s="23">
        <v>45638.951539351852</v>
      </c>
      <c r="D566" s="23" t="str">
        <f>IF(Table1[[#This Row],[Duration of Campaign]]=0, "Ongoing","Completed")</f>
        <v>Completed</v>
      </c>
      <c r="E566" s="25">
        <f>Table1[[#This Row],[End Date]]-Table1[[#This Row],[Start Date]]</f>
        <v>566.89584490740526</v>
      </c>
      <c r="F566" s="8">
        <v>6719</v>
      </c>
      <c r="G566" s="21" t="s">
        <v>37</v>
      </c>
      <c r="H566" s="11">
        <v>4626</v>
      </c>
      <c r="I566" s="11">
        <v>215</v>
      </c>
      <c r="J566" s="11">
        <v>162</v>
      </c>
      <c r="K566" s="13">
        <v>8259</v>
      </c>
      <c r="L566" s="16">
        <f t="shared" si="48"/>
        <v>4.6476437527021186E-2</v>
      </c>
      <c r="M566" s="16">
        <f t="shared" si="49"/>
        <v>0.75348837209302322</v>
      </c>
      <c r="N566" s="17">
        <f t="shared" si="50"/>
        <v>24.15813953488372</v>
      </c>
      <c r="O566" s="17">
        <f t="shared" si="51"/>
        <v>32.061728395061728</v>
      </c>
      <c r="P566" s="16">
        <f t="shared" si="52"/>
        <v>0.77303170114600384</v>
      </c>
      <c r="Q566" s="16">
        <f t="shared" si="53"/>
        <v>1.5901039661147478</v>
      </c>
      <c r="R566" s="2" t="s">
        <v>1154</v>
      </c>
      <c r="S566" s="21" t="s">
        <v>30</v>
      </c>
      <c r="T566" s="21" t="s">
        <v>17</v>
      </c>
      <c r="U566" s="8">
        <v>5194</v>
      </c>
      <c r="V566" s="11">
        <v>2</v>
      </c>
      <c r="W566" t="str">
        <f>IF(Table1[[#This Row],[Satisfaction Rating]]&lt;2, "Low", IF(Table1[[#This Row],[Satisfaction Rating]]&lt;4, "Medium", "High"))</f>
        <v>Medium</v>
      </c>
    </row>
    <row r="567" spans="1:23" ht="13" x14ac:dyDescent="0.15">
      <c r="A567" s="2" t="s">
        <v>1155</v>
      </c>
      <c r="B567" s="23">
        <v>45159.412951388891</v>
      </c>
      <c r="C567" s="23">
        <v>45214.530624999999</v>
      </c>
      <c r="D567" s="23" t="str">
        <f>IF(Table1[[#This Row],[Duration of Campaign]]=0, "Ongoing","Completed")</f>
        <v>Completed</v>
      </c>
      <c r="E567" s="25">
        <f>Table1[[#This Row],[End Date]]-Table1[[#This Row],[Start Date]]</f>
        <v>55.11767361110833</v>
      </c>
      <c r="F567" s="8">
        <v>5182</v>
      </c>
      <c r="G567" s="21" t="s">
        <v>37</v>
      </c>
      <c r="H567" s="11">
        <v>12914</v>
      </c>
      <c r="I567" s="11">
        <v>1418</v>
      </c>
      <c r="J567" s="11">
        <v>381</v>
      </c>
      <c r="K567" s="13">
        <v>4933</v>
      </c>
      <c r="L567" s="16">
        <f t="shared" si="48"/>
        <v>0.10980331423261576</v>
      </c>
      <c r="M567" s="16">
        <f t="shared" si="49"/>
        <v>0.26868829337094502</v>
      </c>
      <c r="N567" s="17">
        <f t="shared" si="50"/>
        <v>5.2150916784203103</v>
      </c>
      <c r="O567" s="17">
        <f t="shared" si="51"/>
        <v>19.409448818897637</v>
      </c>
      <c r="P567" s="16">
        <f t="shared" si="52"/>
        <v>1.4270551910459282</v>
      </c>
      <c r="Q567" s="16">
        <f t="shared" si="53"/>
        <v>0.66707234617985123</v>
      </c>
      <c r="R567" s="2" t="s">
        <v>1156</v>
      </c>
      <c r="S567" s="21" t="s">
        <v>30</v>
      </c>
      <c r="T567" s="21" t="s">
        <v>27</v>
      </c>
      <c r="U567" s="8">
        <v>7395</v>
      </c>
      <c r="V567" s="11">
        <v>5</v>
      </c>
      <c r="W567" t="str">
        <f>IF(Table1[[#This Row],[Satisfaction Rating]]&lt;2, "Low", IF(Table1[[#This Row],[Satisfaction Rating]]&lt;4, "Medium", "High"))</f>
        <v>High</v>
      </c>
    </row>
    <row r="568" spans="1:23" ht="13" x14ac:dyDescent="0.15">
      <c r="A568" s="2" t="s">
        <v>1157</v>
      </c>
      <c r="B568" s="23">
        <v>45374.72084490741</v>
      </c>
      <c r="C568" s="23">
        <v>45374.72084490741</v>
      </c>
      <c r="D568" s="23" t="str">
        <f>IF(Table1[[#This Row],[Duration of Campaign]]=0, "Ongoing","Completed")</f>
        <v>Ongoing</v>
      </c>
      <c r="E568" s="25">
        <f>Table1[[#This Row],[End Date]]-Table1[[#This Row],[Start Date]]</f>
        <v>0</v>
      </c>
      <c r="F568" s="8">
        <v>3516</v>
      </c>
      <c r="G568" s="21" t="s">
        <v>19</v>
      </c>
      <c r="H568" s="11">
        <v>16843</v>
      </c>
      <c r="I568" s="11">
        <v>608</v>
      </c>
      <c r="J568" s="11">
        <v>339</v>
      </c>
      <c r="K568" s="13">
        <v>2494</v>
      </c>
      <c r="L568" s="16">
        <f t="shared" si="48"/>
        <v>3.6098082289378379E-2</v>
      </c>
      <c r="M568" s="16">
        <f t="shared" si="49"/>
        <v>0.55756578947368418</v>
      </c>
      <c r="N568" s="17">
        <f t="shared" si="50"/>
        <v>28.518092105263158</v>
      </c>
      <c r="O568" s="17">
        <f t="shared" si="51"/>
        <v>51.147492625368734</v>
      </c>
      <c r="P568" s="16">
        <f t="shared" si="52"/>
        <v>4.9314562002275313</v>
      </c>
      <c r="Q568" s="16">
        <f t="shared" si="53"/>
        <v>0.1438375915566065</v>
      </c>
      <c r="R568" s="2" t="s">
        <v>1158</v>
      </c>
      <c r="S568" s="21" t="s">
        <v>16</v>
      </c>
      <c r="T568" s="21" t="s">
        <v>17</v>
      </c>
      <c r="U568" s="8">
        <v>17339</v>
      </c>
      <c r="V568" s="11">
        <v>5</v>
      </c>
      <c r="W568" t="str">
        <f>IF(Table1[[#This Row],[Satisfaction Rating]]&lt;2, "Low", IF(Table1[[#This Row],[Satisfaction Rating]]&lt;4, "Medium", "High"))</f>
        <v>High</v>
      </c>
    </row>
    <row r="569" spans="1:23" ht="13" x14ac:dyDescent="0.15">
      <c r="A569" s="2" t="s">
        <v>1159</v>
      </c>
      <c r="B569" s="23">
        <v>45389.923854166664</v>
      </c>
      <c r="C569" s="23">
        <v>45389.923854166664</v>
      </c>
      <c r="D569" s="23" t="str">
        <f>IF(Table1[[#This Row],[Duration of Campaign]]=0, "Ongoing","Completed")</f>
        <v>Ongoing</v>
      </c>
      <c r="E569" s="25">
        <f>Table1[[#This Row],[End Date]]-Table1[[#This Row],[Start Date]]</f>
        <v>0</v>
      </c>
      <c r="F569" s="8">
        <v>6372</v>
      </c>
      <c r="G569" s="21" t="s">
        <v>37</v>
      </c>
      <c r="H569" s="11">
        <v>12384</v>
      </c>
      <c r="I569" s="11">
        <v>965</v>
      </c>
      <c r="J569" s="11">
        <v>42</v>
      </c>
      <c r="K569" s="13">
        <v>2002</v>
      </c>
      <c r="L569" s="16">
        <f t="shared" si="48"/>
        <v>7.7923126614987084E-2</v>
      </c>
      <c r="M569" s="16">
        <f t="shared" si="49"/>
        <v>4.3523316062176166E-2</v>
      </c>
      <c r="N569" s="17">
        <f t="shared" si="50"/>
        <v>0.58341968911917097</v>
      </c>
      <c r="O569" s="17">
        <f t="shared" si="51"/>
        <v>13.404761904761905</v>
      </c>
      <c r="P569" s="16">
        <f t="shared" si="52"/>
        <v>8.8355304456999378E-2</v>
      </c>
      <c r="Q569" s="16">
        <f t="shared" si="53"/>
        <v>3.5559502664298401</v>
      </c>
      <c r="R569" s="2" t="s">
        <v>1160</v>
      </c>
      <c r="S569" s="21" t="s">
        <v>24</v>
      </c>
      <c r="T569" s="21" t="s">
        <v>45</v>
      </c>
      <c r="U569" s="8">
        <v>563</v>
      </c>
      <c r="V569" s="11">
        <v>1</v>
      </c>
      <c r="W569" t="str">
        <f>IF(Table1[[#This Row],[Satisfaction Rating]]&lt;2, "Low", IF(Table1[[#This Row],[Satisfaction Rating]]&lt;4, "Medium", "High"))</f>
        <v>Low</v>
      </c>
    </row>
    <row r="570" spans="1:23" ht="13" x14ac:dyDescent="0.15">
      <c r="A570" s="2" t="s">
        <v>1161</v>
      </c>
      <c r="B570" s="23">
        <v>45299.119444444441</v>
      </c>
      <c r="C570" s="23">
        <v>45330.427210648151</v>
      </c>
      <c r="D570" s="23" t="str">
        <f>IF(Table1[[#This Row],[Duration of Campaign]]=0, "Ongoing","Completed")</f>
        <v>Completed</v>
      </c>
      <c r="E570" s="25">
        <f>Table1[[#This Row],[End Date]]-Table1[[#This Row],[Start Date]]</f>
        <v>31.307766203710344</v>
      </c>
      <c r="F570" s="8">
        <v>8759</v>
      </c>
      <c r="G570" s="21" t="s">
        <v>14</v>
      </c>
      <c r="H570" s="11">
        <v>5348</v>
      </c>
      <c r="I570" s="11">
        <v>1137</v>
      </c>
      <c r="J570" s="11">
        <v>103</v>
      </c>
      <c r="K570" s="13">
        <v>4824</v>
      </c>
      <c r="L570" s="16">
        <f t="shared" si="48"/>
        <v>0.21260284218399403</v>
      </c>
      <c r="M570" s="16">
        <f t="shared" si="49"/>
        <v>9.0589270008795075E-2</v>
      </c>
      <c r="N570" s="17">
        <f t="shared" si="50"/>
        <v>12.685136323658751</v>
      </c>
      <c r="O570" s="17">
        <f t="shared" si="51"/>
        <v>140.02912621359224</v>
      </c>
      <c r="P570" s="16">
        <f t="shared" si="52"/>
        <v>1.6466491608631122</v>
      </c>
      <c r="Q570" s="16">
        <f t="shared" si="53"/>
        <v>0.33446578381751368</v>
      </c>
      <c r="R570" s="2" t="s">
        <v>1162</v>
      </c>
      <c r="S570" s="21" t="s">
        <v>35</v>
      </c>
      <c r="T570" s="21" t="s">
        <v>17</v>
      </c>
      <c r="U570" s="8">
        <v>14423</v>
      </c>
      <c r="V570" s="11">
        <v>3</v>
      </c>
      <c r="W570" t="str">
        <f>IF(Table1[[#This Row],[Satisfaction Rating]]&lt;2, "Low", IF(Table1[[#This Row],[Satisfaction Rating]]&lt;4, "Medium", "High"))</f>
        <v>Medium</v>
      </c>
    </row>
    <row r="571" spans="1:23" ht="13" x14ac:dyDescent="0.15">
      <c r="A571" s="2" t="s">
        <v>1163</v>
      </c>
      <c r="B571" s="23">
        <v>45415.818252314813</v>
      </c>
      <c r="C571" s="23">
        <v>45415.818252314813</v>
      </c>
      <c r="D571" s="23" t="str">
        <f>IF(Table1[[#This Row],[Duration of Campaign]]=0, "Ongoing","Completed")</f>
        <v>Ongoing</v>
      </c>
      <c r="E571" s="25">
        <f>Table1[[#This Row],[End Date]]-Table1[[#This Row],[Start Date]]</f>
        <v>0</v>
      </c>
      <c r="F571" s="8">
        <v>5911</v>
      </c>
      <c r="G571" s="21" t="s">
        <v>37</v>
      </c>
      <c r="H571" s="11">
        <v>10240</v>
      </c>
      <c r="I571" s="11">
        <v>1067</v>
      </c>
      <c r="J571" s="11">
        <v>310</v>
      </c>
      <c r="K571" s="13">
        <v>6101</v>
      </c>
      <c r="L571" s="16">
        <f t="shared" si="48"/>
        <v>0.10419921875</v>
      </c>
      <c r="M571" s="16">
        <f t="shared" si="49"/>
        <v>0.29053420805998126</v>
      </c>
      <c r="N571" s="17">
        <f t="shared" si="50"/>
        <v>6.321462043111528</v>
      </c>
      <c r="O571" s="17">
        <f t="shared" si="51"/>
        <v>21.758064516129032</v>
      </c>
      <c r="P571" s="16">
        <f t="shared" si="52"/>
        <v>1.1410928776856708</v>
      </c>
      <c r="Q571" s="16">
        <f t="shared" si="53"/>
        <v>0.90452186805040768</v>
      </c>
      <c r="R571" s="2" t="s">
        <v>1164</v>
      </c>
      <c r="S571" s="21" t="s">
        <v>35</v>
      </c>
      <c r="T571" s="21" t="s">
        <v>17</v>
      </c>
      <c r="U571" s="8">
        <v>6745</v>
      </c>
      <c r="V571" s="11">
        <v>4</v>
      </c>
      <c r="W571" t="str">
        <f>IF(Table1[[#This Row],[Satisfaction Rating]]&lt;2, "Low", IF(Table1[[#This Row],[Satisfaction Rating]]&lt;4, "Medium", "High"))</f>
        <v>High</v>
      </c>
    </row>
    <row r="572" spans="1:23" ht="13" x14ac:dyDescent="0.15">
      <c r="A572" s="2" t="s">
        <v>1165</v>
      </c>
      <c r="B572" s="23">
        <v>45500.894317129627</v>
      </c>
      <c r="C572" s="23">
        <v>45634.290520833332</v>
      </c>
      <c r="D572" s="23" t="str">
        <f>IF(Table1[[#This Row],[Duration of Campaign]]=0, "Ongoing","Completed")</f>
        <v>Completed</v>
      </c>
      <c r="E572" s="25">
        <f>Table1[[#This Row],[End Date]]-Table1[[#This Row],[Start Date]]</f>
        <v>133.3962037037054</v>
      </c>
      <c r="F572" s="8">
        <v>5884</v>
      </c>
      <c r="G572" s="21" t="s">
        <v>53</v>
      </c>
      <c r="H572" s="11">
        <v>4671</v>
      </c>
      <c r="I572" s="11">
        <v>1110</v>
      </c>
      <c r="J572" s="11">
        <v>393</v>
      </c>
      <c r="K572" s="13">
        <v>13907</v>
      </c>
      <c r="L572" s="16">
        <f t="shared" si="48"/>
        <v>0.23763648041104687</v>
      </c>
      <c r="M572" s="16">
        <f t="shared" si="49"/>
        <v>0.35405405405405405</v>
      </c>
      <c r="N572" s="17">
        <f t="shared" si="50"/>
        <v>14.27027027027027</v>
      </c>
      <c r="O572" s="17">
        <f t="shared" si="51"/>
        <v>40.305343511450381</v>
      </c>
      <c r="P572" s="16">
        <f t="shared" si="52"/>
        <v>2.6920462270564243</v>
      </c>
      <c r="Q572" s="16">
        <f t="shared" si="53"/>
        <v>0.87796717171717176</v>
      </c>
      <c r="R572" s="2" t="s">
        <v>1166</v>
      </c>
      <c r="S572" s="21" t="s">
        <v>30</v>
      </c>
      <c r="T572" s="21" t="s">
        <v>45</v>
      </c>
      <c r="U572" s="8">
        <v>15840</v>
      </c>
      <c r="V572" s="11">
        <v>4</v>
      </c>
      <c r="W572" t="str">
        <f>IF(Table1[[#This Row],[Satisfaction Rating]]&lt;2, "Low", IF(Table1[[#This Row],[Satisfaction Rating]]&lt;4, "Medium", "High"))</f>
        <v>High</v>
      </c>
    </row>
    <row r="573" spans="1:23" ht="13" x14ac:dyDescent="0.15">
      <c r="A573" s="2" t="s">
        <v>1167</v>
      </c>
      <c r="B573" s="23">
        <v>45471.782233796293</v>
      </c>
      <c r="C573" s="23">
        <v>45471.782233796293</v>
      </c>
      <c r="D573" s="23" t="str">
        <f>IF(Table1[[#This Row],[Duration of Campaign]]=0, "Ongoing","Completed")</f>
        <v>Ongoing</v>
      </c>
      <c r="E573" s="25">
        <f>Table1[[#This Row],[End Date]]-Table1[[#This Row],[Start Date]]</f>
        <v>0</v>
      </c>
      <c r="F573" s="8">
        <v>6028</v>
      </c>
      <c r="G573" s="21" t="s">
        <v>37</v>
      </c>
      <c r="H573" s="11">
        <v>19515</v>
      </c>
      <c r="I573" s="11">
        <v>293</v>
      </c>
      <c r="J573" s="11">
        <v>492</v>
      </c>
      <c r="K573" s="13">
        <v>4463</v>
      </c>
      <c r="L573" s="16">
        <f t="shared" si="48"/>
        <v>1.5014091724314629E-2</v>
      </c>
      <c r="M573" s="16">
        <f t="shared" si="49"/>
        <v>1.6791808873720135</v>
      </c>
      <c r="N573" s="17">
        <f t="shared" si="50"/>
        <v>48.74744027303754</v>
      </c>
      <c r="O573" s="17">
        <f t="shared" si="51"/>
        <v>29.030487804878049</v>
      </c>
      <c r="P573" s="16">
        <f t="shared" si="52"/>
        <v>2.3694426011944261</v>
      </c>
      <c r="Q573" s="16">
        <f t="shared" si="53"/>
        <v>0.31246936918014423</v>
      </c>
      <c r="R573" s="2" t="s">
        <v>1168</v>
      </c>
      <c r="S573" s="21" t="s">
        <v>35</v>
      </c>
      <c r="T573" s="21" t="s">
        <v>45</v>
      </c>
      <c r="U573" s="8">
        <v>14283</v>
      </c>
      <c r="V573" s="11">
        <v>1</v>
      </c>
      <c r="W573" t="str">
        <f>IF(Table1[[#This Row],[Satisfaction Rating]]&lt;2, "Low", IF(Table1[[#This Row],[Satisfaction Rating]]&lt;4, "Medium", "High"))</f>
        <v>Low</v>
      </c>
    </row>
    <row r="574" spans="1:23" ht="13" x14ac:dyDescent="0.15">
      <c r="A574" s="2" t="s">
        <v>1169</v>
      </c>
      <c r="B574" s="23">
        <v>44977.72896990741</v>
      </c>
      <c r="C574" s="23">
        <v>45388.870925925927</v>
      </c>
      <c r="D574" s="23" t="str">
        <f>IF(Table1[[#This Row],[Duration of Campaign]]=0, "Ongoing","Completed")</f>
        <v>Completed</v>
      </c>
      <c r="E574" s="25">
        <f>Table1[[#This Row],[End Date]]-Table1[[#This Row],[Start Date]]</f>
        <v>411.14195601851679</v>
      </c>
      <c r="F574" s="8">
        <v>7823</v>
      </c>
      <c r="G574" s="21" t="s">
        <v>14</v>
      </c>
      <c r="H574" s="11">
        <v>16355</v>
      </c>
      <c r="I574" s="11">
        <v>1088</v>
      </c>
      <c r="J574" s="11">
        <v>259</v>
      </c>
      <c r="K574" s="13">
        <v>10949</v>
      </c>
      <c r="L574" s="16">
        <f t="shared" si="48"/>
        <v>6.6523998777132373E-2</v>
      </c>
      <c r="M574" s="16">
        <f t="shared" si="49"/>
        <v>0.23805147058823528</v>
      </c>
      <c r="N574" s="17">
        <f t="shared" si="50"/>
        <v>14.760110294117647</v>
      </c>
      <c r="O574" s="17">
        <f t="shared" si="51"/>
        <v>62.003861003861005</v>
      </c>
      <c r="P574" s="16">
        <f t="shared" si="52"/>
        <v>2.0527930461459798</v>
      </c>
      <c r="Q574" s="16">
        <f t="shared" si="53"/>
        <v>0.68179836851609688</v>
      </c>
      <c r="R574" s="2" t="s">
        <v>1170</v>
      </c>
      <c r="S574" s="21" t="s">
        <v>30</v>
      </c>
      <c r="T574" s="21" t="s">
        <v>17</v>
      </c>
      <c r="U574" s="8">
        <v>16059</v>
      </c>
      <c r="V574" s="11">
        <v>1</v>
      </c>
      <c r="W574" t="str">
        <f>IF(Table1[[#This Row],[Satisfaction Rating]]&lt;2, "Low", IF(Table1[[#This Row],[Satisfaction Rating]]&lt;4, "Medium", "High"))</f>
        <v>Low</v>
      </c>
    </row>
    <row r="575" spans="1:23" ht="13" x14ac:dyDescent="0.15">
      <c r="A575" s="2" t="s">
        <v>1171</v>
      </c>
      <c r="B575" s="23">
        <v>45302.386041666665</v>
      </c>
      <c r="C575" s="23">
        <v>45302.386041666665</v>
      </c>
      <c r="D575" s="23" t="str">
        <f>IF(Table1[[#This Row],[Duration of Campaign]]=0, "Ongoing","Completed")</f>
        <v>Ongoing</v>
      </c>
      <c r="E575" s="25">
        <f>Table1[[#This Row],[End Date]]-Table1[[#This Row],[Start Date]]</f>
        <v>0</v>
      </c>
      <c r="F575" s="8">
        <v>9620</v>
      </c>
      <c r="G575" s="21" t="s">
        <v>37</v>
      </c>
      <c r="H575" s="11">
        <v>15376</v>
      </c>
      <c r="I575" s="11">
        <v>986</v>
      </c>
      <c r="J575" s="11">
        <v>344</v>
      </c>
      <c r="K575" s="13">
        <v>2613</v>
      </c>
      <c r="L575" s="16">
        <f t="shared" si="48"/>
        <v>6.4125910509885531E-2</v>
      </c>
      <c r="M575" s="16">
        <f t="shared" si="49"/>
        <v>0.34888438133874239</v>
      </c>
      <c r="N575" s="17">
        <f t="shared" si="50"/>
        <v>6.0182555780933065</v>
      </c>
      <c r="O575" s="17">
        <f t="shared" si="51"/>
        <v>17.25</v>
      </c>
      <c r="P575" s="16">
        <f t="shared" si="52"/>
        <v>0.61683991683991679</v>
      </c>
      <c r="Q575" s="16">
        <f t="shared" si="53"/>
        <v>0.44034378159757331</v>
      </c>
      <c r="R575" s="2" t="s">
        <v>1172</v>
      </c>
      <c r="S575" s="21" t="s">
        <v>30</v>
      </c>
      <c r="T575" s="21" t="s">
        <v>45</v>
      </c>
      <c r="U575" s="8">
        <v>5934</v>
      </c>
      <c r="V575" s="11">
        <v>4</v>
      </c>
      <c r="W575" t="str">
        <f>IF(Table1[[#This Row],[Satisfaction Rating]]&lt;2, "Low", IF(Table1[[#This Row],[Satisfaction Rating]]&lt;4, "Medium", "High"))</f>
        <v>High</v>
      </c>
    </row>
    <row r="576" spans="1:23" ht="13" x14ac:dyDescent="0.15">
      <c r="A576" s="2" t="s">
        <v>1173</v>
      </c>
      <c r="B576" s="23">
        <v>45262.120474537034</v>
      </c>
      <c r="C576" s="23">
        <v>45571.896828703706</v>
      </c>
      <c r="D576" s="23" t="str">
        <f>IF(Table1[[#This Row],[Duration of Campaign]]=0, "Ongoing","Completed")</f>
        <v>Completed</v>
      </c>
      <c r="E576" s="25">
        <f>Table1[[#This Row],[End Date]]-Table1[[#This Row],[Start Date]]</f>
        <v>309.77635416667181</v>
      </c>
      <c r="F576" s="8">
        <v>2862</v>
      </c>
      <c r="G576" s="21" t="s">
        <v>19</v>
      </c>
      <c r="H576" s="11">
        <v>8407</v>
      </c>
      <c r="I576" s="11">
        <v>1426</v>
      </c>
      <c r="J576" s="11">
        <v>333</v>
      </c>
      <c r="K576" s="13">
        <v>6039</v>
      </c>
      <c r="L576" s="16">
        <f t="shared" si="48"/>
        <v>0.1696205542999881</v>
      </c>
      <c r="M576" s="16">
        <f t="shared" si="49"/>
        <v>0.23352033660589061</v>
      </c>
      <c r="N576" s="17">
        <f t="shared" si="50"/>
        <v>6.0385694249649369</v>
      </c>
      <c r="O576" s="17">
        <f t="shared" si="51"/>
        <v>25.858858858858859</v>
      </c>
      <c r="P576" s="16">
        <f t="shared" si="52"/>
        <v>3.008735150244584</v>
      </c>
      <c r="Q576" s="16">
        <f t="shared" si="53"/>
        <v>0.7013122749970967</v>
      </c>
      <c r="R576" s="2" t="s">
        <v>1174</v>
      </c>
      <c r="S576" s="21" t="s">
        <v>35</v>
      </c>
      <c r="T576" s="21" t="s">
        <v>27</v>
      </c>
      <c r="U576" s="8">
        <v>8611</v>
      </c>
      <c r="V576" s="11">
        <v>2</v>
      </c>
      <c r="W576" t="str">
        <f>IF(Table1[[#This Row],[Satisfaction Rating]]&lt;2, "Low", IF(Table1[[#This Row],[Satisfaction Rating]]&lt;4, "Medium", "High"))</f>
        <v>Medium</v>
      </c>
    </row>
    <row r="577" spans="1:23" ht="13" x14ac:dyDescent="0.15">
      <c r="A577" s="2" t="s">
        <v>1175</v>
      </c>
      <c r="B577" s="23">
        <v>45470.446504629632</v>
      </c>
      <c r="C577" s="23">
        <v>45562.661979166667</v>
      </c>
      <c r="D577" s="23" t="str">
        <f>IF(Table1[[#This Row],[Duration of Campaign]]=0, "Ongoing","Completed")</f>
        <v>Completed</v>
      </c>
      <c r="E577" s="25">
        <f>Table1[[#This Row],[End Date]]-Table1[[#This Row],[Start Date]]</f>
        <v>92.215474537035334</v>
      </c>
      <c r="F577" s="8">
        <v>6573</v>
      </c>
      <c r="G577" s="21" t="s">
        <v>19</v>
      </c>
      <c r="H577" s="11">
        <v>16776</v>
      </c>
      <c r="I577" s="11">
        <v>558</v>
      </c>
      <c r="J577" s="11">
        <v>111</v>
      </c>
      <c r="K577" s="13">
        <v>10002</v>
      </c>
      <c r="L577" s="16">
        <f t="shared" si="48"/>
        <v>3.3261802575107295E-2</v>
      </c>
      <c r="M577" s="16">
        <f t="shared" si="49"/>
        <v>0.19892473118279569</v>
      </c>
      <c r="N577" s="17">
        <f t="shared" si="50"/>
        <v>5.1738351254480284</v>
      </c>
      <c r="O577" s="17">
        <f t="shared" si="51"/>
        <v>26.009009009009009</v>
      </c>
      <c r="P577" s="16">
        <f t="shared" si="52"/>
        <v>0.43922105583447435</v>
      </c>
      <c r="Q577" s="16">
        <f t="shared" si="53"/>
        <v>3.4644960166262555</v>
      </c>
      <c r="R577" s="2" t="s">
        <v>1176</v>
      </c>
      <c r="S577" s="21" t="s">
        <v>30</v>
      </c>
      <c r="T577" s="21" t="s">
        <v>45</v>
      </c>
      <c r="U577" s="8">
        <v>2887</v>
      </c>
      <c r="V577" s="11">
        <v>3</v>
      </c>
      <c r="W577" t="str">
        <f>IF(Table1[[#This Row],[Satisfaction Rating]]&lt;2, "Low", IF(Table1[[#This Row],[Satisfaction Rating]]&lt;4, "Medium", "High"))</f>
        <v>Medium</v>
      </c>
    </row>
    <row r="578" spans="1:23" ht="13" x14ac:dyDescent="0.15">
      <c r="A578" s="2" t="s">
        <v>1177</v>
      </c>
      <c r="B578" s="23">
        <v>45464.663634259261</v>
      </c>
      <c r="C578" s="23">
        <v>45464.663634259261</v>
      </c>
      <c r="D578" s="23" t="str">
        <f>IF(Table1[[#This Row],[Duration of Campaign]]=0, "Ongoing","Completed")</f>
        <v>Ongoing</v>
      </c>
      <c r="E578" s="25">
        <f>Table1[[#This Row],[End Date]]-Table1[[#This Row],[Start Date]]</f>
        <v>0</v>
      </c>
      <c r="F578" s="8">
        <v>7310</v>
      </c>
      <c r="G578" s="21" t="s">
        <v>19</v>
      </c>
      <c r="H578" s="11">
        <v>15687</v>
      </c>
      <c r="I578" s="11">
        <v>408</v>
      </c>
      <c r="J578" s="11">
        <v>397</v>
      </c>
      <c r="K578" s="13">
        <v>6762</v>
      </c>
      <c r="L578" s="16">
        <f t="shared" si="48"/>
        <v>2.6008797093134441E-2</v>
      </c>
      <c r="M578" s="16">
        <f t="shared" si="49"/>
        <v>0.97303921568627449</v>
      </c>
      <c r="N578" s="17">
        <f t="shared" si="50"/>
        <v>35.786764705882355</v>
      </c>
      <c r="O578" s="17">
        <f t="shared" si="51"/>
        <v>36.778337531486144</v>
      </c>
      <c r="P578" s="16">
        <f t="shared" si="52"/>
        <v>1.9974008207934337</v>
      </c>
      <c r="Q578" s="16">
        <f t="shared" si="53"/>
        <v>0.46311896445448941</v>
      </c>
      <c r="R578" s="2" t="s">
        <v>1178</v>
      </c>
      <c r="S578" s="21" t="s">
        <v>24</v>
      </c>
      <c r="T578" s="21" t="s">
        <v>17</v>
      </c>
      <c r="U578" s="8">
        <v>14601</v>
      </c>
      <c r="V578" s="11">
        <v>1</v>
      </c>
      <c r="W578" t="str">
        <f>IF(Table1[[#This Row],[Satisfaction Rating]]&lt;2, "Low", IF(Table1[[#This Row],[Satisfaction Rating]]&lt;4, "Medium", "High"))</f>
        <v>Low</v>
      </c>
    </row>
    <row r="579" spans="1:23" ht="13" x14ac:dyDescent="0.15">
      <c r="A579" s="2" t="s">
        <v>1179</v>
      </c>
      <c r="B579" s="23">
        <v>45132.039884259262</v>
      </c>
      <c r="C579" s="23">
        <v>45250.114398148151</v>
      </c>
      <c r="D579" s="23" t="str">
        <f>IF(Table1[[#This Row],[Duration of Campaign]]=0, "Ongoing","Completed")</f>
        <v>Completed</v>
      </c>
      <c r="E579" s="25">
        <f>Table1[[#This Row],[End Date]]-Table1[[#This Row],[Start Date]]</f>
        <v>118.07451388888876</v>
      </c>
      <c r="F579" s="8">
        <v>5283</v>
      </c>
      <c r="G579" s="21" t="s">
        <v>19</v>
      </c>
      <c r="H579" s="11">
        <v>15245</v>
      </c>
      <c r="I579" s="11">
        <v>579</v>
      </c>
      <c r="J579" s="11">
        <v>430</v>
      </c>
      <c r="K579" s="13">
        <v>5301</v>
      </c>
      <c r="L579" s="16">
        <f t="shared" ref="L579:L642" si="54">I579/H579</f>
        <v>3.7979665464086584E-2</v>
      </c>
      <c r="M579" s="16">
        <f t="shared" ref="M579:M642" si="55">J579/I579</f>
        <v>0.7426597582037997</v>
      </c>
      <c r="N579" s="17">
        <f t="shared" ref="N579:N642" si="56">U579/I579</f>
        <v>1.1157167530224525</v>
      </c>
      <c r="O579" s="17">
        <f t="shared" ref="O579:O642" si="57">U579/J579</f>
        <v>1.5023255813953489</v>
      </c>
      <c r="P579" s="16">
        <f t="shared" ref="P579:P642" si="58">U579/F579</f>
        <v>0.12227900813931478</v>
      </c>
      <c r="Q579" s="16">
        <f t="shared" ref="Q579:Q642" si="59">K579/U579</f>
        <v>8.2058823529411757</v>
      </c>
      <c r="R579" s="2" t="s">
        <v>1180</v>
      </c>
      <c r="S579" s="21" t="s">
        <v>35</v>
      </c>
      <c r="T579" s="21" t="s">
        <v>45</v>
      </c>
      <c r="U579" s="8">
        <v>646</v>
      </c>
      <c r="V579" s="11">
        <v>1</v>
      </c>
      <c r="W579" t="str">
        <f>IF(Table1[[#This Row],[Satisfaction Rating]]&lt;2, "Low", IF(Table1[[#This Row],[Satisfaction Rating]]&lt;4, "Medium", "High"))</f>
        <v>Low</v>
      </c>
    </row>
    <row r="580" spans="1:23" ht="13" x14ac:dyDescent="0.15">
      <c r="A580" s="2" t="s">
        <v>1181</v>
      </c>
      <c r="B580" s="23">
        <v>45340.005729166667</v>
      </c>
      <c r="C580" s="23">
        <v>45597.527638888889</v>
      </c>
      <c r="D580" s="23" t="str">
        <f>IF(Table1[[#This Row],[Duration of Campaign]]=0, "Ongoing","Completed")</f>
        <v>Completed</v>
      </c>
      <c r="E580" s="25">
        <f>Table1[[#This Row],[End Date]]-Table1[[#This Row],[Start Date]]</f>
        <v>257.52190972222161</v>
      </c>
      <c r="F580" s="8">
        <v>9442</v>
      </c>
      <c r="G580" s="21" t="s">
        <v>37</v>
      </c>
      <c r="H580" s="11">
        <v>8395</v>
      </c>
      <c r="I580" s="11">
        <v>975</v>
      </c>
      <c r="J580" s="11">
        <v>339</v>
      </c>
      <c r="K580" s="13">
        <v>13899</v>
      </c>
      <c r="L580" s="16">
        <f t="shared" si="54"/>
        <v>0.11614055985705778</v>
      </c>
      <c r="M580" s="16">
        <f t="shared" si="55"/>
        <v>0.34769230769230769</v>
      </c>
      <c r="N580" s="17">
        <f t="shared" si="56"/>
        <v>18.553846153846155</v>
      </c>
      <c r="O580" s="17">
        <f t="shared" si="57"/>
        <v>53.362831858407077</v>
      </c>
      <c r="P580" s="16">
        <f t="shared" si="58"/>
        <v>1.9159076466850244</v>
      </c>
      <c r="Q580" s="16">
        <f t="shared" si="59"/>
        <v>0.76832504145936986</v>
      </c>
      <c r="R580" s="2" t="s">
        <v>1182</v>
      </c>
      <c r="S580" s="21" t="s">
        <v>30</v>
      </c>
      <c r="T580" s="21" t="s">
        <v>27</v>
      </c>
      <c r="U580" s="8">
        <v>18090</v>
      </c>
      <c r="V580" s="11">
        <v>5</v>
      </c>
      <c r="W580" t="str">
        <f>IF(Table1[[#This Row],[Satisfaction Rating]]&lt;2, "Low", IF(Table1[[#This Row],[Satisfaction Rating]]&lt;4, "Medium", "High"))</f>
        <v>High</v>
      </c>
    </row>
    <row r="581" spans="1:23" ht="13" x14ac:dyDescent="0.15">
      <c r="A581" s="2" t="s">
        <v>1183</v>
      </c>
      <c r="B581" s="23">
        <v>45033.058715277781</v>
      </c>
      <c r="C581" s="23">
        <v>45046.361840277779</v>
      </c>
      <c r="D581" s="23" t="str">
        <f>IF(Table1[[#This Row],[Duration of Campaign]]=0, "Ongoing","Completed")</f>
        <v>Completed</v>
      </c>
      <c r="E581" s="25">
        <f>Table1[[#This Row],[End Date]]-Table1[[#This Row],[Start Date]]</f>
        <v>13.303124999998545</v>
      </c>
      <c r="F581" s="8">
        <v>9040</v>
      </c>
      <c r="G581" s="21" t="s">
        <v>37</v>
      </c>
      <c r="H581" s="11">
        <v>3584</v>
      </c>
      <c r="I581" s="11">
        <v>784</v>
      </c>
      <c r="J581" s="11">
        <v>61</v>
      </c>
      <c r="K581" s="13">
        <v>9019</v>
      </c>
      <c r="L581" s="16">
        <f t="shared" si="54"/>
        <v>0.21875</v>
      </c>
      <c r="M581" s="16">
        <f t="shared" si="55"/>
        <v>7.7806122448979595E-2</v>
      </c>
      <c r="N581" s="17">
        <f t="shared" si="56"/>
        <v>3.8303571428571428</v>
      </c>
      <c r="O581" s="17">
        <f t="shared" si="57"/>
        <v>49.229508196721312</v>
      </c>
      <c r="P581" s="16">
        <f t="shared" si="58"/>
        <v>0.33219026548672564</v>
      </c>
      <c r="Q581" s="16">
        <f t="shared" si="59"/>
        <v>3.0033300033300034</v>
      </c>
      <c r="R581" s="2" t="s">
        <v>1184</v>
      </c>
      <c r="S581" s="21" t="s">
        <v>30</v>
      </c>
      <c r="T581" s="21" t="s">
        <v>45</v>
      </c>
      <c r="U581" s="8">
        <v>3003</v>
      </c>
      <c r="V581" s="11">
        <v>5</v>
      </c>
      <c r="W581" t="str">
        <f>IF(Table1[[#This Row],[Satisfaction Rating]]&lt;2, "Low", IF(Table1[[#This Row],[Satisfaction Rating]]&lt;4, "Medium", "High"))</f>
        <v>High</v>
      </c>
    </row>
    <row r="582" spans="1:23" ht="13" x14ac:dyDescent="0.15">
      <c r="A582" s="2" t="s">
        <v>1185</v>
      </c>
      <c r="B582" s="23">
        <v>45389.582835648151</v>
      </c>
      <c r="C582" s="23">
        <v>45504.383032407408</v>
      </c>
      <c r="D582" s="23" t="str">
        <f>IF(Table1[[#This Row],[Duration of Campaign]]=0, "Ongoing","Completed")</f>
        <v>Completed</v>
      </c>
      <c r="E582" s="25">
        <f>Table1[[#This Row],[End Date]]-Table1[[#This Row],[Start Date]]</f>
        <v>114.80019675925723</v>
      </c>
      <c r="F582" s="8">
        <v>4073</v>
      </c>
      <c r="G582" s="21" t="s">
        <v>19</v>
      </c>
      <c r="H582" s="11">
        <v>15962</v>
      </c>
      <c r="I582" s="11">
        <v>1887</v>
      </c>
      <c r="J582" s="11">
        <v>493</v>
      </c>
      <c r="K582" s="13">
        <v>4609</v>
      </c>
      <c r="L582" s="16">
        <f t="shared" si="54"/>
        <v>0.11821826838742013</v>
      </c>
      <c r="M582" s="16">
        <f t="shared" si="55"/>
        <v>0.26126126126126126</v>
      </c>
      <c r="N582" s="17">
        <f t="shared" si="56"/>
        <v>5.4721780604133547</v>
      </c>
      <c r="O582" s="17">
        <f t="shared" si="57"/>
        <v>20.945233265720081</v>
      </c>
      <c r="P582" s="16">
        <f t="shared" si="58"/>
        <v>2.5352320157132335</v>
      </c>
      <c r="Q582" s="16">
        <f t="shared" si="59"/>
        <v>0.44634902188650011</v>
      </c>
      <c r="R582" s="2" t="s">
        <v>1186</v>
      </c>
      <c r="S582" s="21" t="s">
        <v>24</v>
      </c>
      <c r="T582" s="21" t="s">
        <v>45</v>
      </c>
      <c r="U582" s="8">
        <v>10326</v>
      </c>
      <c r="V582" s="11">
        <v>1</v>
      </c>
      <c r="W582" t="str">
        <f>IF(Table1[[#This Row],[Satisfaction Rating]]&lt;2, "Low", IF(Table1[[#This Row],[Satisfaction Rating]]&lt;4, "Medium", "High"))</f>
        <v>Low</v>
      </c>
    </row>
    <row r="583" spans="1:23" ht="13" x14ac:dyDescent="0.15">
      <c r="A583" s="2" t="s">
        <v>1187</v>
      </c>
      <c r="B583" s="23">
        <v>45538.840011574073</v>
      </c>
      <c r="C583" s="23">
        <v>45538.840011574073</v>
      </c>
      <c r="D583" s="23" t="str">
        <f>IF(Table1[[#This Row],[Duration of Campaign]]=0, "Ongoing","Completed")</f>
        <v>Ongoing</v>
      </c>
      <c r="E583" s="25">
        <f>Table1[[#This Row],[End Date]]-Table1[[#This Row],[Start Date]]</f>
        <v>0</v>
      </c>
      <c r="F583" s="8">
        <v>9583</v>
      </c>
      <c r="G583" s="21" t="s">
        <v>53</v>
      </c>
      <c r="H583" s="11">
        <v>3353</v>
      </c>
      <c r="I583" s="11">
        <v>935</v>
      </c>
      <c r="J583" s="11">
        <v>300</v>
      </c>
      <c r="K583" s="13">
        <v>2459</v>
      </c>
      <c r="L583" s="16">
        <f t="shared" si="54"/>
        <v>0.2788547569340889</v>
      </c>
      <c r="M583" s="16">
        <f t="shared" si="55"/>
        <v>0.32085561497326204</v>
      </c>
      <c r="N583" s="17">
        <f t="shared" si="56"/>
        <v>9.8406417112299458</v>
      </c>
      <c r="O583" s="17">
        <f t="shared" si="57"/>
        <v>30.67</v>
      </c>
      <c r="P583" s="16">
        <f t="shared" si="58"/>
        <v>0.96013774392152773</v>
      </c>
      <c r="Q583" s="16">
        <f t="shared" si="59"/>
        <v>0.26725355939571788</v>
      </c>
      <c r="R583" s="2" t="s">
        <v>1188</v>
      </c>
      <c r="S583" s="21" t="s">
        <v>16</v>
      </c>
      <c r="T583" s="21" t="s">
        <v>45</v>
      </c>
      <c r="U583" s="8">
        <v>9201</v>
      </c>
      <c r="V583" s="11">
        <v>3</v>
      </c>
      <c r="W583" t="str">
        <f>IF(Table1[[#This Row],[Satisfaction Rating]]&lt;2, "Low", IF(Table1[[#This Row],[Satisfaction Rating]]&lt;4, "Medium", "High"))</f>
        <v>Medium</v>
      </c>
    </row>
    <row r="584" spans="1:23" ht="13" x14ac:dyDescent="0.15">
      <c r="A584" s="2" t="s">
        <v>1189</v>
      </c>
      <c r="B584" s="23">
        <v>45004.92863425926</v>
      </c>
      <c r="C584" s="23">
        <v>45128.659907407404</v>
      </c>
      <c r="D584" s="23" t="str">
        <f>IF(Table1[[#This Row],[Duration of Campaign]]=0, "Ongoing","Completed")</f>
        <v>Completed</v>
      </c>
      <c r="E584" s="25">
        <f>Table1[[#This Row],[End Date]]-Table1[[#This Row],[Start Date]]</f>
        <v>123.73127314814337</v>
      </c>
      <c r="F584" s="8">
        <v>8426</v>
      </c>
      <c r="G584" s="21" t="s">
        <v>37</v>
      </c>
      <c r="H584" s="11">
        <v>1845</v>
      </c>
      <c r="I584" s="11">
        <v>1544</v>
      </c>
      <c r="J584" s="11">
        <v>328</v>
      </c>
      <c r="K584" s="13">
        <v>950</v>
      </c>
      <c r="L584" s="16">
        <f t="shared" si="54"/>
        <v>0.83685636856368562</v>
      </c>
      <c r="M584" s="16">
        <f t="shared" si="55"/>
        <v>0.21243523316062177</v>
      </c>
      <c r="N584" s="17">
        <f t="shared" si="56"/>
        <v>2.2072538860103625</v>
      </c>
      <c r="O584" s="17">
        <f t="shared" si="57"/>
        <v>10.390243902439025</v>
      </c>
      <c r="P584" s="16">
        <f t="shared" si="58"/>
        <v>0.40446237835271776</v>
      </c>
      <c r="Q584" s="16">
        <f t="shared" si="59"/>
        <v>0.27875586854460094</v>
      </c>
      <c r="R584" s="2" t="s">
        <v>1190</v>
      </c>
      <c r="S584" s="21" t="s">
        <v>21</v>
      </c>
      <c r="T584" s="21" t="s">
        <v>27</v>
      </c>
      <c r="U584" s="8">
        <v>3408</v>
      </c>
      <c r="V584" s="11">
        <v>4</v>
      </c>
      <c r="W584" t="str">
        <f>IF(Table1[[#This Row],[Satisfaction Rating]]&lt;2, "Low", IF(Table1[[#This Row],[Satisfaction Rating]]&lt;4, "Medium", "High"))</f>
        <v>High</v>
      </c>
    </row>
    <row r="585" spans="1:23" ht="13" x14ac:dyDescent="0.15">
      <c r="A585" s="2" t="s">
        <v>1191</v>
      </c>
      <c r="B585" s="23">
        <v>45621.054166666669</v>
      </c>
      <c r="C585" s="23">
        <v>45621.054166666669</v>
      </c>
      <c r="D585" s="23" t="str">
        <f>IF(Table1[[#This Row],[Duration of Campaign]]=0, "Ongoing","Completed")</f>
        <v>Ongoing</v>
      </c>
      <c r="E585" s="25">
        <f>Table1[[#This Row],[End Date]]-Table1[[#This Row],[Start Date]]</f>
        <v>0</v>
      </c>
      <c r="F585" s="8">
        <v>9699</v>
      </c>
      <c r="G585" s="21" t="s">
        <v>19</v>
      </c>
      <c r="H585" s="11">
        <v>9319</v>
      </c>
      <c r="I585" s="11">
        <v>786</v>
      </c>
      <c r="J585" s="11">
        <v>349</v>
      </c>
      <c r="K585" s="13">
        <v>11036</v>
      </c>
      <c r="L585" s="16">
        <f t="shared" si="54"/>
        <v>8.4343813713917803E-2</v>
      </c>
      <c r="M585" s="16">
        <f t="shared" si="55"/>
        <v>0.44402035623409669</v>
      </c>
      <c r="N585" s="17">
        <f t="shared" si="56"/>
        <v>8.8727735368956751</v>
      </c>
      <c r="O585" s="17">
        <f t="shared" si="57"/>
        <v>19.982808022922637</v>
      </c>
      <c r="P585" s="16">
        <f t="shared" si="58"/>
        <v>0.71904320032993096</v>
      </c>
      <c r="Q585" s="16">
        <f t="shared" si="59"/>
        <v>1.5824490966446803</v>
      </c>
      <c r="R585" s="2" t="s">
        <v>1192</v>
      </c>
      <c r="S585" s="21" t="s">
        <v>35</v>
      </c>
      <c r="T585" s="21" t="s">
        <v>45</v>
      </c>
      <c r="U585" s="8">
        <v>6974</v>
      </c>
      <c r="V585" s="11">
        <v>2</v>
      </c>
      <c r="W585" t="str">
        <f>IF(Table1[[#This Row],[Satisfaction Rating]]&lt;2, "Low", IF(Table1[[#This Row],[Satisfaction Rating]]&lt;4, "Medium", "High"))</f>
        <v>Medium</v>
      </c>
    </row>
    <row r="586" spans="1:23" ht="13" x14ac:dyDescent="0.15">
      <c r="A586" s="2" t="s">
        <v>1193</v>
      </c>
      <c r="B586" s="23">
        <v>45066.058333333334</v>
      </c>
      <c r="C586" s="23">
        <v>45066.058333333334</v>
      </c>
      <c r="D586" s="23" t="str">
        <f>IF(Table1[[#This Row],[Duration of Campaign]]=0, "Ongoing","Completed")</f>
        <v>Ongoing</v>
      </c>
      <c r="E586" s="25">
        <f>Table1[[#This Row],[End Date]]-Table1[[#This Row],[Start Date]]</f>
        <v>0</v>
      </c>
      <c r="F586" s="8">
        <v>5417</v>
      </c>
      <c r="G586" s="21" t="s">
        <v>53</v>
      </c>
      <c r="H586" s="11">
        <v>17919</v>
      </c>
      <c r="I586" s="11">
        <v>420</v>
      </c>
      <c r="J586" s="11">
        <v>133</v>
      </c>
      <c r="K586" s="13">
        <v>2462</v>
      </c>
      <c r="L586" s="16">
        <f t="shared" si="54"/>
        <v>2.343880796919471E-2</v>
      </c>
      <c r="M586" s="16">
        <f t="shared" si="55"/>
        <v>0.31666666666666665</v>
      </c>
      <c r="N586" s="17">
        <f t="shared" si="56"/>
        <v>32.450000000000003</v>
      </c>
      <c r="O586" s="17">
        <f t="shared" si="57"/>
        <v>102.47368421052632</v>
      </c>
      <c r="P586" s="16">
        <f t="shared" si="58"/>
        <v>2.5159682481078089</v>
      </c>
      <c r="Q586" s="16">
        <f t="shared" si="59"/>
        <v>0.18064421454251964</v>
      </c>
      <c r="R586" s="2" t="s">
        <v>1194</v>
      </c>
      <c r="S586" s="21" t="s">
        <v>30</v>
      </c>
      <c r="T586" s="21" t="s">
        <v>17</v>
      </c>
      <c r="U586" s="8">
        <v>13629</v>
      </c>
      <c r="V586" s="11">
        <v>3</v>
      </c>
      <c r="W586" t="str">
        <f>IF(Table1[[#This Row],[Satisfaction Rating]]&lt;2, "Low", IF(Table1[[#This Row],[Satisfaction Rating]]&lt;4, "Medium", "High"))</f>
        <v>Medium</v>
      </c>
    </row>
    <row r="587" spans="1:23" ht="13" x14ac:dyDescent="0.15">
      <c r="A587" s="2" t="s">
        <v>1195</v>
      </c>
      <c r="B587" s="23">
        <v>45292.636574074073</v>
      </c>
      <c r="C587" s="23">
        <v>45292.636574074073</v>
      </c>
      <c r="D587" s="23" t="str">
        <f>IF(Table1[[#This Row],[Duration of Campaign]]=0, "Ongoing","Completed")</f>
        <v>Ongoing</v>
      </c>
      <c r="E587" s="25">
        <f>Table1[[#This Row],[End Date]]-Table1[[#This Row],[Start Date]]</f>
        <v>0</v>
      </c>
      <c r="F587" s="8">
        <v>1222</v>
      </c>
      <c r="G587" s="21" t="s">
        <v>19</v>
      </c>
      <c r="H587" s="11">
        <v>17020</v>
      </c>
      <c r="I587" s="11">
        <v>1621</v>
      </c>
      <c r="J587" s="11">
        <v>20</v>
      </c>
      <c r="K587" s="13">
        <v>10175</v>
      </c>
      <c r="L587" s="16">
        <f t="shared" si="54"/>
        <v>9.5240893066980026E-2</v>
      </c>
      <c r="M587" s="16">
        <f t="shared" si="55"/>
        <v>1.2338062924120914E-2</v>
      </c>
      <c r="N587" s="17">
        <f t="shared" si="56"/>
        <v>1.0715607649599013</v>
      </c>
      <c r="O587" s="17">
        <f t="shared" si="57"/>
        <v>86.85</v>
      </c>
      <c r="P587" s="16">
        <f t="shared" si="58"/>
        <v>1.4214402618657938</v>
      </c>
      <c r="Q587" s="16">
        <f t="shared" si="59"/>
        <v>5.8578008059873348</v>
      </c>
      <c r="R587" s="2" t="s">
        <v>1196</v>
      </c>
      <c r="S587" s="21" t="s">
        <v>30</v>
      </c>
      <c r="T587" s="21" t="s">
        <v>17</v>
      </c>
      <c r="U587" s="8">
        <v>1737</v>
      </c>
      <c r="V587" s="11">
        <v>3</v>
      </c>
      <c r="W587" t="str">
        <f>IF(Table1[[#This Row],[Satisfaction Rating]]&lt;2, "Low", IF(Table1[[#This Row],[Satisfaction Rating]]&lt;4, "Medium", "High"))</f>
        <v>Medium</v>
      </c>
    </row>
    <row r="588" spans="1:23" ht="13" x14ac:dyDescent="0.15">
      <c r="A588" s="2" t="s">
        <v>1197</v>
      </c>
      <c r="B588" s="23">
        <v>45591.550208333334</v>
      </c>
      <c r="C588" s="23">
        <v>45591.550208333334</v>
      </c>
      <c r="D588" s="23" t="str">
        <f>IF(Table1[[#This Row],[Duration of Campaign]]=0, "Ongoing","Completed")</f>
        <v>Ongoing</v>
      </c>
      <c r="E588" s="25">
        <f>Table1[[#This Row],[End Date]]-Table1[[#This Row],[Start Date]]</f>
        <v>0</v>
      </c>
      <c r="F588" s="8">
        <v>6035</v>
      </c>
      <c r="G588" s="21" t="s">
        <v>53</v>
      </c>
      <c r="H588" s="11">
        <v>15339</v>
      </c>
      <c r="I588" s="11">
        <v>1950</v>
      </c>
      <c r="J588" s="11">
        <v>226</v>
      </c>
      <c r="K588" s="13">
        <v>10595</v>
      </c>
      <c r="L588" s="16">
        <f t="shared" si="54"/>
        <v>0.12712693135145706</v>
      </c>
      <c r="M588" s="16">
        <f t="shared" si="55"/>
        <v>0.1158974358974359</v>
      </c>
      <c r="N588" s="17">
        <f t="shared" si="56"/>
        <v>8.3446153846153841</v>
      </c>
      <c r="O588" s="17">
        <f t="shared" si="57"/>
        <v>72</v>
      </c>
      <c r="P588" s="16">
        <f t="shared" si="58"/>
        <v>2.696271748135874</v>
      </c>
      <c r="Q588" s="16">
        <f t="shared" si="59"/>
        <v>0.65111848574237952</v>
      </c>
      <c r="R588" s="2" t="s">
        <v>1198</v>
      </c>
      <c r="S588" s="21" t="s">
        <v>35</v>
      </c>
      <c r="T588" s="21" t="s">
        <v>27</v>
      </c>
      <c r="U588" s="8">
        <v>16272</v>
      </c>
      <c r="V588" s="11">
        <v>2</v>
      </c>
      <c r="W588" t="str">
        <f>IF(Table1[[#This Row],[Satisfaction Rating]]&lt;2, "Low", IF(Table1[[#This Row],[Satisfaction Rating]]&lt;4, "Medium", "High"))</f>
        <v>Medium</v>
      </c>
    </row>
    <row r="589" spans="1:23" ht="13" x14ac:dyDescent="0.15">
      <c r="A589" s="2" t="s">
        <v>1199</v>
      </c>
      <c r="B589" s="23">
        <v>45532.706805555557</v>
      </c>
      <c r="C589" s="23">
        <v>45532.706805555557</v>
      </c>
      <c r="D589" s="23" t="str">
        <f>IF(Table1[[#This Row],[Duration of Campaign]]=0, "Ongoing","Completed")</f>
        <v>Ongoing</v>
      </c>
      <c r="E589" s="25">
        <f>Table1[[#This Row],[End Date]]-Table1[[#This Row],[Start Date]]</f>
        <v>0</v>
      </c>
      <c r="F589" s="8">
        <v>2321</v>
      </c>
      <c r="G589" s="21" t="s">
        <v>19</v>
      </c>
      <c r="H589" s="11">
        <v>2571</v>
      </c>
      <c r="I589" s="11">
        <v>262</v>
      </c>
      <c r="J589" s="11">
        <v>90</v>
      </c>
      <c r="K589" s="13">
        <v>10419</v>
      </c>
      <c r="L589" s="16">
        <f t="shared" si="54"/>
        <v>0.10190587320108907</v>
      </c>
      <c r="M589" s="16">
        <f t="shared" si="55"/>
        <v>0.34351145038167941</v>
      </c>
      <c r="N589" s="17">
        <f t="shared" si="56"/>
        <v>12.33969465648855</v>
      </c>
      <c r="O589" s="17">
        <f t="shared" si="57"/>
        <v>35.922222222222224</v>
      </c>
      <c r="P589" s="16">
        <f t="shared" si="58"/>
        <v>1.3929340801378716</v>
      </c>
      <c r="Q589" s="16">
        <f t="shared" si="59"/>
        <v>3.2227033714815962</v>
      </c>
      <c r="R589" s="2" t="s">
        <v>1200</v>
      </c>
      <c r="S589" s="21" t="s">
        <v>24</v>
      </c>
      <c r="T589" s="21" t="s">
        <v>45</v>
      </c>
      <c r="U589" s="8">
        <v>3233</v>
      </c>
      <c r="V589" s="11">
        <v>3</v>
      </c>
      <c r="W589" t="str">
        <f>IF(Table1[[#This Row],[Satisfaction Rating]]&lt;2, "Low", IF(Table1[[#This Row],[Satisfaction Rating]]&lt;4, "Medium", "High"))</f>
        <v>Medium</v>
      </c>
    </row>
    <row r="590" spans="1:23" ht="13" x14ac:dyDescent="0.15">
      <c r="A590" s="2" t="s">
        <v>1201</v>
      </c>
      <c r="B590" s="23">
        <v>45392.576574074075</v>
      </c>
      <c r="C590" s="23">
        <v>45392.576574074075</v>
      </c>
      <c r="D590" s="23" t="str">
        <f>IF(Table1[[#This Row],[Duration of Campaign]]=0, "Ongoing","Completed")</f>
        <v>Ongoing</v>
      </c>
      <c r="E590" s="25">
        <f>Table1[[#This Row],[End Date]]-Table1[[#This Row],[Start Date]]</f>
        <v>0</v>
      </c>
      <c r="F590" s="8">
        <v>6611</v>
      </c>
      <c r="G590" s="21" t="s">
        <v>14</v>
      </c>
      <c r="H590" s="11">
        <v>17371</v>
      </c>
      <c r="I590" s="11">
        <v>1170</v>
      </c>
      <c r="J590" s="11">
        <v>198</v>
      </c>
      <c r="K590" s="13">
        <v>12821</v>
      </c>
      <c r="L590" s="16">
        <f t="shared" si="54"/>
        <v>6.7353635369293646E-2</v>
      </c>
      <c r="M590" s="16">
        <f t="shared" si="55"/>
        <v>0.16923076923076924</v>
      </c>
      <c r="N590" s="17">
        <f t="shared" si="56"/>
        <v>10.64017094017094</v>
      </c>
      <c r="O590" s="17">
        <f t="shared" si="57"/>
        <v>62.873737373737377</v>
      </c>
      <c r="P590" s="16">
        <f t="shared" si="58"/>
        <v>1.8830736651036153</v>
      </c>
      <c r="Q590" s="16">
        <f t="shared" si="59"/>
        <v>1.0298819182263637</v>
      </c>
      <c r="R590" s="2" t="s">
        <v>1202</v>
      </c>
      <c r="S590" s="21" t="s">
        <v>16</v>
      </c>
      <c r="T590" s="21" t="s">
        <v>45</v>
      </c>
      <c r="U590" s="8">
        <v>12449</v>
      </c>
      <c r="V590" s="11">
        <v>4</v>
      </c>
      <c r="W590" t="str">
        <f>IF(Table1[[#This Row],[Satisfaction Rating]]&lt;2, "Low", IF(Table1[[#This Row],[Satisfaction Rating]]&lt;4, "Medium", "High"))</f>
        <v>High</v>
      </c>
    </row>
    <row r="591" spans="1:23" ht="13" x14ac:dyDescent="0.15">
      <c r="A591" s="2" t="s">
        <v>1203</v>
      </c>
      <c r="B591" s="23">
        <v>45441.680694444447</v>
      </c>
      <c r="C591" s="23">
        <v>45441.680694444447</v>
      </c>
      <c r="D591" s="23" t="str">
        <f>IF(Table1[[#This Row],[Duration of Campaign]]=0, "Ongoing","Completed")</f>
        <v>Ongoing</v>
      </c>
      <c r="E591" s="25">
        <f>Table1[[#This Row],[End Date]]-Table1[[#This Row],[Start Date]]</f>
        <v>0</v>
      </c>
      <c r="F591" s="8">
        <v>5341</v>
      </c>
      <c r="G591" s="21" t="s">
        <v>14</v>
      </c>
      <c r="H591" s="11">
        <v>9278</v>
      </c>
      <c r="I591" s="11">
        <v>357</v>
      </c>
      <c r="J591" s="11">
        <v>239</v>
      </c>
      <c r="K591" s="13">
        <v>1571</v>
      </c>
      <c r="L591" s="16">
        <f t="shared" si="54"/>
        <v>3.847812028454408E-2</v>
      </c>
      <c r="M591" s="16">
        <f t="shared" si="55"/>
        <v>0.66946778711484589</v>
      </c>
      <c r="N591" s="17">
        <f t="shared" si="56"/>
        <v>34.20448179271709</v>
      </c>
      <c r="O591" s="17">
        <f t="shared" si="57"/>
        <v>51.09205020920502</v>
      </c>
      <c r="P591" s="16">
        <f t="shared" si="58"/>
        <v>2.2862759782812208</v>
      </c>
      <c r="Q591" s="16">
        <f t="shared" si="59"/>
        <v>0.12865449185160921</v>
      </c>
      <c r="R591" s="2" t="s">
        <v>1204</v>
      </c>
      <c r="S591" s="21" t="s">
        <v>21</v>
      </c>
      <c r="T591" s="21" t="s">
        <v>45</v>
      </c>
      <c r="U591" s="8">
        <v>12211</v>
      </c>
      <c r="V591" s="11">
        <v>1</v>
      </c>
      <c r="W591" t="str">
        <f>IF(Table1[[#This Row],[Satisfaction Rating]]&lt;2, "Low", IF(Table1[[#This Row],[Satisfaction Rating]]&lt;4, "Medium", "High"))</f>
        <v>Low</v>
      </c>
    </row>
    <row r="592" spans="1:23" ht="13" x14ac:dyDescent="0.15">
      <c r="A592" s="2" t="s">
        <v>1205</v>
      </c>
      <c r="B592" s="23">
        <v>45121.638553240744</v>
      </c>
      <c r="C592" s="23">
        <v>45333.218240740738</v>
      </c>
      <c r="D592" s="23" t="str">
        <f>IF(Table1[[#This Row],[Duration of Campaign]]=0, "Ongoing","Completed")</f>
        <v>Completed</v>
      </c>
      <c r="E592" s="25">
        <f>Table1[[#This Row],[End Date]]-Table1[[#This Row],[Start Date]]</f>
        <v>211.57968749999418</v>
      </c>
      <c r="F592" s="8">
        <v>7341</v>
      </c>
      <c r="G592" s="21" t="s">
        <v>53</v>
      </c>
      <c r="H592" s="11">
        <v>8905</v>
      </c>
      <c r="I592" s="11">
        <v>1252</v>
      </c>
      <c r="J592" s="11">
        <v>244</v>
      </c>
      <c r="K592" s="13">
        <v>5372</v>
      </c>
      <c r="L592" s="16">
        <f t="shared" si="54"/>
        <v>0.14059517125210555</v>
      </c>
      <c r="M592" s="16">
        <f t="shared" si="55"/>
        <v>0.19488817891373802</v>
      </c>
      <c r="N592" s="17">
        <f t="shared" si="56"/>
        <v>5.4225239616613417</v>
      </c>
      <c r="O592" s="17">
        <f t="shared" si="57"/>
        <v>27.82377049180328</v>
      </c>
      <c r="P592" s="16">
        <f t="shared" si="58"/>
        <v>0.92480588475684511</v>
      </c>
      <c r="Q592" s="16">
        <f t="shared" si="59"/>
        <v>0.79128001178376783</v>
      </c>
      <c r="R592" s="2" t="s">
        <v>1206</v>
      </c>
      <c r="S592" s="21" t="s">
        <v>30</v>
      </c>
      <c r="T592" s="21" t="s">
        <v>17</v>
      </c>
      <c r="U592" s="8">
        <v>6789</v>
      </c>
      <c r="V592" s="11">
        <v>2</v>
      </c>
      <c r="W592" t="str">
        <f>IF(Table1[[#This Row],[Satisfaction Rating]]&lt;2, "Low", IF(Table1[[#This Row],[Satisfaction Rating]]&lt;4, "Medium", "High"))</f>
        <v>Medium</v>
      </c>
    </row>
    <row r="593" spans="1:23" ht="13" x14ac:dyDescent="0.15">
      <c r="A593" s="2" t="s">
        <v>1207</v>
      </c>
      <c r="B593" s="23">
        <v>45257.836574074077</v>
      </c>
      <c r="C593" s="23">
        <v>45325.119120370371</v>
      </c>
      <c r="D593" s="23" t="str">
        <f>IF(Table1[[#This Row],[Duration of Campaign]]=0, "Ongoing","Completed")</f>
        <v>Completed</v>
      </c>
      <c r="E593" s="25">
        <f>Table1[[#This Row],[End Date]]-Table1[[#This Row],[Start Date]]</f>
        <v>67.282546296293731</v>
      </c>
      <c r="F593" s="8">
        <v>8952</v>
      </c>
      <c r="G593" s="21" t="s">
        <v>14</v>
      </c>
      <c r="H593" s="11">
        <v>3856</v>
      </c>
      <c r="I593" s="11">
        <v>510</v>
      </c>
      <c r="J593" s="11">
        <v>464</v>
      </c>
      <c r="K593" s="13">
        <v>2715</v>
      </c>
      <c r="L593" s="16">
        <f t="shared" si="54"/>
        <v>0.13226141078838174</v>
      </c>
      <c r="M593" s="16">
        <f t="shared" si="55"/>
        <v>0.90980392156862744</v>
      </c>
      <c r="N593" s="17">
        <f t="shared" si="56"/>
        <v>1.0607843137254902</v>
      </c>
      <c r="O593" s="17">
        <f t="shared" si="57"/>
        <v>1.165948275862069</v>
      </c>
      <c r="P593" s="16">
        <f t="shared" si="58"/>
        <v>6.0433422698838252E-2</v>
      </c>
      <c r="Q593" s="16">
        <f t="shared" si="59"/>
        <v>5.0184842883548981</v>
      </c>
      <c r="R593" s="2" t="s">
        <v>1208</v>
      </c>
      <c r="S593" s="21" t="s">
        <v>35</v>
      </c>
      <c r="T593" s="21" t="s">
        <v>27</v>
      </c>
      <c r="U593" s="8">
        <v>541</v>
      </c>
      <c r="V593" s="11">
        <v>1</v>
      </c>
      <c r="W593" t="str">
        <f>IF(Table1[[#This Row],[Satisfaction Rating]]&lt;2, "Low", IF(Table1[[#This Row],[Satisfaction Rating]]&lt;4, "Medium", "High"))</f>
        <v>Low</v>
      </c>
    </row>
    <row r="594" spans="1:23" ht="13" x14ac:dyDescent="0.15">
      <c r="A594" s="2" t="s">
        <v>1209</v>
      </c>
      <c r="B594" s="23">
        <v>45322.602164351854</v>
      </c>
      <c r="C594" s="23">
        <v>45322.602164351854</v>
      </c>
      <c r="D594" s="23" t="str">
        <f>IF(Table1[[#This Row],[Duration of Campaign]]=0, "Ongoing","Completed")</f>
        <v>Ongoing</v>
      </c>
      <c r="E594" s="25">
        <f>Table1[[#This Row],[End Date]]-Table1[[#This Row],[Start Date]]</f>
        <v>0</v>
      </c>
      <c r="F594" s="8">
        <v>7200</v>
      </c>
      <c r="G594" s="21" t="s">
        <v>14</v>
      </c>
      <c r="H594" s="11">
        <v>1778</v>
      </c>
      <c r="I594" s="11">
        <v>1026</v>
      </c>
      <c r="J594" s="11">
        <v>18</v>
      </c>
      <c r="K594" s="13">
        <v>12874</v>
      </c>
      <c r="L594" s="16">
        <f t="shared" si="54"/>
        <v>0.57705286839145109</v>
      </c>
      <c r="M594" s="16">
        <f t="shared" si="55"/>
        <v>1.7543859649122806E-2</v>
      </c>
      <c r="N594" s="17">
        <f t="shared" si="56"/>
        <v>6.7105263157894735</v>
      </c>
      <c r="O594" s="17">
        <f t="shared" si="57"/>
        <v>382.5</v>
      </c>
      <c r="P594" s="16">
        <f t="shared" si="58"/>
        <v>0.95625000000000004</v>
      </c>
      <c r="Q594" s="16">
        <f t="shared" si="59"/>
        <v>1.8698620188816266</v>
      </c>
      <c r="R594" s="2" t="s">
        <v>1210</v>
      </c>
      <c r="S594" s="21" t="s">
        <v>30</v>
      </c>
      <c r="T594" s="21" t="s">
        <v>17</v>
      </c>
      <c r="U594" s="8">
        <v>6885</v>
      </c>
      <c r="V594" s="11">
        <v>1</v>
      </c>
      <c r="W594" t="str">
        <f>IF(Table1[[#This Row],[Satisfaction Rating]]&lt;2, "Low", IF(Table1[[#This Row],[Satisfaction Rating]]&lt;4, "Medium", "High"))</f>
        <v>Low</v>
      </c>
    </row>
    <row r="595" spans="1:23" ht="13" x14ac:dyDescent="0.15">
      <c r="A595" s="2" t="s">
        <v>1211</v>
      </c>
      <c r="B595" s="23">
        <v>45150.37599537037</v>
      </c>
      <c r="C595" s="23">
        <v>45150.37599537037</v>
      </c>
      <c r="D595" s="23" t="str">
        <f>IF(Table1[[#This Row],[Duration of Campaign]]=0, "Ongoing","Completed")</f>
        <v>Ongoing</v>
      </c>
      <c r="E595" s="25">
        <f>Table1[[#This Row],[End Date]]-Table1[[#This Row],[Start Date]]</f>
        <v>0</v>
      </c>
      <c r="F595" s="8">
        <v>9147</v>
      </c>
      <c r="G595" s="21" t="s">
        <v>19</v>
      </c>
      <c r="H595" s="11">
        <v>14663</v>
      </c>
      <c r="I595" s="11">
        <v>1885</v>
      </c>
      <c r="J595" s="11">
        <v>470</v>
      </c>
      <c r="K595" s="13">
        <v>3151</v>
      </c>
      <c r="L595" s="16">
        <f t="shared" si="54"/>
        <v>0.12855486598922458</v>
      </c>
      <c r="M595" s="16">
        <f t="shared" si="55"/>
        <v>0.24933687002652519</v>
      </c>
      <c r="N595" s="17">
        <f t="shared" si="56"/>
        <v>3.8604774535809017</v>
      </c>
      <c r="O595" s="17">
        <f t="shared" si="57"/>
        <v>15.482978723404255</v>
      </c>
      <c r="P595" s="16">
        <f t="shared" si="58"/>
        <v>0.79556138624685691</v>
      </c>
      <c r="Q595" s="16">
        <f t="shared" si="59"/>
        <v>0.43300810773670467</v>
      </c>
      <c r="R595" s="2" t="s">
        <v>1212</v>
      </c>
      <c r="S595" s="21" t="s">
        <v>30</v>
      </c>
      <c r="T595" s="21" t="s">
        <v>27</v>
      </c>
      <c r="U595" s="8">
        <v>7277</v>
      </c>
      <c r="V595" s="11">
        <v>4</v>
      </c>
      <c r="W595" t="str">
        <f>IF(Table1[[#This Row],[Satisfaction Rating]]&lt;2, "Low", IF(Table1[[#This Row],[Satisfaction Rating]]&lt;4, "Medium", "High"))</f>
        <v>High</v>
      </c>
    </row>
    <row r="596" spans="1:23" ht="13" x14ac:dyDescent="0.15">
      <c r="A596" s="2" t="s">
        <v>1213</v>
      </c>
      <c r="B596" s="23">
        <v>45243.372245370374</v>
      </c>
      <c r="C596" s="23">
        <v>45243.372245370374</v>
      </c>
      <c r="D596" s="23" t="str">
        <f>IF(Table1[[#This Row],[Duration of Campaign]]=0, "Ongoing","Completed")</f>
        <v>Ongoing</v>
      </c>
      <c r="E596" s="25">
        <f>Table1[[#This Row],[End Date]]-Table1[[#This Row],[Start Date]]</f>
        <v>0</v>
      </c>
      <c r="F596" s="8">
        <v>3820</v>
      </c>
      <c r="G596" s="21" t="s">
        <v>19</v>
      </c>
      <c r="H596" s="11">
        <v>14775</v>
      </c>
      <c r="I596" s="11">
        <v>1290</v>
      </c>
      <c r="J596" s="11">
        <v>354</v>
      </c>
      <c r="K596" s="13">
        <v>13233</v>
      </c>
      <c r="L596" s="16">
        <f t="shared" si="54"/>
        <v>8.7309644670050757E-2</v>
      </c>
      <c r="M596" s="16">
        <f t="shared" si="55"/>
        <v>0.2744186046511628</v>
      </c>
      <c r="N596" s="17">
        <f t="shared" si="56"/>
        <v>5.8139534883720927</v>
      </c>
      <c r="O596" s="17">
        <f t="shared" si="57"/>
        <v>21.1864406779661</v>
      </c>
      <c r="P596" s="16">
        <f t="shared" si="58"/>
        <v>1.963350785340314</v>
      </c>
      <c r="Q596" s="16">
        <f t="shared" si="59"/>
        <v>1.7644</v>
      </c>
      <c r="R596" s="2" t="s">
        <v>1214</v>
      </c>
      <c r="S596" s="21" t="s">
        <v>35</v>
      </c>
      <c r="T596" s="21" t="s">
        <v>27</v>
      </c>
      <c r="U596" s="8">
        <v>7500</v>
      </c>
      <c r="V596" s="11">
        <v>2</v>
      </c>
      <c r="W596" t="str">
        <f>IF(Table1[[#This Row],[Satisfaction Rating]]&lt;2, "Low", IF(Table1[[#This Row],[Satisfaction Rating]]&lt;4, "Medium", "High"))</f>
        <v>Medium</v>
      </c>
    </row>
    <row r="597" spans="1:23" ht="13" x14ac:dyDescent="0.15">
      <c r="A597" s="2" t="s">
        <v>1215</v>
      </c>
      <c r="B597" s="23">
        <v>45150.818379629629</v>
      </c>
      <c r="C597" s="23">
        <v>45486.942731481482</v>
      </c>
      <c r="D597" s="23" t="str">
        <f>IF(Table1[[#This Row],[Duration of Campaign]]=0, "Ongoing","Completed")</f>
        <v>Completed</v>
      </c>
      <c r="E597" s="25">
        <f>Table1[[#This Row],[End Date]]-Table1[[#This Row],[Start Date]]</f>
        <v>336.12435185185313</v>
      </c>
      <c r="F597" s="8">
        <v>8557</v>
      </c>
      <c r="G597" s="21" t="s">
        <v>53</v>
      </c>
      <c r="H597" s="11">
        <v>13787</v>
      </c>
      <c r="I597" s="11">
        <v>1584</v>
      </c>
      <c r="J597" s="11">
        <v>488</v>
      </c>
      <c r="K597" s="13">
        <v>3668</v>
      </c>
      <c r="L597" s="16">
        <f t="shared" si="54"/>
        <v>0.11489083919634438</v>
      </c>
      <c r="M597" s="16">
        <f t="shared" si="55"/>
        <v>0.30808080808080807</v>
      </c>
      <c r="N597" s="17">
        <f t="shared" si="56"/>
        <v>1.5928030303030303</v>
      </c>
      <c r="O597" s="17">
        <f t="shared" si="57"/>
        <v>5.1700819672131146</v>
      </c>
      <c r="P597" s="16">
        <f t="shared" si="58"/>
        <v>0.29484632464648824</v>
      </c>
      <c r="Q597" s="16">
        <f t="shared" si="59"/>
        <v>1.4538248117320649</v>
      </c>
      <c r="R597" s="2" t="s">
        <v>1216</v>
      </c>
      <c r="S597" s="21" t="s">
        <v>30</v>
      </c>
      <c r="T597" s="21" t="s">
        <v>17</v>
      </c>
      <c r="U597" s="8">
        <v>2523</v>
      </c>
      <c r="V597" s="11">
        <v>2</v>
      </c>
      <c r="W597" t="str">
        <f>IF(Table1[[#This Row],[Satisfaction Rating]]&lt;2, "Low", IF(Table1[[#This Row],[Satisfaction Rating]]&lt;4, "Medium", "High"))</f>
        <v>Medium</v>
      </c>
    </row>
    <row r="598" spans="1:23" ht="13" x14ac:dyDescent="0.15">
      <c r="A598" s="2" t="s">
        <v>1217</v>
      </c>
      <c r="B598" s="23">
        <v>45461.882002314815</v>
      </c>
      <c r="C598" s="23">
        <v>45461.882002314815</v>
      </c>
      <c r="D598" s="23" t="str">
        <f>IF(Table1[[#This Row],[Duration of Campaign]]=0, "Ongoing","Completed")</f>
        <v>Ongoing</v>
      </c>
      <c r="E598" s="25">
        <f>Table1[[#This Row],[End Date]]-Table1[[#This Row],[Start Date]]</f>
        <v>0</v>
      </c>
      <c r="F598" s="8">
        <v>5549</v>
      </c>
      <c r="G598" s="21" t="s">
        <v>14</v>
      </c>
      <c r="H598" s="11">
        <v>11706</v>
      </c>
      <c r="I598" s="11">
        <v>1540</v>
      </c>
      <c r="J598" s="11">
        <v>428</v>
      </c>
      <c r="K598" s="13">
        <v>7920</v>
      </c>
      <c r="L598" s="16">
        <f t="shared" si="54"/>
        <v>0.1315564667691782</v>
      </c>
      <c r="M598" s="16">
        <f t="shared" si="55"/>
        <v>0.2779220779220779</v>
      </c>
      <c r="N598" s="17">
        <f t="shared" si="56"/>
        <v>1.0597402597402596</v>
      </c>
      <c r="O598" s="17">
        <f t="shared" si="57"/>
        <v>3.8130841121495327</v>
      </c>
      <c r="P598" s="16">
        <f t="shared" si="58"/>
        <v>0.29410704631465129</v>
      </c>
      <c r="Q598" s="16">
        <f t="shared" si="59"/>
        <v>4.8529411764705879</v>
      </c>
      <c r="R598" s="2" t="s">
        <v>1218</v>
      </c>
      <c r="S598" s="21" t="s">
        <v>16</v>
      </c>
      <c r="T598" s="21" t="s">
        <v>45</v>
      </c>
      <c r="U598" s="8">
        <v>1632</v>
      </c>
      <c r="V598" s="11">
        <v>4</v>
      </c>
      <c r="W598" t="str">
        <f>IF(Table1[[#This Row],[Satisfaction Rating]]&lt;2, "Low", IF(Table1[[#This Row],[Satisfaction Rating]]&lt;4, "Medium", "High"))</f>
        <v>High</v>
      </c>
    </row>
    <row r="599" spans="1:23" ht="13" x14ac:dyDescent="0.15">
      <c r="A599" s="2" t="s">
        <v>1219</v>
      </c>
      <c r="B599" s="23">
        <v>45099.317013888889</v>
      </c>
      <c r="C599" s="23">
        <v>45222.067037037035</v>
      </c>
      <c r="D599" s="23" t="str">
        <f>IF(Table1[[#This Row],[Duration of Campaign]]=0, "Ongoing","Completed")</f>
        <v>Completed</v>
      </c>
      <c r="E599" s="25">
        <f>Table1[[#This Row],[End Date]]-Table1[[#This Row],[Start Date]]</f>
        <v>122.75002314814628</v>
      </c>
      <c r="F599" s="8">
        <v>5849</v>
      </c>
      <c r="G599" s="21" t="s">
        <v>19</v>
      </c>
      <c r="H599" s="11">
        <v>8173</v>
      </c>
      <c r="I599" s="11">
        <v>697</v>
      </c>
      <c r="J599" s="11">
        <v>190</v>
      </c>
      <c r="K599" s="13">
        <v>6174</v>
      </c>
      <c r="L599" s="16">
        <f t="shared" si="54"/>
        <v>8.5280802642848402E-2</v>
      </c>
      <c r="M599" s="16">
        <f t="shared" si="55"/>
        <v>0.27259684361549497</v>
      </c>
      <c r="N599" s="17">
        <f t="shared" si="56"/>
        <v>11.715925394548064</v>
      </c>
      <c r="O599" s="17">
        <f t="shared" si="57"/>
        <v>42.978947368421053</v>
      </c>
      <c r="P599" s="16">
        <f t="shared" si="58"/>
        <v>1.3961360916395966</v>
      </c>
      <c r="Q599" s="16">
        <f t="shared" si="59"/>
        <v>0.75606171932402644</v>
      </c>
      <c r="R599" s="2" t="s">
        <v>1220</v>
      </c>
      <c r="S599" s="21" t="s">
        <v>30</v>
      </c>
      <c r="T599" s="21" t="s">
        <v>27</v>
      </c>
      <c r="U599" s="8">
        <v>8166</v>
      </c>
      <c r="V599" s="11">
        <v>5</v>
      </c>
      <c r="W599" t="str">
        <f>IF(Table1[[#This Row],[Satisfaction Rating]]&lt;2, "Low", IF(Table1[[#This Row],[Satisfaction Rating]]&lt;4, "Medium", "High"))</f>
        <v>High</v>
      </c>
    </row>
    <row r="600" spans="1:23" ht="13" x14ac:dyDescent="0.15">
      <c r="A600" s="2" t="s">
        <v>1221</v>
      </c>
      <c r="B600" s="23">
        <v>45232.469895833332</v>
      </c>
      <c r="C600" s="23">
        <v>45648.358564814815</v>
      </c>
      <c r="D600" s="23" t="str">
        <f>IF(Table1[[#This Row],[Duration of Campaign]]=0, "Ongoing","Completed")</f>
        <v>Completed</v>
      </c>
      <c r="E600" s="25">
        <f>Table1[[#This Row],[End Date]]-Table1[[#This Row],[Start Date]]</f>
        <v>415.88866898148262</v>
      </c>
      <c r="F600" s="8">
        <v>8440</v>
      </c>
      <c r="G600" s="21" t="s">
        <v>19</v>
      </c>
      <c r="H600" s="11">
        <v>1695</v>
      </c>
      <c r="I600" s="11">
        <v>140</v>
      </c>
      <c r="J600" s="11">
        <v>159</v>
      </c>
      <c r="K600" s="13">
        <v>12798</v>
      </c>
      <c r="L600" s="16">
        <f t="shared" si="54"/>
        <v>8.2595870206489674E-2</v>
      </c>
      <c r="M600" s="16">
        <f t="shared" si="55"/>
        <v>1.1357142857142857</v>
      </c>
      <c r="N600" s="17">
        <f t="shared" si="56"/>
        <v>62.5</v>
      </c>
      <c r="O600" s="17">
        <f t="shared" si="57"/>
        <v>55.031446540880502</v>
      </c>
      <c r="P600" s="16">
        <f t="shared" si="58"/>
        <v>1.0367298578199051</v>
      </c>
      <c r="Q600" s="16">
        <f t="shared" si="59"/>
        <v>1.4626285714285714</v>
      </c>
      <c r="R600" s="2" t="s">
        <v>1222</v>
      </c>
      <c r="S600" s="21" t="s">
        <v>35</v>
      </c>
      <c r="T600" s="21" t="s">
        <v>17</v>
      </c>
      <c r="U600" s="8">
        <v>8750</v>
      </c>
      <c r="V600" s="11">
        <v>4</v>
      </c>
      <c r="W600" t="str">
        <f>IF(Table1[[#This Row],[Satisfaction Rating]]&lt;2, "Low", IF(Table1[[#This Row],[Satisfaction Rating]]&lt;4, "Medium", "High"))</f>
        <v>High</v>
      </c>
    </row>
    <row r="601" spans="1:23" ht="13" x14ac:dyDescent="0.15">
      <c r="A601" s="2" t="s">
        <v>1223</v>
      </c>
      <c r="B601" s="23">
        <v>45163.7419212963</v>
      </c>
      <c r="C601" s="23">
        <v>45306.914571759262</v>
      </c>
      <c r="D601" s="23" t="str">
        <f>IF(Table1[[#This Row],[Duration of Campaign]]=0, "Ongoing","Completed")</f>
        <v>Completed</v>
      </c>
      <c r="E601" s="25">
        <f>Table1[[#This Row],[End Date]]-Table1[[#This Row],[Start Date]]</f>
        <v>143.17265046296234</v>
      </c>
      <c r="F601" s="8">
        <v>9218</v>
      </c>
      <c r="G601" s="21" t="s">
        <v>19</v>
      </c>
      <c r="H601" s="11">
        <v>11089</v>
      </c>
      <c r="I601" s="11">
        <v>216</v>
      </c>
      <c r="J601" s="11">
        <v>454</v>
      </c>
      <c r="K601" s="13">
        <v>3216</v>
      </c>
      <c r="L601" s="16">
        <f t="shared" si="54"/>
        <v>1.9478762737848317E-2</v>
      </c>
      <c r="M601" s="16">
        <f t="shared" si="55"/>
        <v>2.1018518518518516</v>
      </c>
      <c r="N601" s="17">
        <f t="shared" si="56"/>
        <v>75.337962962962962</v>
      </c>
      <c r="O601" s="17">
        <f t="shared" si="57"/>
        <v>35.843612334801762</v>
      </c>
      <c r="P601" s="16">
        <f t="shared" si="58"/>
        <v>1.7653504013885875</v>
      </c>
      <c r="Q601" s="16">
        <f t="shared" si="59"/>
        <v>0.19762797271554108</v>
      </c>
      <c r="R601" s="2" t="s">
        <v>1224</v>
      </c>
      <c r="S601" s="21" t="s">
        <v>16</v>
      </c>
      <c r="T601" s="21" t="s">
        <v>17</v>
      </c>
      <c r="U601" s="8">
        <v>16273</v>
      </c>
      <c r="V601" s="11">
        <v>3</v>
      </c>
      <c r="W601" t="str">
        <f>IF(Table1[[#This Row],[Satisfaction Rating]]&lt;2, "Low", IF(Table1[[#This Row],[Satisfaction Rating]]&lt;4, "Medium", "High"))</f>
        <v>Medium</v>
      </c>
    </row>
    <row r="602" spans="1:23" ht="13" x14ac:dyDescent="0.15">
      <c r="A602" s="2" t="s">
        <v>1225</v>
      </c>
      <c r="B602" s="23">
        <v>45470.901944444442</v>
      </c>
      <c r="C602" s="23">
        <v>45470.901944444442</v>
      </c>
      <c r="D602" s="23" t="str">
        <f>IF(Table1[[#This Row],[Duration of Campaign]]=0, "Ongoing","Completed")</f>
        <v>Ongoing</v>
      </c>
      <c r="E602" s="25">
        <f>Table1[[#This Row],[End Date]]-Table1[[#This Row],[Start Date]]</f>
        <v>0</v>
      </c>
      <c r="F602" s="8">
        <v>6582</v>
      </c>
      <c r="G602" s="21" t="s">
        <v>14</v>
      </c>
      <c r="H602" s="11">
        <v>15153</v>
      </c>
      <c r="I602" s="11">
        <v>534</v>
      </c>
      <c r="J602" s="11">
        <v>433</v>
      </c>
      <c r="K602" s="13">
        <v>2216</v>
      </c>
      <c r="L602" s="16">
        <f t="shared" si="54"/>
        <v>3.5240546426450206E-2</v>
      </c>
      <c r="M602" s="16">
        <f t="shared" si="55"/>
        <v>0.81086142322097376</v>
      </c>
      <c r="N602" s="17">
        <f t="shared" si="56"/>
        <v>27.825842696629213</v>
      </c>
      <c r="O602" s="17">
        <f t="shared" si="57"/>
        <v>34.316397228637413</v>
      </c>
      <c r="P602" s="16">
        <f t="shared" si="58"/>
        <v>2.2575205104831357</v>
      </c>
      <c r="Q602" s="16">
        <f t="shared" si="59"/>
        <v>0.1491352042533145</v>
      </c>
      <c r="R602" s="2" t="s">
        <v>1226</v>
      </c>
      <c r="S602" s="21" t="s">
        <v>30</v>
      </c>
      <c r="T602" s="21" t="s">
        <v>27</v>
      </c>
      <c r="U602" s="8">
        <v>14859</v>
      </c>
      <c r="V602" s="11">
        <v>5</v>
      </c>
      <c r="W602" t="str">
        <f>IF(Table1[[#This Row],[Satisfaction Rating]]&lt;2, "Low", IF(Table1[[#This Row],[Satisfaction Rating]]&lt;4, "Medium", "High"))</f>
        <v>High</v>
      </c>
    </row>
    <row r="603" spans="1:23" ht="13" x14ac:dyDescent="0.15">
      <c r="A603" s="2" t="s">
        <v>1227</v>
      </c>
      <c r="B603" s="23">
        <v>45568.288541666669</v>
      </c>
      <c r="C603" s="23">
        <v>45568.288541666669</v>
      </c>
      <c r="D603" s="23" t="str">
        <f>IF(Table1[[#This Row],[Duration of Campaign]]=0, "Ongoing","Completed")</f>
        <v>Ongoing</v>
      </c>
      <c r="E603" s="25">
        <f>Table1[[#This Row],[End Date]]-Table1[[#This Row],[Start Date]]</f>
        <v>0</v>
      </c>
      <c r="F603" s="8">
        <v>5966</v>
      </c>
      <c r="G603" s="21" t="s">
        <v>37</v>
      </c>
      <c r="H603" s="11">
        <v>16872</v>
      </c>
      <c r="I603" s="11">
        <v>902</v>
      </c>
      <c r="J603" s="11">
        <v>436</v>
      </c>
      <c r="K603" s="13">
        <v>14571</v>
      </c>
      <c r="L603" s="16">
        <f t="shared" si="54"/>
        <v>5.3461356092935043E-2</v>
      </c>
      <c r="M603" s="16">
        <f t="shared" si="55"/>
        <v>0.48337028824833705</v>
      </c>
      <c r="N603" s="17">
        <f t="shared" si="56"/>
        <v>2.4423503325942351</v>
      </c>
      <c r="O603" s="17">
        <f t="shared" si="57"/>
        <v>5.0527522935779814</v>
      </c>
      <c r="P603" s="16">
        <f t="shared" si="58"/>
        <v>0.36925913509889374</v>
      </c>
      <c r="Q603" s="16">
        <f t="shared" si="59"/>
        <v>6.6141625056740807</v>
      </c>
      <c r="R603" s="2" t="s">
        <v>1228</v>
      </c>
      <c r="S603" s="21" t="s">
        <v>16</v>
      </c>
      <c r="T603" s="21" t="s">
        <v>45</v>
      </c>
      <c r="U603" s="8">
        <v>2203</v>
      </c>
      <c r="V603" s="11">
        <v>3</v>
      </c>
      <c r="W603" t="str">
        <f>IF(Table1[[#This Row],[Satisfaction Rating]]&lt;2, "Low", IF(Table1[[#This Row],[Satisfaction Rating]]&lt;4, "Medium", "High"))</f>
        <v>Medium</v>
      </c>
    </row>
    <row r="604" spans="1:23" ht="13" x14ac:dyDescent="0.15">
      <c r="A604" s="2" t="s">
        <v>1229</v>
      </c>
      <c r="B604" s="23">
        <v>45051.349236111113</v>
      </c>
      <c r="C604" s="23">
        <v>45154.566284722219</v>
      </c>
      <c r="D604" s="23" t="str">
        <f>IF(Table1[[#This Row],[Duration of Campaign]]=0, "Ongoing","Completed")</f>
        <v>Completed</v>
      </c>
      <c r="E604" s="25">
        <f>Table1[[#This Row],[End Date]]-Table1[[#This Row],[Start Date]]</f>
        <v>103.21704861110629</v>
      </c>
      <c r="F604" s="8">
        <v>5132</v>
      </c>
      <c r="G604" s="21" t="s">
        <v>37</v>
      </c>
      <c r="H604" s="11">
        <v>15519</v>
      </c>
      <c r="I604" s="11">
        <v>1736</v>
      </c>
      <c r="J604" s="11">
        <v>327</v>
      </c>
      <c r="K604" s="13">
        <v>10331</v>
      </c>
      <c r="L604" s="16">
        <f t="shared" si="54"/>
        <v>0.11186287776274244</v>
      </c>
      <c r="M604" s="16">
        <f t="shared" si="55"/>
        <v>0.18836405529953917</v>
      </c>
      <c r="N604" s="17">
        <f t="shared" si="56"/>
        <v>2.0996543778801842</v>
      </c>
      <c r="O604" s="17">
        <f t="shared" si="57"/>
        <v>11.146788990825687</v>
      </c>
      <c r="P604" s="16">
        <f t="shared" si="58"/>
        <v>0.71024941543257991</v>
      </c>
      <c r="Q604" s="16">
        <f t="shared" si="59"/>
        <v>2.8342935528120714</v>
      </c>
      <c r="R604" s="2" t="s">
        <v>1230</v>
      </c>
      <c r="S604" s="21" t="s">
        <v>16</v>
      </c>
      <c r="T604" s="21" t="s">
        <v>45</v>
      </c>
      <c r="U604" s="8">
        <v>3645</v>
      </c>
      <c r="V604" s="11">
        <v>5</v>
      </c>
      <c r="W604" t="str">
        <f>IF(Table1[[#This Row],[Satisfaction Rating]]&lt;2, "Low", IF(Table1[[#This Row],[Satisfaction Rating]]&lt;4, "Medium", "High"))</f>
        <v>High</v>
      </c>
    </row>
    <row r="605" spans="1:23" ht="13" x14ac:dyDescent="0.15">
      <c r="A605" s="2" t="s">
        <v>1231</v>
      </c>
      <c r="B605" s="23">
        <v>45091.156331018516</v>
      </c>
      <c r="C605" s="23">
        <v>45091.156331018516</v>
      </c>
      <c r="D605" s="23" t="str">
        <f>IF(Table1[[#This Row],[Duration of Campaign]]=0, "Ongoing","Completed")</f>
        <v>Ongoing</v>
      </c>
      <c r="E605" s="25">
        <f>Table1[[#This Row],[End Date]]-Table1[[#This Row],[Start Date]]</f>
        <v>0</v>
      </c>
      <c r="F605" s="8">
        <v>3046</v>
      </c>
      <c r="G605" s="21" t="s">
        <v>37</v>
      </c>
      <c r="H605" s="11">
        <v>15525</v>
      </c>
      <c r="I605" s="11">
        <v>963</v>
      </c>
      <c r="J605" s="11">
        <v>135</v>
      </c>
      <c r="K605" s="13">
        <v>4311</v>
      </c>
      <c r="L605" s="16">
        <f t="shared" si="54"/>
        <v>6.2028985507246379E-2</v>
      </c>
      <c r="M605" s="16">
        <f t="shared" si="55"/>
        <v>0.14018691588785046</v>
      </c>
      <c r="N605" s="17">
        <f t="shared" si="56"/>
        <v>10.383177570093459</v>
      </c>
      <c r="O605" s="17">
        <f t="shared" si="57"/>
        <v>74.066666666666663</v>
      </c>
      <c r="P605" s="16">
        <f t="shared" si="58"/>
        <v>3.282665791201576</v>
      </c>
      <c r="Q605" s="16">
        <f t="shared" si="59"/>
        <v>0.43114311431143115</v>
      </c>
      <c r="R605" s="2" t="s">
        <v>1232</v>
      </c>
      <c r="S605" s="21" t="s">
        <v>24</v>
      </c>
      <c r="T605" s="21" t="s">
        <v>27</v>
      </c>
      <c r="U605" s="8">
        <v>9999</v>
      </c>
      <c r="V605" s="11">
        <v>1</v>
      </c>
      <c r="W605" t="str">
        <f>IF(Table1[[#This Row],[Satisfaction Rating]]&lt;2, "Low", IF(Table1[[#This Row],[Satisfaction Rating]]&lt;4, "Medium", "High"))</f>
        <v>Low</v>
      </c>
    </row>
    <row r="606" spans="1:23" ht="13" x14ac:dyDescent="0.15">
      <c r="A606" s="2" t="s">
        <v>1233</v>
      </c>
      <c r="B606" s="23">
        <v>45381.350289351853</v>
      </c>
      <c r="C606" s="23">
        <v>45381.350289351853</v>
      </c>
      <c r="D606" s="23" t="str">
        <f>IF(Table1[[#This Row],[Duration of Campaign]]=0, "Ongoing","Completed")</f>
        <v>Ongoing</v>
      </c>
      <c r="E606" s="25">
        <f>Table1[[#This Row],[End Date]]-Table1[[#This Row],[Start Date]]</f>
        <v>0</v>
      </c>
      <c r="F606" s="8">
        <v>5205</v>
      </c>
      <c r="G606" s="21" t="s">
        <v>14</v>
      </c>
      <c r="H606" s="11">
        <v>10580</v>
      </c>
      <c r="I606" s="11">
        <v>959</v>
      </c>
      <c r="J606" s="11">
        <v>85</v>
      </c>
      <c r="K606" s="13">
        <v>3492</v>
      </c>
      <c r="L606" s="16">
        <f t="shared" si="54"/>
        <v>9.0642722117202271E-2</v>
      </c>
      <c r="M606" s="16">
        <f t="shared" si="55"/>
        <v>8.8633993743482797E-2</v>
      </c>
      <c r="N606" s="17">
        <f t="shared" si="56"/>
        <v>10.759124087591241</v>
      </c>
      <c r="O606" s="17">
        <f t="shared" si="57"/>
        <v>121.38823529411765</v>
      </c>
      <c r="P606" s="16">
        <f t="shared" si="58"/>
        <v>1.9823246878001921</v>
      </c>
      <c r="Q606" s="16">
        <f t="shared" si="59"/>
        <v>0.33843768172126382</v>
      </c>
      <c r="R606" s="2" t="s">
        <v>1234</v>
      </c>
      <c r="S606" s="21" t="s">
        <v>30</v>
      </c>
      <c r="T606" s="21" t="s">
        <v>17</v>
      </c>
      <c r="U606" s="8">
        <v>10318</v>
      </c>
      <c r="V606" s="11">
        <v>2</v>
      </c>
      <c r="W606" t="str">
        <f>IF(Table1[[#This Row],[Satisfaction Rating]]&lt;2, "Low", IF(Table1[[#This Row],[Satisfaction Rating]]&lt;4, "Medium", "High"))</f>
        <v>Medium</v>
      </c>
    </row>
    <row r="607" spans="1:23" ht="13" x14ac:dyDescent="0.15">
      <c r="A607" s="2" t="s">
        <v>1235</v>
      </c>
      <c r="B607" s="23">
        <v>45142.840740740743</v>
      </c>
      <c r="C607" s="23">
        <v>45575.092905092592</v>
      </c>
      <c r="D607" s="23" t="str">
        <f>IF(Table1[[#This Row],[Duration of Campaign]]=0, "Ongoing","Completed")</f>
        <v>Completed</v>
      </c>
      <c r="E607" s="25">
        <f>Table1[[#This Row],[End Date]]-Table1[[#This Row],[Start Date]]</f>
        <v>432.25216435184848</v>
      </c>
      <c r="F607" s="8">
        <v>8226</v>
      </c>
      <c r="G607" s="21" t="s">
        <v>53</v>
      </c>
      <c r="H607" s="11">
        <v>9634</v>
      </c>
      <c r="I607" s="11">
        <v>804</v>
      </c>
      <c r="J607" s="11">
        <v>194</v>
      </c>
      <c r="K607" s="13">
        <v>7009</v>
      </c>
      <c r="L607" s="16">
        <f t="shared" si="54"/>
        <v>8.3454432219223579E-2</v>
      </c>
      <c r="M607" s="16">
        <f t="shared" si="55"/>
        <v>0.24129353233830847</v>
      </c>
      <c r="N607" s="17">
        <f t="shared" si="56"/>
        <v>8.2226368159203975</v>
      </c>
      <c r="O607" s="17">
        <f t="shared" si="57"/>
        <v>34.077319587628864</v>
      </c>
      <c r="P607" s="16">
        <f t="shared" si="58"/>
        <v>0.80367128616581573</v>
      </c>
      <c r="Q607" s="16">
        <f t="shared" si="59"/>
        <v>1.0602026924822265</v>
      </c>
      <c r="R607" s="2" t="s">
        <v>1236</v>
      </c>
      <c r="S607" s="21" t="s">
        <v>16</v>
      </c>
      <c r="T607" s="21" t="s">
        <v>17</v>
      </c>
      <c r="U607" s="8">
        <v>6611</v>
      </c>
      <c r="V607" s="11">
        <v>3</v>
      </c>
      <c r="W607" t="str">
        <f>IF(Table1[[#This Row],[Satisfaction Rating]]&lt;2, "Low", IF(Table1[[#This Row],[Satisfaction Rating]]&lt;4, "Medium", "High"))</f>
        <v>Medium</v>
      </c>
    </row>
    <row r="608" spans="1:23" ht="13" x14ac:dyDescent="0.15">
      <c r="A608" s="2" t="s">
        <v>1237</v>
      </c>
      <c r="B608" s="23">
        <v>45320.241203703707</v>
      </c>
      <c r="C608" s="23">
        <v>45320.241203703707</v>
      </c>
      <c r="D608" s="23" t="str">
        <f>IF(Table1[[#This Row],[Duration of Campaign]]=0, "Ongoing","Completed")</f>
        <v>Ongoing</v>
      </c>
      <c r="E608" s="25">
        <f>Table1[[#This Row],[End Date]]-Table1[[#This Row],[Start Date]]</f>
        <v>0</v>
      </c>
      <c r="F608" s="8">
        <v>7622</v>
      </c>
      <c r="G608" s="21" t="s">
        <v>53</v>
      </c>
      <c r="H608" s="11">
        <v>16257</v>
      </c>
      <c r="I608" s="11">
        <v>1727</v>
      </c>
      <c r="J608" s="11">
        <v>292</v>
      </c>
      <c r="K608" s="13">
        <v>10639</v>
      </c>
      <c r="L608" s="16">
        <f t="shared" si="54"/>
        <v>0.10623116196100141</v>
      </c>
      <c r="M608" s="16">
        <f t="shared" si="55"/>
        <v>0.16907932831499711</v>
      </c>
      <c r="N608" s="17">
        <f t="shared" si="56"/>
        <v>9.2576722640416911</v>
      </c>
      <c r="O608" s="17">
        <f t="shared" si="57"/>
        <v>54.753424657534246</v>
      </c>
      <c r="P608" s="16">
        <f t="shared" si="58"/>
        <v>2.097612175282078</v>
      </c>
      <c r="Q608" s="16">
        <f t="shared" si="59"/>
        <v>0.66543657743307483</v>
      </c>
      <c r="R608" s="2" t="s">
        <v>1238</v>
      </c>
      <c r="S608" s="21" t="s">
        <v>16</v>
      </c>
      <c r="T608" s="21" t="s">
        <v>17</v>
      </c>
      <c r="U608" s="8">
        <v>15988</v>
      </c>
      <c r="V608" s="11">
        <v>2</v>
      </c>
      <c r="W608" t="str">
        <f>IF(Table1[[#This Row],[Satisfaction Rating]]&lt;2, "Low", IF(Table1[[#This Row],[Satisfaction Rating]]&lt;4, "Medium", "High"))</f>
        <v>Medium</v>
      </c>
    </row>
    <row r="609" spans="1:23" ht="13" x14ac:dyDescent="0.15">
      <c r="A609" s="2" t="s">
        <v>1239</v>
      </c>
      <c r="B609" s="23">
        <v>45384.768750000003</v>
      </c>
      <c r="C609" s="23">
        <v>45532.599328703705</v>
      </c>
      <c r="D609" s="23" t="str">
        <f>IF(Table1[[#This Row],[Duration of Campaign]]=0, "Ongoing","Completed")</f>
        <v>Completed</v>
      </c>
      <c r="E609" s="25">
        <f>Table1[[#This Row],[End Date]]-Table1[[#This Row],[Start Date]]</f>
        <v>147.83057870370249</v>
      </c>
      <c r="F609" s="8">
        <v>9749</v>
      </c>
      <c r="G609" s="21" t="s">
        <v>19</v>
      </c>
      <c r="H609" s="11">
        <v>18878</v>
      </c>
      <c r="I609" s="11">
        <v>1062</v>
      </c>
      <c r="J609" s="11">
        <v>457</v>
      </c>
      <c r="K609" s="13">
        <v>8204</v>
      </c>
      <c r="L609" s="16">
        <f t="shared" si="54"/>
        <v>5.6255959317724334E-2</v>
      </c>
      <c r="M609" s="16">
        <f t="shared" si="55"/>
        <v>0.4303201506591337</v>
      </c>
      <c r="N609" s="17">
        <f t="shared" si="56"/>
        <v>18.603578154425612</v>
      </c>
      <c r="O609" s="17">
        <f t="shared" si="57"/>
        <v>43.23194748358862</v>
      </c>
      <c r="P609" s="16">
        <f t="shared" si="58"/>
        <v>2.0265668273669095</v>
      </c>
      <c r="Q609" s="16">
        <f t="shared" si="59"/>
        <v>0.41524522953889759</v>
      </c>
      <c r="R609" s="2" t="s">
        <v>1240</v>
      </c>
      <c r="S609" s="21" t="s">
        <v>16</v>
      </c>
      <c r="T609" s="21" t="s">
        <v>17</v>
      </c>
      <c r="U609" s="8">
        <v>19757</v>
      </c>
      <c r="V609" s="11">
        <v>1</v>
      </c>
      <c r="W609" t="str">
        <f>IF(Table1[[#This Row],[Satisfaction Rating]]&lt;2, "Low", IF(Table1[[#This Row],[Satisfaction Rating]]&lt;4, "Medium", "High"))</f>
        <v>Low</v>
      </c>
    </row>
    <row r="610" spans="1:23" ht="13" x14ac:dyDescent="0.15">
      <c r="A610" s="2" t="s">
        <v>1241</v>
      </c>
      <c r="B610" s="23">
        <v>45498.312106481484</v>
      </c>
      <c r="C610" s="23">
        <v>45498.312106481484</v>
      </c>
      <c r="D610" s="23" t="str">
        <f>IF(Table1[[#This Row],[Duration of Campaign]]=0, "Ongoing","Completed")</f>
        <v>Ongoing</v>
      </c>
      <c r="E610" s="25">
        <f>Table1[[#This Row],[End Date]]-Table1[[#This Row],[Start Date]]</f>
        <v>0</v>
      </c>
      <c r="F610" s="8">
        <v>2401</v>
      </c>
      <c r="G610" s="21" t="s">
        <v>14</v>
      </c>
      <c r="H610" s="11">
        <v>5137</v>
      </c>
      <c r="I610" s="11">
        <v>940</v>
      </c>
      <c r="J610" s="11">
        <v>71</v>
      </c>
      <c r="K610" s="13">
        <v>879</v>
      </c>
      <c r="L610" s="16">
        <f t="shared" si="54"/>
        <v>0.18298617870352346</v>
      </c>
      <c r="M610" s="16">
        <f t="shared" si="55"/>
        <v>7.5531914893617019E-2</v>
      </c>
      <c r="N610" s="17">
        <f t="shared" si="56"/>
        <v>8.3542553191489368</v>
      </c>
      <c r="O610" s="17">
        <f t="shared" si="57"/>
        <v>110.6056338028169</v>
      </c>
      <c r="P610" s="16">
        <f t="shared" si="58"/>
        <v>3.2707205331112035</v>
      </c>
      <c r="Q610" s="16">
        <f t="shared" si="59"/>
        <v>0.11193174582961925</v>
      </c>
      <c r="R610" s="2" t="s">
        <v>1242</v>
      </c>
      <c r="S610" s="21" t="s">
        <v>24</v>
      </c>
      <c r="T610" s="21" t="s">
        <v>17</v>
      </c>
      <c r="U610" s="8">
        <v>7853</v>
      </c>
      <c r="V610" s="11">
        <v>5</v>
      </c>
      <c r="W610" t="str">
        <f>IF(Table1[[#This Row],[Satisfaction Rating]]&lt;2, "Low", IF(Table1[[#This Row],[Satisfaction Rating]]&lt;4, "Medium", "High"))</f>
        <v>High</v>
      </c>
    </row>
    <row r="611" spans="1:23" ht="13" x14ac:dyDescent="0.15">
      <c r="A611" s="2" t="s">
        <v>1243</v>
      </c>
      <c r="B611" s="23">
        <v>45655.049189814818</v>
      </c>
      <c r="C611" s="23">
        <v>45655.049189814818</v>
      </c>
      <c r="D611" s="23" t="str">
        <f>IF(Table1[[#This Row],[Duration of Campaign]]=0, "Ongoing","Completed")</f>
        <v>Ongoing</v>
      </c>
      <c r="E611" s="25">
        <f>Table1[[#This Row],[End Date]]-Table1[[#This Row],[Start Date]]</f>
        <v>0</v>
      </c>
      <c r="F611" s="8">
        <v>5487</v>
      </c>
      <c r="G611" s="21" t="s">
        <v>14</v>
      </c>
      <c r="H611" s="11">
        <v>18627</v>
      </c>
      <c r="I611" s="11">
        <v>244</v>
      </c>
      <c r="J611" s="11">
        <v>290</v>
      </c>
      <c r="K611" s="13">
        <v>1622</v>
      </c>
      <c r="L611" s="16">
        <f t="shared" si="54"/>
        <v>1.3099264508509153E-2</v>
      </c>
      <c r="M611" s="16">
        <f t="shared" si="55"/>
        <v>1.1885245901639345</v>
      </c>
      <c r="N611" s="17">
        <f t="shared" si="56"/>
        <v>32.340163934426229</v>
      </c>
      <c r="O611" s="17">
        <f t="shared" si="57"/>
        <v>27.210344827586209</v>
      </c>
      <c r="P611" s="16">
        <f t="shared" si="58"/>
        <v>1.4381264807727356</v>
      </c>
      <c r="Q611" s="16">
        <f t="shared" si="59"/>
        <v>0.20555062729692053</v>
      </c>
      <c r="R611" s="2" t="s">
        <v>1244</v>
      </c>
      <c r="S611" s="21" t="s">
        <v>21</v>
      </c>
      <c r="T611" s="21" t="s">
        <v>27</v>
      </c>
      <c r="U611" s="8">
        <v>7891</v>
      </c>
      <c r="V611" s="11">
        <v>3</v>
      </c>
      <c r="W611" t="str">
        <f>IF(Table1[[#This Row],[Satisfaction Rating]]&lt;2, "Low", IF(Table1[[#This Row],[Satisfaction Rating]]&lt;4, "Medium", "High"))</f>
        <v>Medium</v>
      </c>
    </row>
    <row r="612" spans="1:23" ht="13" x14ac:dyDescent="0.15">
      <c r="A612" s="2" t="s">
        <v>1245</v>
      </c>
      <c r="B612" s="23">
        <v>45271.266296296293</v>
      </c>
      <c r="C612" s="23">
        <v>45271.266296296293</v>
      </c>
      <c r="D612" s="23" t="str">
        <f>IF(Table1[[#This Row],[Duration of Campaign]]=0, "Ongoing","Completed")</f>
        <v>Ongoing</v>
      </c>
      <c r="E612" s="25">
        <f>Table1[[#This Row],[End Date]]-Table1[[#This Row],[Start Date]]</f>
        <v>0</v>
      </c>
      <c r="F612" s="8">
        <v>5710</v>
      </c>
      <c r="G612" s="21" t="s">
        <v>19</v>
      </c>
      <c r="H612" s="11">
        <v>3098</v>
      </c>
      <c r="I612" s="11">
        <v>1334</v>
      </c>
      <c r="J612" s="11">
        <v>435</v>
      </c>
      <c r="K612" s="13">
        <v>9959</v>
      </c>
      <c r="L612" s="16">
        <f t="shared" si="54"/>
        <v>0.43060038734667527</v>
      </c>
      <c r="M612" s="16">
        <f t="shared" si="55"/>
        <v>0.32608695652173914</v>
      </c>
      <c r="N612" s="17">
        <f t="shared" si="56"/>
        <v>2</v>
      </c>
      <c r="O612" s="17">
        <f t="shared" si="57"/>
        <v>6.1333333333333337</v>
      </c>
      <c r="P612" s="16">
        <f t="shared" si="58"/>
        <v>0.46725043782837128</v>
      </c>
      <c r="Q612" s="16">
        <f t="shared" si="59"/>
        <v>3.7327586206896552</v>
      </c>
      <c r="R612" s="2" t="s">
        <v>1246</v>
      </c>
      <c r="S612" s="21" t="s">
        <v>21</v>
      </c>
      <c r="T612" s="21" t="s">
        <v>17</v>
      </c>
      <c r="U612" s="8">
        <v>2668</v>
      </c>
      <c r="V612" s="11">
        <v>3</v>
      </c>
      <c r="W612" t="str">
        <f>IF(Table1[[#This Row],[Satisfaction Rating]]&lt;2, "Low", IF(Table1[[#This Row],[Satisfaction Rating]]&lt;4, "Medium", "High"))</f>
        <v>Medium</v>
      </c>
    </row>
    <row r="613" spans="1:23" ht="13" x14ac:dyDescent="0.15">
      <c r="A613" s="2" t="s">
        <v>1247</v>
      </c>
      <c r="B613" s="23">
        <v>45116.077939814815</v>
      </c>
      <c r="C613" s="23">
        <v>45116.077939814815</v>
      </c>
      <c r="D613" s="23" t="str">
        <f>IF(Table1[[#This Row],[Duration of Campaign]]=0, "Ongoing","Completed")</f>
        <v>Ongoing</v>
      </c>
      <c r="E613" s="25">
        <f>Table1[[#This Row],[End Date]]-Table1[[#This Row],[Start Date]]</f>
        <v>0</v>
      </c>
      <c r="F613" s="8">
        <v>4232</v>
      </c>
      <c r="G613" s="21" t="s">
        <v>37</v>
      </c>
      <c r="H613" s="11">
        <v>11975</v>
      </c>
      <c r="I613" s="11">
        <v>490</v>
      </c>
      <c r="J613" s="11">
        <v>11</v>
      </c>
      <c r="K613" s="13">
        <v>10602</v>
      </c>
      <c r="L613" s="16">
        <f t="shared" si="54"/>
        <v>4.091858037578288E-2</v>
      </c>
      <c r="M613" s="16">
        <f t="shared" si="55"/>
        <v>2.2448979591836733E-2</v>
      </c>
      <c r="N613" s="17">
        <f t="shared" si="56"/>
        <v>27.979591836734695</v>
      </c>
      <c r="O613" s="17">
        <f t="shared" si="57"/>
        <v>1246.3636363636363</v>
      </c>
      <c r="P613" s="16">
        <f t="shared" si="58"/>
        <v>3.2396030245746692</v>
      </c>
      <c r="Q613" s="16">
        <f t="shared" si="59"/>
        <v>0.77330415754923409</v>
      </c>
      <c r="R613" s="2" t="s">
        <v>1248</v>
      </c>
      <c r="S613" s="21" t="s">
        <v>24</v>
      </c>
      <c r="T613" s="21" t="s">
        <v>17</v>
      </c>
      <c r="U613" s="8">
        <v>13710</v>
      </c>
      <c r="V613" s="11">
        <v>4</v>
      </c>
      <c r="W613" t="str">
        <f>IF(Table1[[#This Row],[Satisfaction Rating]]&lt;2, "Low", IF(Table1[[#This Row],[Satisfaction Rating]]&lt;4, "Medium", "High"))</f>
        <v>High</v>
      </c>
    </row>
    <row r="614" spans="1:23" ht="13" x14ac:dyDescent="0.15">
      <c r="A614" s="2" t="s">
        <v>1249</v>
      </c>
      <c r="B614" s="23">
        <v>45608.213541666664</v>
      </c>
      <c r="C614" s="23">
        <v>45612.724340277775</v>
      </c>
      <c r="D614" s="23" t="str">
        <f>IF(Table1[[#This Row],[Duration of Campaign]]=0, "Ongoing","Completed")</f>
        <v>Completed</v>
      </c>
      <c r="E614" s="25">
        <f>Table1[[#This Row],[End Date]]-Table1[[#This Row],[Start Date]]</f>
        <v>4.5107986111106584</v>
      </c>
      <c r="F614" s="8">
        <v>1448</v>
      </c>
      <c r="G614" s="21" t="s">
        <v>19</v>
      </c>
      <c r="H614" s="11">
        <v>16614</v>
      </c>
      <c r="I614" s="11">
        <v>1419</v>
      </c>
      <c r="J614" s="11">
        <v>128</v>
      </c>
      <c r="K614" s="13">
        <v>3042</v>
      </c>
      <c r="L614" s="16">
        <f t="shared" si="54"/>
        <v>8.5409895269050198E-2</v>
      </c>
      <c r="M614" s="16">
        <f t="shared" si="55"/>
        <v>9.020436927413672E-2</v>
      </c>
      <c r="N614" s="17">
        <f t="shared" si="56"/>
        <v>4.3340380549682873</v>
      </c>
      <c r="O614" s="17">
        <f t="shared" si="57"/>
        <v>48.046875</v>
      </c>
      <c r="P614" s="16">
        <f t="shared" si="58"/>
        <v>4.2472375690607738</v>
      </c>
      <c r="Q614" s="16">
        <f t="shared" si="59"/>
        <v>0.49463414634146341</v>
      </c>
      <c r="R614" s="2" t="s">
        <v>1250</v>
      </c>
      <c r="S614" s="21" t="s">
        <v>16</v>
      </c>
      <c r="T614" s="21" t="s">
        <v>17</v>
      </c>
      <c r="U614" s="8">
        <v>6150</v>
      </c>
      <c r="V614" s="11">
        <v>1</v>
      </c>
      <c r="W614" t="str">
        <f>IF(Table1[[#This Row],[Satisfaction Rating]]&lt;2, "Low", IF(Table1[[#This Row],[Satisfaction Rating]]&lt;4, "Medium", "High"))</f>
        <v>Low</v>
      </c>
    </row>
    <row r="615" spans="1:23" ht="13" x14ac:dyDescent="0.15">
      <c r="A615" s="2" t="s">
        <v>1251</v>
      </c>
      <c r="B615" s="23">
        <v>45207.897013888891</v>
      </c>
      <c r="C615" s="23">
        <v>45521.067962962959</v>
      </c>
      <c r="D615" s="23" t="str">
        <f>IF(Table1[[#This Row],[Duration of Campaign]]=0, "Ongoing","Completed")</f>
        <v>Completed</v>
      </c>
      <c r="E615" s="25">
        <f>Table1[[#This Row],[End Date]]-Table1[[#This Row],[Start Date]]</f>
        <v>313.17094907406863</v>
      </c>
      <c r="F615" s="8">
        <v>4238</v>
      </c>
      <c r="G615" s="21" t="s">
        <v>37</v>
      </c>
      <c r="H615" s="11">
        <v>2581</v>
      </c>
      <c r="I615" s="11">
        <v>151</v>
      </c>
      <c r="J615" s="11">
        <v>255</v>
      </c>
      <c r="K615" s="13">
        <v>3083</v>
      </c>
      <c r="L615" s="16">
        <f t="shared" si="54"/>
        <v>5.8504455637349864E-2</v>
      </c>
      <c r="M615" s="16">
        <f t="shared" si="55"/>
        <v>1.6887417218543046</v>
      </c>
      <c r="N615" s="17">
        <f t="shared" si="56"/>
        <v>23.099337748344372</v>
      </c>
      <c r="O615" s="17">
        <f t="shared" si="57"/>
        <v>13.678431372549019</v>
      </c>
      <c r="P615" s="16">
        <f t="shared" si="58"/>
        <v>0.82302973100519117</v>
      </c>
      <c r="Q615" s="16">
        <f t="shared" si="59"/>
        <v>0.88388761467889909</v>
      </c>
      <c r="R615" s="2" t="s">
        <v>1252</v>
      </c>
      <c r="S615" s="21" t="s">
        <v>24</v>
      </c>
      <c r="T615" s="21" t="s">
        <v>27</v>
      </c>
      <c r="U615" s="8">
        <v>3488</v>
      </c>
      <c r="V615" s="11">
        <v>1</v>
      </c>
      <c r="W615" t="str">
        <f>IF(Table1[[#This Row],[Satisfaction Rating]]&lt;2, "Low", IF(Table1[[#This Row],[Satisfaction Rating]]&lt;4, "Medium", "High"))</f>
        <v>Low</v>
      </c>
    </row>
    <row r="616" spans="1:23" ht="13" x14ac:dyDescent="0.15">
      <c r="A616" s="2" t="s">
        <v>1253</v>
      </c>
      <c r="B616" s="23">
        <v>45047.436898148146</v>
      </c>
      <c r="C616" s="23">
        <v>45195.252800925926</v>
      </c>
      <c r="D616" s="23" t="str">
        <f>IF(Table1[[#This Row],[Duration of Campaign]]=0, "Ongoing","Completed")</f>
        <v>Completed</v>
      </c>
      <c r="E616" s="25">
        <f>Table1[[#This Row],[End Date]]-Table1[[#This Row],[Start Date]]</f>
        <v>147.81590277778014</v>
      </c>
      <c r="F616" s="8">
        <v>9952</v>
      </c>
      <c r="G616" s="21" t="s">
        <v>19</v>
      </c>
      <c r="H616" s="11">
        <v>10528</v>
      </c>
      <c r="I616" s="11">
        <v>1311</v>
      </c>
      <c r="J616" s="11">
        <v>265</v>
      </c>
      <c r="K616" s="13">
        <v>6504</v>
      </c>
      <c r="L616" s="16">
        <f t="shared" si="54"/>
        <v>0.12452507598784195</v>
      </c>
      <c r="M616" s="16">
        <f t="shared" si="55"/>
        <v>0.20213577421815407</v>
      </c>
      <c r="N616" s="17">
        <f t="shared" si="56"/>
        <v>2.1838291380625479</v>
      </c>
      <c r="O616" s="17">
        <f t="shared" si="57"/>
        <v>10.80377358490566</v>
      </c>
      <c r="P616" s="16">
        <f t="shared" si="58"/>
        <v>0.28768086816720256</v>
      </c>
      <c r="Q616" s="16">
        <f t="shared" si="59"/>
        <v>2.2717429269996505</v>
      </c>
      <c r="R616" s="2" t="s">
        <v>1254</v>
      </c>
      <c r="S616" s="21" t="s">
        <v>21</v>
      </c>
      <c r="T616" s="21" t="s">
        <v>27</v>
      </c>
      <c r="U616" s="8">
        <v>2863</v>
      </c>
      <c r="V616" s="11">
        <v>5</v>
      </c>
      <c r="W616" t="str">
        <f>IF(Table1[[#This Row],[Satisfaction Rating]]&lt;2, "Low", IF(Table1[[#This Row],[Satisfaction Rating]]&lt;4, "Medium", "High"))</f>
        <v>High</v>
      </c>
    </row>
    <row r="617" spans="1:23" ht="13" x14ac:dyDescent="0.15">
      <c r="A617" s="2" t="s">
        <v>1255</v>
      </c>
      <c r="B617" s="23">
        <v>45386.213819444441</v>
      </c>
      <c r="C617" s="23">
        <v>45599.071435185186</v>
      </c>
      <c r="D617" s="23" t="str">
        <f>IF(Table1[[#This Row],[Duration of Campaign]]=0, "Ongoing","Completed")</f>
        <v>Completed</v>
      </c>
      <c r="E617" s="25">
        <f>Table1[[#This Row],[End Date]]-Table1[[#This Row],[Start Date]]</f>
        <v>212.85761574074422</v>
      </c>
      <c r="F617" s="8">
        <v>1118</v>
      </c>
      <c r="G617" s="21" t="s">
        <v>14</v>
      </c>
      <c r="H617" s="11">
        <v>7452</v>
      </c>
      <c r="I617" s="11">
        <v>734</v>
      </c>
      <c r="J617" s="11">
        <v>268</v>
      </c>
      <c r="K617" s="13">
        <v>8431</v>
      </c>
      <c r="L617" s="16">
        <f t="shared" si="54"/>
        <v>9.8497047772410085E-2</v>
      </c>
      <c r="M617" s="16">
        <f t="shared" si="55"/>
        <v>0.36512261580381472</v>
      </c>
      <c r="N617" s="17">
        <f t="shared" si="56"/>
        <v>13.987738419618529</v>
      </c>
      <c r="O617" s="17">
        <f t="shared" si="57"/>
        <v>38.309701492537314</v>
      </c>
      <c r="P617" s="16">
        <f t="shared" si="58"/>
        <v>9.1833631484794278</v>
      </c>
      <c r="Q617" s="16">
        <f t="shared" si="59"/>
        <v>0.82117463718710426</v>
      </c>
      <c r="R617" s="2" t="s">
        <v>1256</v>
      </c>
      <c r="S617" s="21" t="s">
        <v>24</v>
      </c>
      <c r="T617" s="21" t="s">
        <v>17</v>
      </c>
      <c r="U617" s="8">
        <v>10267</v>
      </c>
      <c r="V617" s="11">
        <v>4</v>
      </c>
      <c r="W617" t="str">
        <f>IF(Table1[[#This Row],[Satisfaction Rating]]&lt;2, "Low", IF(Table1[[#This Row],[Satisfaction Rating]]&lt;4, "Medium", "High"))</f>
        <v>High</v>
      </c>
    </row>
    <row r="618" spans="1:23" ht="13" x14ac:dyDescent="0.15">
      <c r="A618" s="2" t="s">
        <v>1257</v>
      </c>
      <c r="B618" s="23">
        <v>45073.340879629628</v>
      </c>
      <c r="C618" s="23">
        <v>45585.565358796295</v>
      </c>
      <c r="D618" s="23" t="str">
        <f>IF(Table1[[#This Row],[Duration of Campaign]]=0, "Ongoing","Completed")</f>
        <v>Completed</v>
      </c>
      <c r="E618" s="25">
        <f>Table1[[#This Row],[End Date]]-Table1[[#This Row],[Start Date]]</f>
        <v>512.22447916666715</v>
      </c>
      <c r="F618" s="8">
        <v>1737</v>
      </c>
      <c r="G618" s="21" t="s">
        <v>14</v>
      </c>
      <c r="H618" s="11">
        <v>16818</v>
      </c>
      <c r="I618" s="11">
        <v>1597</v>
      </c>
      <c r="J618" s="11">
        <v>13</v>
      </c>
      <c r="K618" s="13">
        <v>10555</v>
      </c>
      <c r="L618" s="16">
        <f t="shared" si="54"/>
        <v>9.495778332738733E-2</v>
      </c>
      <c r="M618" s="16">
        <f t="shared" si="55"/>
        <v>8.1402629931120844E-3</v>
      </c>
      <c r="N618" s="17">
        <f t="shared" si="56"/>
        <v>3.6687539135879774</v>
      </c>
      <c r="O618" s="17">
        <f t="shared" si="57"/>
        <v>450.69230769230768</v>
      </c>
      <c r="P618" s="16">
        <f t="shared" si="58"/>
        <v>3.3730569948186528</v>
      </c>
      <c r="Q618" s="16">
        <f t="shared" si="59"/>
        <v>1.8015019627922855</v>
      </c>
      <c r="R618" s="2" t="s">
        <v>1258</v>
      </c>
      <c r="S618" s="21" t="s">
        <v>16</v>
      </c>
      <c r="T618" s="21" t="s">
        <v>17</v>
      </c>
      <c r="U618" s="8">
        <v>5859</v>
      </c>
      <c r="V618" s="11">
        <v>3</v>
      </c>
      <c r="W618" t="str">
        <f>IF(Table1[[#This Row],[Satisfaction Rating]]&lt;2, "Low", IF(Table1[[#This Row],[Satisfaction Rating]]&lt;4, "Medium", "High"))</f>
        <v>Medium</v>
      </c>
    </row>
    <row r="619" spans="1:23" ht="13" x14ac:dyDescent="0.15">
      <c r="A619" s="2" t="s">
        <v>1259</v>
      </c>
      <c r="B619" s="23">
        <v>45285.204664351855</v>
      </c>
      <c r="C619" s="23">
        <v>45285.204664351855</v>
      </c>
      <c r="D619" s="23" t="str">
        <f>IF(Table1[[#This Row],[Duration of Campaign]]=0, "Ongoing","Completed")</f>
        <v>Ongoing</v>
      </c>
      <c r="E619" s="25">
        <f>Table1[[#This Row],[End Date]]-Table1[[#This Row],[Start Date]]</f>
        <v>0</v>
      </c>
      <c r="F619" s="8">
        <v>4514</v>
      </c>
      <c r="G619" s="21" t="s">
        <v>53</v>
      </c>
      <c r="H619" s="11">
        <v>1374</v>
      </c>
      <c r="I619" s="11">
        <v>572</v>
      </c>
      <c r="J619" s="11">
        <v>50</v>
      </c>
      <c r="K619" s="13">
        <v>12101</v>
      </c>
      <c r="L619" s="16">
        <f t="shared" si="54"/>
        <v>0.41630276564774382</v>
      </c>
      <c r="M619" s="16">
        <f t="shared" si="55"/>
        <v>8.7412587412587409E-2</v>
      </c>
      <c r="N619" s="17">
        <f t="shared" si="56"/>
        <v>10.947552447552448</v>
      </c>
      <c r="O619" s="17">
        <f t="shared" si="57"/>
        <v>125.24</v>
      </c>
      <c r="P619" s="16">
        <f t="shared" si="58"/>
        <v>1.3872396987151085</v>
      </c>
      <c r="Q619" s="16">
        <f t="shared" si="59"/>
        <v>1.9324496965825615</v>
      </c>
      <c r="R619" s="2" t="s">
        <v>1260</v>
      </c>
      <c r="S619" s="21" t="s">
        <v>21</v>
      </c>
      <c r="T619" s="21" t="s">
        <v>45</v>
      </c>
      <c r="U619" s="8">
        <v>6262</v>
      </c>
      <c r="V619" s="11">
        <v>3</v>
      </c>
      <c r="W619" t="str">
        <f>IF(Table1[[#This Row],[Satisfaction Rating]]&lt;2, "Low", IF(Table1[[#This Row],[Satisfaction Rating]]&lt;4, "Medium", "High"))</f>
        <v>Medium</v>
      </c>
    </row>
    <row r="620" spans="1:23" ht="13" x14ac:dyDescent="0.15">
      <c r="A620" s="2" t="s">
        <v>1261</v>
      </c>
      <c r="B620" s="23">
        <v>45151.059490740743</v>
      </c>
      <c r="C620" s="23">
        <v>45421.367361111108</v>
      </c>
      <c r="D620" s="23" t="str">
        <f>IF(Table1[[#This Row],[Duration of Campaign]]=0, "Ongoing","Completed")</f>
        <v>Completed</v>
      </c>
      <c r="E620" s="25">
        <f>Table1[[#This Row],[End Date]]-Table1[[#This Row],[Start Date]]</f>
        <v>270.30787037036498</v>
      </c>
      <c r="F620" s="8">
        <v>3316</v>
      </c>
      <c r="G620" s="21" t="s">
        <v>37</v>
      </c>
      <c r="H620" s="11">
        <v>14031</v>
      </c>
      <c r="I620" s="11">
        <v>826</v>
      </c>
      <c r="J620" s="11">
        <v>84</v>
      </c>
      <c r="K620" s="13">
        <v>10293</v>
      </c>
      <c r="L620" s="16">
        <f t="shared" si="54"/>
        <v>5.8869645784334686E-2</v>
      </c>
      <c r="M620" s="16">
        <f t="shared" si="55"/>
        <v>0.10169491525423729</v>
      </c>
      <c r="N620" s="17">
        <f t="shared" si="56"/>
        <v>4.8656174334140436</v>
      </c>
      <c r="O620" s="17">
        <f t="shared" si="57"/>
        <v>47.845238095238095</v>
      </c>
      <c r="P620" s="16">
        <f t="shared" si="58"/>
        <v>1.2120024125452353</v>
      </c>
      <c r="Q620" s="16">
        <f t="shared" si="59"/>
        <v>2.5610848469768599</v>
      </c>
      <c r="R620" s="2" t="s">
        <v>1262</v>
      </c>
      <c r="S620" s="21" t="s">
        <v>24</v>
      </c>
      <c r="T620" s="21" t="s">
        <v>45</v>
      </c>
      <c r="U620" s="8">
        <v>4019</v>
      </c>
      <c r="V620" s="11">
        <v>1</v>
      </c>
      <c r="W620" t="str">
        <f>IF(Table1[[#This Row],[Satisfaction Rating]]&lt;2, "Low", IF(Table1[[#This Row],[Satisfaction Rating]]&lt;4, "Medium", "High"))</f>
        <v>Low</v>
      </c>
    </row>
    <row r="621" spans="1:23" ht="13" x14ac:dyDescent="0.15">
      <c r="A621" s="2" t="s">
        <v>1263</v>
      </c>
      <c r="B621" s="23">
        <v>45647.351585648146</v>
      </c>
      <c r="C621" s="23">
        <v>45647.351585648146</v>
      </c>
      <c r="D621" s="23" t="str">
        <f>IF(Table1[[#This Row],[Duration of Campaign]]=0, "Ongoing","Completed")</f>
        <v>Ongoing</v>
      </c>
      <c r="E621" s="25">
        <f>Table1[[#This Row],[End Date]]-Table1[[#This Row],[Start Date]]</f>
        <v>0</v>
      </c>
      <c r="F621" s="8">
        <v>3863</v>
      </c>
      <c r="G621" s="21" t="s">
        <v>14</v>
      </c>
      <c r="H621" s="11">
        <v>12284</v>
      </c>
      <c r="I621" s="11">
        <v>1697</v>
      </c>
      <c r="J621" s="11">
        <v>176</v>
      </c>
      <c r="K621" s="13">
        <v>1949</v>
      </c>
      <c r="L621" s="16">
        <f t="shared" si="54"/>
        <v>0.13814718332790621</v>
      </c>
      <c r="M621" s="16">
        <f t="shared" si="55"/>
        <v>0.10371243370654096</v>
      </c>
      <c r="N621" s="17">
        <f t="shared" si="56"/>
        <v>3.375957572186211</v>
      </c>
      <c r="O621" s="17">
        <f t="shared" si="57"/>
        <v>32.551136363636367</v>
      </c>
      <c r="P621" s="16">
        <f t="shared" si="58"/>
        <v>1.4830442661144188</v>
      </c>
      <c r="Q621" s="16">
        <f t="shared" si="59"/>
        <v>0.3401989876069122</v>
      </c>
      <c r="R621" s="2" t="s">
        <v>1264</v>
      </c>
      <c r="S621" s="21" t="s">
        <v>35</v>
      </c>
      <c r="T621" s="21" t="s">
        <v>17</v>
      </c>
      <c r="U621" s="8">
        <v>5729</v>
      </c>
      <c r="V621" s="11">
        <v>2</v>
      </c>
      <c r="W621" t="str">
        <f>IF(Table1[[#This Row],[Satisfaction Rating]]&lt;2, "Low", IF(Table1[[#This Row],[Satisfaction Rating]]&lt;4, "Medium", "High"))</f>
        <v>Medium</v>
      </c>
    </row>
    <row r="622" spans="1:23" ht="13" x14ac:dyDescent="0.15">
      <c r="A622" s="2" t="s">
        <v>1265</v>
      </c>
      <c r="B622" s="23">
        <v>45377.399178240739</v>
      </c>
      <c r="C622" s="23">
        <v>45451.376076388886</v>
      </c>
      <c r="D622" s="23" t="str">
        <f>IF(Table1[[#This Row],[Duration of Campaign]]=0, "Ongoing","Completed")</f>
        <v>Completed</v>
      </c>
      <c r="E622" s="25">
        <f>Table1[[#This Row],[End Date]]-Table1[[#This Row],[Start Date]]</f>
        <v>73.976898148146574</v>
      </c>
      <c r="F622" s="8">
        <v>8223</v>
      </c>
      <c r="G622" s="21" t="s">
        <v>19</v>
      </c>
      <c r="H622" s="11">
        <v>8536</v>
      </c>
      <c r="I622" s="11">
        <v>707</v>
      </c>
      <c r="J622" s="11">
        <v>280</v>
      </c>
      <c r="K622" s="13">
        <v>6483</v>
      </c>
      <c r="L622" s="16">
        <f t="shared" si="54"/>
        <v>8.2825679475164005E-2</v>
      </c>
      <c r="M622" s="16">
        <f t="shared" si="55"/>
        <v>0.39603960396039606</v>
      </c>
      <c r="N622" s="17">
        <f t="shared" si="56"/>
        <v>6.4879773691654883</v>
      </c>
      <c r="O622" s="17">
        <f t="shared" si="57"/>
        <v>16.382142857142856</v>
      </c>
      <c r="P622" s="16">
        <f t="shared" si="58"/>
        <v>0.55782561109084272</v>
      </c>
      <c r="Q622" s="16">
        <f t="shared" si="59"/>
        <v>1.4133420536298233</v>
      </c>
      <c r="R622" s="2" t="s">
        <v>1266</v>
      </c>
      <c r="S622" s="21" t="s">
        <v>16</v>
      </c>
      <c r="T622" s="21" t="s">
        <v>45</v>
      </c>
      <c r="U622" s="8">
        <v>4587</v>
      </c>
      <c r="V622" s="11">
        <v>1</v>
      </c>
      <c r="W622" t="str">
        <f>IF(Table1[[#This Row],[Satisfaction Rating]]&lt;2, "Low", IF(Table1[[#This Row],[Satisfaction Rating]]&lt;4, "Medium", "High"))</f>
        <v>Low</v>
      </c>
    </row>
    <row r="623" spans="1:23" ht="13" x14ac:dyDescent="0.15">
      <c r="A623" s="2" t="s">
        <v>1267</v>
      </c>
      <c r="B623" s="23">
        <v>45587.52753472222</v>
      </c>
      <c r="C623" s="23">
        <v>45587.52753472222</v>
      </c>
      <c r="D623" s="23" t="str">
        <f>IF(Table1[[#This Row],[Duration of Campaign]]=0, "Ongoing","Completed")</f>
        <v>Ongoing</v>
      </c>
      <c r="E623" s="25">
        <f>Table1[[#This Row],[End Date]]-Table1[[#This Row],[Start Date]]</f>
        <v>0</v>
      </c>
      <c r="F623" s="8">
        <v>3455</v>
      </c>
      <c r="G623" s="21" t="s">
        <v>19</v>
      </c>
      <c r="H623" s="11">
        <v>6994</v>
      </c>
      <c r="I623" s="11">
        <v>861</v>
      </c>
      <c r="J623" s="11">
        <v>416</v>
      </c>
      <c r="K623" s="13">
        <v>7617</v>
      </c>
      <c r="L623" s="16">
        <f t="shared" si="54"/>
        <v>0.12310551901629968</v>
      </c>
      <c r="M623" s="16">
        <f t="shared" si="55"/>
        <v>0.4831591173054588</v>
      </c>
      <c r="N623" s="17">
        <f t="shared" si="56"/>
        <v>7.2973286875725902</v>
      </c>
      <c r="O623" s="17">
        <f t="shared" si="57"/>
        <v>15.103365384615385</v>
      </c>
      <c r="P623" s="16">
        <f t="shared" si="58"/>
        <v>1.8185238784370477</v>
      </c>
      <c r="Q623" s="16">
        <f t="shared" si="59"/>
        <v>1.2123189559127805</v>
      </c>
      <c r="R623" s="2" t="s">
        <v>1268</v>
      </c>
      <c r="S623" s="21" t="s">
        <v>30</v>
      </c>
      <c r="T623" s="21" t="s">
        <v>45</v>
      </c>
      <c r="U623" s="8">
        <v>6283</v>
      </c>
      <c r="V623" s="11">
        <v>5</v>
      </c>
      <c r="W623" t="str">
        <f>IF(Table1[[#This Row],[Satisfaction Rating]]&lt;2, "Low", IF(Table1[[#This Row],[Satisfaction Rating]]&lt;4, "Medium", "High"))</f>
        <v>High</v>
      </c>
    </row>
    <row r="624" spans="1:23" ht="13" x14ac:dyDescent="0.15">
      <c r="A624" s="2" t="s">
        <v>1269</v>
      </c>
      <c r="B624" s="23">
        <v>45042.804930555554</v>
      </c>
      <c r="C624" s="23">
        <v>45576.47996527778</v>
      </c>
      <c r="D624" s="23" t="str">
        <f>IF(Table1[[#This Row],[Duration of Campaign]]=0, "Ongoing","Completed")</f>
        <v>Completed</v>
      </c>
      <c r="E624" s="25">
        <f>Table1[[#This Row],[End Date]]-Table1[[#This Row],[Start Date]]</f>
        <v>533.67503472222597</v>
      </c>
      <c r="F624" s="8">
        <v>7372</v>
      </c>
      <c r="G624" s="21" t="s">
        <v>14</v>
      </c>
      <c r="H624" s="11">
        <v>18710</v>
      </c>
      <c r="I624" s="11">
        <v>1879</v>
      </c>
      <c r="J624" s="11">
        <v>258</v>
      </c>
      <c r="K624" s="13">
        <v>11581</v>
      </c>
      <c r="L624" s="16">
        <f t="shared" si="54"/>
        <v>0.10042757883484768</v>
      </c>
      <c r="M624" s="16">
        <f t="shared" si="55"/>
        <v>0.1373070782331027</v>
      </c>
      <c r="N624" s="17">
        <f t="shared" si="56"/>
        <v>2.0324640766365087</v>
      </c>
      <c r="O624" s="17">
        <f t="shared" si="57"/>
        <v>14.802325581395349</v>
      </c>
      <c r="P624" s="16">
        <f t="shared" si="58"/>
        <v>0.51804123711340211</v>
      </c>
      <c r="Q624" s="16">
        <f t="shared" si="59"/>
        <v>3.032469232783451</v>
      </c>
      <c r="R624" s="2" t="s">
        <v>1270</v>
      </c>
      <c r="S624" s="21" t="s">
        <v>35</v>
      </c>
      <c r="T624" s="21" t="s">
        <v>45</v>
      </c>
      <c r="U624" s="8">
        <v>3819</v>
      </c>
      <c r="V624" s="11">
        <v>3</v>
      </c>
      <c r="W624" t="str">
        <f>IF(Table1[[#This Row],[Satisfaction Rating]]&lt;2, "Low", IF(Table1[[#This Row],[Satisfaction Rating]]&lt;4, "Medium", "High"))</f>
        <v>Medium</v>
      </c>
    </row>
    <row r="625" spans="1:23" ht="13" x14ac:dyDescent="0.15">
      <c r="A625" s="2" t="s">
        <v>1271</v>
      </c>
      <c r="B625" s="23">
        <v>45542.647129629629</v>
      </c>
      <c r="C625" s="23">
        <v>45542.647129629629</v>
      </c>
      <c r="D625" s="23" t="str">
        <f>IF(Table1[[#This Row],[Duration of Campaign]]=0, "Ongoing","Completed")</f>
        <v>Ongoing</v>
      </c>
      <c r="E625" s="25">
        <f>Table1[[#This Row],[End Date]]-Table1[[#This Row],[Start Date]]</f>
        <v>0</v>
      </c>
      <c r="F625" s="8">
        <v>8750</v>
      </c>
      <c r="G625" s="21" t="s">
        <v>37</v>
      </c>
      <c r="H625" s="11">
        <v>9198</v>
      </c>
      <c r="I625" s="11">
        <v>1554</v>
      </c>
      <c r="J625" s="11">
        <v>292</v>
      </c>
      <c r="K625" s="13">
        <v>9370</v>
      </c>
      <c r="L625" s="16">
        <f t="shared" si="54"/>
        <v>0.16894977168949771</v>
      </c>
      <c r="M625" s="16">
        <f t="shared" si="55"/>
        <v>0.18790218790218791</v>
      </c>
      <c r="N625" s="17">
        <f t="shared" si="56"/>
        <v>7.2290862290862288</v>
      </c>
      <c r="O625" s="17">
        <f t="shared" si="57"/>
        <v>38.472602739726028</v>
      </c>
      <c r="P625" s="16">
        <f t="shared" si="58"/>
        <v>1.2838857142857143</v>
      </c>
      <c r="Q625" s="16">
        <f t="shared" si="59"/>
        <v>0.83407512907245862</v>
      </c>
      <c r="R625" s="2" t="s">
        <v>1272</v>
      </c>
      <c r="S625" s="21" t="s">
        <v>24</v>
      </c>
      <c r="T625" s="21" t="s">
        <v>27</v>
      </c>
      <c r="U625" s="8">
        <v>11234</v>
      </c>
      <c r="V625" s="11">
        <v>3</v>
      </c>
      <c r="W625" t="str">
        <f>IF(Table1[[#This Row],[Satisfaction Rating]]&lt;2, "Low", IF(Table1[[#This Row],[Satisfaction Rating]]&lt;4, "Medium", "High"))</f>
        <v>Medium</v>
      </c>
    </row>
    <row r="626" spans="1:23" ht="13" x14ac:dyDescent="0.15">
      <c r="A626" s="2" t="s">
        <v>1273</v>
      </c>
      <c r="B626" s="23">
        <v>45233.066678240742</v>
      </c>
      <c r="C626" s="23">
        <v>45440.187430555554</v>
      </c>
      <c r="D626" s="23" t="str">
        <f>IF(Table1[[#This Row],[Duration of Campaign]]=0, "Ongoing","Completed")</f>
        <v>Completed</v>
      </c>
      <c r="E626" s="25">
        <f>Table1[[#This Row],[End Date]]-Table1[[#This Row],[Start Date]]</f>
        <v>207.1207523148114</v>
      </c>
      <c r="F626" s="8">
        <v>7464</v>
      </c>
      <c r="G626" s="21" t="s">
        <v>14</v>
      </c>
      <c r="H626" s="11">
        <v>6649</v>
      </c>
      <c r="I626" s="11">
        <v>819</v>
      </c>
      <c r="J626" s="11">
        <v>467</v>
      </c>
      <c r="K626" s="13">
        <v>1788</v>
      </c>
      <c r="L626" s="16">
        <f t="shared" si="54"/>
        <v>0.12317641750639194</v>
      </c>
      <c r="M626" s="16">
        <f t="shared" si="55"/>
        <v>0.57020757020757018</v>
      </c>
      <c r="N626" s="17">
        <f t="shared" si="56"/>
        <v>1.2857142857142858</v>
      </c>
      <c r="O626" s="17">
        <f t="shared" si="57"/>
        <v>2.2548179871520344</v>
      </c>
      <c r="P626" s="16">
        <f t="shared" si="58"/>
        <v>0.14107717041800644</v>
      </c>
      <c r="Q626" s="16">
        <f t="shared" si="59"/>
        <v>1.6980056980056981</v>
      </c>
      <c r="R626" s="2" t="s">
        <v>1274</v>
      </c>
      <c r="S626" s="21" t="s">
        <v>16</v>
      </c>
      <c r="T626" s="21" t="s">
        <v>27</v>
      </c>
      <c r="U626" s="8">
        <v>1053</v>
      </c>
      <c r="V626" s="11">
        <v>1</v>
      </c>
      <c r="W626" t="str">
        <f>IF(Table1[[#This Row],[Satisfaction Rating]]&lt;2, "Low", IF(Table1[[#This Row],[Satisfaction Rating]]&lt;4, "Medium", "High"))</f>
        <v>Low</v>
      </c>
    </row>
    <row r="627" spans="1:23" ht="13" x14ac:dyDescent="0.15">
      <c r="A627" s="2" t="s">
        <v>1275</v>
      </c>
      <c r="B627" s="23">
        <v>45419.99490740741</v>
      </c>
      <c r="C627" s="23">
        <v>45624.574270833335</v>
      </c>
      <c r="D627" s="23" t="str">
        <f>IF(Table1[[#This Row],[Duration of Campaign]]=0, "Ongoing","Completed")</f>
        <v>Completed</v>
      </c>
      <c r="E627" s="25">
        <f>Table1[[#This Row],[End Date]]-Table1[[#This Row],[Start Date]]</f>
        <v>204.57936342592438</v>
      </c>
      <c r="F627" s="8">
        <v>7154</v>
      </c>
      <c r="G627" s="21" t="s">
        <v>37</v>
      </c>
      <c r="H627" s="11">
        <v>11541</v>
      </c>
      <c r="I627" s="11">
        <v>199</v>
      </c>
      <c r="J627" s="11">
        <v>243</v>
      </c>
      <c r="K627" s="13">
        <v>14648</v>
      </c>
      <c r="L627" s="16">
        <f t="shared" si="54"/>
        <v>1.7242873234555065E-2</v>
      </c>
      <c r="M627" s="16">
        <f t="shared" si="55"/>
        <v>1.221105527638191</v>
      </c>
      <c r="N627" s="17">
        <f t="shared" si="56"/>
        <v>77.326633165829151</v>
      </c>
      <c r="O627" s="17">
        <f t="shared" si="57"/>
        <v>63.325102880658434</v>
      </c>
      <c r="P627" s="16">
        <f t="shared" si="58"/>
        <v>2.1509644953871958</v>
      </c>
      <c r="Q627" s="16">
        <f t="shared" si="59"/>
        <v>0.95191057967247206</v>
      </c>
      <c r="R627" s="2" t="s">
        <v>1276</v>
      </c>
      <c r="S627" s="21" t="s">
        <v>24</v>
      </c>
      <c r="T627" s="21" t="s">
        <v>17</v>
      </c>
      <c r="U627" s="8">
        <v>15388</v>
      </c>
      <c r="V627" s="11">
        <v>2</v>
      </c>
      <c r="W627" t="str">
        <f>IF(Table1[[#This Row],[Satisfaction Rating]]&lt;2, "Low", IF(Table1[[#This Row],[Satisfaction Rating]]&lt;4, "Medium", "High"))</f>
        <v>Medium</v>
      </c>
    </row>
    <row r="628" spans="1:23" ht="13" x14ac:dyDescent="0.15">
      <c r="A628" s="2" t="s">
        <v>1277</v>
      </c>
      <c r="B628" s="23">
        <v>45351.488402777781</v>
      </c>
      <c r="C628" s="23">
        <v>45587.856319444443</v>
      </c>
      <c r="D628" s="23" t="str">
        <f>IF(Table1[[#This Row],[Duration of Campaign]]=0, "Ongoing","Completed")</f>
        <v>Completed</v>
      </c>
      <c r="E628" s="25">
        <f>Table1[[#This Row],[End Date]]-Table1[[#This Row],[Start Date]]</f>
        <v>236.3679166666625</v>
      </c>
      <c r="F628" s="8">
        <v>7409</v>
      </c>
      <c r="G628" s="21" t="s">
        <v>19</v>
      </c>
      <c r="H628" s="11">
        <v>1632</v>
      </c>
      <c r="I628" s="11">
        <v>1084</v>
      </c>
      <c r="J628" s="11">
        <v>18</v>
      </c>
      <c r="K628" s="13">
        <v>5816</v>
      </c>
      <c r="L628" s="16">
        <f t="shared" si="54"/>
        <v>0.66421568627450978</v>
      </c>
      <c r="M628" s="16">
        <f t="shared" si="55"/>
        <v>1.6605166051660517E-2</v>
      </c>
      <c r="N628" s="17">
        <f t="shared" si="56"/>
        <v>2.3800738007380073</v>
      </c>
      <c r="O628" s="17">
        <f t="shared" si="57"/>
        <v>143.33333333333334</v>
      </c>
      <c r="P628" s="16">
        <f t="shared" si="58"/>
        <v>0.34822513159670671</v>
      </c>
      <c r="Q628" s="16">
        <f t="shared" si="59"/>
        <v>2.2542635658914727</v>
      </c>
      <c r="R628" s="2" t="s">
        <v>1278</v>
      </c>
      <c r="S628" s="21" t="s">
        <v>30</v>
      </c>
      <c r="T628" s="21" t="s">
        <v>45</v>
      </c>
      <c r="U628" s="8">
        <v>2580</v>
      </c>
      <c r="V628" s="11">
        <v>3</v>
      </c>
      <c r="W628" t="str">
        <f>IF(Table1[[#This Row],[Satisfaction Rating]]&lt;2, "Low", IF(Table1[[#This Row],[Satisfaction Rating]]&lt;4, "Medium", "High"))</f>
        <v>Medium</v>
      </c>
    </row>
    <row r="629" spans="1:23" ht="13" x14ac:dyDescent="0.15">
      <c r="A629" s="2" t="s">
        <v>1279</v>
      </c>
      <c r="B629" s="23">
        <v>45588.499178240738</v>
      </c>
      <c r="C629" s="23">
        <v>45615.804965277777</v>
      </c>
      <c r="D629" s="23" t="str">
        <f>IF(Table1[[#This Row],[Duration of Campaign]]=0, "Ongoing","Completed")</f>
        <v>Completed</v>
      </c>
      <c r="E629" s="25">
        <f>Table1[[#This Row],[End Date]]-Table1[[#This Row],[Start Date]]</f>
        <v>27.305787037039408</v>
      </c>
      <c r="F629" s="8">
        <v>6631</v>
      </c>
      <c r="G629" s="21" t="s">
        <v>53</v>
      </c>
      <c r="H629" s="11">
        <v>11985</v>
      </c>
      <c r="I629" s="11">
        <v>1716</v>
      </c>
      <c r="J629" s="11">
        <v>211</v>
      </c>
      <c r="K629" s="13">
        <v>7694</v>
      </c>
      <c r="L629" s="16">
        <f t="shared" si="54"/>
        <v>0.14317897371714644</v>
      </c>
      <c r="M629" s="16">
        <f t="shared" si="55"/>
        <v>0.12296037296037296</v>
      </c>
      <c r="N629" s="17">
        <f t="shared" si="56"/>
        <v>3.5979020979020979</v>
      </c>
      <c r="O629" s="17">
        <f t="shared" si="57"/>
        <v>29.260663507109005</v>
      </c>
      <c r="P629" s="16">
        <f t="shared" si="58"/>
        <v>0.93108128487407626</v>
      </c>
      <c r="Q629" s="16">
        <f t="shared" si="59"/>
        <v>1.2461937155814706</v>
      </c>
      <c r="R629" s="2" t="s">
        <v>1280</v>
      </c>
      <c r="S629" s="21" t="s">
        <v>24</v>
      </c>
      <c r="T629" s="21" t="s">
        <v>17</v>
      </c>
      <c r="U629" s="8">
        <v>6174</v>
      </c>
      <c r="V629" s="11">
        <v>5</v>
      </c>
      <c r="W629" t="str">
        <f>IF(Table1[[#This Row],[Satisfaction Rating]]&lt;2, "Low", IF(Table1[[#This Row],[Satisfaction Rating]]&lt;4, "Medium", "High"))</f>
        <v>High</v>
      </c>
    </row>
    <row r="630" spans="1:23" ht="13" x14ac:dyDescent="0.15">
      <c r="A630" s="2" t="s">
        <v>1281</v>
      </c>
      <c r="B630" s="23">
        <v>45210.663368055553</v>
      </c>
      <c r="C630" s="23">
        <v>45210.663368055553</v>
      </c>
      <c r="D630" s="23" t="str">
        <f>IF(Table1[[#This Row],[Duration of Campaign]]=0, "Ongoing","Completed")</f>
        <v>Ongoing</v>
      </c>
      <c r="E630" s="25">
        <f>Table1[[#This Row],[End Date]]-Table1[[#This Row],[Start Date]]</f>
        <v>0</v>
      </c>
      <c r="F630" s="8">
        <v>2302</v>
      </c>
      <c r="G630" s="21" t="s">
        <v>14</v>
      </c>
      <c r="H630" s="11">
        <v>15286</v>
      </c>
      <c r="I630" s="11">
        <v>1019</v>
      </c>
      <c r="J630" s="11">
        <v>240</v>
      </c>
      <c r="K630" s="13">
        <v>12785</v>
      </c>
      <c r="L630" s="16">
        <f t="shared" si="54"/>
        <v>6.6662305377469575E-2</v>
      </c>
      <c r="M630" s="16">
        <f t="shared" si="55"/>
        <v>0.23552502453385674</v>
      </c>
      <c r="N630" s="17">
        <f t="shared" si="56"/>
        <v>6.5456329735034346</v>
      </c>
      <c r="O630" s="17">
        <f t="shared" si="57"/>
        <v>27.791666666666668</v>
      </c>
      <c r="P630" s="16">
        <f t="shared" si="58"/>
        <v>2.89748045178106</v>
      </c>
      <c r="Q630" s="16">
        <f t="shared" si="59"/>
        <v>1.916791604197901</v>
      </c>
      <c r="R630" s="2" t="s">
        <v>1282</v>
      </c>
      <c r="S630" s="21" t="s">
        <v>16</v>
      </c>
      <c r="T630" s="21" t="s">
        <v>17</v>
      </c>
      <c r="U630" s="8">
        <v>6670</v>
      </c>
      <c r="V630" s="11">
        <v>1</v>
      </c>
      <c r="W630" t="str">
        <f>IF(Table1[[#This Row],[Satisfaction Rating]]&lt;2, "Low", IF(Table1[[#This Row],[Satisfaction Rating]]&lt;4, "Medium", "High"))</f>
        <v>Low</v>
      </c>
    </row>
    <row r="631" spans="1:23" ht="13" x14ac:dyDescent="0.15">
      <c r="A631" s="2" t="s">
        <v>1283</v>
      </c>
      <c r="B631" s="23">
        <v>45547.270185185182</v>
      </c>
      <c r="C631" s="23">
        <v>45547.270185185182</v>
      </c>
      <c r="D631" s="23" t="str">
        <f>IF(Table1[[#This Row],[Duration of Campaign]]=0, "Ongoing","Completed")</f>
        <v>Ongoing</v>
      </c>
      <c r="E631" s="25">
        <f>Table1[[#This Row],[End Date]]-Table1[[#This Row],[Start Date]]</f>
        <v>0</v>
      </c>
      <c r="F631" s="8">
        <v>7892</v>
      </c>
      <c r="G631" s="21" t="s">
        <v>14</v>
      </c>
      <c r="H631" s="11">
        <v>19913</v>
      </c>
      <c r="I631" s="11">
        <v>1953</v>
      </c>
      <c r="J631" s="11">
        <v>316</v>
      </c>
      <c r="K631" s="13">
        <v>7952</v>
      </c>
      <c r="L631" s="16">
        <f t="shared" si="54"/>
        <v>9.8076633355094658E-2</v>
      </c>
      <c r="M631" s="16">
        <f t="shared" si="55"/>
        <v>0.16180235535074244</v>
      </c>
      <c r="N631" s="17">
        <f t="shared" si="56"/>
        <v>2.1029185867895546</v>
      </c>
      <c r="O631" s="17">
        <f t="shared" si="57"/>
        <v>12.996835443037975</v>
      </c>
      <c r="P631" s="16">
        <f t="shared" si="58"/>
        <v>0.52040040547389765</v>
      </c>
      <c r="Q631" s="16">
        <f t="shared" si="59"/>
        <v>1.9362064767470173</v>
      </c>
      <c r="R631" s="2" t="s">
        <v>1284</v>
      </c>
      <c r="S631" s="21" t="s">
        <v>16</v>
      </c>
      <c r="T631" s="21" t="s">
        <v>27</v>
      </c>
      <c r="U631" s="8">
        <v>4107</v>
      </c>
      <c r="V631" s="11">
        <v>3</v>
      </c>
      <c r="W631" t="str">
        <f>IF(Table1[[#This Row],[Satisfaction Rating]]&lt;2, "Low", IF(Table1[[#This Row],[Satisfaction Rating]]&lt;4, "Medium", "High"))</f>
        <v>Medium</v>
      </c>
    </row>
    <row r="632" spans="1:23" ht="13" x14ac:dyDescent="0.15">
      <c r="A632" s="2" t="s">
        <v>1285</v>
      </c>
      <c r="B632" s="23">
        <v>44968.531608796293</v>
      </c>
      <c r="C632" s="23">
        <v>45061.219004629631</v>
      </c>
      <c r="D632" s="23" t="str">
        <f>IF(Table1[[#This Row],[Duration of Campaign]]=0, "Ongoing","Completed")</f>
        <v>Completed</v>
      </c>
      <c r="E632" s="25">
        <f>Table1[[#This Row],[End Date]]-Table1[[#This Row],[Start Date]]</f>
        <v>92.687395833338087</v>
      </c>
      <c r="F632" s="8">
        <v>6504</v>
      </c>
      <c r="G632" s="21" t="s">
        <v>14</v>
      </c>
      <c r="H632" s="11">
        <v>13143</v>
      </c>
      <c r="I632" s="11">
        <v>123</v>
      </c>
      <c r="J632" s="11">
        <v>289</v>
      </c>
      <c r="K632" s="13">
        <v>14878</v>
      </c>
      <c r="L632" s="16">
        <f t="shared" si="54"/>
        <v>9.3585939283268652E-3</v>
      </c>
      <c r="M632" s="16">
        <f t="shared" si="55"/>
        <v>2.3495934959349594</v>
      </c>
      <c r="N632" s="17">
        <f t="shared" si="56"/>
        <v>31.617886178861788</v>
      </c>
      <c r="O632" s="17">
        <f t="shared" si="57"/>
        <v>13.456747404844291</v>
      </c>
      <c r="P632" s="16">
        <f t="shared" si="58"/>
        <v>0.59793972939729401</v>
      </c>
      <c r="Q632" s="16">
        <f t="shared" si="59"/>
        <v>3.825662123939316</v>
      </c>
      <c r="R632" s="2" t="s">
        <v>1286</v>
      </c>
      <c r="S632" s="21" t="s">
        <v>21</v>
      </c>
      <c r="T632" s="21" t="s">
        <v>17</v>
      </c>
      <c r="U632" s="8">
        <v>3889</v>
      </c>
      <c r="V632" s="11">
        <v>5</v>
      </c>
      <c r="W632" t="str">
        <f>IF(Table1[[#This Row],[Satisfaction Rating]]&lt;2, "Low", IF(Table1[[#This Row],[Satisfaction Rating]]&lt;4, "Medium", "High"))</f>
        <v>High</v>
      </c>
    </row>
    <row r="633" spans="1:23" ht="13" x14ac:dyDescent="0.15">
      <c r="A633" s="2" t="s">
        <v>1287</v>
      </c>
      <c r="B633" s="23">
        <v>45380.674386574072</v>
      </c>
      <c r="C633" s="23">
        <v>45380.674386574072</v>
      </c>
      <c r="D633" s="23" t="str">
        <f>IF(Table1[[#This Row],[Duration of Campaign]]=0, "Ongoing","Completed")</f>
        <v>Ongoing</v>
      </c>
      <c r="E633" s="25">
        <f>Table1[[#This Row],[End Date]]-Table1[[#This Row],[Start Date]]</f>
        <v>0</v>
      </c>
      <c r="F633" s="8">
        <v>6100</v>
      </c>
      <c r="G633" s="21" t="s">
        <v>53</v>
      </c>
      <c r="H633" s="11">
        <v>18295</v>
      </c>
      <c r="I633" s="11">
        <v>323</v>
      </c>
      <c r="J633" s="11">
        <v>273</v>
      </c>
      <c r="K633" s="13">
        <v>4942</v>
      </c>
      <c r="L633" s="16">
        <f t="shared" si="54"/>
        <v>1.7655097021044001E-2</v>
      </c>
      <c r="M633" s="16">
        <f t="shared" si="55"/>
        <v>0.84520123839009287</v>
      </c>
      <c r="N633" s="17">
        <f t="shared" si="56"/>
        <v>16.58204334365325</v>
      </c>
      <c r="O633" s="17">
        <f t="shared" si="57"/>
        <v>19.61904761904762</v>
      </c>
      <c r="P633" s="16">
        <f t="shared" si="58"/>
        <v>0.87803278688524589</v>
      </c>
      <c r="Q633" s="16">
        <f t="shared" si="59"/>
        <v>0.9227035100821509</v>
      </c>
      <c r="R633" s="2" t="s">
        <v>1288</v>
      </c>
      <c r="S633" s="21" t="s">
        <v>24</v>
      </c>
      <c r="T633" s="21" t="s">
        <v>27</v>
      </c>
      <c r="U633" s="8">
        <v>5356</v>
      </c>
      <c r="V633" s="11">
        <v>1</v>
      </c>
      <c r="W633" t="str">
        <f>IF(Table1[[#This Row],[Satisfaction Rating]]&lt;2, "Low", IF(Table1[[#This Row],[Satisfaction Rating]]&lt;4, "Medium", "High"))</f>
        <v>Low</v>
      </c>
    </row>
    <row r="634" spans="1:23" ht="13" x14ac:dyDescent="0.15">
      <c r="A634" s="2" t="s">
        <v>1289</v>
      </c>
      <c r="B634" s="23">
        <v>45420.471620370372</v>
      </c>
      <c r="C634" s="23">
        <v>45624.410381944443</v>
      </c>
      <c r="D634" s="23" t="str">
        <f>IF(Table1[[#This Row],[Duration of Campaign]]=0, "Ongoing","Completed")</f>
        <v>Completed</v>
      </c>
      <c r="E634" s="25">
        <f>Table1[[#This Row],[End Date]]-Table1[[#This Row],[Start Date]]</f>
        <v>203.93876157407067</v>
      </c>
      <c r="F634" s="8">
        <v>4832</v>
      </c>
      <c r="G634" s="21" t="s">
        <v>53</v>
      </c>
      <c r="H634" s="11">
        <v>12251</v>
      </c>
      <c r="I634" s="11">
        <v>594</v>
      </c>
      <c r="J634" s="11">
        <v>83</v>
      </c>
      <c r="K634" s="13">
        <v>12636</v>
      </c>
      <c r="L634" s="16">
        <f t="shared" si="54"/>
        <v>4.8485837890784422E-2</v>
      </c>
      <c r="M634" s="16">
        <f t="shared" si="55"/>
        <v>0.13973063973063973</v>
      </c>
      <c r="N634" s="17">
        <f t="shared" si="56"/>
        <v>26.441077441077439</v>
      </c>
      <c r="O634" s="17">
        <f t="shared" si="57"/>
        <v>189.22891566265059</v>
      </c>
      <c r="P634" s="16">
        <f t="shared" si="58"/>
        <v>3.2504139072847682</v>
      </c>
      <c r="Q634" s="16">
        <f t="shared" si="59"/>
        <v>0.80453329937603468</v>
      </c>
      <c r="R634" s="2" t="s">
        <v>1290</v>
      </c>
      <c r="S634" s="21" t="s">
        <v>24</v>
      </c>
      <c r="T634" s="21" t="s">
        <v>17</v>
      </c>
      <c r="U634" s="8">
        <v>15706</v>
      </c>
      <c r="V634" s="11">
        <v>4</v>
      </c>
      <c r="W634" t="str">
        <f>IF(Table1[[#This Row],[Satisfaction Rating]]&lt;2, "Low", IF(Table1[[#This Row],[Satisfaction Rating]]&lt;4, "Medium", "High"))</f>
        <v>High</v>
      </c>
    </row>
    <row r="635" spans="1:23" ht="13" x14ac:dyDescent="0.15">
      <c r="A635" s="2" t="s">
        <v>1291</v>
      </c>
      <c r="B635" s="23">
        <v>45412.167500000003</v>
      </c>
      <c r="C635" s="23">
        <v>45526.020752314813</v>
      </c>
      <c r="D635" s="23" t="str">
        <f>IF(Table1[[#This Row],[Duration of Campaign]]=0, "Ongoing","Completed")</f>
        <v>Completed</v>
      </c>
      <c r="E635" s="25">
        <f>Table1[[#This Row],[End Date]]-Table1[[#This Row],[Start Date]]</f>
        <v>113.85325231480965</v>
      </c>
      <c r="F635" s="8">
        <v>8609</v>
      </c>
      <c r="G635" s="21" t="s">
        <v>19</v>
      </c>
      <c r="H635" s="11">
        <v>13038</v>
      </c>
      <c r="I635" s="11">
        <v>801</v>
      </c>
      <c r="J635" s="11">
        <v>138</v>
      </c>
      <c r="K635" s="13">
        <v>2189</v>
      </c>
      <c r="L635" s="16">
        <f t="shared" si="54"/>
        <v>6.1435803037275659E-2</v>
      </c>
      <c r="M635" s="16">
        <f t="shared" si="55"/>
        <v>0.17228464419475656</v>
      </c>
      <c r="N635" s="17">
        <f t="shared" si="56"/>
        <v>19.774032459425719</v>
      </c>
      <c r="O635" s="17">
        <f t="shared" si="57"/>
        <v>114.77536231884058</v>
      </c>
      <c r="P635" s="16">
        <f t="shared" si="58"/>
        <v>1.8398187942850506</v>
      </c>
      <c r="Q635" s="16">
        <f t="shared" si="59"/>
        <v>0.13820316939200708</v>
      </c>
      <c r="R635" s="2" t="s">
        <v>1292</v>
      </c>
      <c r="S635" s="21" t="s">
        <v>16</v>
      </c>
      <c r="T635" s="21" t="s">
        <v>17</v>
      </c>
      <c r="U635" s="8">
        <v>15839</v>
      </c>
      <c r="V635" s="11">
        <v>3</v>
      </c>
      <c r="W635" t="str">
        <f>IF(Table1[[#This Row],[Satisfaction Rating]]&lt;2, "Low", IF(Table1[[#This Row],[Satisfaction Rating]]&lt;4, "Medium", "High"))</f>
        <v>Medium</v>
      </c>
    </row>
    <row r="636" spans="1:23" ht="13" x14ac:dyDescent="0.15">
      <c r="A636" s="2" t="s">
        <v>1293</v>
      </c>
      <c r="B636" s="23">
        <v>45643.249548611115</v>
      </c>
      <c r="C636" s="23">
        <v>45643.249548611115</v>
      </c>
      <c r="D636" s="23" t="str">
        <f>IF(Table1[[#This Row],[Duration of Campaign]]=0, "Ongoing","Completed")</f>
        <v>Ongoing</v>
      </c>
      <c r="E636" s="25">
        <f>Table1[[#This Row],[End Date]]-Table1[[#This Row],[Start Date]]</f>
        <v>0</v>
      </c>
      <c r="F636" s="8">
        <v>8067</v>
      </c>
      <c r="G636" s="21" t="s">
        <v>53</v>
      </c>
      <c r="H636" s="11">
        <v>4671</v>
      </c>
      <c r="I636" s="11">
        <v>854</v>
      </c>
      <c r="J636" s="11">
        <v>321</v>
      </c>
      <c r="K636" s="13">
        <v>5924</v>
      </c>
      <c r="L636" s="16">
        <f t="shared" si="54"/>
        <v>0.18283022907300364</v>
      </c>
      <c r="M636" s="16">
        <f t="shared" si="55"/>
        <v>0.3758782201405152</v>
      </c>
      <c r="N636" s="17">
        <f t="shared" si="56"/>
        <v>10.511709601873536</v>
      </c>
      <c r="O636" s="17">
        <f t="shared" si="57"/>
        <v>27.965732087227416</v>
      </c>
      <c r="P636" s="16">
        <f t="shared" si="58"/>
        <v>1.1128052559811579</v>
      </c>
      <c r="Q636" s="16">
        <f t="shared" si="59"/>
        <v>0.65990865545282384</v>
      </c>
      <c r="R636" s="2" t="s">
        <v>1294</v>
      </c>
      <c r="S636" s="21" t="s">
        <v>35</v>
      </c>
      <c r="T636" s="21" t="s">
        <v>27</v>
      </c>
      <c r="U636" s="8">
        <v>8977</v>
      </c>
      <c r="V636" s="11">
        <v>1</v>
      </c>
      <c r="W636" t="str">
        <f>IF(Table1[[#This Row],[Satisfaction Rating]]&lt;2, "Low", IF(Table1[[#This Row],[Satisfaction Rating]]&lt;4, "Medium", "High"))</f>
        <v>Low</v>
      </c>
    </row>
    <row r="637" spans="1:23" ht="13" x14ac:dyDescent="0.15">
      <c r="A637" s="2" t="s">
        <v>1295</v>
      </c>
      <c r="B637" s="23">
        <v>44988.63863425926</v>
      </c>
      <c r="C637" s="23">
        <v>45194.292673611111</v>
      </c>
      <c r="D637" s="23" t="str">
        <f>IF(Table1[[#This Row],[Duration of Campaign]]=0, "Ongoing","Completed")</f>
        <v>Completed</v>
      </c>
      <c r="E637" s="25">
        <f>Table1[[#This Row],[End Date]]-Table1[[#This Row],[Start Date]]</f>
        <v>205.65403935185168</v>
      </c>
      <c r="F637" s="8">
        <v>2138</v>
      </c>
      <c r="G637" s="21" t="s">
        <v>19</v>
      </c>
      <c r="H637" s="11">
        <v>15079</v>
      </c>
      <c r="I637" s="11">
        <v>274</v>
      </c>
      <c r="J637" s="11">
        <v>35</v>
      </c>
      <c r="K637" s="13">
        <v>14780</v>
      </c>
      <c r="L637" s="16">
        <f t="shared" si="54"/>
        <v>1.8170966244445919E-2</v>
      </c>
      <c r="M637" s="16">
        <f t="shared" si="55"/>
        <v>0.12773722627737227</v>
      </c>
      <c r="N637" s="17">
        <f t="shared" si="56"/>
        <v>3.4781021897810218</v>
      </c>
      <c r="O637" s="17">
        <f t="shared" si="57"/>
        <v>27.228571428571428</v>
      </c>
      <c r="P637" s="16">
        <f t="shared" si="58"/>
        <v>0.44574368568755846</v>
      </c>
      <c r="Q637" s="16">
        <f t="shared" si="59"/>
        <v>15.508919202518364</v>
      </c>
      <c r="R637" s="2" t="s">
        <v>1296</v>
      </c>
      <c r="S637" s="21" t="s">
        <v>35</v>
      </c>
      <c r="T637" s="21" t="s">
        <v>45</v>
      </c>
      <c r="U637" s="8">
        <v>953</v>
      </c>
      <c r="V637" s="11">
        <v>3</v>
      </c>
      <c r="W637" t="str">
        <f>IF(Table1[[#This Row],[Satisfaction Rating]]&lt;2, "Low", IF(Table1[[#This Row],[Satisfaction Rating]]&lt;4, "Medium", "High"))</f>
        <v>Medium</v>
      </c>
    </row>
    <row r="638" spans="1:23" ht="13" x14ac:dyDescent="0.15">
      <c r="A638" s="2" t="s">
        <v>1297</v>
      </c>
      <c r="B638" s="23">
        <v>45335.904282407406</v>
      </c>
      <c r="C638" s="23">
        <v>45335.904282407406</v>
      </c>
      <c r="D638" s="23" t="str">
        <f>IF(Table1[[#This Row],[Duration of Campaign]]=0, "Ongoing","Completed")</f>
        <v>Ongoing</v>
      </c>
      <c r="E638" s="25">
        <f>Table1[[#This Row],[End Date]]-Table1[[#This Row],[Start Date]]</f>
        <v>0</v>
      </c>
      <c r="F638" s="8">
        <v>2613</v>
      </c>
      <c r="G638" s="21" t="s">
        <v>14</v>
      </c>
      <c r="H638" s="11">
        <v>18949</v>
      </c>
      <c r="I638" s="11">
        <v>940</v>
      </c>
      <c r="J638" s="11">
        <v>108</v>
      </c>
      <c r="K638" s="13">
        <v>1552</v>
      </c>
      <c r="L638" s="16">
        <f t="shared" si="54"/>
        <v>4.9606839411050714E-2</v>
      </c>
      <c r="M638" s="16">
        <f t="shared" si="55"/>
        <v>0.1148936170212766</v>
      </c>
      <c r="N638" s="17">
        <f t="shared" si="56"/>
        <v>3.5808510638297872</v>
      </c>
      <c r="O638" s="17">
        <f t="shared" si="57"/>
        <v>31.166666666666668</v>
      </c>
      <c r="P638" s="16">
        <f t="shared" si="58"/>
        <v>1.2881745120551091</v>
      </c>
      <c r="Q638" s="16">
        <f t="shared" si="59"/>
        <v>0.46108140225787286</v>
      </c>
      <c r="R638" s="2" t="s">
        <v>1298</v>
      </c>
      <c r="S638" s="21" t="s">
        <v>21</v>
      </c>
      <c r="T638" s="21" t="s">
        <v>27</v>
      </c>
      <c r="U638" s="8">
        <v>3366</v>
      </c>
      <c r="V638" s="11">
        <v>3</v>
      </c>
      <c r="W638" t="str">
        <f>IF(Table1[[#This Row],[Satisfaction Rating]]&lt;2, "Low", IF(Table1[[#This Row],[Satisfaction Rating]]&lt;4, "Medium", "High"))</f>
        <v>Medium</v>
      </c>
    </row>
    <row r="639" spans="1:23" ht="13" x14ac:dyDescent="0.15">
      <c r="A639" s="2" t="s">
        <v>1299</v>
      </c>
      <c r="B639" s="23">
        <v>45432.1487037037</v>
      </c>
      <c r="C639" s="23">
        <v>45432.1487037037</v>
      </c>
      <c r="D639" s="23" t="str">
        <f>IF(Table1[[#This Row],[Duration of Campaign]]=0, "Ongoing","Completed")</f>
        <v>Ongoing</v>
      </c>
      <c r="E639" s="25">
        <f>Table1[[#This Row],[End Date]]-Table1[[#This Row],[Start Date]]</f>
        <v>0</v>
      </c>
      <c r="F639" s="8">
        <v>6906</v>
      </c>
      <c r="G639" s="21" t="s">
        <v>37</v>
      </c>
      <c r="H639" s="11">
        <v>3366</v>
      </c>
      <c r="I639" s="11">
        <v>1015</v>
      </c>
      <c r="J639" s="11">
        <v>118</v>
      </c>
      <c r="K639" s="13">
        <v>4617</v>
      </c>
      <c r="L639" s="16">
        <f t="shared" si="54"/>
        <v>0.30154486036838979</v>
      </c>
      <c r="M639" s="16">
        <f t="shared" si="55"/>
        <v>0.11625615763546798</v>
      </c>
      <c r="N639" s="17">
        <f t="shared" si="56"/>
        <v>16.829556650246307</v>
      </c>
      <c r="O639" s="17">
        <f t="shared" si="57"/>
        <v>144.76271186440678</v>
      </c>
      <c r="P639" s="16">
        <f t="shared" si="58"/>
        <v>2.4735013032145958</v>
      </c>
      <c r="Q639" s="16">
        <f t="shared" si="59"/>
        <v>0.27028451001053738</v>
      </c>
      <c r="R639" s="2" t="s">
        <v>1300</v>
      </c>
      <c r="S639" s="21" t="s">
        <v>24</v>
      </c>
      <c r="T639" s="21" t="s">
        <v>45</v>
      </c>
      <c r="U639" s="8">
        <v>17082</v>
      </c>
      <c r="V639" s="11">
        <v>1</v>
      </c>
      <c r="W639" t="str">
        <f>IF(Table1[[#This Row],[Satisfaction Rating]]&lt;2, "Low", IF(Table1[[#This Row],[Satisfaction Rating]]&lt;4, "Medium", "High"))</f>
        <v>Low</v>
      </c>
    </row>
    <row r="640" spans="1:23" ht="13" x14ac:dyDescent="0.15">
      <c r="A640" s="2" t="s">
        <v>1301</v>
      </c>
      <c r="B640" s="23">
        <v>45522.986539351848</v>
      </c>
      <c r="C640" s="23">
        <v>45522.986539351848</v>
      </c>
      <c r="D640" s="23" t="str">
        <f>IF(Table1[[#This Row],[Duration of Campaign]]=0, "Ongoing","Completed")</f>
        <v>Ongoing</v>
      </c>
      <c r="E640" s="25">
        <f>Table1[[#This Row],[End Date]]-Table1[[#This Row],[Start Date]]</f>
        <v>0</v>
      </c>
      <c r="F640" s="8">
        <v>3396</v>
      </c>
      <c r="G640" s="21" t="s">
        <v>53</v>
      </c>
      <c r="H640" s="11">
        <v>16030</v>
      </c>
      <c r="I640" s="11">
        <v>483</v>
      </c>
      <c r="J640" s="11">
        <v>485</v>
      </c>
      <c r="K640" s="13">
        <v>13098</v>
      </c>
      <c r="L640" s="16">
        <f t="shared" si="54"/>
        <v>3.0131004366812226E-2</v>
      </c>
      <c r="M640" s="16">
        <f t="shared" si="55"/>
        <v>1.0041407867494825</v>
      </c>
      <c r="N640" s="17">
        <f t="shared" si="56"/>
        <v>17.697722567287784</v>
      </c>
      <c r="O640" s="17">
        <f t="shared" si="57"/>
        <v>17.624742268041238</v>
      </c>
      <c r="P640" s="16">
        <f t="shared" si="58"/>
        <v>2.5170789163722027</v>
      </c>
      <c r="Q640" s="16">
        <f t="shared" si="59"/>
        <v>1.5322882545624708</v>
      </c>
      <c r="R640" s="2" t="s">
        <v>1302</v>
      </c>
      <c r="S640" s="21" t="s">
        <v>21</v>
      </c>
      <c r="T640" s="21" t="s">
        <v>45</v>
      </c>
      <c r="U640" s="8">
        <v>8548</v>
      </c>
      <c r="V640" s="11">
        <v>3</v>
      </c>
      <c r="W640" t="str">
        <f>IF(Table1[[#This Row],[Satisfaction Rating]]&lt;2, "Low", IF(Table1[[#This Row],[Satisfaction Rating]]&lt;4, "Medium", "High"))</f>
        <v>Medium</v>
      </c>
    </row>
    <row r="641" spans="1:23" ht="13" x14ac:dyDescent="0.15">
      <c r="A641" s="2" t="s">
        <v>1303</v>
      </c>
      <c r="B641" s="23">
        <v>45167.547175925924</v>
      </c>
      <c r="C641" s="23">
        <v>45370.250775462962</v>
      </c>
      <c r="D641" s="23" t="str">
        <f>IF(Table1[[#This Row],[Duration of Campaign]]=0, "Ongoing","Completed")</f>
        <v>Completed</v>
      </c>
      <c r="E641" s="25">
        <f>Table1[[#This Row],[End Date]]-Table1[[#This Row],[Start Date]]</f>
        <v>202.70359953703883</v>
      </c>
      <c r="F641" s="8">
        <v>8545</v>
      </c>
      <c r="G641" s="21" t="s">
        <v>19</v>
      </c>
      <c r="H641" s="11">
        <v>9692</v>
      </c>
      <c r="I641" s="11">
        <v>528</v>
      </c>
      <c r="J641" s="11">
        <v>184</v>
      </c>
      <c r="K641" s="13">
        <v>923</v>
      </c>
      <c r="L641" s="16">
        <f t="shared" si="54"/>
        <v>5.4477919933966161E-2</v>
      </c>
      <c r="M641" s="16">
        <f t="shared" si="55"/>
        <v>0.34848484848484851</v>
      </c>
      <c r="N641" s="17">
        <f t="shared" si="56"/>
        <v>6.6685606060606064</v>
      </c>
      <c r="O641" s="17">
        <f t="shared" si="57"/>
        <v>19.135869565217391</v>
      </c>
      <c r="P641" s="16">
        <f t="shared" si="58"/>
        <v>0.41205383265067291</v>
      </c>
      <c r="Q641" s="16">
        <f t="shared" si="59"/>
        <v>0.26214143709173532</v>
      </c>
      <c r="R641" s="2" t="s">
        <v>1304</v>
      </c>
      <c r="S641" s="21" t="s">
        <v>30</v>
      </c>
      <c r="T641" s="21" t="s">
        <v>45</v>
      </c>
      <c r="U641" s="8">
        <v>3521</v>
      </c>
      <c r="V641" s="11">
        <v>4</v>
      </c>
      <c r="W641" t="str">
        <f>IF(Table1[[#This Row],[Satisfaction Rating]]&lt;2, "Low", IF(Table1[[#This Row],[Satisfaction Rating]]&lt;4, "Medium", "High"))</f>
        <v>High</v>
      </c>
    </row>
    <row r="642" spans="1:23" ht="13" x14ac:dyDescent="0.15">
      <c r="A642" s="2" t="s">
        <v>1305</v>
      </c>
      <c r="B642" s="23">
        <v>44949.697546296295</v>
      </c>
      <c r="C642" s="23">
        <v>45517.537881944445</v>
      </c>
      <c r="D642" s="23" t="str">
        <f>IF(Table1[[#This Row],[Duration of Campaign]]=0, "Ongoing","Completed")</f>
        <v>Completed</v>
      </c>
      <c r="E642" s="25">
        <f>Table1[[#This Row],[End Date]]-Table1[[#This Row],[Start Date]]</f>
        <v>567.84033564815036</v>
      </c>
      <c r="F642" s="8">
        <v>6924</v>
      </c>
      <c r="G642" s="21" t="s">
        <v>14</v>
      </c>
      <c r="H642" s="11">
        <v>7910</v>
      </c>
      <c r="I642" s="11">
        <v>1909</v>
      </c>
      <c r="J642" s="11">
        <v>485</v>
      </c>
      <c r="K642" s="13">
        <v>11302</v>
      </c>
      <c r="L642" s="16">
        <f t="shared" si="54"/>
        <v>0.24134007585335018</v>
      </c>
      <c r="M642" s="16">
        <f t="shared" si="55"/>
        <v>0.25405971712938713</v>
      </c>
      <c r="N642" s="17">
        <f t="shared" si="56"/>
        <v>1.5055002619172342</v>
      </c>
      <c r="O642" s="17">
        <f t="shared" si="57"/>
        <v>5.9257731958762889</v>
      </c>
      <c r="P642" s="16">
        <f t="shared" si="58"/>
        <v>0.41507798960138648</v>
      </c>
      <c r="Q642" s="16">
        <f t="shared" si="59"/>
        <v>3.9324982602644396</v>
      </c>
      <c r="R642" s="2" t="s">
        <v>1306</v>
      </c>
      <c r="S642" s="21" t="s">
        <v>30</v>
      </c>
      <c r="T642" s="21" t="s">
        <v>17</v>
      </c>
      <c r="U642" s="8">
        <v>2874</v>
      </c>
      <c r="V642" s="11">
        <v>3</v>
      </c>
      <c r="W642" t="str">
        <f>IF(Table1[[#This Row],[Satisfaction Rating]]&lt;2, "Low", IF(Table1[[#This Row],[Satisfaction Rating]]&lt;4, "Medium", "High"))</f>
        <v>Medium</v>
      </c>
    </row>
    <row r="643" spans="1:23" ht="13" x14ac:dyDescent="0.15">
      <c r="A643" s="2" t="s">
        <v>1307</v>
      </c>
      <c r="B643" s="23">
        <v>45061.539247685185</v>
      </c>
      <c r="C643" s="23">
        <v>45503.337407407409</v>
      </c>
      <c r="D643" s="23" t="str">
        <f>IF(Table1[[#This Row],[Duration of Campaign]]=0, "Ongoing","Completed")</f>
        <v>Completed</v>
      </c>
      <c r="E643" s="25">
        <f>Table1[[#This Row],[End Date]]-Table1[[#This Row],[Start Date]]</f>
        <v>441.79815972222423</v>
      </c>
      <c r="F643" s="8">
        <v>2357</v>
      </c>
      <c r="G643" s="21" t="s">
        <v>37</v>
      </c>
      <c r="H643" s="11">
        <v>19708</v>
      </c>
      <c r="I643" s="11">
        <v>897</v>
      </c>
      <c r="J643" s="11">
        <v>164</v>
      </c>
      <c r="K643" s="13">
        <v>12837</v>
      </c>
      <c r="L643" s="16">
        <f t="shared" ref="L643:L706" si="60">I643/H643</f>
        <v>4.5514511873350927E-2</v>
      </c>
      <c r="M643" s="16">
        <f t="shared" ref="M643:M706" si="61">J643/I643</f>
        <v>0.18283166109253066</v>
      </c>
      <c r="N643" s="17">
        <f t="shared" ref="N643:N706" si="62">U643/I643</f>
        <v>4.4013377926421402</v>
      </c>
      <c r="O643" s="17">
        <f t="shared" ref="O643:O706" si="63">U643/J643</f>
        <v>24.073170731707318</v>
      </c>
      <c r="P643" s="16">
        <f t="shared" ref="P643:P706" si="64">U643/F643</f>
        <v>1.6750106067034365</v>
      </c>
      <c r="Q643" s="16">
        <f t="shared" ref="Q643:Q706" si="65">K643/U643</f>
        <v>3.2515197568389058</v>
      </c>
      <c r="R643" s="2" t="s">
        <v>1308</v>
      </c>
      <c r="S643" s="21" t="s">
        <v>21</v>
      </c>
      <c r="T643" s="21" t="s">
        <v>45</v>
      </c>
      <c r="U643" s="8">
        <v>3948</v>
      </c>
      <c r="V643" s="11">
        <v>1</v>
      </c>
      <c r="W643" t="str">
        <f>IF(Table1[[#This Row],[Satisfaction Rating]]&lt;2, "Low", IF(Table1[[#This Row],[Satisfaction Rating]]&lt;4, "Medium", "High"))</f>
        <v>Low</v>
      </c>
    </row>
    <row r="644" spans="1:23" ht="13" x14ac:dyDescent="0.15">
      <c r="A644" s="2" t="s">
        <v>1309</v>
      </c>
      <c r="B644" s="23">
        <v>45244.419479166667</v>
      </c>
      <c r="C644" s="23">
        <v>45244.419479166667</v>
      </c>
      <c r="D644" s="23" t="str">
        <f>IF(Table1[[#This Row],[Duration of Campaign]]=0, "Ongoing","Completed")</f>
        <v>Ongoing</v>
      </c>
      <c r="E644" s="25">
        <f>Table1[[#This Row],[End Date]]-Table1[[#This Row],[Start Date]]</f>
        <v>0</v>
      </c>
      <c r="F644" s="8">
        <v>8227</v>
      </c>
      <c r="G644" s="21" t="s">
        <v>19</v>
      </c>
      <c r="H644" s="11">
        <v>10124</v>
      </c>
      <c r="I644" s="11">
        <v>332</v>
      </c>
      <c r="J644" s="11">
        <v>201</v>
      </c>
      <c r="K644" s="13">
        <v>7359</v>
      </c>
      <c r="L644" s="16">
        <f t="shared" si="60"/>
        <v>3.2793362307388385E-2</v>
      </c>
      <c r="M644" s="16">
        <f t="shared" si="61"/>
        <v>0.60542168674698793</v>
      </c>
      <c r="N644" s="17">
        <f t="shared" si="62"/>
        <v>46.5210843373494</v>
      </c>
      <c r="O644" s="17">
        <f t="shared" si="63"/>
        <v>76.840796019900495</v>
      </c>
      <c r="P644" s="16">
        <f t="shared" si="64"/>
        <v>1.8773550504436611</v>
      </c>
      <c r="Q644" s="16">
        <f t="shared" si="65"/>
        <v>0.47646487536419552</v>
      </c>
      <c r="R644" s="2" t="s">
        <v>1310</v>
      </c>
      <c r="S644" s="21" t="s">
        <v>24</v>
      </c>
      <c r="T644" s="21" t="s">
        <v>27</v>
      </c>
      <c r="U644" s="8">
        <v>15445</v>
      </c>
      <c r="V644" s="11">
        <v>1</v>
      </c>
      <c r="W644" t="str">
        <f>IF(Table1[[#This Row],[Satisfaction Rating]]&lt;2, "Low", IF(Table1[[#This Row],[Satisfaction Rating]]&lt;4, "Medium", "High"))</f>
        <v>Low</v>
      </c>
    </row>
    <row r="645" spans="1:23" ht="13" x14ac:dyDescent="0.15">
      <c r="A645" s="2" t="s">
        <v>1311</v>
      </c>
      <c r="B645" s="23">
        <v>45449.725613425922</v>
      </c>
      <c r="C645" s="23">
        <v>45449.725613425922</v>
      </c>
      <c r="D645" s="23" t="str">
        <f>IF(Table1[[#This Row],[Duration of Campaign]]=0, "Ongoing","Completed")</f>
        <v>Ongoing</v>
      </c>
      <c r="E645" s="25">
        <f>Table1[[#This Row],[End Date]]-Table1[[#This Row],[Start Date]]</f>
        <v>0</v>
      </c>
      <c r="F645" s="8">
        <v>8174</v>
      </c>
      <c r="G645" s="21" t="s">
        <v>14</v>
      </c>
      <c r="H645" s="11">
        <v>19485</v>
      </c>
      <c r="I645" s="11">
        <v>497</v>
      </c>
      <c r="J645" s="11">
        <v>223</v>
      </c>
      <c r="K645" s="13">
        <v>1358</v>
      </c>
      <c r="L645" s="16">
        <f t="shared" si="60"/>
        <v>2.550680010264306E-2</v>
      </c>
      <c r="M645" s="16">
        <f t="shared" si="61"/>
        <v>0.44869215291750503</v>
      </c>
      <c r="N645" s="17">
        <f t="shared" si="62"/>
        <v>11.106639839034205</v>
      </c>
      <c r="O645" s="17">
        <f t="shared" si="63"/>
        <v>24.753363228699552</v>
      </c>
      <c r="P645" s="16">
        <f t="shared" si="64"/>
        <v>0.67531196476633226</v>
      </c>
      <c r="Q645" s="16">
        <f t="shared" si="65"/>
        <v>0.24601449275362319</v>
      </c>
      <c r="R645" s="2" t="s">
        <v>1312</v>
      </c>
      <c r="S645" s="21" t="s">
        <v>35</v>
      </c>
      <c r="T645" s="21" t="s">
        <v>27</v>
      </c>
      <c r="U645" s="8">
        <v>5520</v>
      </c>
      <c r="V645" s="11">
        <v>1</v>
      </c>
      <c r="W645" t="str">
        <f>IF(Table1[[#This Row],[Satisfaction Rating]]&lt;2, "Low", IF(Table1[[#This Row],[Satisfaction Rating]]&lt;4, "Medium", "High"))</f>
        <v>Low</v>
      </c>
    </row>
    <row r="646" spans="1:23" ht="13" x14ac:dyDescent="0.15">
      <c r="A646" s="2" t="s">
        <v>1313</v>
      </c>
      <c r="B646" s="23">
        <v>45537.127662037034</v>
      </c>
      <c r="C646" s="23">
        <v>45582.577511574076</v>
      </c>
      <c r="D646" s="23" t="str">
        <f>IF(Table1[[#This Row],[Duration of Campaign]]=0, "Ongoing","Completed")</f>
        <v>Completed</v>
      </c>
      <c r="E646" s="25">
        <f>Table1[[#This Row],[End Date]]-Table1[[#This Row],[Start Date]]</f>
        <v>45.44984953704261</v>
      </c>
      <c r="F646" s="8">
        <v>2124</v>
      </c>
      <c r="G646" s="21" t="s">
        <v>53</v>
      </c>
      <c r="H646" s="11">
        <v>5139</v>
      </c>
      <c r="I646" s="11">
        <v>892</v>
      </c>
      <c r="J646" s="11">
        <v>76</v>
      </c>
      <c r="K646" s="13">
        <v>13413</v>
      </c>
      <c r="L646" s="16">
        <f t="shared" si="60"/>
        <v>0.17357462541350457</v>
      </c>
      <c r="M646" s="16">
        <f t="shared" si="61"/>
        <v>8.520179372197309E-2</v>
      </c>
      <c r="N646" s="17">
        <f t="shared" si="62"/>
        <v>17.036995515695068</v>
      </c>
      <c r="O646" s="17">
        <f t="shared" si="63"/>
        <v>199.96052631578948</v>
      </c>
      <c r="P646" s="16">
        <f t="shared" si="64"/>
        <v>7.1548964218455744</v>
      </c>
      <c r="Q646" s="16">
        <f t="shared" si="65"/>
        <v>0.88260840955451736</v>
      </c>
      <c r="R646" s="2" t="s">
        <v>1314</v>
      </c>
      <c r="S646" s="21" t="s">
        <v>21</v>
      </c>
      <c r="T646" s="21" t="s">
        <v>17</v>
      </c>
      <c r="U646" s="8">
        <v>15197</v>
      </c>
      <c r="V646" s="11">
        <v>2</v>
      </c>
      <c r="W646" t="str">
        <f>IF(Table1[[#This Row],[Satisfaction Rating]]&lt;2, "Low", IF(Table1[[#This Row],[Satisfaction Rating]]&lt;4, "Medium", "High"))</f>
        <v>Medium</v>
      </c>
    </row>
    <row r="647" spans="1:23" ht="13" x14ac:dyDescent="0.15">
      <c r="A647" s="2" t="s">
        <v>1315</v>
      </c>
      <c r="B647" s="23">
        <v>45607.979502314818</v>
      </c>
      <c r="C647" s="23">
        <v>45607.979502314818</v>
      </c>
      <c r="D647" s="23" t="str">
        <f>IF(Table1[[#This Row],[Duration of Campaign]]=0, "Ongoing","Completed")</f>
        <v>Ongoing</v>
      </c>
      <c r="E647" s="25">
        <f>Table1[[#This Row],[End Date]]-Table1[[#This Row],[Start Date]]</f>
        <v>0</v>
      </c>
      <c r="F647" s="8">
        <v>6981</v>
      </c>
      <c r="G647" s="21" t="s">
        <v>53</v>
      </c>
      <c r="H647" s="11">
        <v>5584</v>
      </c>
      <c r="I647" s="11">
        <v>770</v>
      </c>
      <c r="J647" s="11">
        <v>19</v>
      </c>
      <c r="K647" s="13">
        <v>9526</v>
      </c>
      <c r="L647" s="16">
        <f t="shared" si="60"/>
        <v>0.13789398280802292</v>
      </c>
      <c r="M647" s="16">
        <f t="shared" si="61"/>
        <v>2.4675324675324677E-2</v>
      </c>
      <c r="N647" s="17">
        <f t="shared" si="62"/>
        <v>17.758441558441557</v>
      </c>
      <c r="O647" s="17">
        <f t="shared" si="63"/>
        <v>719.68421052631584</v>
      </c>
      <c r="P647" s="16">
        <f t="shared" si="64"/>
        <v>1.958745165449076</v>
      </c>
      <c r="Q647" s="16">
        <f t="shared" si="65"/>
        <v>0.69665057773877437</v>
      </c>
      <c r="R647" s="2" t="s">
        <v>1316</v>
      </c>
      <c r="S647" s="21" t="s">
        <v>24</v>
      </c>
      <c r="T647" s="21" t="s">
        <v>45</v>
      </c>
      <c r="U647" s="8">
        <v>13674</v>
      </c>
      <c r="V647" s="11">
        <v>4</v>
      </c>
      <c r="W647" t="str">
        <f>IF(Table1[[#This Row],[Satisfaction Rating]]&lt;2, "Low", IF(Table1[[#This Row],[Satisfaction Rating]]&lt;4, "Medium", "High"))</f>
        <v>High</v>
      </c>
    </row>
    <row r="648" spans="1:23" ht="13" x14ac:dyDescent="0.15">
      <c r="A648" s="2" t="s">
        <v>1317</v>
      </c>
      <c r="B648" s="23">
        <v>45478.334456018521</v>
      </c>
      <c r="C648" s="23">
        <v>45478.334456018521</v>
      </c>
      <c r="D648" s="23" t="str">
        <f>IF(Table1[[#This Row],[Duration of Campaign]]=0, "Ongoing","Completed")</f>
        <v>Ongoing</v>
      </c>
      <c r="E648" s="25">
        <f>Table1[[#This Row],[End Date]]-Table1[[#This Row],[Start Date]]</f>
        <v>0</v>
      </c>
      <c r="F648" s="8">
        <v>8235</v>
      </c>
      <c r="G648" s="21" t="s">
        <v>37</v>
      </c>
      <c r="H648" s="11">
        <v>11682</v>
      </c>
      <c r="I648" s="11">
        <v>1785</v>
      </c>
      <c r="J648" s="11">
        <v>125</v>
      </c>
      <c r="K648" s="13">
        <v>12942</v>
      </c>
      <c r="L648" s="16">
        <f t="shared" si="60"/>
        <v>0.15279917822290703</v>
      </c>
      <c r="M648" s="16">
        <f t="shared" si="61"/>
        <v>7.0028011204481794E-2</v>
      </c>
      <c r="N648" s="17">
        <f t="shared" si="62"/>
        <v>7.8605042016806719</v>
      </c>
      <c r="O648" s="17">
        <f t="shared" si="63"/>
        <v>112.248</v>
      </c>
      <c r="P648" s="16">
        <f t="shared" si="64"/>
        <v>1.7038251366120218</v>
      </c>
      <c r="Q648" s="16">
        <f t="shared" si="65"/>
        <v>0.92238614496472093</v>
      </c>
      <c r="R648" s="2" t="s">
        <v>1318</v>
      </c>
      <c r="S648" s="21" t="s">
        <v>21</v>
      </c>
      <c r="T648" s="21" t="s">
        <v>45</v>
      </c>
      <c r="U648" s="8">
        <v>14031</v>
      </c>
      <c r="V648" s="11">
        <v>5</v>
      </c>
      <c r="W648" t="str">
        <f>IF(Table1[[#This Row],[Satisfaction Rating]]&lt;2, "Low", IF(Table1[[#This Row],[Satisfaction Rating]]&lt;4, "Medium", "High"))</f>
        <v>High</v>
      </c>
    </row>
    <row r="649" spans="1:23" ht="13" x14ac:dyDescent="0.15">
      <c r="A649" s="2" t="s">
        <v>1319</v>
      </c>
      <c r="B649" s="23">
        <v>45207.862696759257</v>
      </c>
      <c r="C649" s="23">
        <v>45619.499155092592</v>
      </c>
      <c r="D649" s="23" t="str">
        <f>IF(Table1[[#This Row],[Duration of Campaign]]=0, "Ongoing","Completed")</f>
        <v>Completed</v>
      </c>
      <c r="E649" s="25">
        <f>Table1[[#This Row],[End Date]]-Table1[[#This Row],[Start Date]]</f>
        <v>411.6364583333343</v>
      </c>
      <c r="F649" s="8">
        <v>5892</v>
      </c>
      <c r="G649" s="21" t="s">
        <v>37</v>
      </c>
      <c r="H649" s="11">
        <v>7137</v>
      </c>
      <c r="I649" s="11">
        <v>315</v>
      </c>
      <c r="J649" s="11">
        <v>304</v>
      </c>
      <c r="K649" s="13">
        <v>3718</v>
      </c>
      <c r="L649" s="16">
        <f t="shared" si="60"/>
        <v>4.4136191677175286E-2</v>
      </c>
      <c r="M649" s="16">
        <f t="shared" si="61"/>
        <v>0.96507936507936509</v>
      </c>
      <c r="N649" s="17">
        <f t="shared" si="62"/>
        <v>24.736507936507937</v>
      </c>
      <c r="O649" s="17">
        <f t="shared" si="63"/>
        <v>25.631578947368421</v>
      </c>
      <c r="P649" s="16">
        <f t="shared" si="64"/>
        <v>1.3224711473183979</v>
      </c>
      <c r="Q649" s="16">
        <f t="shared" si="65"/>
        <v>0.4771560574948665</v>
      </c>
      <c r="R649" s="2" t="s">
        <v>1320</v>
      </c>
      <c r="S649" s="21" t="s">
        <v>35</v>
      </c>
      <c r="T649" s="21" t="s">
        <v>27</v>
      </c>
      <c r="U649" s="8">
        <v>7792</v>
      </c>
      <c r="V649" s="11">
        <v>1</v>
      </c>
      <c r="W649" t="str">
        <f>IF(Table1[[#This Row],[Satisfaction Rating]]&lt;2, "Low", IF(Table1[[#This Row],[Satisfaction Rating]]&lt;4, "Medium", "High"))</f>
        <v>Low</v>
      </c>
    </row>
    <row r="650" spans="1:23" ht="13" x14ac:dyDescent="0.15">
      <c r="A650" s="2" t="s">
        <v>1321</v>
      </c>
      <c r="B650" s="23">
        <v>45128.836562500001</v>
      </c>
      <c r="C650" s="23">
        <v>45526.01840277778</v>
      </c>
      <c r="D650" s="23" t="str">
        <f>IF(Table1[[#This Row],[Duration of Campaign]]=0, "Ongoing","Completed")</f>
        <v>Completed</v>
      </c>
      <c r="E650" s="25">
        <f>Table1[[#This Row],[End Date]]-Table1[[#This Row],[Start Date]]</f>
        <v>397.18184027777897</v>
      </c>
      <c r="F650" s="8">
        <v>1079</v>
      </c>
      <c r="G650" s="21" t="s">
        <v>53</v>
      </c>
      <c r="H650" s="11">
        <v>2308</v>
      </c>
      <c r="I650" s="11">
        <v>325</v>
      </c>
      <c r="J650" s="11">
        <v>344</v>
      </c>
      <c r="K650" s="13">
        <v>9275</v>
      </c>
      <c r="L650" s="16">
        <f t="shared" si="60"/>
        <v>0.14081455805892548</v>
      </c>
      <c r="M650" s="16">
        <f t="shared" si="61"/>
        <v>1.0584615384615386</v>
      </c>
      <c r="N650" s="17">
        <f t="shared" si="62"/>
        <v>44.307692307692307</v>
      </c>
      <c r="O650" s="17">
        <f t="shared" si="63"/>
        <v>41.860465116279073</v>
      </c>
      <c r="P650" s="16">
        <f t="shared" si="64"/>
        <v>13.345690454124188</v>
      </c>
      <c r="Q650" s="16">
        <f t="shared" si="65"/>
        <v>0.64409722222222221</v>
      </c>
      <c r="R650" s="2" t="s">
        <v>1322</v>
      </c>
      <c r="S650" s="21" t="s">
        <v>21</v>
      </c>
      <c r="T650" s="21" t="s">
        <v>45</v>
      </c>
      <c r="U650" s="8">
        <v>14400</v>
      </c>
      <c r="V650" s="11">
        <v>5</v>
      </c>
      <c r="W650" t="str">
        <f>IF(Table1[[#This Row],[Satisfaction Rating]]&lt;2, "Low", IF(Table1[[#This Row],[Satisfaction Rating]]&lt;4, "Medium", "High"))</f>
        <v>High</v>
      </c>
    </row>
    <row r="651" spans="1:23" ht="13" x14ac:dyDescent="0.15">
      <c r="A651" s="2" t="s">
        <v>1323</v>
      </c>
      <c r="B651" s="23">
        <v>45271.685810185183</v>
      </c>
      <c r="C651" s="23">
        <v>45303.571574074071</v>
      </c>
      <c r="D651" s="23" t="str">
        <f>IF(Table1[[#This Row],[Duration of Campaign]]=0, "Ongoing","Completed")</f>
        <v>Completed</v>
      </c>
      <c r="E651" s="25">
        <f>Table1[[#This Row],[End Date]]-Table1[[#This Row],[Start Date]]</f>
        <v>31.885763888887595</v>
      </c>
      <c r="F651" s="8">
        <v>6643</v>
      </c>
      <c r="G651" s="21" t="s">
        <v>19</v>
      </c>
      <c r="H651" s="11">
        <v>3312</v>
      </c>
      <c r="I651" s="11">
        <v>669</v>
      </c>
      <c r="J651" s="11">
        <v>20</v>
      </c>
      <c r="K651" s="13">
        <v>7590</v>
      </c>
      <c r="L651" s="16">
        <f t="shared" si="60"/>
        <v>0.20199275362318841</v>
      </c>
      <c r="M651" s="16">
        <f t="shared" si="61"/>
        <v>2.9895366218236172E-2</v>
      </c>
      <c r="N651" s="17">
        <f t="shared" si="62"/>
        <v>29.696562032884902</v>
      </c>
      <c r="O651" s="17">
        <f t="shared" si="63"/>
        <v>993.35</v>
      </c>
      <c r="P651" s="16">
        <f t="shared" si="64"/>
        <v>2.9906668673791961</v>
      </c>
      <c r="Q651" s="16">
        <f t="shared" si="65"/>
        <v>0.38204056978909751</v>
      </c>
      <c r="R651" s="2" t="s">
        <v>1324</v>
      </c>
      <c r="S651" s="21" t="s">
        <v>24</v>
      </c>
      <c r="T651" s="21" t="s">
        <v>45</v>
      </c>
      <c r="U651" s="8">
        <v>19867</v>
      </c>
      <c r="V651" s="11">
        <v>3</v>
      </c>
      <c r="W651" t="str">
        <f>IF(Table1[[#This Row],[Satisfaction Rating]]&lt;2, "Low", IF(Table1[[#This Row],[Satisfaction Rating]]&lt;4, "Medium", "High"))</f>
        <v>Medium</v>
      </c>
    </row>
    <row r="652" spans="1:23" ht="13" x14ac:dyDescent="0.15">
      <c r="A652" s="2" t="s">
        <v>1325</v>
      </c>
      <c r="B652" s="23">
        <v>45415.88863425926</v>
      </c>
      <c r="C652" s="23">
        <v>45415.88863425926</v>
      </c>
      <c r="D652" s="23" t="str">
        <f>IF(Table1[[#This Row],[Duration of Campaign]]=0, "Ongoing","Completed")</f>
        <v>Ongoing</v>
      </c>
      <c r="E652" s="25">
        <f>Table1[[#This Row],[End Date]]-Table1[[#This Row],[Start Date]]</f>
        <v>0</v>
      </c>
      <c r="F652" s="8">
        <v>9987</v>
      </c>
      <c r="G652" s="21" t="s">
        <v>14</v>
      </c>
      <c r="H652" s="11">
        <v>1660</v>
      </c>
      <c r="I652" s="11">
        <v>1096</v>
      </c>
      <c r="J652" s="11">
        <v>441</v>
      </c>
      <c r="K652" s="13">
        <v>14386</v>
      </c>
      <c r="L652" s="16">
        <f t="shared" si="60"/>
        <v>0.66024096385542164</v>
      </c>
      <c r="M652" s="16">
        <f t="shared" si="61"/>
        <v>0.40237226277372262</v>
      </c>
      <c r="N652" s="17">
        <f t="shared" si="62"/>
        <v>7.038321167883212</v>
      </c>
      <c r="O652" s="17">
        <f t="shared" si="63"/>
        <v>17.49206349206349</v>
      </c>
      <c r="P652" s="16">
        <f t="shared" si="64"/>
        <v>0.77240412536297187</v>
      </c>
      <c r="Q652" s="16">
        <f t="shared" si="65"/>
        <v>1.864920922997148</v>
      </c>
      <c r="R652" s="2" t="s">
        <v>1326</v>
      </c>
      <c r="S652" s="21" t="s">
        <v>21</v>
      </c>
      <c r="T652" s="21" t="s">
        <v>17</v>
      </c>
      <c r="U652" s="8">
        <v>7714</v>
      </c>
      <c r="V652" s="11">
        <v>3</v>
      </c>
      <c r="W652" t="str">
        <f>IF(Table1[[#This Row],[Satisfaction Rating]]&lt;2, "Low", IF(Table1[[#This Row],[Satisfaction Rating]]&lt;4, "Medium", "High"))</f>
        <v>Medium</v>
      </c>
    </row>
    <row r="653" spans="1:23" ht="13" x14ac:dyDescent="0.15">
      <c r="A653" s="2" t="s">
        <v>1327</v>
      </c>
      <c r="B653" s="23">
        <v>45247.527939814812</v>
      </c>
      <c r="C653" s="23">
        <v>45370.682754629626</v>
      </c>
      <c r="D653" s="23" t="str">
        <f>IF(Table1[[#This Row],[Duration of Campaign]]=0, "Ongoing","Completed")</f>
        <v>Completed</v>
      </c>
      <c r="E653" s="25">
        <f>Table1[[#This Row],[End Date]]-Table1[[#This Row],[Start Date]]</f>
        <v>123.15481481481402</v>
      </c>
      <c r="F653" s="8">
        <v>1372</v>
      </c>
      <c r="G653" s="21" t="s">
        <v>37</v>
      </c>
      <c r="H653" s="11">
        <v>16664</v>
      </c>
      <c r="I653" s="11">
        <v>1147</v>
      </c>
      <c r="J653" s="11">
        <v>96</v>
      </c>
      <c r="K653" s="13">
        <v>9286</v>
      </c>
      <c r="L653" s="16">
        <f t="shared" si="60"/>
        <v>6.8831012962073931E-2</v>
      </c>
      <c r="M653" s="16">
        <f t="shared" si="61"/>
        <v>8.3696599825632087E-2</v>
      </c>
      <c r="N653" s="17">
        <f t="shared" si="62"/>
        <v>11.238012205754142</v>
      </c>
      <c r="O653" s="17">
        <f t="shared" si="63"/>
        <v>134.27083333333334</v>
      </c>
      <c r="P653" s="16">
        <f t="shared" si="64"/>
        <v>9.3950437317784257</v>
      </c>
      <c r="Q653" s="16">
        <f t="shared" si="65"/>
        <v>0.7204034134988363</v>
      </c>
      <c r="R653" s="2" t="s">
        <v>1328</v>
      </c>
      <c r="S653" s="21" t="s">
        <v>35</v>
      </c>
      <c r="T653" s="21" t="s">
        <v>45</v>
      </c>
      <c r="U653" s="8">
        <v>12890</v>
      </c>
      <c r="V653" s="11">
        <v>2</v>
      </c>
      <c r="W653" t="str">
        <f>IF(Table1[[#This Row],[Satisfaction Rating]]&lt;2, "Low", IF(Table1[[#This Row],[Satisfaction Rating]]&lt;4, "Medium", "High"))</f>
        <v>Medium</v>
      </c>
    </row>
    <row r="654" spans="1:23" ht="13" x14ac:dyDescent="0.15">
      <c r="A654" s="2" t="s">
        <v>1329</v>
      </c>
      <c r="B654" s="23">
        <v>45624.923807870371</v>
      </c>
      <c r="C654" s="23">
        <v>45624.923807870371</v>
      </c>
      <c r="D654" s="23" t="str">
        <f>IF(Table1[[#This Row],[Duration of Campaign]]=0, "Ongoing","Completed")</f>
        <v>Ongoing</v>
      </c>
      <c r="E654" s="25">
        <f>Table1[[#This Row],[End Date]]-Table1[[#This Row],[Start Date]]</f>
        <v>0</v>
      </c>
      <c r="F654" s="8">
        <v>3055</v>
      </c>
      <c r="G654" s="21" t="s">
        <v>37</v>
      </c>
      <c r="H654" s="11">
        <v>15695</v>
      </c>
      <c r="I654" s="11">
        <v>1642</v>
      </c>
      <c r="J654" s="11">
        <v>389</v>
      </c>
      <c r="K654" s="13">
        <v>8444</v>
      </c>
      <c r="L654" s="16">
        <f t="shared" si="60"/>
        <v>0.10461930551130934</v>
      </c>
      <c r="M654" s="16">
        <f t="shared" si="61"/>
        <v>0.23690621193666261</v>
      </c>
      <c r="N654" s="17">
        <f t="shared" si="62"/>
        <v>9.3179049939098668</v>
      </c>
      <c r="O654" s="17">
        <f t="shared" si="63"/>
        <v>39.331619537275067</v>
      </c>
      <c r="P654" s="16">
        <f t="shared" si="64"/>
        <v>5.0081833060556464</v>
      </c>
      <c r="Q654" s="16">
        <f t="shared" si="65"/>
        <v>0.55189542483660126</v>
      </c>
      <c r="R654" s="2" t="s">
        <v>1330</v>
      </c>
      <c r="S654" s="21" t="s">
        <v>21</v>
      </c>
      <c r="T654" s="21" t="s">
        <v>17</v>
      </c>
      <c r="U654" s="8">
        <v>15300</v>
      </c>
      <c r="V654" s="11">
        <v>5</v>
      </c>
      <c r="W654" t="str">
        <f>IF(Table1[[#This Row],[Satisfaction Rating]]&lt;2, "Low", IF(Table1[[#This Row],[Satisfaction Rating]]&lt;4, "Medium", "High"))</f>
        <v>High</v>
      </c>
    </row>
    <row r="655" spans="1:23" ht="13" x14ac:dyDescent="0.15">
      <c r="A655" s="2" t="s">
        <v>1331</v>
      </c>
      <c r="B655" s="23">
        <v>45281.868043981478</v>
      </c>
      <c r="C655" s="23">
        <v>45281.868043981478</v>
      </c>
      <c r="D655" s="23" t="str">
        <f>IF(Table1[[#This Row],[Duration of Campaign]]=0, "Ongoing","Completed")</f>
        <v>Ongoing</v>
      </c>
      <c r="E655" s="25">
        <f>Table1[[#This Row],[End Date]]-Table1[[#This Row],[Start Date]]</f>
        <v>0</v>
      </c>
      <c r="F655" s="8">
        <v>4058</v>
      </c>
      <c r="G655" s="21" t="s">
        <v>19</v>
      </c>
      <c r="H655" s="11">
        <v>8560</v>
      </c>
      <c r="I655" s="11">
        <v>873</v>
      </c>
      <c r="J655" s="11">
        <v>494</v>
      </c>
      <c r="K655" s="13">
        <v>2025</v>
      </c>
      <c r="L655" s="16">
        <f t="shared" si="60"/>
        <v>0.10198598130841122</v>
      </c>
      <c r="M655" s="16">
        <f t="shared" si="61"/>
        <v>0.56586483390607101</v>
      </c>
      <c r="N655" s="17">
        <f t="shared" si="62"/>
        <v>6.1924398625429555</v>
      </c>
      <c r="O655" s="17">
        <f t="shared" si="63"/>
        <v>10.943319838056681</v>
      </c>
      <c r="P655" s="16">
        <f t="shared" si="64"/>
        <v>1.3321833415475604</v>
      </c>
      <c r="Q655" s="16">
        <f t="shared" si="65"/>
        <v>0.37458379578246392</v>
      </c>
      <c r="R655" s="2" t="s">
        <v>1332</v>
      </c>
      <c r="S655" s="21" t="s">
        <v>35</v>
      </c>
      <c r="T655" s="21" t="s">
        <v>27</v>
      </c>
      <c r="U655" s="8">
        <v>5406</v>
      </c>
      <c r="V655" s="11">
        <v>2</v>
      </c>
      <c r="W655" t="str">
        <f>IF(Table1[[#This Row],[Satisfaction Rating]]&lt;2, "Low", IF(Table1[[#This Row],[Satisfaction Rating]]&lt;4, "Medium", "High"))</f>
        <v>Medium</v>
      </c>
    </row>
    <row r="656" spans="1:23" ht="13" x14ac:dyDescent="0.15">
      <c r="A656" s="2" t="s">
        <v>1333</v>
      </c>
      <c r="B656" s="23">
        <v>45268.910162037035</v>
      </c>
      <c r="C656" s="23">
        <v>45268.910162037035</v>
      </c>
      <c r="D656" s="23" t="str">
        <f>IF(Table1[[#This Row],[Duration of Campaign]]=0, "Ongoing","Completed")</f>
        <v>Ongoing</v>
      </c>
      <c r="E656" s="25">
        <f>Table1[[#This Row],[End Date]]-Table1[[#This Row],[Start Date]]</f>
        <v>0</v>
      </c>
      <c r="F656" s="8">
        <v>8909</v>
      </c>
      <c r="G656" s="21" t="s">
        <v>14</v>
      </c>
      <c r="H656" s="11">
        <v>15272</v>
      </c>
      <c r="I656" s="11">
        <v>1312</v>
      </c>
      <c r="J656" s="11">
        <v>330</v>
      </c>
      <c r="K656" s="13">
        <v>8979</v>
      </c>
      <c r="L656" s="16">
        <f t="shared" si="60"/>
        <v>8.590885280251441E-2</v>
      </c>
      <c r="M656" s="16">
        <f t="shared" si="61"/>
        <v>0.25152439024390244</v>
      </c>
      <c r="N656" s="17">
        <f t="shared" si="62"/>
        <v>11.02515243902439</v>
      </c>
      <c r="O656" s="17">
        <f t="shared" si="63"/>
        <v>43.833333333333336</v>
      </c>
      <c r="P656" s="16">
        <f t="shared" si="64"/>
        <v>1.6236390167246604</v>
      </c>
      <c r="Q656" s="16">
        <f t="shared" si="65"/>
        <v>0.62073971655720706</v>
      </c>
      <c r="R656" s="2" t="s">
        <v>1334</v>
      </c>
      <c r="S656" s="21" t="s">
        <v>30</v>
      </c>
      <c r="T656" s="21" t="s">
        <v>27</v>
      </c>
      <c r="U656" s="8">
        <v>14465</v>
      </c>
      <c r="V656" s="11">
        <v>1</v>
      </c>
      <c r="W656" t="str">
        <f>IF(Table1[[#This Row],[Satisfaction Rating]]&lt;2, "Low", IF(Table1[[#This Row],[Satisfaction Rating]]&lt;4, "Medium", "High"))</f>
        <v>Low</v>
      </c>
    </row>
    <row r="657" spans="1:23" ht="13" x14ac:dyDescent="0.15">
      <c r="A657" s="2" t="s">
        <v>1335</v>
      </c>
      <c r="B657" s="23">
        <v>45385.161145833335</v>
      </c>
      <c r="C657" s="23">
        <v>45385.161145833335</v>
      </c>
      <c r="D657" s="23" t="str">
        <f>IF(Table1[[#This Row],[Duration of Campaign]]=0, "Ongoing","Completed")</f>
        <v>Ongoing</v>
      </c>
      <c r="E657" s="25">
        <f>Table1[[#This Row],[End Date]]-Table1[[#This Row],[Start Date]]</f>
        <v>0</v>
      </c>
      <c r="F657" s="8">
        <v>8145</v>
      </c>
      <c r="G657" s="21" t="s">
        <v>19</v>
      </c>
      <c r="H657" s="11">
        <v>9993</v>
      </c>
      <c r="I657" s="11">
        <v>348</v>
      </c>
      <c r="J657" s="11">
        <v>26</v>
      </c>
      <c r="K657" s="13">
        <v>10235</v>
      </c>
      <c r="L657" s="16">
        <f t="shared" si="60"/>
        <v>3.4824377063944763E-2</v>
      </c>
      <c r="M657" s="16">
        <f t="shared" si="61"/>
        <v>7.4712643678160925E-2</v>
      </c>
      <c r="N657" s="17">
        <f t="shared" si="62"/>
        <v>15.683908045977011</v>
      </c>
      <c r="O657" s="17">
        <f t="shared" si="63"/>
        <v>209.92307692307693</v>
      </c>
      <c r="P657" s="16">
        <f t="shared" si="64"/>
        <v>0.67010435850214856</v>
      </c>
      <c r="Q657" s="16">
        <f t="shared" si="65"/>
        <v>1.875229021619641</v>
      </c>
      <c r="R657" s="2" t="s">
        <v>1336</v>
      </c>
      <c r="S657" s="21" t="s">
        <v>35</v>
      </c>
      <c r="T657" s="21" t="s">
        <v>17</v>
      </c>
      <c r="U657" s="8">
        <v>5458</v>
      </c>
      <c r="V657" s="11">
        <v>1</v>
      </c>
      <c r="W657" t="str">
        <f>IF(Table1[[#This Row],[Satisfaction Rating]]&lt;2, "Low", IF(Table1[[#This Row],[Satisfaction Rating]]&lt;4, "Medium", "High"))</f>
        <v>Low</v>
      </c>
    </row>
    <row r="658" spans="1:23" ht="13" x14ac:dyDescent="0.15">
      <c r="A658" s="2" t="s">
        <v>1337</v>
      </c>
      <c r="B658" s="23">
        <v>45521.873344907406</v>
      </c>
      <c r="C658" s="23">
        <v>45521.873344907406</v>
      </c>
      <c r="D658" s="23" t="str">
        <f>IF(Table1[[#This Row],[Duration of Campaign]]=0, "Ongoing","Completed")</f>
        <v>Ongoing</v>
      </c>
      <c r="E658" s="25">
        <f>Table1[[#This Row],[End Date]]-Table1[[#This Row],[Start Date]]</f>
        <v>0</v>
      </c>
      <c r="F658" s="8">
        <v>2951</v>
      </c>
      <c r="G658" s="21" t="s">
        <v>19</v>
      </c>
      <c r="H658" s="11">
        <v>19091</v>
      </c>
      <c r="I658" s="11">
        <v>722</v>
      </c>
      <c r="J658" s="11">
        <v>269</v>
      </c>
      <c r="K658" s="13">
        <v>6835</v>
      </c>
      <c r="L658" s="16">
        <f t="shared" si="60"/>
        <v>3.7818867529202244E-2</v>
      </c>
      <c r="M658" s="16">
        <f t="shared" si="61"/>
        <v>0.37257617728531855</v>
      </c>
      <c r="N658" s="17">
        <f t="shared" si="62"/>
        <v>6.4168975069252081</v>
      </c>
      <c r="O658" s="17">
        <f t="shared" si="63"/>
        <v>17.223048327137548</v>
      </c>
      <c r="P658" s="16">
        <f t="shared" si="64"/>
        <v>1.5699762792273806</v>
      </c>
      <c r="Q658" s="16">
        <f t="shared" si="65"/>
        <v>1.475285991797971</v>
      </c>
      <c r="R658" s="2" t="s">
        <v>1338</v>
      </c>
      <c r="S658" s="21" t="s">
        <v>21</v>
      </c>
      <c r="T658" s="21" t="s">
        <v>45</v>
      </c>
      <c r="U658" s="8">
        <v>4633</v>
      </c>
      <c r="V658" s="11">
        <v>2</v>
      </c>
      <c r="W658" t="str">
        <f>IF(Table1[[#This Row],[Satisfaction Rating]]&lt;2, "Low", IF(Table1[[#This Row],[Satisfaction Rating]]&lt;4, "Medium", "High"))</f>
        <v>Medium</v>
      </c>
    </row>
    <row r="659" spans="1:23" ht="13" x14ac:dyDescent="0.15">
      <c r="A659" s="2" t="s">
        <v>1339</v>
      </c>
      <c r="B659" s="23">
        <v>44966.310590277775</v>
      </c>
      <c r="C659" s="23">
        <v>45475.523263888892</v>
      </c>
      <c r="D659" s="23" t="str">
        <f>IF(Table1[[#This Row],[Duration of Campaign]]=0, "Ongoing","Completed")</f>
        <v>Completed</v>
      </c>
      <c r="E659" s="25">
        <f>Table1[[#This Row],[End Date]]-Table1[[#This Row],[Start Date]]</f>
        <v>509.21267361111677</v>
      </c>
      <c r="F659" s="8">
        <v>8982</v>
      </c>
      <c r="G659" s="21" t="s">
        <v>37</v>
      </c>
      <c r="H659" s="11">
        <v>10727</v>
      </c>
      <c r="I659" s="11">
        <v>117</v>
      </c>
      <c r="J659" s="11">
        <v>111</v>
      </c>
      <c r="K659" s="13">
        <v>8341</v>
      </c>
      <c r="L659" s="16">
        <f t="shared" si="60"/>
        <v>1.0907056959075231E-2</v>
      </c>
      <c r="M659" s="16">
        <f t="shared" si="61"/>
        <v>0.94871794871794868</v>
      </c>
      <c r="N659" s="17">
        <f t="shared" si="62"/>
        <v>28.111111111111111</v>
      </c>
      <c r="O659" s="17">
        <f t="shared" si="63"/>
        <v>29.63063063063063</v>
      </c>
      <c r="P659" s="16">
        <f t="shared" si="64"/>
        <v>0.3661767980405255</v>
      </c>
      <c r="Q659" s="16">
        <f t="shared" si="65"/>
        <v>2.5360291882031012</v>
      </c>
      <c r="R659" s="2" t="s">
        <v>1340</v>
      </c>
      <c r="S659" s="21" t="s">
        <v>16</v>
      </c>
      <c r="T659" s="21" t="s">
        <v>45</v>
      </c>
      <c r="U659" s="8">
        <v>3289</v>
      </c>
      <c r="V659" s="11">
        <v>1</v>
      </c>
      <c r="W659" t="str">
        <f>IF(Table1[[#This Row],[Satisfaction Rating]]&lt;2, "Low", IF(Table1[[#This Row],[Satisfaction Rating]]&lt;4, "Medium", "High"))</f>
        <v>Low</v>
      </c>
    </row>
    <row r="660" spans="1:23" ht="13" x14ac:dyDescent="0.15">
      <c r="A660" s="2" t="s">
        <v>1341</v>
      </c>
      <c r="B660" s="23">
        <v>45259.760254629633</v>
      </c>
      <c r="C660" s="23">
        <v>45310.600370370368</v>
      </c>
      <c r="D660" s="23" t="str">
        <f>IF(Table1[[#This Row],[Duration of Campaign]]=0, "Ongoing","Completed")</f>
        <v>Completed</v>
      </c>
      <c r="E660" s="25">
        <f>Table1[[#This Row],[End Date]]-Table1[[#This Row],[Start Date]]</f>
        <v>50.8401157407352</v>
      </c>
      <c r="F660" s="8">
        <v>2652</v>
      </c>
      <c r="G660" s="21" t="s">
        <v>14</v>
      </c>
      <c r="H660" s="11">
        <v>16422</v>
      </c>
      <c r="I660" s="11">
        <v>1214</v>
      </c>
      <c r="J660" s="11">
        <v>165</v>
      </c>
      <c r="K660" s="13">
        <v>5194</v>
      </c>
      <c r="L660" s="16">
        <f t="shared" si="60"/>
        <v>7.3925222262818169E-2</v>
      </c>
      <c r="M660" s="16">
        <f t="shared" si="61"/>
        <v>0.13591433278418452</v>
      </c>
      <c r="N660" s="17">
        <f t="shared" si="62"/>
        <v>12.831136738056014</v>
      </c>
      <c r="O660" s="17">
        <f t="shared" si="63"/>
        <v>94.406060606060606</v>
      </c>
      <c r="P660" s="16">
        <f t="shared" si="64"/>
        <v>5.8736802413272997</v>
      </c>
      <c r="Q660" s="16">
        <f t="shared" si="65"/>
        <v>0.33344032868973489</v>
      </c>
      <c r="R660" s="2" t="s">
        <v>1342</v>
      </c>
      <c r="S660" s="21" t="s">
        <v>21</v>
      </c>
      <c r="T660" s="21" t="s">
        <v>17</v>
      </c>
      <c r="U660" s="8">
        <v>15577</v>
      </c>
      <c r="V660" s="11">
        <v>1</v>
      </c>
      <c r="W660" t="str">
        <f>IF(Table1[[#This Row],[Satisfaction Rating]]&lt;2, "Low", IF(Table1[[#This Row],[Satisfaction Rating]]&lt;4, "Medium", "High"))</f>
        <v>Low</v>
      </c>
    </row>
    <row r="661" spans="1:23" ht="13" x14ac:dyDescent="0.15">
      <c r="A661" s="2" t="s">
        <v>1343</v>
      </c>
      <c r="B661" s="23">
        <v>45343.953831018516</v>
      </c>
      <c r="C661" s="23">
        <v>45494.360983796294</v>
      </c>
      <c r="D661" s="23" t="str">
        <f>IF(Table1[[#This Row],[Duration of Campaign]]=0, "Ongoing","Completed")</f>
        <v>Completed</v>
      </c>
      <c r="E661" s="25">
        <f>Table1[[#This Row],[End Date]]-Table1[[#This Row],[Start Date]]</f>
        <v>150.40715277777781</v>
      </c>
      <c r="F661" s="8">
        <v>2920</v>
      </c>
      <c r="G661" s="21" t="s">
        <v>14</v>
      </c>
      <c r="H661" s="11">
        <v>8596</v>
      </c>
      <c r="I661" s="11">
        <v>632</v>
      </c>
      <c r="J661" s="11">
        <v>206</v>
      </c>
      <c r="K661" s="13">
        <v>7613</v>
      </c>
      <c r="L661" s="16">
        <f t="shared" si="60"/>
        <v>7.352256863657515E-2</v>
      </c>
      <c r="M661" s="16">
        <f t="shared" si="61"/>
        <v>0.32594936708860761</v>
      </c>
      <c r="N661" s="17">
        <f t="shared" si="62"/>
        <v>3.2041139240506329</v>
      </c>
      <c r="O661" s="17">
        <f t="shared" si="63"/>
        <v>9.8300970873786415</v>
      </c>
      <c r="P661" s="16">
        <f t="shared" si="64"/>
        <v>0.69349315068493156</v>
      </c>
      <c r="Q661" s="16">
        <f t="shared" si="65"/>
        <v>3.7595061728395063</v>
      </c>
      <c r="R661" s="2" t="s">
        <v>1344</v>
      </c>
      <c r="S661" s="21" t="s">
        <v>30</v>
      </c>
      <c r="T661" s="21" t="s">
        <v>45</v>
      </c>
      <c r="U661" s="8">
        <v>2025</v>
      </c>
      <c r="V661" s="11">
        <v>3</v>
      </c>
      <c r="W661" t="str">
        <f>IF(Table1[[#This Row],[Satisfaction Rating]]&lt;2, "Low", IF(Table1[[#This Row],[Satisfaction Rating]]&lt;4, "Medium", "High"))</f>
        <v>Medium</v>
      </c>
    </row>
    <row r="662" spans="1:23" ht="13" x14ac:dyDescent="0.15">
      <c r="A662" s="2" t="s">
        <v>1345</v>
      </c>
      <c r="B662" s="23">
        <v>45578.611793981479</v>
      </c>
      <c r="C662" s="23">
        <v>45578.611793981479</v>
      </c>
      <c r="D662" s="23" t="str">
        <f>IF(Table1[[#This Row],[Duration of Campaign]]=0, "Ongoing","Completed")</f>
        <v>Ongoing</v>
      </c>
      <c r="E662" s="25">
        <f>Table1[[#This Row],[End Date]]-Table1[[#This Row],[Start Date]]</f>
        <v>0</v>
      </c>
      <c r="F662" s="8">
        <v>4158</v>
      </c>
      <c r="G662" s="21" t="s">
        <v>37</v>
      </c>
      <c r="H662" s="11">
        <v>16914</v>
      </c>
      <c r="I662" s="11">
        <v>1935</v>
      </c>
      <c r="J662" s="11">
        <v>431</v>
      </c>
      <c r="K662" s="13">
        <v>1374</v>
      </c>
      <c r="L662" s="16">
        <f t="shared" si="60"/>
        <v>0.11440227030862007</v>
      </c>
      <c r="M662" s="16">
        <f t="shared" si="61"/>
        <v>0.22273901808785529</v>
      </c>
      <c r="N662" s="17">
        <f t="shared" si="62"/>
        <v>4.4661498708010337</v>
      </c>
      <c r="O662" s="17">
        <f t="shared" si="63"/>
        <v>20.051044083526683</v>
      </c>
      <c r="P662" s="16">
        <f t="shared" si="64"/>
        <v>2.0784030784030785</v>
      </c>
      <c r="Q662" s="16">
        <f t="shared" si="65"/>
        <v>0.15899097431150197</v>
      </c>
      <c r="R662" s="2" t="s">
        <v>1346</v>
      </c>
      <c r="S662" s="21" t="s">
        <v>30</v>
      </c>
      <c r="T662" s="21" t="s">
        <v>45</v>
      </c>
      <c r="U662" s="8">
        <v>8642</v>
      </c>
      <c r="V662" s="11">
        <v>3</v>
      </c>
      <c r="W662" t="str">
        <f>IF(Table1[[#This Row],[Satisfaction Rating]]&lt;2, "Low", IF(Table1[[#This Row],[Satisfaction Rating]]&lt;4, "Medium", "High"))</f>
        <v>Medium</v>
      </c>
    </row>
    <row r="663" spans="1:23" ht="13" x14ac:dyDescent="0.15">
      <c r="A663" s="2" t="s">
        <v>1347</v>
      </c>
      <c r="B663" s="23">
        <v>44936.171157407407</v>
      </c>
      <c r="C663" s="23">
        <v>45132.032256944447</v>
      </c>
      <c r="D663" s="23" t="str">
        <f>IF(Table1[[#This Row],[Duration of Campaign]]=0, "Ongoing","Completed")</f>
        <v>Completed</v>
      </c>
      <c r="E663" s="25">
        <f>Table1[[#This Row],[End Date]]-Table1[[#This Row],[Start Date]]</f>
        <v>195.86109953703999</v>
      </c>
      <c r="F663" s="8">
        <v>2767</v>
      </c>
      <c r="G663" s="21" t="s">
        <v>37</v>
      </c>
      <c r="H663" s="11">
        <v>4069</v>
      </c>
      <c r="I663" s="11">
        <v>141</v>
      </c>
      <c r="J663" s="11">
        <v>361</v>
      </c>
      <c r="K663" s="13">
        <v>1489</v>
      </c>
      <c r="L663" s="16">
        <f t="shared" si="60"/>
        <v>3.4652248709756694E-2</v>
      </c>
      <c r="M663" s="16">
        <f t="shared" si="61"/>
        <v>2.5602836879432624</v>
      </c>
      <c r="N663" s="17">
        <f t="shared" si="62"/>
        <v>60.645390070921984</v>
      </c>
      <c r="O663" s="17">
        <f t="shared" si="63"/>
        <v>23.686980609418281</v>
      </c>
      <c r="P663" s="16">
        <f t="shared" si="64"/>
        <v>3.0903505601734729</v>
      </c>
      <c r="Q663" s="16">
        <f t="shared" si="65"/>
        <v>0.17413168050520406</v>
      </c>
      <c r="R663" s="2" t="s">
        <v>1348</v>
      </c>
      <c r="S663" s="21" t="s">
        <v>24</v>
      </c>
      <c r="T663" s="21" t="s">
        <v>27</v>
      </c>
      <c r="U663" s="8">
        <v>8551</v>
      </c>
      <c r="V663" s="11">
        <v>5</v>
      </c>
      <c r="W663" t="str">
        <f>IF(Table1[[#This Row],[Satisfaction Rating]]&lt;2, "Low", IF(Table1[[#This Row],[Satisfaction Rating]]&lt;4, "Medium", "High"))</f>
        <v>High</v>
      </c>
    </row>
    <row r="664" spans="1:23" ht="13" x14ac:dyDescent="0.15">
      <c r="A664" s="2" t="s">
        <v>1349</v>
      </c>
      <c r="B664" s="23">
        <v>44963.542951388888</v>
      </c>
      <c r="C664" s="23">
        <v>45292.027488425927</v>
      </c>
      <c r="D664" s="23" t="str">
        <f>IF(Table1[[#This Row],[Duration of Campaign]]=0, "Ongoing","Completed")</f>
        <v>Completed</v>
      </c>
      <c r="E664" s="25">
        <f>Table1[[#This Row],[End Date]]-Table1[[#This Row],[Start Date]]</f>
        <v>328.48453703703854</v>
      </c>
      <c r="F664" s="8">
        <v>8998</v>
      </c>
      <c r="G664" s="21" t="s">
        <v>37</v>
      </c>
      <c r="H664" s="11">
        <v>2560</v>
      </c>
      <c r="I664" s="11">
        <v>1756</v>
      </c>
      <c r="J664" s="11">
        <v>59</v>
      </c>
      <c r="K664" s="13">
        <v>5639</v>
      </c>
      <c r="L664" s="16">
        <f t="shared" si="60"/>
        <v>0.68593749999999998</v>
      </c>
      <c r="M664" s="16">
        <f t="shared" si="61"/>
        <v>3.3599088838268794E-2</v>
      </c>
      <c r="N664" s="17">
        <f t="shared" si="62"/>
        <v>7.8268792710706148</v>
      </c>
      <c r="O664" s="17">
        <f t="shared" si="63"/>
        <v>232.94915254237287</v>
      </c>
      <c r="P664" s="16">
        <f t="shared" si="64"/>
        <v>1.5274505445654589</v>
      </c>
      <c r="Q664" s="16">
        <f t="shared" si="65"/>
        <v>0.41028812572759021</v>
      </c>
      <c r="R664" s="2" t="s">
        <v>1350</v>
      </c>
      <c r="S664" s="21" t="s">
        <v>21</v>
      </c>
      <c r="T664" s="21" t="s">
        <v>27</v>
      </c>
      <c r="U664" s="8">
        <v>13744</v>
      </c>
      <c r="V664" s="11">
        <v>1</v>
      </c>
      <c r="W664" t="str">
        <f>IF(Table1[[#This Row],[Satisfaction Rating]]&lt;2, "Low", IF(Table1[[#This Row],[Satisfaction Rating]]&lt;4, "Medium", "High"))</f>
        <v>Low</v>
      </c>
    </row>
    <row r="665" spans="1:23" ht="13" x14ac:dyDescent="0.15">
      <c r="A665" s="2" t="s">
        <v>1351</v>
      </c>
      <c r="B665" s="23">
        <v>45253.447118055556</v>
      </c>
      <c r="C665" s="23">
        <v>45447.630682870367</v>
      </c>
      <c r="D665" s="23" t="str">
        <f>IF(Table1[[#This Row],[Duration of Campaign]]=0, "Ongoing","Completed")</f>
        <v>Completed</v>
      </c>
      <c r="E665" s="25">
        <f>Table1[[#This Row],[End Date]]-Table1[[#This Row],[Start Date]]</f>
        <v>194.18356481481169</v>
      </c>
      <c r="F665" s="8">
        <v>2575</v>
      </c>
      <c r="G665" s="21" t="s">
        <v>53</v>
      </c>
      <c r="H665" s="11">
        <v>5277</v>
      </c>
      <c r="I665" s="11">
        <v>834</v>
      </c>
      <c r="J665" s="11">
        <v>143</v>
      </c>
      <c r="K665" s="13">
        <v>3636</v>
      </c>
      <c r="L665" s="16">
        <f t="shared" si="60"/>
        <v>0.15804434337691869</v>
      </c>
      <c r="M665" s="16">
        <f t="shared" si="61"/>
        <v>0.17146282973621102</v>
      </c>
      <c r="N665" s="17">
        <f t="shared" si="62"/>
        <v>4.224220623501199</v>
      </c>
      <c r="O665" s="17">
        <f t="shared" si="63"/>
        <v>24.636363636363637</v>
      </c>
      <c r="P665" s="16">
        <f t="shared" si="64"/>
        <v>1.3681553398058253</v>
      </c>
      <c r="Q665" s="16">
        <f t="shared" si="65"/>
        <v>1.0320749361339767</v>
      </c>
      <c r="R665" s="2" t="s">
        <v>1352</v>
      </c>
      <c r="S665" s="21" t="s">
        <v>24</v>
      </c>
      <c r="T665" s="21" t="s">
        <v>27</v>
      </c>
      <c r="U665" s="8">
        <v>3523</v>
      </c>
      <c r="V665" s="11">
        <v>1</v>
      </c>
      <c r="W665" t="str">
        <f>IF(Table1[[#This Row],[Satisfaction Rating]]&lt;2, "Low", IF(Table1[[#This Row],[Satisfaction Rating]]&lt;4, "Medium", "High"))</f>
        <v>Low</v>
      </c>
    </row>
    <row r="666" spans="1:23" ht="13" x14ac:dyDescent="0.15">
      <c r="A666" s="2" t="s">
        <v>1353</v>
      </c>
      <c r="B666" s="23">
        <v>45336.952604166669</v>
      </c>
      <c r="C666" s="23">
        <v>45336.952604166669</v>
      </c>
      <c r="D666" s="23" t="str">
        <f>IF(Table1[[#This Row],[Duration of Campaign]]=0, "Ongoing","Completed")</f>
        <v>Ongoing</v>
      </c>
      <c r="E666" s="25">
        <f>Table1[[#This Row],[End Date]]-Table1[[#This Row],[Start Date]]</f>
        <v>0</v>
      </c>
      <c r="F666" s="8">
        <v>4274</v>
      </c>
      <c r="G666" s="21" t="s">
        <v>37</v>
      </c>
      <c r="H666" s="11">
        <v>15615</v>
      </c>
      <c r="I666" s="11">
        <v>919</v>
      </c>
      <c r="J666" s="11">
        <v>338</v>
      </c>
      <c r="K666" s="13">
        <v>7405</v>
      </c>
      <c r="L666" s="16">
        <f t="shared" si="60"/>
        <v>5.8853666346461733E-2</v>
      </c>
      <c r="M666" s="16">
        <f t="shared" si="61"/>
        <v>0.36779107725788901</v>
      </c>
      <c r="N666" s="17">
        <f t="shared" si="62"/>
        <v>18.041349292709466</v>
      </c>
      <c r="O666" s="17">
        <f t="shared" si="63"/>
        <v>49.053254437869825</v>
      </c>
      <c r="P666" s="16">
        <f t="shared" si="64"/>
        <v>3.8792700046794573</v>
      </c>
      <c r="Q666" s="16">
        <f t="shared" si="65"/>
        <v>0.44662243667068757</v>
      </c>
      <c r="R666" s="2" t="s">
        <v>1354</v>
      </c>
      <c r="S666" s="21" t="s">
        <v>21</v>
      </c>
      <c r="T666" s="21" t="s">
        <v>27</v>
      </c>
      <c r="U666" s="8">
        <v>16580</v>
      </c>
      <c r="V666" s="11">
        <v>3</v>
      </c>
      <c r="W666" t="str">
        <f>IF(Table1[[#This Row],[Satisfaction Rating]]&lt;2, "Low", IF(Table1[[#This Row],[Satisfaction Rating]]&lt;4, "Medium", "High"))</f>
        <v>Medium</v>
      </c>
    </row>
    <row r="667" spans="1:23" ht="13" x14ac:dyDescent="0.15">
      <c r="A667" s="2" t="s">
        <v>1355</v>
      </c>
      <c r="B667" s="23">
        <v>44976.873032407406</v>
      </c>
      <c r="C667" s="23">
        <v>45193.629803240743</v>
      </c>
      <c r="D667" s="23" t="str">
        <f>IF(Table1[[#This Row],[Duration of Campaign]]=0, "Ongoing","Completed")</f>
        <v>Completed</v>
      </c>
      <c r="E667" s="25">
        <f>Table1[[#This Row],[End Date]]-Table1[[#This Row],[Start Date]]</f>
        <v>216.75677083333721</v>
      </c>
      <c r="F667" s="8">
        <v>2391</v>
      </c>
      <c r="G667" s="21" t="s">
        <v>53</v>
      </c>
      <c r="H667" s="11">
        <v>11904</v>
      </c>
      <c r="I667" s="11">
        <v>252</v>
      </c>
      <c r="J667" s="11">
        <v>198</v>
      </c>
      <c r="K667" s="13">
        <v>10748</v>
      </c>
      <c r="L667" s="16">
        <f t="shared" si="60"/>
        <v>2.1169354838709676E-2</v>
      </c>
      <c r="M667" s="16">
        <f t="shared" si="61"/>
        <v>0.7857142857142857</v>
      </c>
      <c r="N667" s="17">
        <f t="shared" si="62"/>
        <v>68.984126984126988</v>
      </c>
      <c r="O667" s="17">
        <f t="shared" si="63"/>
        <v>87.797979797979792</v>
      </c>
      <c r="P667" s="16">
        <f t="shared" si="64"/>
        <v>7.2705980761187785</v>
      </c>
      <c r="Q667" s="16">
        <f t="shared" si="65"/>
        <v>0.61826967326277038</v>
      </c>
      <c r="R667" s="2" t="s">
        <v>1356</v>
      </c>
      <c r="S667" s="21" t="s">
        <v>21</v>
      </c>
      <c r="T667" s="21" t="s">
        <v>45</v>
      </c>
      <c r="U667" s="8">
        <v>17384</v>
      </c>
      <c r="V667" s="11">
        <v>3</v>
      </c>
      <c r="W667" t="str">
        <f>IF(Table1[[#This Row],[Satisfaction Rating]]&lt;2, "Low", IF(Table1[[#This Row],[Satisfaction Rating]]&lt;4, "Medium", "High"))</f>
        <v>Medium</v>
      </c>
    </row>
    <row r="668" spans="1:23" ht="13" x14ac:dyDescent="0.15">
      <c r="A668" s="2" t="s">
        <v>1357</v>
      </c>
      <c r="B668" s="23">
        <v>45389.233182870368</v>
      </c>
      <c r="C668" s="23">
        <v>45389.233182870368</v>
      </c>
      <c r="D668" s="23" t="str">
        <f>IF(Table1[[#This Row],[Duration of Campaign]]=0, "Ongoing","Completed")</f>
        <v>Ongoing</v>
      </c>
      <c r="E668" s="25">
        <f>Table1[[#This Row],[End Date]]-Table1[[#This Row],[Start Date]]</f>
        <v>0</v>
      </c>
      <c r="F668" s="8">
        <v>1262</v>
      </c>
      <c r="G668" s="21" t="s">
        <v>37</v>
      </c>
      <c r="H668" s="11">
        <v>9374</v>
      </c>
      <c r="I668" s="11">
        <v>1399</v>
      </c>
      <c r="J668" s="11">
        <v>94</v>
      </c>
      <c r="K668" s="13">
        <v>6520</v>
      </c>
      <c r="L668" s="16">
        <f t="shared" si="60"/>
        <v>0.14924258587582676</v>
      </c>
      <c r="M668" s="16">
        <f t="shared" si="61"/>
        <v>6.7190850607576846E-2</v>
      </c>
      <c r="N668" s="17">
        <f t="shared" si="62"/>
        <v>8.9099356683345246</v>
      </c>
      <c r="O668" s="17">
        <f t="shared" si="63"/>
        <v>132.60638297872342</v>
      </c>
      <c r="P668" s="16">
        <f t="shared" si="64"/>
        <v>9.8771790808240887</v>
      </c>
      <c r="Q668" s="16">
        <f t="shared" si="65"/>
        <v>0.52306458082631369</v>
      </c>
      <c r="R668" s="2" t="s">
        <v>1358</v>
      </c>
      <c r="S668" s="21" t="s">
        <v>16</v>
      </c>
      <c r="T668" s="21" t="s">
        <v>17</v>
      </c>
      <c r="U668" s="8">
        <v>12465</v>
      </c>
      <c r="V668" s="11">
        <v>5</v>
      </c>
      <c r="W668" t="str">
        <f>IF(Table1[[#This Row],[Satisfaction Rating]]&lt;2, "Low", IF(Table1[[#This Row],[Satisfaction Rating]]&lt;4, "Medium", "High"))</f>
        <v>High</v>
      </c>
    </row>
    <row r="669" spans="1:23" ht="13" x14ac:dyDescent="0.15">
      <c r="A669" s="2" t="s">
        <v>1359</v>
      </c>
      <c r="B669" s="23">
        <v>45591.292743055557</v>
      </c>
      <c r="C669" s="23">
        <v>45591.292743055557</v>
      </c>
      <c r="D669" s="23" t="str">
        <f>IF(Table1[[#This Row],[Duration of Campaign]]=0, "Ongoing","Completed")</f>
        <v>Ongoing</v>
      </c>
      <c r="E669" s="25">
        <f>Table1[[#This Row],[End Date]]-Table1[[#This Row],[Start Date]]</f>
        <v>0</v>
      </c>
      <c r="F669" s="8">
        <v>1697</v>
      </c>
      <c r="G669" s="21" t="s">
        <v>19</v>
      </c>
      <c r="H669" s="11">
        <v>12907</v>
      </c>
      <c r="I669" s="11">
        <v>128</v>
      </c>
      <c r="J669" s="11">
        <v>126</v>
      </c>
      <c r="K669" s="13">
        <v>7134</v>
      </c>
      <c r="L669" s="16">
        <f t="shared" si="60"/>
        <v>9.9170992484698232E-3</v>
      </c>
      <c r="M669" s="16">
        <f t="shared" si="61"/>
        <v>0.984375</v>
      </c>
      <c r="N669" s="17">
        <f t="shared" si="62"/>
        <v>14.8125</v>
      </c>
      <c r="O669" s="17">
        <f t="shared" si="63"/>
        <v>15.047619047619047</v>
      </c>
      <c r="P669" s="16">
        <f t="shared" si="64"/>
        <v>1.1172657631113729</v>
      </c>
      <c r="Q669" s="16">
        <f t="shared" si="65"/>
        <v>3.7626582278481013</v>
      </c>
      <c r="R669" s="2" t="s">
        <v>1360</v>
      </c>
      <c r="S669" s="21" t="s">
        <v>30</v>
      </c>
      <c r="T669" s="21" t="s">
        <v>45</v>
      </c>
      <c r="U669" s="8">
        <v>1896</v>
      </c>
      <c r="V669" s="11">
        <v>1</v>
      </c>
      <c r="W669" t="str">
        <f>IF(Table1[[#This Row],[Satisfaction Rating]]&lt;2, "Low", IF(Table1[[#This Row],[Satisfaction Rating]]&lt;4, "Medium", "High"))</f>
        <v>Low</v>
      </c>
    </row>
    <row r="670" spans="1:23" ht="13" x14ac:dyDescent="0.15">
      <c r="A670" s="2" t="s">
        <v>1361</v>
      </c>
      <c r="B670" s="23">
        <v>45511.947245370371</v>
      </c>
      <c r="C670" s="23">
        <v>45511.947245370371</v>
      </c>
      <c r="D670" s="23" t="str">
        <f>IF(Table1[[#This Row],[Duration of Campaign]]=0, "Ongoing","Completed")</f>
        <v>Ongoing</v>
      </c>
      <c r="E670" s="25">
        <f>Table1[[#This Row],[End Date]]-Table1[[#This Row],[Start Date]]</f>
        <v>0</v>
      </c>
      <c r="F670" s="8">
        <v>9299</v>
      </c>
      <c r="G670" s="21" t="s">
        <v>53</v>
      </c>
      <c r="H670" s="11">
        <v>4550</v>
      </c>
      <c r="I670" s="11">
        <v>240</v>
      </c>
      <c r="J670" s="11">
        <v>397</v>
      </c>
      <c r="K670" s="13">
        <v>14570</v>
      </c>
      <c r="L670" s="16">
        <f t="shared" si="60"/>
        <v>5.2747252747252747E-2</v>
      </c>
      <c r="M670" s="16">
        <f t="shared" si="61"/>
        <v>1.6541666666666666</v>
      </c>
      <c r="N670" s="17">
        <f t="shared" si="62"/>
        <v>65.95</v>
      </c>
      <c r="O670" s="17">
        <f t="shared" si="63"/>
        <v>39.869017632241814</v>
      </c>
      <c r="P670" s="16">
        <f t="shared" si="64"/>
        <v>1.7021185073663836</v>
      </c>
      <c r="Q670" s="16">
        <f t="shared" si="65"/>
        <v>0.92052059641142281</v>
      </c>
      <c r="R670" s="2" t="s">
        <v>1362</v>
      </c>
      <c r="S670" s="21" t="s">
        <v>24</v>
      </c>
      <c r="T670" s="21" t="s">
        <v>17</v>
      </c>
      <c r="U670" s="8">
        <v>15828</v>
      </c>
      <c r="V670" s="11">
        <v>4</v>
      </c>
      <c r="W670" t="str">
        <f>IF(Table1[[#This Row],[Satisfaction Rating]]&lt;2, "Low", IF(Table1[[#This Row],[Satisfaction Rating]]&lt;4, "Medium", "High"))</f>
        <v>High</v>
      </c>
    </row>
    <row r="671" spans="1:23" ht="13" x14ac:dyDescent="0.15">
      <c r="A671" s="2" t="s">
        <v>1363</v>
      </c>
      <c r="B671" s="23">
        <v>44975.852673611109</v>
      </c>
      <c r="C671" s="23">
        <v>45471.388182870367</v>
      </c>
      <c r="D671" s="23" t="str">
        <f>IF(Table1[[#This Row],[Duration of Campaign]]=0, "Ongoing","Completed")</f>
        <v>Completed</v>
      </c>
      <c r="E671" s="25">
        <f>Table1[[#This Row],[End Date]]-Table1[[#This Row],[Start Date]]</f>
        <v>495.53550925925811</v>
      </c>
      <c r="F671" s="8">
        <v>7324</v>
      </c>
      <c r="G671" s="21" t="s">
        <v>37</v>
      </c>
      <c r="H671" s="11">
        <v>14931</v>
      </c>
      <c r="I671" s="11">
        <v>220</v>
      </c>
      <c r="J671" s="11">
        <v>324</v>
      </c>
      <c r="K671" s="13">
        <v>3720</v>
      </c>
      <c r="L671" s="16">
        <f t="shared" si="60"/>
        <v>1.473444511419195E-2</v>
      </c>
      <c r="M671" s="16">
        <f t="shared" si="61"/>
        <v>1.4727272727272727</v>
      </c>
      <c r="N671" s="17">
        <f t="shared" si="62"/>
        <v>15.504545454545454</v>
      </c>
      <c r="O671" s="17">
        <f t="shared" si="63"/>
        <v>10.527777777777779</v>
      </c>
      <c r="P671" s="16">
        <f t="shared" si="64"/>
        <v>0.46572910977607862</v>
      </c>
      <c r="Q671" s="16">
        <f t="shared" si="65"/>
        <v>1.0905892700087951</v>
      </c>
      <c r="R671" s="2" t="s">
        <v>1364</v>
      </c>
      <c r="S671" s="21" t="s">
        <v>21</v>
      </c>
      <c r="T671" s="21" t="s">
        <v>45</v>
      </c>
      <c r="U671" s="8">
        <v>3411</v>
      </c>
      <c r="V671" s="11">
        <v>2</v>
      </c>
      <c r="W671" t="str">
        <f>IF(Table1[[#This Row],[Satisfaction Rating]]&lt;2, "Low", IF(Table1[[#This Row],[Satisfaction Rating]]&lt;4, "Medium", "High"))</f>
        <v>Medium</v>
      </c>
    </row>
    <row r="672" spans="1:23" ht="13" x14ac:dyDescent="0.15">
      <c r="A672" s="2" t="s">
        <v>1365</v>
      </c>
      <c r="B672" s="23">
        <v>45255.283842592595</v>
      </c>
      <c r="C672" s="23">
        <v>45255.283842592595</v>
      </c>
      <c r="D672" s="23" t="str">
        <f>IF(Table1[[#This Row],[Duration of Campaign]]=0, "Ongoing","Completed")</f>
        <v>Ongoing</v>
      </c>
      <c r="E672" s="25">
        <f>Table1[[#This Row],[End Date]]-Table1[[#This Row],[Start Date]]</f>
        <v>0</v>
      </c>
      <c r="F672" s="8">
        <v>1790</v>
      </c>
      <c r="G672" s="21" t="s">
        <v>53</v>
      </c>
      <c r="H672" s="11">
        <v>3097</v>
      </c>
      <c r="I672" s="11">
        <v>982</v>
      </c>
      <c r="J672" s="11">
        <v>338</v>
      </c>
      <c r="K672" s="13">
        <v>7020</v>
      </c>
      <c r="L672" s="16">
        <f t="shared" si="60"/>
        <v>0.31708104617371652</v>
      </c>
      <c r="M672" s="16">
        <f t="shared" si="61"/>
        <v>0.34419551934826886</v>
      </c>
      <c r="N672" s="17">
        <f t="shared" si="62"/>
        <v>5.1904276985743385</v>
      </c>
      <c r="O672" s="17">
        <f t="shared" si="63"/>
        <v>15.079881656804734</v>
      </c>
      <c r="P672" s="16">
        <f t="shared" si="64"/>
        <v>2.8474860335195529</v>
      </c>
      <c r="Q672" s="16">
        <f t="shared" si="65"/>
        <v>1.3772807533843436</v>
      </c>
      <c r="R672" s="2" t="s">
        <v>1366</v>
      </c>
      <c r="S672" s="21" t="s">
        <v>16</v>
      </c>
      <c r="T672" s="21" t="s">
        <v>17</v>
      </c>
      <c r="U672" s="8">
        <v>5097</v>
      </c>
      <c r="V672" s="11">
        <v>4</v>
      </c>
      <c r="W672" t="str">
        <f>IF(Table1[[#This Row],[Satisfaction Rating]]&lt;2, "Low", IF(Table1[[#This Row],[Satisfaction Rating]]&lt;4, "Medium", "High"))</f>
        <v>High</v>
      </c>
    </row>
    <row r="673" spans="1:23" ht="13" x14ac:dyDescent="0.15">
      <c r="A673" s="2" t="s">
        <v>1367</v>
      </c>
      <c r="B673" s="23">
        <v>45042.252939814818</v>
      </c>
      <c r="C673" s="23">
        <v>45284.815266203703</v>
      </c>
      <c r="D673" s="23" t="str">
        <f>IF(Table1[[#This Row],[Duration of Campaign]]=0, "Ongoing","Completed")</f>
        <v>Completed</v>
      </c>
      <c r="E673" s="25">
        <f>Table1[[#This Row],[End Date]]-Table1[[#This Row],[Start Date]]</f>
        <v>242.56232638888469</v>
      </c>
      <c r="F673" s="8">
        <v>9736</v>
      </c>
      <c r="G673" s="21" t="s">
        <v>37</v>
      </c>
      <c r="H673" s="11">
        <v>16245</v>
      </c>
      <c r="I673" s="11">
        <v>941</v>
      </c>
      <c r="J673" s="11">
        <v>10</v>
      </c>
      <c r="K673" s="13">
        <v>12711</v>
      </c>
      <c r="L673" s="16">
        <f t="shared" si="60"/>
        <v>5.7925515543244079E-2</v>
      </c>
      <c r="M673" s="16">
        <f t="shared" si="61"/>
        <v>1.0626992561105207E-2</v>
      </c>
      <c r="N673" s="17">
        <f t="shared" si="62"/>
        <v>3.6482465462274178</v>
      </c>
      <c r="O673" s="17">
        <f t="shared" si="63"/>
        <v>343.3</v>
      </c>
      <c r="P673" s="16">
        <f t="shared" si="64"/>
        <v>0.35260887428101889</v>
      </c>
      <c r="Q673" s="16">
        <f t="shared" si="65"/>
        <v>3.7025924847072531</v>
      </c>
      <c r="R673" s="2" t="s">
        <v>1368</v>
      </c>
      <c r="S673" s="21" t="s">
        <v>24</v>
      </c>
      <c r="T673" s="21" t="s">
        <v>27</v>
      </c>
      <c r="U673" s="8">
        <v>3433</v>
      </c>
      <c r="V673" s="11">
        <v>5</v>
      </c>
      <c r="W673" t="str">
        <f>IF(Table1[[#This Row],[Satisfaction Rating]]&lt;2, "Low", IF(Table1[[#This Row],[Satisfaction Rating]]&lt;4, "Medium", "High"))</f>
        <v>High</v>
      </c>
    </row>
    <row r="674" spans="1:23" ht="13" x14ac:dyDescent="0.15">
      <c r="A674" s="2" t="s">
        <v>1369</v>
      </c>
      <c r="B674" s="23">
        <v>45242.101331018515</v>
      </c>
      <c r="C674" s="23">
        <v>45242.101331018515</v>
      </c>
      <c r="D674" s="23" t="str">
        <f>IF(Table1[[#This Row],[Duration of Campaign]]=0, "Ongoing","Completed")</f>
        <v>Ongoing</v>
      </c>
      <c r="E674" s="25">
        <f>Table1[[#This Row],[End Date]]-Table1[[#This Row],[Start Date]]</f>
        <v>0</v>
      </c>
      <c r="F674" s="8">
        <v>3314</v>
      </c>
      <c r="G674" s="21" t="s">
        <v>37</v>
      </c>
      <c r="H674" s="11">
        <v>9644</v>
      </c>
      <c r="I674" s="11">
        <v>236</v>
      </c>
      <c r="J674" s="11">
        <v>278</v>
      </c>
      <c r="K674" s="13">
        <v>6668</v>
      </c>
      <c r="L674" s="16">
        <f t="shared" si="60"/>
        <v>2.4471173786810452E-2</v>
      </c>
      <c r="M674" s="16">
        <f t="shared" si="61"/>
        <v>1.1779661016949152</v>
      </c>
      <c r="N674" s="17">
        <f t="shared" si="62"/>
        <v>69.322033898305079</v>
      </c>
      <c r="O674" s="17">
        <f t="shared" si="63"/>
        <v>58.848920863309353</v>
      </c>
      <c r="P674" s="16">
        <f t="shared" si="64"/>
        <v>4.9366324683162341</v>
      </c>
      <c r="Q674" s="16">
        <f t="shared" si="65"/>
        <v>0.40757946210268947</v>
      </c>
      <c r="R674" s="2" t="s">
        <v>1370</v>
      </c>
      <c r="S674" s="21" t="s">
        <v>24</v>
      </c>
      <c r="T674" s="21" t="s">
        <v>45</v>
      </c>
      <c r="U674" s="8">
        <v>16360</v>
      </c>
      <c r="V674" s="11">
        <v>1</v>
      </c>
      <c r="W674" t="str">
        <f>IF(Table1[[#This Row],[Satisfaction Rating]]&lt;2, "Low", IF(Table1[[#This Row],[Satisfaction Rating]]&lt;4, "Medium", "High"))</f>
        <v>Low</v>
      </c>
    </row>
    <row r="675" spans="1:23" ht="13" x14ac:dyDescent="0.15">
      <c r="A675" s="2" t="s">
        <v>1371</v>
      </c>
      <c r="B675" s="23">
        <v>45278.148032407407</v>
      </c>
      <c r="C675" s="23">
        <v>45393.395914351851</v>
      </c>
      <c r="D675" s="23" t="str">
        <f>IF(Table1[[#This Row],[Duration of Campaign]]=0, "Ongoing","Completed")</f>
        <v>Completed</v>
      </c>
      <c r="E675" s="25">
        <f>Table1[[#This Row],[End Date]]-Table1[[#This Row],[Start Date]]</f>
        <v>115.24788194444409</v>
      </c>
      <c r="F675" s="8">
        <v>7163</v>
      </c>
      <c r="G675" s="21" t="s">
        <v>19</v>
      </c>
      <c r="H675" s="11">
        <v>4096</v>
      </c>
      <c r="I675" s="11">
        <v>663</v>
      </c>
      <c r="J675" s="11">
        <v>78</v>
      </c>
      <c r="K675" s="13">
        <v>12654</v>
      </c>
      <c r="L675" s="16">
        <f t="shared" si="60"/>
        <v>0.161865234375</v>
      </c>
      <c r="M675" s="16">
        <f t="shared" si="61"/>
        <v>0.11764705882352941</v>
      </c>
      <c r="N675" s="17">
        <f t="shared" si="62"/>
        <v>10.242835595776771</v>
      </c>
      <c r="O675" s="17">
        <f t="shared" si="63"/>
        <v>87.064102564102569</v>
      </c>
      <c r="P675" s="16">
        <f t="shared" si="64"/>
        <v>0.94806645260365774</v>
      </c>
      <c r="Q675" s="16">
        <f t="shared" si="65"/>
        <v>1.8633485495508761</v>
      </c>
      <c r="R675" s="2" t="s">
        <v>1372</v>
      </c>
      <c r="S675" s="21" t="s">
        <v>35</v>
      </c>
      <c r="T675" s="21" t="s">
        <v>45</v>
      </c>
      <c r="U675" s="8">
        <v>6791</v>
      </c>
      <c r="V675" s="11">
        <v>2</v>
      </c>
      <c r="W675" t="str">
        <f>IF(Table1[[#This Row],[Satisfaction Rating]]&lt;2, "Low", IF(Table1[[#This Row],[Satisfaction Rating]]&lt;4, "Medium", "High"))</f>
        <v>Medium</v>
      </c>
    </row>
    <row r="676" spans="1:23" ht="13" x14ac:dyDescent="0.15">
      <c r="A676" s="2" t="s">
        <v>1373</v>
      </c>
      <c r="B676" s="23">
        <v>45302.786921296298</v>
      </c>
      <c r="C676" s="23">
        <v>45302.786921296298</v>
      </c>
      <c r="D676" s="23" t="str">
        <f>IF(Table1[[#This Row],[Duration of Campaign]]=0, "Ongoing","Completed")</f>
        <v>Ongoing</v>
      </c>
      <c r="E676" s="25">
        <f>Table1[[#This Row],[End Date]]-Table1[[#This Row],[Start Date]]</f>
        <v>0</v>
      </c>
      <c r="F676" s="8">
        <v>5802</v>
      </c>
      <c r="G676" s="21" t="s">
        <v>53</v>
      </c>
      <c r="H676" s="11">
        <v>2608</v>
      </c>
      <c r="I676" s="11">
        <v>1767</v>
      </c>
      <c r="J676" s="11">
        <v>437</v>
      </c>
      <c r="K676" s="13">
        <v>4558</v>
      </c>
      <c r="L676" s="16">
        <f t="shared" si="60"/>
        <v>0.67753067484662577</v>
      </c>
      <c r="M676" s="16">
        <f t="shared" si="61"/>
        <v>0.24731182795698925</v>
      </c>
      <c r="N676" s="17">
        <f t="shared" si="62"/>
        <v>1.4233163554046406</v>
      </c>
      <c r="O676" s="17">
        <f t="shared" si="63"/>
        <v>5.7551487414187639</v>
      </c>
      <c r="P676" s="16">
        <f t="shared" si="64"/>
        <v>0.43347121682178558</v>
      </c>
      <c r="Q676" s="16">
        <f t="shared" si="65"/>
        <v>1.8123260437375746</v>
      </c>
      <c r="R676" s="2" t="s">
        <v>1374</v>
      </c>
      <c r="S676" s="21" t="s">
        <v>16</v>
      </c>
      <c r="T676" s="21" t="s">
        <v>17</v>
      </c>
      <c r="U676" s="8">
        <v>2515</v>
      </c>
      <c r="V676" s="11">
        <v>5</v>
      </c>
      <c r="W676" t="str">
        <f>IF(Table1[[#This Row],[Satisfaction Rating]]&lt;2, "Low", IF(Table1[[#This Row],[Satisfaction Rating]]&lt;4, "Medium", "High"))</f>
        <v>High</v>
      </c>
    </row>
    <row r="677" spans="1:23" ht="13" x14ac:dyDescent="0.15">
      <c r="A677" s="2" t="s">
        <v>1375</v>
      </c>
      <c r="B677" s="23">
        <v>45535.733159722222</v>
      </c>
      <c r="C677" s="23">
        <v>45535.733159722222</v>
      </c>
      <c r="D677" s="23" t="str">
        <f>IF(Table1[[#This Row],[Duration of Campaign]]=0, "Ongoing","Completed")</f>
        <v>Ongoing</v>
      </c>
      <c r="E677" s="25">
        <f>Table1[[#This Row],[End Date]]-Table1[[#This Row],[Start Date]]</f>
        <v>0</v>
      </c>
      <c r="F677" s="8">
        <v>1628</v>
      </c>
      <c r="G677" s="21" t="s">
        <v>14</v>
      </c>
      <c r="H677" s="11">
        <v>3105</v>
      </c>
      <c r="I677" s="11">
        <v>1257</v>
      </c>
      <c r="J677" s="11">
        <v>344</v>
      </c>
      <c r="K677" s="13">
        <v>7507</v>
      </c>
      <c r="L677" s="16">
        <f t="shared" si="60"/>
        <v>0.40483091787439612</v>
      </c>
      <c r="M677" s="16">
        <f t="shared" si="61"/>
        <v>0.27366746221161498</v>
      </c>
      <c r="N677" s="17">
        <f t="shared" si="62"/>
        <v>13.98170246618934</v>
      </c>
      <c r="O677" s="17">
        <f t="shared" si="63"/>
        <v>51.090116279069768</v>
      </c>
      <c r="P677" s="16">
        <f t="shared" si="64"/>
        <v>10.795454545454545</v>
      </c>
      <c r="Q677" s="16">
        <f t="shared" si="65"/>
        <v>0.42714082503556189</v>
      </c>
      <c r="R677" s="2" t="s">
        <v>1376</v>
      </c>
      <c r="S677" s="21" t="s">
        <v>16</v>
      </c>
      <c r="T677" s="21" t="s">
        <v>17</v>
      </c>
      <c r="U677" s="8">
        <v>17575</v>
      </c>
      <c r="V677" s="11">
        <v>3</v>
      </c>
      <c r="W677" t="str">
        <f>IF(Table1[[#This Row],[Satisfaction Rating]]&lt;2, "Low", IF(Table1[[#This Row],[Satisfaction Rating]]&lt;4, "Medium", "High"))</f>
        <v>Medium</v>
      </c>
    </row>
    <row r="678" spans="1:23" ht="13" x14ac:dyDescent="0.15">
      <c r="A678" s="2" t="s">
        <v>1377</v>
      </c>
      <c r="B678" s="23">
        <v>45266.763761574075</v>
      </c>
      <c r="C678" s="23">
        <v>45323.525706018518</v>
      </c>
      <c r="D678" s="23" t="str">
        <f>IF(Table1[[#This Row],[Duration of Campaign]]=0, "Ongoing","Completed")</f>
        <v>Completed</v>
      </c>
      <c r="E678" s="25">
        <f>Table1[[#This Row],[End Date]]-Table1[[#This Row],[Start Date]]</f>
        <v>56.761944444442634</v>
      </c>
      <c r="F678" s="8">
        <v>8358</v>
      </c>
      <c r="G678" s="21" t="s">
        <v>37</v>
      </c>
      <c r="H678" s="11">
        <v>14995</v>
      </c>
      <c r="I678" s="11">
        <v>439</v>
      </c>
      <c r="J678" s="11">
        <v>253</v>
      </c>
      <c r="K678" s="13">
        <v>7736</v>
      </c>
      <c r="L678" s="16">
        <f t="shared" si="60"/>
        <v>2.9276425475158387E-2</v>
      </c>
      <c r="M678" s="16">
        <f t="shared" si="61"/>
        <v>0.57630979498861046</v>
      </c>
      <c r="N678" s="17">
        <f t="shared" si="62"/>
        <v>19.068337129840547</v>
      </c>
      <c r="O678" s="17">
        <f t="shared" si="63"/>
        <v>33.086956521739133</v>
      </c>
      <c r="P678" s="16">
        <f t="shared" si="64"/>
        <v>1.0015553960277579</v>
      </c>
      <c r="Q678" s="16">
        <f t="shared" si="65"/>
        <v>0.92414287420857721</v>
      </c>
      <c r="R678" s="2" t="s">
        <v>1378</v>
      </c>
      <c r="S678" s="21" t="s">
        <v>35</v>
      </c>
      <c r="T678" s="21" t="s">
        <v>17</v>
      </c>
      <c r="U678" s="8">
        <v>8371</v>
      </c>
      <c r="V678" s="11">
        <v>1</v>
      </c>
      <c r="W678" t="str">
        <f>IF(Table1[[#This Row],[Satisfaction Rating]]&lt;2, "Low", IF(Table1[[#This Row],[Satisfaction Rating]]&lt;4, "Medium", "High"))</f>
        <v>Low</v>
      </c>
    </row>
    <row r="679" spans="1:23" ht="13" x14ac:dyDescent="0.15">
      <c r="A679" s="2" t="s">
        <v>1379</v>
      </c>
      <c r="B679" s="23">
        <v>45055.667303240742</v>
      </c>
      <c r="C679" s="23">
        <v>45278.565798611111</v>
      </c>
      <c r="D679" s="23" t="str">
        <f>IF(Table1[[#This Row],[Duration of Campaign]]=0, "Ongoing","Completed")</f>
        <v>Completed</v>
      </c>
      <c r="E679" s="25">
        <f>Table1[[#This Row],[End Date]]-Table1[[#This Row],[Start Date]]</f>
        <v>222.89849537036935</v>
      </c>
      <c r="F679" s="8">
        <v>8659</v>
      </c>
      <c r="G679" s="21" t="s">
        <v>19</v>
      </c>
      <c r="H679" s="11">
        <v>1631</v>
      </c>
      <c r="I679" s="11">
        <v>1324</v>
      </c>
      <c r="J679" s="11">
        <v>233</v>
      </c>
      <c r="K679" s="13">
        <v>6064</v>
      </c>
      <c r="L679" s="16">
        <f t="shared" si="60"/>
        <v>0.81177191906805646</v>
      </c>
      <c r="M679" s="16">
        <f t="shared" si="61"/>
        <v>0.17598187311178248</v>
      </c>
      <c r="N679" s="17">
        <f t="shared" si="62"/>
        <v>3.1895770392749245</v>
      </c>
      <c r="O679" s="17">
        <f t="shared" si="63"/>
        <v>18.124463519313306</v>
      </c>
      <c r="P679" s="16">
        <f t="shared" si="64"/>
        <v>0.48770065827462755</v>
      </c>
      <c r="Q679" s="16">
        <f t="shared" si="65"/>
        <v>1.4359460099455363</v>
      </c>
      <c r="R679" s="2" t="s">
        <v>1380</v>
      </c>
      <c r="S679" s="21" t="s">
        <v>21</v>
      </c>
      <c r="T679" s="21" t="s">
        <v>27</v>
      </c>
      <c r="U679" s="8">
        <v>4223</v>
      </c>
      <c r="V679" s="11">
        <v>4</v>
      </c>
      <c r="W679" t="str">
        <f>IF(Table1[[#This Row],[Satisfaction Rating]]&lt;2, "Low", IF(Table1[[#This Row],[Satisfaction Rating]]&lt;4, "Medium", "High"))</f>
        <v>High</v>
      </c>
    </row>
    <row r="680" spans="1:23" ht="13" x14ac:dyDescent="0.15">
      <c r="A680" s="2" t="s">
        <v>1381</v>
      </c>
      <c r="B680" s="23">
        <v>45199.84915509259</v>
      </c>
      <c r="C680" s="23">
        <v>45343.538611111115</v>
      </c>
      <c r="D680" s="23" t="str">
        <f>IF(Table1[[#This Row],[Duration of Campaign]]=0, "Ongoing","Completed")</f>
        <v>Completed</v>
      </c>
      <c r="E680" s="25">
        <f>Table1[[#This Row],[End Date]]-Table1[[#This Row],[Start Date]]</f>
        <v>143.68945601852465</v>
      </c>
      <c r="F680" s="8">
        <v>7480</v>
      </c>
      <c r="G680" s="21" t="s">
        <v>37</v>
      </c>
      <c r="H680" s="11">
        <v>10728</v>
      </c>
      <c r="I680" s="11">
        <v>1375</v>
      </c>
      <c r="J680" s="11">
        <v>246</v>
      </c>
      <c r="K680" s="13">
        <v>11959</v>
      </c>
      <c r="L680" s="16">
        <f t="shared" si="60"/>
        <v>0.12816927665920955</v>
      </c>
      <c r="M680" s="16">
        <f t="shared" si="61"/>
        <v>0.17890909090909091</v>
      </c>
      <c r="N680" s="17">
        <f t="shared" si="62"/>
        <v>1.1127272727272728</v>
      </c>
      <c r="O680" s="17">
        <f t="shared" si="63"/>
        <v>6.2195121951219514</v>
      </c>
      <c r="P680" s="16">
        <f t="shared" si="64"/>
        <v>0.20454545454545456</v>
      </c>
      <c r="Q680" s="16">
        <f t="shared" si="65"/>
        <v>7.8163398692810455</v>
      </c>
      <c r="R680" s="2" t="s">
        <v>1382</v>
      </c>
      <c r="S680" s="21" t="s">
        <v>35</v>
      </c>
      <c r="T680" s="21" t="s">
        <v>17</v>
      </c>
      <c r="U680" s="8">
        <v>1530</v>
      </c>
      <c r="V680" s="11">
        <v>1</v>
      </c>
      <c r="W680" t="str">
        <f>IF(Table1[[#This Row],[Satisfaction Rating]]&lt;2, "Low", IF(Table1[[#This Row],[Satisfaction Rating]]&lt;4, "Medium", "High"))</f>
        <v>Low</v>
      </c>
    </row>
    <row r="681" spans="1:23" ht="13" x14ac:dyDescent="0.15">
      <c r="A681" s="2" t="s">
        <v>1383</v>
      </c>
      <c r="B681" s="23">
        <v>45134.607881944445</v>
      </c>
      <c r="C681" s="23">
        <v>45280.110185185185</v>
      </c>
      <c r="D681" s="23" t="str">
        <f>IF(Table1[[#This Row],[Duration of Campaign]]=0, "Ongoing","Completed")</f>
        <v>Completed</v>
      </c>
      <c r="E681" s="25">
        <f>Table1[[#This Row],[End Date]]-Table1[[#This Row],[Start Date]]</f>
        <v>145.50230324074073</v>
      </c>
      <c r="F681" s="8">
        <v>1491</v>
      </c>
      <c r="G681" s="21" t="s">
        <v>53</v>
      </c>
      <c r="H681" s="11">
        <v>11824</v>
      </c>
      <c r="I681" s="11">
        <v>1215</v>
      </c>
      <c r="J681" s="11">
        <v>256</v>
      </c>
      <c r="K681" s="13">
        <v>9867</v>
      </c>
      <c r="L681" s="16">
        <f t="shared" si="60"/>
        <v>0.10275710419485791</v>
      </c>
      <c r="M681" s="16">
        <f t="shared" si="61"/>
        <v>0.21069958847736625</v>
      </c>
      <c r="N681" s="17">
        <f t="shared" si="62"/>
        <v>10.020576131687243</v>
      </c>
      <c r="O681" s="17">
        <f t="shared" si="63"/>
        <v>47.55859375</v>
      </c>
      <c r="P681" s="16">
        <f t="shared" si="64"/>
        <v>8.1656606304493629</v>
      </c>
      <c r="Q681" s="16">
        <f t="shared" si="65"/>
        <v>0.81043121149897335</v>
      </c>
      <c r="R681" s="2" t="s">
        <v>1384</v>
      </c>
      <c r="S681" s="21" t="s">
        <v>35</v>
      </c>
      <c r="T681" s="21" t="s">
        <v>27</v>
      </c>
      <c r="U681" s="8">
        <v>12175</v>
      </c>
      <c r="V681" s="11">
        <v>2</v>
      </c>
      <c r="W681" t="str">
        <f>IF(Table1[[#This Row],[Satisfaction Rating]]&lt;2, "Low", IF(Table1[[#This Row],[Satisfaction Rating]]&lt;4, "Medium", "High"))</f>
        <v>Medium</v>
      </c>
    </row>
    <row r="682" spans="1:23" ht="13" x14ac:dyDescent="0.15">
      <c r="A682" s="2" t="s">
        <v>1385</v>
      </c>
      <c r="B682" s="23">
        <v>45266.333993055552</v>
      </c>
      <c r="C682" s="23">
        <v>45353.656689814816</v>
      </c>
      <c r="D682" s="23" t="str">
        <f>IF(Table1[[#This Row],[Duration of Campaign]]=0, "Ongoing","Completed")</f>
        <v>Completed</v>
      </c>
      <c r="E682" s="25">
        <f>Table1[[#This Row],[End Date]]-Table1[[#This Row],[Start Date]]</f>
        <v>87.322696759263636</v>
      </c>
      <c r="F682" s="8">
        <v>4670</v>
      </c>
      <c r="G682" s="21" t="s">
        <v>14</v>
      </c>
      <c r="H682" s="11">
        <v>8798</v>
      </c>
      <c r="I682" s="11">
        <v>1686</v>
      </c>
      <c r="J682" s="11">
        <v>366</v>
      </c>
      <c r="K682" s="13">
        <v>11810</v>
      </c>
      <c r="L682" s="16">
        <f t="shared" si="60"/>
        <v>0.19163446237781315</v>
      </c>
      <c r="M682" s="16">
        <f t="shared" si="61"/>
        <v>0.21708185053380782</v>
      </c>
      <c r="N682" s="17">
        <f t="shared" si="62"/>
        <v>4.1909845788849349</v>
      </c>
      <c r="O682" s="17">
        <f t="shared" si="63"/>
        <v>19.306010928961747</v>
      </c>
      <c r="P682" s="16">
        <f t="shared" si="64"/>
        <v>1.5130620985010708</v>
      </c>
      <c r="Q682" s="16">
        <f t="shared" si="65"/>
        <v>1.6713840928389472</v>
      </c>
      <c r="R682" s="2" t="s">
        <v>1386</v>
      </c>
      <c r="S682" s="21" t="s">
        <v>16</v>
      </c>
      <c r="T682" s="21" t="s">
        <v>17</v>
      </c>
      <c r="U682" s="8">
        <v>7066</v>
      </c>
      <c r="V682" s="11">
        <v>4</v>
      </c>
      <c r="W682" t="str">
        <f>IF(Table1[[#This Row],[Satisfaction Rating]]&lt;2, "Low", IF(Table1[[#This Row],[Satisfaction Rating]]&lt;4, "Medium", "High"))</f>
        <v>High</v>
      </c>
    </row>
    <row r="683" spans="1:23" ht="13" x14ac:dyDescent="0.15">
      <c r="A683" s="2" t="s">
        <v>1387</v>
      </c>
      <c r="B683" s="23">
        <v>45100.61509259259</v>
      </c>
      <c r="C683" s="23">
        <v>45100.61509259259</v>
      </c>
      <c r="D683" s="23" t="str">
        <f>IF(Table1[[#This Row],[Duration of Campaign]]=0, "Ongoing","Completed")</f>
        <v>Ongoing</v>
      </c>
      <c r="E683" s="25">
        <f>Table1[[#This Row],[End Date]]-Table1[[#This Row],[Start Date]]</f>
        <v>0</v>
      </c>
      <c r="F683" s="8">
        <v>6450</v>
      </c>
      <c r="G683" s="21" t="s">
        <v>37</v>
      </c>
      <c r="H683" s="11">
        <v>18006</v>
      </c>
      <c r="I683" s="11">
        <v>1633</v>
      </c>
      <c r="J683" s="11">
        <v>313</v>
      </c>
      <c r="K683" s="13">
        <v>8800</v>
      </c>
      <c r="L683" s="16">
        <f t="shared" si="60"/>
        <v>9.0691991558369434E-2</v>
      </c>
      <c r="M683" s="16">
        <f t="shared" si="61"/>
        <v>0.19167176974892836</v>
      </c>
      <c r="N683" s="17">
        <f t="shared" si="62"/>
        <v>11.718922229026331</v>
      </c>
      <c r="O683" s="17">
        <f t="shared" si="63"/>
        <v>61.140575079872207</v>
      </c>
      <c r="P683" s="16">
        <f t="shared" si="64"/>
        <v>2.9669767441860464</v>
      </c>
      <c r="Q683" s="16">
        <f t="shared" si="65"/>
        <v>0.4598421905209803</v>
      </c>
      <c r="R683" s="2" t="s">
        <v>1388</v>
      </c>
      <c r="S683" s="21" t="s">
        <v>35</v>
      </c>
      <c r="T683" s="21" t="s">
        <v>27</v>
      </c>
      <c r="U683" s="8">
        <v>19137</v>
      </c>
      <c r="V683" s="11">
        <v>1</v>
      </c>
      <c r="W683" t="str">
        <f>IF(Table1[[#This Row],[Satisfaction Rating]]&lt;2, "Low", IF(Table1[[#This Row],[Satisfaction Rating]]&lt;4, "Medium", "High"))</f>
        <v>Low</v>
      </c>
    </row>
    <row r="684" spans="1:23" ht="13" x14ac:dyDescent="0.15">
      <c r="A684" s="2" t="s">
        <v>1389</v>
      </c>
      <c r="B684" s="23">
        <v>44982.029687499999</v>
      </c>
      <c r="C684" s="23">
        <v>45111.83353009259</v>
      </c>
      <c r="D684" s="23" t="str">
        <f>IF(Table1[[#This Row],[Duration of Campaign]]=0, "Ongoing","Completed")</f>
        <v>Completed</v>
      </c>
      <c r="E684" s="25">
        <f>Table1[[#This Row],[End Date]]-Table1[[#This Row],[Start Date]]</f>
        <v>129.80384259259154</v>
      </c>
      <c r="F684" s="8">
        <v>6178</v>
      </c>
      <c r="G684" s="21" t="s">
        <v>53</v>
      </c>
      <c r="H684" s="11">
        <v>17614</v>
      </c>
      <c r="I684" s="11">
        <v>1523</v>
      </c>
      <c r="J684" s="11">
        <v>238</v>
      </c>
      <c r="K684" s="13">
        <v>8179</v>
      </c>
      <c r="L684" s="16">
        <f t="shared" si="60"/>
        <v>8.6465311683887811E-2</v>
      </c>
      <c r="M684" s="16">
        <f t="shared" si="61"/>
        <v>0.15627051871306633</v>
      </c>
      <c r="N684" s="17">
        <f t="shared" si="62"/>
        <v>10.87655942219304</v>
      </c>
      <c r="O684" s="17">
        <f t="shared" si="63"/>
        <v>69.600840336134453</v>
      </c>
      <c r="P684" s="16">
        <f t="shared" si="64"/>
        <v>2.6812884428617676</v>
      </c>
      <c r="Q684" s="16">
        <f t="shared" si="65"/>
        <v>0.49375188650769697</v>
      </c>
      <c r="R684" s="2" t="s">
        <v>1390</v>
      </c>
      <c r="S684" s="21" t="s">
        <v>24</v>
      </c>
      <c r="T684" s="21" t="s">
        <v>45</v>
      </c>
      <c r="U684" s="8">
        <v>16565</v>
      </c>
      <c r="V684" s="11">
        <v>3</v>
      </c>
      <c r="W684" t="str">
        <f>IF(Table1[[#This Row],[Satisfaction Rating]]&lt;2, "Low", IF(Table1[[#This Row],[Satisfaction Rating]]&lt;4, "Medium", "High"))</f>
        <v>Medium</v>
      </c>
    </row>
    <row r="685" spans="1:23" ht="13" x14ac:dyDescent="0.15">
      <c r="A685" s="2" t="s">
        <v>1391</v>
      </c>
      <c r="B685" s="23">
        <v>45594.08834490741</v>
      </c>
      <c r="C685" s="23">
        <v>45594.08834490741</v>
      </c>
      <c r="D685" s="23" t="str">
        <f>IF(Table1[[#This Row],[Duration of Campaign]]=0, "Ongoing","Completed")</f>
        <v>Ongoing</v>
      </c>
      <c r="E685" s="25">
        <f>Table1[[#This Row],[End Date]]-Table1[[#This Row],[Start Date]]</f>
        <v>0</v>
      </c>
      <c r="F685" s="8">
        <v>3260</v>
      </c>
      <c r="G685" s="21" t="s">
        <v>37</v>
      </c>
      <c r="H685" s="11">
        <v>12439</v>
      </c>
      <c r="I685" s="11">
        <v>945</v>
      </c>
      <c r="J685" s="11">
        <v>377</v>
      </c>
      <c r="K685" s="13">
        <v>5869</v>
      </c>
      <c r="L685" s="16">
        <f t="shared" si="60"/>
        <v>7.597073719752391E-2</v>
      </c>
      <c r="M685" s="16">
        <f t="shared" si="61"/>
        <v>0.39894179894179893</v>
      </c>
      <c r="N685" s="17">
        <f t="shared" si="62"/>
        <v>13.136507936507936</v>
      </c>
      <c r="O685" s="17">
        <f t="shared" si="63"/>
        <v>32.928381962864719</v>
      </c>
      <c r="P685" s="16">
        <f t="shared" si="64"/>
        <v>3.8079754601226994</v>
      </c>
      <c r="Q685" s="16">
        <f t="shared" si="65"/>
        <v>0.47277267601095535</v>
      </c>
      <c r="R685" s="2" t="s">
        <v>1392</v>
      </c>
      <c r="S685" s="21" t="s">
        <v>21</v>
      </c>
      <c r="T685" s="21" t="s">
        <v>45</v>
      </c>
      <c r="U685" s="8">
        <v>12414</v>
      </c>
      <c r="V685" s="11">
        <v>4</v>
      </c>
      <c r="W685" t="str">
        <f>IF(Table1[[#This Row],[Satisfaction Rating]]&lt;2, "Low", IF(Table1[[#This Row],[Satisfaction Rating]]&lt;4, "Medium", "High"))</f>
        <v>High</v>
      </c>
    </row>
    <row r="686" spans="1:23" ht="13" x14ac:dyDescent="0.15">
      <c r="A686" s="2" t="s">
        <v>1393</v>
      </c>
      <c r="B686" s="23">
        <v>45364.203900462962</v>
      </c>
      <c r="C686" s="23">
        <v>45403.83</v>
      </c>
      <c r="D686" s="23" t="str">
        <f>IF(Table1[[#This Row],[Duration of Campaign]]=0, "Ongoing","Completed")</f>
        <v>Completed</v>
      </c>
      <c r="E686" s="25">
        <f>Table1[[#This Row],[End Date]]-Table1[[#This Row],[Start Date]]</f>
        <v>39.626099537039408</v>
      </c>
      <c r="F686" s="8">
        <v>5464</v>
      </c>
      <c r="G686" s="21" t="s">
        <v>14</v>
      </c>
      <c r="H686" s="11">
        <v>14467</v>
      </c>
      <c r="I686" s="11">
        <v>1066</v>
      </c>
      <c r="J686" s="11">
        <v>247</v>
      </c>
      <c r="K686" s="13">
        <v>2982</v>
      </c>
      <c r="L686" s="16">
        <f t="shared" si="60"/>
        <v>7.3684938135066005E-2</v>
      </c>
      <c r="M686" s="16">
        <f t="shared" si="61"/>
        <v>0.23170731707317074</v>
      </c>
      <c r="N686" s="17">
        <f t="shared" si="62"/>
        <v>16.72138836772983</v>
      </c>
      <c r="O686" s="17">
        <f t="shared" si="63"/>
        <v>72.165991902834008</v>
      </c>
      <c r="P686" s="16">
        <f t="shared" si="64"/>
        <v>3.2622620790629577</v>
      </c>
      <c r="Q686" s="16">
        <f t="shared" si="65"/>
        <v>0.16729312762973353</v>
      </c>
      <c r="R686" s="2" t="s">
        <v>1394</v>
      </c>
      <c r="S686" s="21" t="s">
        <v>21</v>
      </c>
      <c r="T686" s="21" t="s">
        <v>27</v>
      </c>
      <c r="U686" s="8">
        <v>17825</v>
      </c>
      <c r="V686" s="11">
        <v>1</v>
      </c>
      <c r="W686" t="str">
        <f>IF(Table1[[#This Row],[Satisfaction Rating]]&lt;2, "Low", IF(Table1[[#This Row],[Satisfaction Rating]]&lt;4, "Medium", "High"))</f>
        <v>Low</v>
      </c>
    </row>
    <row r="687" spans="1:23" ht="13" x14ac:dyDescent="0.15">
      <c r="A687" s="2" t="s">
        <v>1395</v>
      </c>
      <c r="B687" s="23">
        <v>44976.000925925924</v>
      </c>
      <c r="C687" s="23">
        <v>45502.946701388886</v>
      </c>
      <c r="D687" s="23" t="str">
        <f>IF(Table1[[#This Row],[Duration of Campaign]]=0, "Ongoing","Completed")</f>
        <v>Completed</v>
      </c>
      <c r="E687" s="25">
        <f>Table1[[#This Row],[End Date]]-Table1[[#This Row],[Start Date]]</f>
        <v>526.94577546296205</v>
      </c>
      <c r="F687" s="8">
        <v>1362</v>
      </c>
      <c r="G687" s="21" t="s">
        <v>53</v>
      </c>
      <c r="H687" s="11">
        <v>9670</v>
      </c>
      <c r="I687" s="11">
        <v>1451</v>
      </c>
      <c r="J687" s="11">
        <v>328</v>
      </c>
      <c r="K687" s="13">
        <v>11493</v>
      </c>
      <c r="L687" s="16">
        <f t="shared" si="60"/>
        <v>0.15005170630816961</v>
      </c>
      <c r="M687" s="16">
        <f t="shared" si="61"/>
        <v>0.22605099931082012</v>
      </c>
      <c r="N687" s="17">
        <f t="shared" si="62"/>
        <v>9.2322536181943491</v>
      </c>
      <c r="O687" s="17">
        <f t="shared" si="63"/>
        <v>40.841463414634148</v>
      </c>
      <c r="P687" s="16">
        <f t="shared" si="64"/>
        <v>9.83553597650514</v>
      </c>
      <c r="Q687" s="16">
        <f t="shared" si="65"/>
        <v>0.85794266945356823</v>
      </c>
      <c r="R687" s="2" t="s">
        <v>1396</v>
      </c>
      <c r="S687" s="21" t="s">
        <v>35</v>
      </c>
      <c r="T687" s="21" t="s">
        <v>45</v>
      </c>
      <c r="U687" s="8">
        <v>13396</v>
      </c>
      <c r="V687" s="11">
        <v>3</v>
      </c>
      <c r="W687" t="str">
        <f>IF(Table1[[#This Row],[Satisfaction Rating]]&lt;2, "Low", IF(Table1[[#This Row],[Satisfaction Rating]]&lt;4, "Medium", "High"))</f>
        <v>Medium</v>
      </c>
    </row>
    <row r="688" spans="1:23" ht="13" x14ac:dyDescent="0.15">
      <c r="A688" s="2" t="s">
        <v>1397</v>
      </c>
      <c r="B688" s="23">
        <v>45569.398217592592</v>
      </c>
      <c r="C688" s="23">
        <v>45569.398217592592</v>
      </c>
      <c r="D688" s="23" t="str">
        <f>IF(Table1[[#This Row],[Duration of Campaign]]=0, "Ongoing","Completed")</f>
        <v>Ongoing</v>
      </c>
      <c r="E688" s="25">
        <f>Table1[[#This Row],[End Date]]-Table1[[#This Row],[Start Date]]</f>
        <v>0</v>
      </c>
      <c r="F688" s="8">
        <v>7228</v>
      </c>
      <c r="G688" s="21" t="s">
        <v>53</v>
      </c>
      <c r="H688" s="11">
        <v>10270</v>
      </c>
      <c r="I688" s="11">
        <v>1480</v>
      </c>
      <c r="J688" s="11">
        <v>278</v>
      </c>
      <c r="K688" s="13">
        <v>7131</v>
      </c>
      <c r="L688" s="16">
        <f t="shared" si="60"/>
        <v>0.14410905550146055</v>
      </c>
      <c r="M688" s="16">
        <f t="shared" si="61"/>
        <v>0.18783783783783783</v>
      </c>
      <c r="N688" s="17">
        <f t="shared" si="62"/>
        <v>9.205405405405406</v>
      </c>
      <c r="O688" s="17">
        <f t="shared" si="63"/>
        <v>49.007194244604314</v>
      </c>
      <c r="P688" s="16">
        <f t="shared" si="64"/>
        <v>1.8848920863309353</v>
      </c>
      <c r="Q688" s="16">
        <f t="shared" si="65"/>
        <v>0.52341456253669993</v>
      </c>
      <c r="R688" s="2" t="s">
        <v>1398</v>
      </c>
      <c r="S688" s="21" t="s">
        <v>16</v>
      </c>
      <c r="T688" s="21" t="s">
        <v>45</v>
      </c>
      <c r="U688" s="8">
        <v>13624</v>
      </c>
      <c r="V688" s="11">
        <v>4</v>
      </c>
      <c r="W688" t="str">
        <f>IF(Table1[[#This Row],[Satisfaction Rating]]&lt;2, "Low", IF(Table1[[#This Row],[Satisfaction Rating]]&lt;4, "Medium", "High"))</f>
        <v>High</v>
      </c>
    </row>
    <row r="689" spans="1:23" ht="13" x14ac:dyDescent="0.15">
      <c r="A689" s="2" t="s">
        <v>1399</v>
      </c>
      <c r="B689" s="23">
        <v>45262.129837962966</v>
      </c>
      <c r="C689" s="23">
        <v>45534.685648148145</v>
      </c>
      <c r="D689" s="23" t="str">
        <f>IF(Table1[[#This Row],[Duration of Campaign]]=0, "Ongoing","Completed")</f>
        <v>Completed</v>
      </c>
      <c r="E689" s="25">
        <f>Table1[[#This Row],[End Date]]-Table1[[#This Row],[Start Date]]</f>
        <v>272.55581018517842</v>
      </c>
      <c r="F689" s="8">
        <v>9587</v>
      </c>
      <c r="G689" s="21" t="s">
        <v>37</v>
      </c>
      <c r="H689" s="11">
        <v>4632</v>
      </c>
      <c r="I689" s="11">
        <v>511</v>
      </c>
      <c r="J689" s="11">
        <v>114</v>
      </c>
      <c r="K689" s="13">
        <v>3733</v>
      </c>
      <c r="L689" s="16">
        <f t="shared" si="60"/>
        <v>0.11031951640759931</v>
      </c>
      <c r="M689" s="16">
        <f t="shared" si="61"/>
        <v>0.22309197651663404</v>
      </c>
      <c r="N689" s="17">
        <f t="shared" si="62"/>
        <v>25.810176125244617</v>
      </c>
      <c r="O689" s="17">
        <f t="shared" si="63"/>
        <v>115.69298245614036</v>
      </c>
      <c r="P689" s="16">
        <f t="shared" si="64"/>
        <v>1.3757171169291749</v>
      </c>
      <c r="Q689" s="16">
        <f t="shared" si="65"/>
        <v>0.28303889604973842</v>
      </c>
      <c r="R689" s="2" t="s">
        <v>1400</v>
      </c>
      <c r="S689" s="21" t="s">
        <v>30</v>
      </c>
      <c r="T689" s="21" t="s">
        <v>27</v>
      </c>
      <c r="U689" s="8">
        <v>13189</v>
      </c>
      <c r="V689" s="11">
        <v>3</v>
      </c>
      <c r="W689" t="str">
        <f>IF(Table1[[#This Row],[Satisfaction Rating]]&lt;2, "Low", IF(Table1[[#This Row],[Satisfaction Rating]]&lt;4, "Medium", "High"))</f>
        <v>Medium</v>
      </c>
    </row>
    <row r="690" spans="1:23" ht="13" x14ac:dyDescent="0.15">
      <c r="A690" s="2" t="s">
        <v>1401</v>
      </c>
      <c r="B690" s="23">
        <v>45158.461192129631</v>
      </c>
      <c r="C690" s="23">
        <v>45211.184293981481</v>
      </c>
      <c r="D690" s="23" t="str">
        <f>IF(Table1[[#This Row],[Duration of Campaign]]=0, "Ongoing","Completed")</f>
        <v>Completed</v>
      </c>
      <c r="E690" s="25">
        <f>Table1[[#This Row],[End Date]]-Table1[[#This Row],[Start Date]]</f>
        <v>52.723101851850515</v>
      </c>
      <c r="F690" s="8">
        <v>1854</v>
      </c>
      <c r="G690" s="21" t="s">
        <v>53</v>
      </c>
      <c r="H690" s="11">
        <v>1018</v>
      </c>
      <c r="I690" s="11">
        <v>294</v>
      </c>
      <c r="J690" s="11">
        <v>133</v>
      </c>
      <c r="K690" s="13">
        <v>4729</v>
      </c>
      <c r="L690" s="16">
        <f t="shared" si="60"/>
        <v>0.28880157170923382</v>
      </c>
      <c r="M690" s="16">
        <f t="shared" si="61"/>
        <v>0.45238095238095238</v>
      </c>
      <c r="N690" s="17">
        <f t="shared" si="62"/>
        <v>42.411564625850339</v>
      </c>
      <c r="O690" s="17">
        <f t="shared" si="63"/>
        <v>93.751879699248121</v>
      </c>
      <c r="P690" s="16">
        <f t="shared" si="64"/>
        <v>6.7254584681769147</v>
      </c>
      <c r="Q690" s="16">
        <f t="shared" si="65"/>
        <v>0.37926056620418636</v>
      </c>
      <c r="R690" s="2" t="s">
        <v>1402</v>
      </c>
      <c r="S690" s="21" t="s">
        <v>24</v>
      </c>
      <c r="T690" s="21" t="s">
        <v>17</v>
      </c>
      <c r="U690" s="8">
        <v>12469</v>
      </c>
      <c r="V690" s="11">
        <v>5</v>
      </c>
      <c r="W690" t="str">
        <f>IF(Table1[[#This Row],[Satisfaction Rating]]&lt;2, "Low", IF(Table1[[#This Row],[Satisfaction Rating]]&lt;4, "Medium", "High"))</f>
        <v>High</v>
      </c>
    </row>
    <row r="691" spans="1:23" ht="13" x14ac:dyDescent="0.15">
      <c r="A691" s="2" t="s">
        <v>1403</v>
      </c>
      <c r="B691" s="23">
        <v>45291.344039351854</v>
      </c>
      <c r="C691" s="23">
        <v>45292.233564814815</v>
      </c>
      <c r="D691" s="23" t="str">
        <f>IF(Table1[[#This Row],[Duration of Campaign]]=0, "Ongoing","Completed")</f>
        <v>Completed</v>
      </c>
      <c r="E691" s="25">
        <f>Table1[[#This Row],[End Date]]-Table1[[#This Row],[Start Date]]</f>
        <v>0.88952546296059154</v>
      </c>
      <c r="F691" s="8">
        <v>5357</v>
      </c>
      <c r="G691" s="21" t="s">
        <v>37</v>
      </c>
      <c r="H691" s="11">
        <v>5312</v>
      </c>
      <c r="I691" s="11">
        <v>979</v>
      </c>
      <c r="J691" s="11">
        <v>288</v>
      </c>
      <c r="K691" s="13">
        <v>4443</v>
      </c>
      <c r="L691" s="16">
        <f t="shared" si="60"/>
        <v>0.18429969879518071</v>
      </c>
      <c r="M691" s="16">
        <f t="shared" si="61"/>
        <v>0.29417773237997957</v>
      </c>
      <c r="N691" s="17">
        <f t="shared" si="62"/>
        <v>1.1664964249233911</v>
      </c>
      <c r="O691" s="17">
        <f t="shared" si="63"/>
        <v>3.9652777777777777</v>
      </c>
      <c r="P691" s="16">
        <f t="shared" si="64"/>
        <v>0.21317901810714954</v>
      </c>
      <c r="Q691" s="16">
        <f t="shared" si="65"/>
        <v>3.8905429071803854</v>
      </c>
      <c r="R691" s="2" t="s">
        <v>1404</v>
      </c>
      <c r="S691" s="21" t="s">
        <v>21</v>
      </c>
      <c r="T691" s="21" t="s">
        <v>45</v>
      </c>
      <c r="U691" s="8">
        <v>1142</v>
      </c>
      <c r="V691" s="11">
        <v>5</v>
      </c>
      <c r="W691" t="str">
        <f>IF(Table1[[#This Row],[Satisfaction Rating]]&lt;2, "Low", IF(Table1[[#This Row],[Satisfaction Rating]]&lt;4, "Medium", "High"))</f>
        <v>High</v>
      </c>
    </row>
    <row r="692" spans="1:23" ht="13" x14ac:dyDescent="0.15">
      <c r="A692" s="2" t="s">
        <v>1405</v>
      </c>
      <c r="B692" s="23">
        <v>45091.200335648151</v>
      </c>
      <c r="C692" s="23">
        <v>45301.022349537037</v>
      </c>
      <c r="D692" s="23" t="str">
        <f>IF(Table1[[#This Row],[Duration of Campaign]]=0, "Ongoing","Completed")</f>
        <v>Completed</v>
      </c>
      <c r="E692" s="25">
        <f>Table1[[#This Row],[End Date]]-Table1[[#This Row],[Start Date]]</f>
        <v>209.82201388888643</v>
      </c>
      <c r="F692" s="8">
        <v>8764</v>
      </c>
      <c r="G692" s="21" t="s">
        <v>19</v>
      </c>
      <c r="H692" s="11">
        <v>11988</v>
      </c>
      <c r="I692" s="11">
        <v>1047</v>
      </c>
      <c r="J692" s="11">
        <v>371</v>
      </c>
      <c r="K692" s="13">
        <v>1352</v>
      </c>
      <c r="L692" s="16">
        <f t="shared" si="60"/>
        <v>8.733733733733734E-2</v>
      </c>
      <c r="M692" s="16">
        <f t="shared" si="61"/>
        <v>0.35434574976122252</v>
      </c>
      <c r="N692" s="17">
        <f t="shared" si="62"/>
        <v>18.566380133715377</v>
      </c>
      <c r="O692" s="17">
        <f t="shared" si="63"/>
        <v>52.39622641509434</v>
      </c>
      <c r="P692" s="16">
        <f t="shared" si="64"/>
        <v>2.2180511182108624</v>
      </c>
      <c r="Q692" s="16">
        <f t="shared" si="65"/>
        <v>6.9550902824219357E-2</v>
      </c>
      <c r="R692" s="2" t="s">
        <v>1406</v>
      </c>
      <c r="S692" s="21" t="s">
        <v>24</v>
      </c>
      <c r="T692" s="21" t="s">
        <v>27</v>
      </c>
      <c r="U692" s="8">
        <v>19439</v>
      </c>
      <c r="V692" s="11">
        <v>3</v>
      </c>
      <c r="W692" t="str">
        <f>IF(Table1[[#This Row],[Satisfaction Rating]]&lt;2, "Low", IF(Table1[[#This Row],[Satisfaction Rating]]&lt;4, "Medium", "High"))</f>
        <v>Medium</v>
      </c>
    </row>
    <row r="693" spans="1:23" ht="13" x14ac:dyDescent="0.15">
      <c r="A693" s="2" t="s">
        <v>1407</v>
      </c>
      <c r="B693" s="23">
        <v>45571.404618055552</v>
      </c>
      <c r="C693" s="23">
        <v>45571.404618055552</v>
      </c>
      <c r="D693" s="23" t="str">
        <f>IF(Table1[[#This Row],[Duration of Campaign]]=0, "Ongoing","Completed")</f>
        <v>Ongoing</v>
      </c>
      <c r="E693" s="25">
        <f>Table1[[#This Row],[End Date]]-Table1[[#This Row],[Start Date]]</f>
        <v>0</v>
      </c>
      <c r="F693" s="8">
        <v>8259</v>
      </c>
      <c r="G693" s="21" t="s">
        <v>14</v>
      </c>
      <c r="H693" s="11">
        <v>9755</v>
      </c>
      <c r="I693" s="11">
        <v>684</v>
      </c>
      <c r="J693" s="11">
        <v>330</v>
      </c>
      <c r="K693" s="13">
        <v>3098</v>
      </c>
      <c r="L693" s="16">
        <f t="shared" si="60"/>
        <v>7.0117888262429526E-2</v>
      </c>
      <c r="M693" s="16">
        <f t="shared" si="61"/>
        <v>0.48245614035087719</v>
      </c>
      <c r="N693" s="17">
        <f t="shared" si="62"/>
        <v>6.2821637426900585</v>
      </c>
      <c r="O693" s="17">
        <f t="shared" si="63"/>
        <v>13.021212121212121</v>
      </c>
      <c r="P693" s="16">
        <f t="shared" si="64"/>
        <v>0.52028090567865359</v>
      </c>
      <c r="Q693" s="16">
        <f t="shared" si="65"/>
        <v>0.7209681172911333</v>
      </c>
      <c r="R693" s="2" t="s">
        <v>1408</v>
      </c>
      <c r="S693" s="21" t="s">
        <v>30</v>
      </c>
      <c r="T693" s="21" t="s">
        <v>17</v>
      </c>
      <c r="U693" s="8">
        <v>4297</v>
      </c>
      <c r="V693" s="11">
        <v>3</v>
      </c>
      <c r="W693" t="str">
        <f>IF(Table1[[#This Row],[Satisfaction Rating]]&lt;2, "Low", IF(Table1[[#This Row],[Satisfaction Rating]]&lt;4, "Medium", "High"))</f>
        <v>Medium</v>
      </c>
    </row>
    <row r="694" spans="1:23" ht="13" x14ac:dyDescent="0.15">
      <c r="A694" s="2" t="s">
        <v>1409</v>
      </c>
      <c r="B694" s="23">
        <v>45295.69259259259</v>
      </c>
      <c r="C694" s="23">
        <v>45295.69259259259</v>
      </c>
      <c r="D694" s="23" t="str">
        <f>IF(Table1[[#This Row],[Duration of Campaign]]=0, "Ongoing","Completed")</f>
        <v>Ongoing</v>
      </c>
      <c r="E694" s="25">
        <f>Table1[[#This Row],[End Date]]-Table1[[#This Row],[Start Date]]</f>
        <v>0</v>
      </c>
      <c r="F694" s="8">
        <v>7416</v>
      </c>
      <c r="G694" s="21" t="s">
        <v>19</v>
      </c>
      <c r="H694" s="11">
        <v>5082</v>
      </c>
      <c r="I694" s="11">
        <v>1046</v>
      </c>
      <c r="J694" s="11">
        <v>48</v>
      </c>
      <c r="K694" s="13">
        <v>10866</v>
      </c>
      <c r="L694" s="16">
        <f t="shared" si="60"/>
        <v>0.20582447855175129</v>
      </c>
      <c r="M694" s="16">
        <f t="shared" si="61"/>
        <v>4.5889101338432124E-2</v>
      </c>
      <c r="N694" s="17">
        <f t="shared" si="62"/>
        <v>8.4292543021032511</v>
      </c>
      <c r="O694" s="17">
        <f t="shared" si="63"/>
        <v>183.6875</v>
      </c>
      <c r="P694" s="16">
        <f t="shared" si="64"/>
        <v>1.1889158576051779</v>
      </c>
      <c r="Q694" s="16">
        <f t="shared" si="65"/>
        <v>1.2323919700578427</v>
      </c>
      <c r="R694" s="2" t="s">
        <v>1410</v>
      </c>
      <c r="S694" s="21" t="s">
        <v>21</v>
      </c>
      <c r="T694" s="21" t="s">
        <v>17</v>
      </c>
      <c r="U694" s="8">
        <v>8817</v>
      </c>
      <c r="V694" s="11">
        <v>2</v>
      </c>
      <c r="W694" t="str">
        <f>IF(Table1[[#This Row],[Satisfaction Rating]]&lt;2, "Low", IF(Table1[[#This Row],[Satisfaction Rating]]&lt;4, "Medium", "High"))</f>
        <v>Medium</v>
      </c>
    </row>
    <row r="695" spans="1:23" ht="13" x14ac:dyDescent="0.15">
      <c r="A695" s="2" t="s">
        <v>1411</v>
      </c>
      <c r="B695" s="23">
        <v>45182.7187962963</v>
      </c>
      <c r="C695" s="23">
        <v>45575.133379629631</v>
      </c>
      <c r="D695" s="23" t="str">
        <f>IF(Table1[[#This Row],[Duration of Campaign]]=0, "Ongoing","Completed")</f>
        <v>Completed</v>
      </c>
      <c r="E695" s="25">
        <f>Table1[[#This Row],[End Date]]-Table1[[#This Row],[Start Date]]</f>
        <v>392.41458333333139</v>
      </c>
      <c r="F695" s="8">
        <v>4937</v>
      </c>
      <c r="G695" s="21" t="s">
        <v>37</v>
      </c>
      <c r="H695" s="11">
        <v>11097</v>
      </c>
      <c r="I695" s="11">
        <v>603</v>
      </c>
      <c r="J695" s="11">
        <v>372</v>
      </c>
      <c r="K695" s="13">
        <v>12621</v>
      </c>
      <c r="L695" s="16">
        <f t="shared" si="60"/>
        <v>5.4339010543390104E-2</v>
      </c>
      <c r="M695" s="16">
        <f t="shared" si="61"/>
        <v>0.61691542288557211</v>
      </c>
      <c r="N695" s="17">
        <f t="shared" si="62"/>
        <v>32.703150912106139</v>
      </c>
      <c r="O695" s="17">
        <f t="shared" si="63"/>
        <v>53.01075268817204</v>
      </c>
      <c r="P695" s="16">
        <f t="shared" si="64"/>
        <v>3.9943285395989467</v>
      </c>
      <c r="Q695" s="16">
        <f t="shared" si="65"/>
        <v>0.64001014198782957</v>
      </c>
      <c r="R695" s="2" t="s">
        <v>1412</v>
      </c>
      <c r="S695" s="21" t="s">
        <v>24</v>
      </c>
      <c r="T695" s="21" t="s">
        <v>27</v>
      </c>
      <c r="U695" s="8">
        <v>19720</v>
      </c>
      <c r="V695" s="11">
        <v>1</v>
      </c>
      <c r="W695" t="str">
        <f>IF(Table1[[#This Row],[Satisfaction Rating]]&lt;2, "Low", IF(Table1[[#This Row],[Satisfaction Rating]]&lt;4, "Medium", "High"))</f>
        <v>Low</v>
      </c>
    </row>
    <row r="696" spans="1:23" ht="13" x14ac:dyDescent="0.15">
      <c r="A696" s="2" t="s">
        <v>1413</v>
      </c>
      <c r="B696" s="23">
        <v>45601.544930555552</v>
      </c>
      <c r="C696" s="23">
        <v>45601.544930555552</v>
      </c>
      <c r="D696" s="23" t="str">
        <f>IF(Table1[[#This Row],[Duration of Campaign]]=0, "Ongoing","Completed")</f>
        <v>Ongoing</v>
      </c>
      <c r="E696" s="25">
        <f>Table1[[#This Row],[End Date]]-Table1[[#This Row],[Start Date]]</f>
        <v>0</v>
      </c>
      <c r="F696" s="8">
        <v>3159</v>
      </c>
      <c r="G696" s="21" t="s">
        <v>37</v>
      </c>
      <c r="H696" s="11">
        <v>3107</v>
      </c>
      <c r="I696" s="11">
        <v>1737</v>
      </c>
      <c r="J696" s="11">
        <v>446</v>
      </c>
      <c r="K696" s="13">
        <v>4609</v>
      </c>
      <c r="L696" s="16">
        <f t="shared" si="60"/>
        <v>0.55906018667524948</v>
      </c>
      <c r="M696" s="16">
        <f t="shared" si="61"/>
        <v>0.25676453655728265</v>
      </c>
      <c r="N696" s="17">
        <f t="shared" si="62"/>
        <v>8.4127806563039726</v>
      </c>
      <c r="O696" s="17">
        <f t="shared" si="63"/>
        <v>32.764573991031391</v>
      </c>
      <c r="P696" s="16">
        <f t="shared" si="64"/>
        <v>4.6258309591642925</v>
      </c>
      <c r="Q696" s="16">
        <f t="shared" si="65"/>
        <v>0.31540409224662969</v>
      </c>
      <c r="R696" s="2" t="s">
        <v>1414</v>
      </c>
      <c r="S696" s="21" t="s">
        <v>35</v>
      </c>
      <c r="T696" s="21" t="s">
        <v>45</v>
      </c>
      <c r="U696" s="8">
        <v>14613</v>
      </c>
      <c r="V696" s="11">
        <v>5</v>
      </c>
      <c r="W696" t="str">
        <f>IF(Table1[[#This Row],[Satisfaction Rating]]&lt;2, "Low", IF(Table1[[#This Row],[Satisfaction Rating]]&lt;4, "Medium", "High"))</f>
        <v>High</v>
      </c>
    </row>
    <row r="697" spans="1:23" ht="13" x14ac:dyDescent="0.15">
      <c r="A697" s="2" t="s">
        <v>1415</v>
      </c>
      <c r="B697" s="23">
        <v>45354.5390162037</v>
      </c>
      <c r="C697" s="23">
        <v>45354.5390162037</v>
      </c>
      <c r="D697" s="23" t="str">
        <f>IF(Table1[[#This Row],[Duration of Campaign]]=0, "Ongoing","Completed")</f>
        <v>Ongoing</v>
      </c>
      <c r="E697" s="25">
        <f>Table1[[#This Row],[End Date]]-Table1[[#This Row],[Start Date]]</f>
        <v>0</v>
      </c>
      <c r="F697" s="8">
        <v>4571</v>
      </c>
      <c r="G697" s="21" t="s">
        <v>53</v>
      </c>
      <c r="H697" s="11">
        <v>15724</v>
      </c>
      <c r="I697" s="11">
        <v>657</v>
      </c>
      <c r="J697" s="11">
        <v>180</v>
      </c>
      <c r="K697" s="13">
        <v>5933</v>
      </c>
      <c r="L697" s="16">
        <f t="shared" si="60"/>
        <v>4.1783261256677688E-2</v>
      </c>
      <c r="M697" s="16">
        <f t="shared" si="61"/>
        <v>0.27397260273972601</v>
      </c>
      <c r="N697" s="17">
        <f t="shared" si="62"/>
        <v>3.3683409436834095</v>
      </c>
      <c r="O697" s="17">
        <f t="shared" si="63"/>
        <v>12.294444444444444</v>
      </c>
      <c r="P697" s="16">
        <f t="shared" si="64"/>
        <v>0.48413913804419162</v>
      </c>
      <c r="Q697" s="16">
        <f t="shared" si="65"/>
        <v>2.6809760506100315</v>
      </c>
      <c r="R697" s="2" t="s">
        <v>1416</v>
      </c>
      <c r="S697" s="21" t="s">
        <v>35</v>
      </c>
      <c r="T697" s="21" t="s">
        <v>27</v>
      </c>
      <c r="U697" s="8">
        <v>2213</v>
      </c>
      <c r="V697" s="11">
        <v>1</v>
      </c>
      <c r="W697" t="str">
        <f>IF(Table1[[#This Row],[Satisfaction Rating]]&lt;2, "Low", IF(Table1[[#This Row],[Satisfaction Rating]]&lt;4, "Medium", "High"))</f>
        <v>Low</v>
      </c>
    </row>
    <row r="698" spans="1:23" ht="13" x14ac:dyDescent="0.15">
      <c r="A698" s="2" t="s">
        <v>1417</v>
      </c>
      <c r="B698" s="23">
        <v>45453.554201388892</v>
      </c>
      <c r="C698" s="23">
        <v>45453.554201388892</v>
      </c>
      <c r="D698" s="23" t="str">
        <f>IF(Table1[[#This Row],[Duration of Campaign]]=0, "Ongoing","Completed")</f>
        <v>Ongoing</v>
      </c>
      <c r="E698" s="25">
        <f>Table1[[#This Row],[End Date]]-Table1[[#This Row],[Start Date]]</f>
        <v>0</v>
      </c>
      <c r="F698" s="8">
        <v>6307</v>
      </c>
      <c r="G698" s="21" t="s">
        <v>19</v>
      </c>
      <c r="H698" s="11">
        <v>14327</v>
      </c>
      <c r="I698" s="11">
        <v>278</v>
      </c>
      <c r="J698" s="11">
        <v>279</v>
      </c>
      <c r="K698" s="13">
        <v>5502</v>
      </c>
      <c r="L698" s="16">
        <f t="shared" si="60"/>
        <v>1.9403922663502479E-2</v>
      </c>
      <c r="M698" s="16">
        <f t="shared" si="61"/>
        <v>1.0035971223021583</v>
      </c>
      <c r="N698" s="17">
        <f t="shared" si="62"/>
        <v>40.115107913669064</v>
      </c>
      <c r="O698" s="17">
        <f t="shared" si="63"/>
        <v>39.971326164874554</v>
      </c>
      <c r="P698" s="16">
        <f t="shared" si="64"/>
        <v>1.7681940700808625</v>
      </c>
      <c r="Q698" s="16">
        <f t="shared" si="65"/>
        <v>0.49336441893830701</v>
      </c>
      <c r="R698" s="2" t="s">
        <v>1418</v>
      </c>
      <c r="S698" s="21" t="s">
        <v>30</v>
      </c>
      <c r="T698" s="21" t="s">
        <v>17</v>
      </c>
      <c r="U698" s="8">
        <v>11152</v>
      </c>
      <c r="V698" s="11">
        <v>5</v>
      </c>
      <c r="W698" t="str">
        <f>IF(Table1[[#This Row],[Satisfaction Rating]]&lt;2, "Low", IF(Table1[[#This Row],[Satisfaction Rating]]&lt;4, "Medium", "High"))</f>
        <v>High</v>
      </c>
    </row>
    <row r="699" spans="1:23" ht="13" x14ac:dyDescent="0.15">
      <c r="A699" s="2" t="s">
        <v>1419</v>
      </c>
      <c r="B699" s="23">
        <v>45073.63821759259</v>
      </c>
      <c r="C699" s="23">
        <v>45130.134409722225</v>
      </c>
      <c r="D699" s="23" t="str">
        <f>IF(Table1[[#This Row],[Duration of Campaign]]=0, "Ongoing","Completed")</f>
        <v>Completed</v>
      </c>
      <c r="E699" s="25">
        <f>Table1[[#This Row],[End Date]]-Table1[[#This Row],[Start Date]]</f>
        <v>56.496192129634437</v>
      </c>
      <c r="F699" s="8">
        <v>7326</v>
      </c>
      <c r="G699" s="21" t="s">
        <v>14</v>
      </c>
      <c r="H699" s="11">
        <v>11294</v>
      </c>
      <c r="I699" s="11">
        <v>511</v>
      </c>
      <c r="J699" s="11">
        <v>290</v>
      </c>
      <c r="K699" s="13">
        <v>14384</v>
      </c>
      <c r="L699" s="16">
        <f t="shared" si="60"/>
        <v>4.5245262971489286E-2</v>
      </c>
      <c r="M699" s="16">
        <f t="shared" si="61"/>
        <v>0.56751467710371817</v>
      </c>
      <c r="N699" s="17">
        <f t="shared" si="62"/>
        <v>29.095890410958905</v>
      </c>
      <c r="O699" s="17">
        <f t="shared" si="63"/>
        <v>51.268965517241377</v>
      </c>
      <c r="P699" s="16">
        <f t="shared" si="64"/>
        <v>2.0294840294840295</v>
      </c>
      <c r="Q699" s="16">
        <f t="shared" si="65"/>
        <v>0.96744686575195049</v>
      </c>
      <c r="R699" s="2" t="s">
        <v>1420</v>
      </c>
      <c r="S699" s="21" t="s">
        <v>16</v>
      </c>
      <c r="T699" s="21" t="s">
        <v>45</v>
      </c>
      <c r="U699" s="8">
        <v>14868</v>
      </c>
      <c r="V699" s="11">
        <v>1</v>
      </c>
      <c r="W699" t="str">
        <f>IF(Table1[[#This Row],[Satisfaction Rating]]&lt;2, "Low", IF(Table1[[#This Row],[Satisfaction Rating]]&lt;4, "Medium", "High"))</f>
        <v>Low</v>
      </c>
    </row>
    <row r="700" spans="1:23" ht="13" x14ac:dyDescent="0.15">
      <c r="A700" s="2" t="s">
        <v>1421</v>
      </c>
      <c r="B700" s="23">
        <v>45609.605138888888</v>
      </c>
      <c r="C700" s="23">
        <v>45609.605138888888</v>
      </c>
      <c r="D700" s="23" t="str">
        <f>IF(Table1[[#This Row],[Duration of Campaign]]=0, "Ongoing","Completed")</f>
        <v>Ongoing</v>
      </c>
      <c r="E700" s="25">
        <f>Table1[[#This Row],[End Date]]-Table1[[#This Row],[Start Date]]</f>
        <v>0</v>
      </c>
      <c r="F700" s="8">
        <v>9000</v>
      </c>
      <c r="G700" s="21" t="s">
        <v>37</v>
      </c>
      <c r="H700" s="11">
        <v>16012</v>
      </c>
      <c r="I700" s="11">
        <v>1292</v>
      </c>
      <c r="J700" s="11">
        <v>288</v>
      </c>
      <c r="K700" s="13">
        <v>6285</v>
      </c>
      <c r="L700" s="16">
        <f t="shared" si="60"/>
        <v>8.0689482887834119E-2</v>
      </c>
      <c r="M700" s="16">
        <f t="shared" si="61"/>
        <v>0.22291021671826625</v>
      </c>
      <c r="N700" s="17">
        <f t="shared" si="62"/>
        <v>2.4636222910216716</v>
      </c>
      <c r="O700" s="17">
        <f t="shared" si="63"/>
        <v>11.052083333333334</v>
      </c>
      <c r="P700" s="16">
        <f t="shared" si="64"/>
        <v>0.35366666666666668</v>
      </c>
      <c r="Q700" s="16">
        <f t="shared" si="65"/>
        <v>1.9745523091423185</v>
      </c>
      <c r="R700" s="2" t="s">
        <v>1422</v>
      </c>
      <c r="S700" s="21" t="s">
        <v>21</v>
      </c>
      <c r="T700" s="21" t="s">
        <v>17</v>
      </c>
      <c r="U700" s="8">
        <v>3183</v>
      </c>
      <c r="V700" s="11">
        <v>5</v>
      </c>
      <c r="W700" t="str">
        <f>IF(Table1[[#This Row],[Satisfaction Rating]]&lt;2, "Low", IF(Table1[[#This Row],[Satisfaction Rating]]&lt;4, "Medium", "High"))</f>
        <v>High</v>
      </c>
    </row>
    <row r="701" spans="1:23" ht="13" x14ac:dyDescent="0.15">
      <c r="A701" s="2" t="s">
        <v>1423</v>
      </c>
      <c r="B701" s="23">
        <v>45444.748136574075</v>
      </c>
      <c r="C701" s="23">
        <v>45444.748136574075</v>
      </c>
      <c r="D701" s="23" t="str">
        <f>IF(Table1[[#This Row],[Duration of Campaign]]=0, "Ongoing","Completed")</f>
        <v>Ongoing</v>
      </c>
      <c r="E701" s="25">
        <f>Table1[[#This Row],[End Date]]-Table1[[#This Row],[Start Date]]</f>
        <v>0</v>
      </c>
      <c r="F701" s="8">
        <v>8089</v>
      </c>
      <c r="G701" s="21" t="s">
        <v>19</v>
      </c>
      <c r="H701" s="11">
        <v>17500</v>
      </c>
      <c r="I701" s="11">
        <v>698</v>
      </c>
      <c r="J701" s="11">
        <v>152</v>
      </c>
      <c r="K701" s="13">
        <v>12106</v>
      </c>
      <c r="L701" s="16">
        <f t="shared" si="60"/>
        <v>3.9885714285714288E-2</v>
      </c>
      <c r="M701" s="16">
        <f t="shared" si="61"/>
        <v>0.2177650429799427</v>
      </c>
      <c r="N701" s="17">
        <f t="shared" si="62"/>
        <v>19.167621776504298</v>
      </c>
      <c r="O701" s="17">
        <f t="shared" si="63"/>
        <v>88.01973684210526</v>
      </c>
      <c r="P701" s="16">
        <f t="shared" si="64"/>
        <v>1.6539745333168501</v>
      </c>
      <c r="Q701" s="16">
        <f t="shared" si="65"/>
        <v>0.90485088571642125</v>
      </c>
      <c r="R701" s="2" t="s">
        <v>1424</v>
      </c>
      <c r="S701" s="21" t="s">
        <v>16</v>
      </c>
      <c r="T701" s="21" t="s">
        <v>27</v>
      </c>
      <c r="U701" s="8">
        <v>13379</v>
      </c>
      <c r="V701" s="11">
        <v>2</v>
      </c>
      <c r="W701" t="str">
        <f>IF(Table1[[#This Row],[Satisfaction Rating]]&lt;2, "Low", IF(Table1[[#This Row],[Satisfaction Rating]]&lt;4, "Medium", "High"))</f>
        <v>Medium</v>
      </c>
    </row>
    <row r="702" spans="1:23" ht="13" x14ac:dyDescent="0.15">
      <c r="A702" s="2" t="s">
        <v>1425</v>
      </c>
      <c r="B702" s="23">
        <v>45029.916250000002</v>
      </c>
      <c r="C702" s="23">
        <v>45203.197812500002</v>
      </c>
      <c r="D702" s="23" t="str">
        <f>IF(Table1[[#This Row],[Duration of Campaign]]=0, "Ongoing","Completed")</f>
        <v>Completed</v>
      </c>
      <c r="E702" s="25">
        <f>Table1[[#This Row],[End Date]]-Table1[[#This Row],[Start Date]]</f>
        <v>173.28156250000029</v>
      </c>
      <c r="F702" s="8">
        <v>5617</v>
      </c>
      <c r="G702" s="21" t="s">
        <v>37</v>
      </c>
      <c r="H702" s="11">
        <v>14434</v>
      </c>
      <c r="I702" s="11">
        <v>967</v>
      </c>
      <c r="J702" s="11">
        <v>22</v>
      </c>
      <c r="K702" s="13">
        <v>11854</v>
      </c>
      <c r="L702" s="16">
        <f t="shared" si="60"/>
        <v>6.6994596092559242E-2</v>
      </c>
      <c r="M702" s="16">
        <f t="shared" si="61"/>
        <v>2.2750775594622543E-2</v>
      </c>
      <c r="N702" s="17">
        <f t="shared" si="62"/>
        <v>9.8769389865563593</v>
      </c>
      <c r="O702" s="17">
        <f t="shared" si="63"/>
        <v>434.13636363636363</v>
      </c>
      <c r="P702" s="16">
        <f t="shared" si="64"/>
        <v>1.7003738650525191</v>
      </c>
      <c r="Q702" s="16">
        <f t="shared" si="65"/>
        <v>1.2411265836038112</v>
      </c>
      <c r="R702" s="2" t="s">
        <v>1426</v>
      </c>
      <c r="S702" s="21" t="s">
        <v>30</v>
      </c>
      <c r="T702" s="21" t="s">
        <v>45</v>
      </c>
      <c r="U702" s="8">
        <v>9551</v>
      </c>
      <c r="V702" s="11">
        <v>4</v>
      </c>
      <c r="W702" t="str">
        <f>IF(Table1[[#This Row],[Satisfaction Rating]]&lt;2, "Low", IF(Table1[[#This Row],[Satisfaction Rating]]&lt;4, "Medium", "High"))</f>
        <v>High</v>
      </c>
    </row>
    <row r="703" spans="1:23" ht="13" x14ac:dyDescent="0.15">
      <c r="A703" s="2" t="s">
        <v>1427</v>
      </c>
      <c r="B703" s="23">
        <v>44991.228252314817</v>
      </c>
      <c r="C703" s="23">
        <v>45122.117777777778</v>
      </c>
      <c r="D703" s="23" t="str">
        <f>IF(Table1[[#This Row],[Duration of Campaign]]=0, "Ongoing","Completed")</f>
        <v>Completed</v>
      </c>
      <c r="E703" s="25">
        <f>Table1[[#This Row],[End Date]]-Table1[[#This Row],[Start Date]]</f>
        <v>130.88952546296059</v>
      </c>
      <c r="F703" s="8">
        <v>5105</v>
      </c>
      <c r="G703" s="21" t="s">
        <v>14</v>
      </c>
      <c r="H703" s="11">
        <v>18772</v>
      </c>
      <c r="I703" s="11">
        <v>569</v>
      </c>
      <c r="J703" s="11">
        <v>340</v>
      </c>
      <c r="K703" s="13">
        <v>8898</v>
      </c>
      <c r="L703" s="16">
        <f t="shared" si="60"/>
        <v>3.0311101640741529E-2</v>
      </c>
      <c r="M703" s="16">
        <f t="shared" si="61"/>
        <v>0.5975395430579965</v>
      </c>
      <c r="N703" s="17">
        <f t="shared" si="62"/>
        <v>33.45518453427065</v>
      </c>
      <c r="O703" s="17">
        <f t="shared" si="63"/>
        <v>55.988235294117644</v>
      </c>
      <c r="P703" s="16">
        <f t="shared" si="64"/>
        <v>3.7288932419196867</v>
      </c>
      <c r="Q703" s="16">
        <f t="shared" si="65"/>
        <v>0.46743013238075226</v>
      </c>
      <c r="R703" s="2" t="s">
        <v>1428</v>
      </c>
      <c r="S703" s="21" t="s">
        <v>24</v>
      </c>
      <c r="T703" s="21" t="s">
        <v>17</v>
      </c>
      <c r="U703" s="8">
        <v>19036</v>
      </c>
      <c r="V703" s="11">
        <v>2</v>
      </c>
      <c r="W703" t="str">
        <f>IF(Table1[[#This Row],[Satisfaction Rating]]&lt;2, "Low", IF(Table1[[#This Row],[Satisfaction Rating]]&lt;4, "Medium", "High"))</f>
        <v>Medium</v>
      </c>
    </row>
    <row r="704" spans="1:23" ht="13" x14ac:dyDescent="0.15">
      <c r="A704" s="2" t="s">
        <v>1429</v>
      </c>
      <c r="B704" s="23">
        <v>45295.470462962963</v>
      </c>
      <c r="C704" s="23">
        <v>45295.470462962963</v>
      </c>
      <c r="D704" s="23" t="str">
        <f>IF(Table1[[#This Row],[Duration of Campaign]]=0, "Ongoing","Completed")</f>
        <v>Ongoing</v>
      </c>
      <c r="E704" s="25">
        <f>Table1[[#This Row],[End Date]]-Table1[[#This Row],[Start Date]]</f>
        <v>0</v>
      </c>
      <c r="F704" s="8">
        <v>8598</v>
      </c>
      <c r="G704" s="21" t="s">
        <v>37</v>
      </c>
      <c r="H704" s="11">
        <v>17247</v>
      </c>
      <c r="I704" s="11">
        <v>156</v>
      </c>
      <c r="J704" s="11">
        <v>459</v>
      </c>
      <c r="K704" s="13">
        <v>1539</v>
      </c>
      <c r="L704" s="16">
        <f t="shared" si="60"/>
        <v>9.0450513132718739E-3</v>
      </c>
      <c r="M704" s="16">
        <f t="shared" si="61"/>
        <v>2.9423076923076925</v>
      </c>
      <c r="N704" s="17">
        <f t="shared" si="62"/>
        <v>97.320512820512818</v>
      </c>
      <c r="O704" s="17">
        <f t="shared" si="63"/>
        <v>33.076252723311548</v>
      </c>
      <c r="P704" s="16">
        <f t="shared" si="64"/>
        <v>1.7657594789485926</v>
      </c>
      <c r="Q704" s="16">
        <f t="shared" si="65"/>
        <v>0.10137004347253327</v>
      </c>
      <c r="R704" s="2" t="s">
        <v>1430</v>
      </c>
      <c r="S704" s="21" t="s">
        <v>24</v>
      </c>
      <c r="T704" s="21" t="s">
        <v>27</v>
      </c>
      <c r="U704" s="8">
        <v>15182</v>
      </c>
      <c r="V704" s="11">
        <v>5</v>
      </c>
      <c r="W704" t="str">
        <f>IF(Table1[[#This Row],[Satisfaction Rating]]&lt;2, "Low", IF(Table1[[#This Row],[Satisfaction Rating]]&lt;4, "Medium", "High"))</f>
        <v>High</v>
      </c>
    </row>
    <row r="705" spans="1:23" ht="13" x14ac:dyDescent="0.15">
      <c r="A705" s="2" t="s">
        <v>1431</v>
      </c>
      <c r="B705" s="23">
        <v>45607.825740740744</v>
      </c>
      <c r="C705" s="23">
        <v>45607.825740740744</v>
      </c>
      <c r="D705" s="23" t="str">
        <f>IF(Table1[[#This Row],[Duration of Campaign]]=0, "Ongoing","Completed")</f>
        <v>Ongoing</v>
      </c>
      <c r="E705" s="25">
        <f>Table1[[#This Row],[End Date]]-Table1[[#This Row],[Start Date]]</f>
        <v>0</v>
      </c>
      <c r="F705" s="8">
        <v>2892</v>
      </c>
      <c r="G705" s="21" t="s">
        <v>19</v>
      </c>
      <c r="H705" s="11">
        <v>16599</v>
      </c>
      <c r="I705" s="11">
        <v>1594</v>
      </c>
      <c r="J705" s="11">
        <v>273</v>
      </c>
      <c r="K705" s="13">
        <v>627</v>
      </c>
      <c r="L705" s="16">
        <f t="shared" si="60"/>
        <v>9.6029881318151697E-2</v>
      </c>
      <c r="M705" s="16">
        <f t="shared" si="61"/>
        <v>0.17126725219573399</v>
      </c>
      <c r="N705" s="17">
        <f t="shared" si="62"/>
        <v>3.8074027603513176</v>
      </c>
      <c r="O705" s="17">
        <f t="shared" si="63"/>
        <v>22.23076923076923</v>
      </c>
      <c r="P705" s="16">
        <f t="shared" si="64"/>
        <v>2.0985477178423237</v>
      </c>
      <c r="Q705" s="16">
        <f t="shared" si="65"/>
        <v>0.10331191300049432</v>
      </c>
      <c r="R705" s="2" t="s">
        <v>1432</v>
      </c>
      <c r="S705" s="21" t="s">
        <v>21</v>
      </c>
      <c r="T705" s="21" t="s">
        <v>45</v>
      </c>
      <c r="U705" s="8">
        <v>6069</v>
      </c>
      <c r="V705" s="11">
        <v>3</v>
      </c>
      <c r="W705" t="str">
        <f>IF(Table1[[#This Row],[Satisfaction Rating]]&lt;2, "Low", IF(Table1[[#This Row],[Satisfaction Rating]]&lt;4, "Medium", "High"))</f>
        <v>Medium</v>
      </c>
    </row>
    <row r="706" spans="1:23" ht="13" x14ac:dyDescent="0.15">
      <c r="A706" s="2" t="s">
        <v>1433</v>
      </c>
      <c r="B706" s="23">
        <v>45118.678599537037</v>
      </c>
      <c r="C706" s="23">
        <v>45118.678599537037</v>
      </c>
      <c r="D706" s="23" t="str">
        <f>IF(Table1[[#This Row],[Duration of Campaign]]=0, "Ongoing","Completed")</f>
        <v>Ongoing</v>
      </c>
      <c r="E706" s="25">
        <f>Table1[[#This Row],[End Date]]-Table1[[#This Row],[Start Date]]</f>
        <v>0</v>
      </c>
      <c r="F706" s="8">
        <v>9146</v>
      </c>
      <c r="G706" s="21" t="s">
        <v>53</v>
      </c>
      <c r="H706" s="11">
        <v>6780</v>
      </c>
      <c r="I706" s="11">
        <v>835</v>
      </c>
      <c r="J706" s="11">
        <v>472</v>
      </c>
      <c r="K706" s="13">
        <v>10945</v>
      </c>
      <c r="L706" s="16">
        <f t="shared" si="60"/>
        <v>0.12315634218289086</v>
      </c>
      <c r="M706" s="16">
        <f t="shared" si="61"/>
        <v>0.56526946107784426</v>
      </c>
      <c r="N706" s="17">
        <f t="shared" si="62"/>
        <v>3.8419161676646705</v>
      </c>
      <c r="O706" s="17">
        <f t="shared" si="63"/>
        <v>6.7966101694915251</v>
      </c>
      <c r="P706" s="16">
        <f t="shared" si="64"/>
        <v>0.35075442816531816</v>
      </c>
      <c r="Q706" s="16">
        <f t="shared" si="65"/>
        <v>3.4117830423940148</v>
      </c>
      <c r="R706" s="2" t="s">
        <v>1434</v>
      </c>
      <c r="S706" s="21" t="s">
        <v>35</v>
      </c>
      <c r="T706" s="21" t="s">
        <v>17</v>
      </c>
      <c r="U706" s="8">
        <v>3208</v>
      </c>
      <c r="V706" s="11">
        <v>3</v>
      </c>
      <c r="W706" t="str">
        <f>IF(Table1[[#This Row],[Satisfaction Rating]]&lt;2, "Low", IF(Table1[[#This Row],[Satisfaction Rating]]&lt;4, "Medium", "High"))</f>
        <v>Medium</v>
      </c>
    </row>
    <row r="707" spans="1:23" ht="13" x14ac:dyDescent="0.15">
      <c r="A707" s="2" t="s">
        <v>1435</v>
      </c>
      <c r="B707" s="23">
        <v>45275.750462962962</v>
      </c>
      <c r="C707" s="23">
        <v>45275.750462962962</v>
      </c>
      <c r="D707" s="23" t="str">
        <f>IF(Table1[[#This Row],[Duration of Campaign]]=0, "Ongoing","Completed")</f>
        <v>Ongoing</v>
      </c>
      <c r="E707" s="25">
        <f>Table1[[#This Row],[End Date]]-Table1[[#This Row],[Start Date]]</f>
        <v>0</v>
      </c>
      <c r="F707" s="8">
        <v>3715</v>
      </c>
      <c r="G707" s="21" t="s">
        <v>37</v>
      </c>
      <c r="H707" s="11">
        <v>12632</v>
      </c>
      <c r="I707" s="11">
        <v>327</v>
      </c>
      <c r="J707" s="11">
        <v>464</v>
      </c>
      <c r="K707" s="13">
        <v>10299</v>
      </c>
      <c r="L707" s="16">
        <f t="shared" ref="L707:L770" si="66">I707/H707</f>
        <v>2.5886637112096263E-2</v>
      </c>
      <c r="M707" s="16">
        <f t="shared" ref="M707:M770" si="67">J707/I707</f>
        <v>1.418960244648318</v>
      </c>
      <c r="N707" s="17">
        <f t="shared" ref="N707:N770" si="68">U707/I707</f>
        <v>53.908256880733944</v>
      </c>
      <c r="O707" s="17">
        <f t="shared" ref="O707:O770" si="69">U707/J707</f>
        <v>37.991379310344826</v>
      </c>
      <c r="P707" s="16">
        <f t="shared" ref="P707:P770" si="70">U707/F707</f>
        <v>4.7450874831763121</v>
      </c>
      <c r="Q707" s="16">
        <f t="shared" ref="Q707:Q770" si="71">K707/U707</f>
        <v>0.58424098025867932</v>
      </c>
      <c r="R707" s="2" t="s">
        <v>1436</v>
      </c>
      <c r="S707" s="21" t="s">
        <v>35</v>
      </c>
      <c r="T707" s="21" t="s">
        <v>45</v>
      </c>
      <c r="U707" s="8">
        <v>17628</v>
      </c>
      <c r="V707" s="11">
        <v>4</v>
      </c>
      <c r="W707" t="str">
        <f>IF(Table1[[#This Row],[Satisfaction Rating]]&lt;2, "Low", IF(Table1[[#This Row],[Satisfaction Rating]]&lt;4, "Medium", "High"))</f>
        <v>High</v>
      </c>
    </row>
    <row r="708" spans="1:23" ht="13" x14ac:dyDescent="0.15">
      <c r="A708" s="2" t="s">
        <v>1437</v>
      </c>
      <c r="B708" s="23">
        <v>45179.293506944443</v>
      </c>
      <c r="C708" s="23">
        <v>45562.121527777781</v>
      </c>
      <c r="D708" s="23" t="str">
        <f>IF(Table1[[#This Row],[Duration of Campaign]]=0, "Ongoing","Completed")</f>
        <v>Completed</v>
      </c>
      <c r="E708" s="25">
        <f>Table1[[#This Row],[End Date]]-Table1[[#This Row],[Start Date]]</f>
        <v>382.82802083333809</v>
      </c>
      <c r="F708" s="8">
        <v>9598</v>
      </c>
      <c r="G708" s="21" t="s">
        <v>53</v>
      </c>
      <c r="H708" s="11">
        <v>15400</v>
      </c>
      <c r="I708" s="11">
        <v>1972</v>
      </c>
      <c r="J708" s="11">
        <v>12</v>
      </c>
      <c r="K708" s="13">
        <v>14647</v>
      </c>
      <c r="L708" s="16">
        <f t="shared" si="66"/>
        <v>0.12805194805194806</v>
      </c>
      <c r="M708" s="16">
        <f t="shared" si="67"/>
        <v>6.0851926977687626E-3</v>
      </c>
      <c r="N708" s="17">
        <f t="shared" si="68"/>
        <v>5.508113590263692</v>
      </c>
      <c r="O708" s="17">
        <f t="shared" si="69"/>
        <v>905.16666666666663</v>
      </c>
      <c r="P708" s="16">
        <f t="shared" si="70"/>
        <v>1.131694102938112</v>
      </c>
      <c r="Q708" s="16">
        <f t="shared" si="71"/>
        <v>1.3484625299208248</v>
      </c>
      <c r="R708" s="2" t="s">
        <v>1438</v>
      </c>
      <c r="S708" s="21" t="s">
        <v>35</v>
      </c>
      <c r="T708" s="21" t="s">
        <v>17</v>
      </c>
      <c r="U708" s="8">
        <v>10862</v>
      </c>
      <c r="V708" s="11">
        <v>4</v>
      </c>
      <c r="W708" t="str">
        <f>IF(Table1[[#This Row],[Satisfaction Rating]]&lt;2, "Low", IF(Table1[[#This Row],[Satisfaction Rating]]&lt;4, "Medium", "High"))</f>
        <v>High</v>
      </c>
    </row>
    <row r="709" spans="1:23" ht="13" x14ac:dyDescent="0.15">
      <c r="A709" s="2" t="s">
        <v>1439</v>
      </c>
      <c r="B709" s="23">
        <v>45378.269652777781</v>
      </c>
      <c r="C709" s="23">
        <v>45378.269652777781</v>
      </c>
      <c r="D709" s="23" t="str">
        <f>IF(Table1[[#This Row],[Duration of Campaign]]=0, "Ongoing","Completed")</f>
        <v>Ongoing</v>
      </c>
      <c r="E709" s="25">
        <f>Table1[[#This Row],[End Date]]-Table1[[#This Row],[Start Date]]</f>
        <v>0</v>
      </c>
      <c r="F709" s="8">
        <v>4389</v>
      </c>
      <c r="G709" s="21" t="s">
        <v>19</v>
      </c>
      <c r="H709" s="11">
        <v>16678</v>
      </c>
      <c r="I709" s="11">
        <v>577</v>
      </c>
      <c r="J709" s="11">
        <v>400</v>
      </c>
      <c r="K709" s="13">
        <v>4876</v>
      </c>
      <c r="L709" s="16">
        <f t="shared" si="66"/>
        <v>3.459647439740976E-2</v>
      </c>
      <c r="M709" s="16">
        <f t="shared" si="67"/>
        <v>0.69324090121317161</v>
      </c>
      <c r="N709" s="17">
        <f t="shared" si="68"/>
        <v>32.59098786828423</v>
      </c>
      <c r="O709" s="17">
        <f t="shared" si="69"/>
        <v>47.012500000000003</v>
      </c>
      <c r="P709" s="16">
        <f t="shared" si="70"/>
        <v>4.2845750740487585</v>
      </c>
      <c r="Q709" s="16">
        <f t="shared" si="71"/>
        <v>0.25929274129220953</v>
      </c>
      <c r="R709" s="2" t="s">
        <v>1440</v>
      </c>
      <c r="S709" s="21" t="s">
        <v>30</v>
      </c>
      <c r="T709" s="21" t="s">
        <v>27</v>
      </c>
      <c r="U709" s="8">
        <v>18805</v>
      </c>
      <c r="V709" s="11">
        <v>2</v>
      </c>
      <c r="W709" t="str">
        <f>IF(Table1[[#This Row],[Satisfaction Rating]]&lt;2, "Low", IF(Table1[[#This Row],[Satisfaction Rating]]&lt;4, "Medium", "High"))</f>
        <v>Medium</v>
      </c>
    </row>
    <row r="710" spans="1:23" ht="13" x14ac:dyDescent="0.15">
      <c r="A710" s="2" t="s">
        <v>1441</v>
      </c>
      <c r="B710" s="23">
        <v>45339.468495370369</v>
      </c>
      <c r="C710" s="23">
        <v>45339.468495370369</v>
      </c>
      <c r="D710" s="23" t="str">
        <f>IF(Table1[[#This Row],[Duration of Campaign]]=0, "Ongoing","Completed")</f>
        <v>Ongoing</v>
      </c>
      <c r="E710" s="25">
        <f>Table1[[#This Row],[End Date]]-Table1[[#This Row],[Start Date]]</f>
        <v>0</v>
      </c>
      <c r="F710" s="8">
        <v>6187</v>
      </c>
      <c r="G710" s="21" t="s">
        <v>19</v>
      </c>
      <c r="H710" s="11">
        <v>6308</v>
      </c>
      <c r="I710" s="11">
        <v>497</v>
      </c>
      <c r="J710" s="11">
        <v>101</v>
      </c>
      <c r="K710" s="13">
        <v>8217</v>
      </c>
      <c r="L710" s="16">
        <f t="shared" si="66"/>
        <v>7.8788839568801519E-2</v>
      </c>
      <c r="M710" s="16">
        <f t="shared" si="67"/>
        <v>0.20321931589537223</v>
      </c>
      <c r="N710" s="17">
        <f t="shared" si="68"/>
        <v>34.072434607645874</v>
      </c>
      <c r="O710" s="17">
        <f t="shared" si="69"/>
        <v>167.66336633663366</v>
      </c>
      <c r="P710" s="16">
        <f t="shared" si="70"/>
        <v>2.7370292548892841</v>
      </c>
      <c r="Q710" s="16">
        <f t="shared" si="71"/>
        <v>0.48523680170072042</v>
      </c>
      <c r="R710" s="2" t="s">
        <v>1442</v>
      </c>
      <c r="S710" s="21" t="s">
        <v>35</v>
      </c>
      <c r="T710" s="21" t="s">
        <v>45</v>
      </c>
      <c r="U710" s="8">
        <v>16934</v>
      </c>
      <c r="V710" s="11">
        <v>5</v>
      </c>
      <c r="W710" t="str">
        <f>IF(Table1[[#This Row],[Satisfaction Rating]]&lt;2, "Low", IF(Table1[[#This Row],[Satisfaction Rating]]&lt;4, "Medium", "High"))</f>
        <v>High</v>
      </c>
    </row>
    <row r="711" spans="1:23" ht="13" x14ac:dyDescent="0.15">
      <c r="A711" s="2" t="s">
        <v>1443</v>
      </c>
      <c r="B711" s="23">
        <v>45059.856527777774</v>
      </c>
      <c r="C711" s="23">
        <v>45341.872847222221</v>
      </c>
      <c r="D711" s="23" t="str">
        <f>IF(Table1[[#This Row],[Duration of Campaign]]=0, "Ongoing","Completed")</f>
        <v>Completed</v>
      </c>
      <c r="E711" s="25">
        <f>Table1[[#This Row],[End Date]]-Table1[[#This Row],[Start Date]]</f>
        <v>282.01631944444671</v>
      </c>
      <c r="F711" s="8">
        <v>6326</v>
      </c>
      <c r="G711" s="21" t="s">
        <v>14</v>
      </c>
      <c r="H711" s="11">
        <v>2071</v>
      </c>
      <c r="I711" s="11">
        <v>1530</v>
      </c>
      <c r="J711" s="11">
        <v>294</v>
      </c>
      <c r="K711" s="13">
        <v>3346</v>
      </c>
      <c r="L711" s="16">
        <f t="shared" si="66"/>
        <v>0.73877353935296963</v>
      </c>
      <c r="M711" s="16">
        <f t="shared" si="67"/>
        <v>0.19215686274509805</v>
      </c>
      <c r="N711" s="17">
        <f t="shared" si="68"/>
        <v>8.2450980392156854</v>
      </c>
      <c r="O711" s="17">
        <f t="shared" si="69"/>
        <v>42.908163265306122</v>
      </c>
      <c r="P711" s="16">
        <f t="shared" si="70"/>
        <v>1.9941511223521973</v>
      </c>
      <c r="Q711" s="16">
        <f t="shared" si="71"/>
        <v>0.26523979389615537</v>
      </c>
      <c r="R711" s="2" t="s">
        <v>1444</v>
      </c>
      <c r="S711" s="21" t="s">
        <v>35</v>
      </c>
      <c r="T711" s="21" t="s">
        <v>27</v>
      </c>
      <c r="U711" s="8">
        <v>12615</v>
      </c>
      <c r="V711" s="11">
        <v>5</v>
      </c>
      <c r="W711" t="str">
        <f>IF(Table1[[#This Row],[Satisfaction Rating]]&lt;2, "Low", IF(Table1[[#This Row],[Satisfaction Rating]]&lt;4, "Medium", "High"))</f>
        <v>High</v>
      </c>
    </row>
    <row r="712" spans="1:23" ht="13" x14ac:dyDescent="0.15">
      <c r="A712" s="2" t="s">
        <v>1445</v>
      </c>
      <c r="B712" s="23">
        <v>45315.655092592591</v>
      </c>
      <c r="C712" s="23">
        <v>45315.655092592591</v>
      </c>
      <c r="D712" s="23" t="str">
        <f>IF(Table1[[#This Row],[Duration of Campaign]]=0, "Ongoing","Completed")</f>
        <v>Ongoing</v>
      </c>
      <c r="E712" s="25">
        <f>Table1[[#This Row],[End Date]]-Table1[[#This Row],[Start Date]]</f>
        <v>0</v>
      </c>
      <c r="F712" s="8">
        <v>2412</v>
      </c>
      <c r="G712" s="21" t="s">
        <v>19</v>
      </c>
      <c r="H712" s="11">
        <v>11786</v>
      </c>
      <c r="I712" s="11">
        <v>198</v>
      </c>
      <c r="J712" s="11">
        <v>287</v>
      </c>
      <c r="K712" s="13">
        <v>5387</v>
      </c>
      <c r="L712" s="16">
        <f t="shared" si="66"/>
        <v>1.6799592737145767E-2</v>
      </c>
      <c r="M712" s="16">
        <f t="shared" si="67"/>
        <v>1.4494949494949494</v>
      </c>
      <c r="N712" s="17">
        <f t="shared" si="68"/>
        <v>18.106060606060606</v>
      </c>
      <c r="O712" s="17">
        <f t="shared" si="69"/>
        <v>12.491289198606271</v>
      </c>
      <c r="P712" s="16">
        <f t="shared" si="70"/>
        <v>1.486318407960199</v>
      </c>
      <c r="Q712" s="16">
        <f t="shared" si="71"/>
        <v>1.5026499302649929</v>
      </c>
      <c r="R712" s="2" t="s">
        <v>1446</v>
      </c>
      <c r="S712" s="21" t="s">
        <v>21</v>
      </c>
      <c r="T712" s="21" t="s">
        <v>45</v>
      </c>
      <c r="U712" s="8">
        <v>3585</v>
      </c>
      <c r="V712" s="11">
        <v>2</v>
      </c>
      <c r="W712" t="str">
        <f>IF(Table1[[#This Row],[Satisfaction Rating]]&lt;2, "Low", IF(Table1[[#This Row],[Satisfaction Rating]]&lt;4, "Medium", "High"))</f>
        <v>Medium</v>
      </c>
    </row>
    <row r="713" spans="1:23" ht="13" x14ac:dyDescent="0.15">
      <c r="A713" s="2" t="s">
        <v>1447</v>
      </c>
      <c r="B713" s="23">
        <v>44966.697268518517</v>
      </c>
      <c r="C713" s="23">
        <v>45060.251446759263</v>
      </c>
      <c r="D713" s="23" t="str">
        <f>IF(Table1[[#This Row],[Duration of Campaign]]=0, "Ongoing","Completed")</f>
        <v>Completed</v>
      </c>
      <c r="E713" s="25">
        <f>Table1[[#This Row],[End Date]]-Table1[[#This Row],[Start Date]]</f>
        <v>93.554178240745387</v>
      </c>
      <c r="F713" s="8">
        <v>9996</v>
      </c>
      <c r="G713" s="21" t="s">
        <v>37</v>
      </c>
      <c r="H713" s="11">
        <v>19759</v>
      </c>
      <c r="I713" s="11">
        <v>369</v>
      </c>
      <c r="J713" s="11">
        <v>402</v>
      </c>
      <c r="K713" s="13">
        <v>11500</v>
      </c>
      <c r="L713" s="16">
        <f t="shared" si="66"/>
        <v>1.8675034161647858E-2</v>
      </c>
      <c r="M713" s="16">
        <f t="shared" si="67"/>
        <v>1.089430894308943</v>
      </c>
      <c r="N713" s="17">
        <f t="shared" si="68"/>
        <v>13.05420054200542</v>
      </c>
      <c r="O713" s="17">
        <f t="shared" si="69"/>
        <v>11.982587064676617</v>
      </c>
      <c r="P713" s="16">
        <f t="shared" si="70"/>
        <v>0.48189275710284113</v>
      </c>
      <c r="Q713" s="16">
        <f t="shared" si="71"/>
        <v>2.3873780361220676</v>
      </c>
      <c r="R713" s="2" t="s">
        <v>1448</v>
      </c>
      <c r="S713" s="21" t="s">
        <v>21</v>
      </c>
      <c r="T713" s="21" t="s">
        <v>17</v>
      </c>
      <c r="U713" s="8">
        <v>4817</v>
      </c>
      <c r="V713" s="11">
        <v>5</v>
      </c>
      <c r="W713" t="str">
        <f>IF(Table1[[#This Row],[Satisfaction Rating]]&lt;2, "Low", IF(Table1[[#This Row],[Satisfaction Rating]]&lt;4, "Medium", "High"))</f>
        <v>High</v>
      </c>
    </row>
    <row r="714" spans="1:23" ht="13" x14ac:dyDescent="0.15">
      <c r="A714" s="2" t="s">
        <v>1449</v>
      </c>
      <c r="B714" s="23">
        <v>45287.963703703703</v>
      </c>
      <c r="C714" s="23">
        <v>45626.403900462959</v>
      </c>
      <c r="D714" s="23" t="str">
        <f>IF(Table1[[#This Row],[Duration of Campaign]]=0, "Ongoing","Completed")</f>
        <v>Completed</v>
      </c>
      <c r="E714" s="25">
        <f>Table1[[#This Row],[End Date]]-Table1[[#This Row],[Start Date]]</f>
        <v>338.44019675925665</v>
      </c>
      <c r="F714" s="8">
        <v>7633</v>
      </c>
      <c r="G714" s="21" t="s">
        <v>19</v>
      </c>
      <c r="H714" s="11">
        <v>14862</v>
      </c>
      <c r="I714" s="11">
        <v>1281</v>
      </c>
      <c r="J714" s="11">
        <v>209</v>
      </c>
      <c r="K714" s="13">
        <v>10771</v>
      </c>
      <c r="L714" s="16">
        <f t="shared" si="66"/>
        <v>8.6192975373435607E-2</v>
      </c>
      <c r="M714" s="16">
        <f t="shared" si="67"/>
        <v>0.16315378610460576</v>
      </c>
      <c r="N714" s="17">
        <f t="shared" si="68"/>
        <v>8.9297423887587826</v>
      </c>
      <c r="O714" s="17">
        <f t="shared" si="69"/>
        <v>54.732057416267942</v>
      </c>
      <c r="P714" s="16">
        <f t="shared" si="70"/>
        <v>1.4986243940783441</v>
      </c>
      <c r="Q714" s="16">
        <f t="shared" si="71"/>
        <v>0.94160328700061191</v>
      </c>
      <c r="R714" s="2" t="s">
        <v>1450</v>
      </c>
      <c r="S714" s="21" t="s">
        <v>24</v>
      </c>
      <c r="T714" s="21" t="s">
        <v>45</v>
      </c>
      <c r="U714" s="8">
        <v>11439</v>
      </c>
      <c r="V714" s="11">
        <v>1</v>
      </c>
      <c r="W714" t="str">
        <f>IF(Table1[[#This Row],[Satisfaction Rating]]&lt;2, "Low", IF(Table1[[#This Row],[Satisfaction Rating]]&lt;4, "Medium", "High"))</f>
        <v>Low</v>
      </c>
    </row>
    <row r="715" spans="1:23" ht="13" x14ac:dyDescent="0.15">
      <c r="A715" s="2" t="s">
        <v>1451</v>
      </c>
      <c r="B715" s="23">
        <v>45355.534282407411</v>
      </c>
      <c r="C715" s="23">
        <v>45355.534282407411</v>
      </c>
      <c r="D715" s="23" t="str">
        <f>IF(Table1[[#This Row],[Duration of Campaign]]=0, "Ongoing","Completed")</f>
        <v>Ongoing</v>
      </c>
      <c r="E715" s="25">
        <f>Table1[[#This Row],[End Date]]-Table1[[#This Row],[Start Date]]</f>
        <v>0</v>
      </c>
      <c r="F715" s="8">
        <v>7451</v>
      </c>
      <c r="G715" s="21" t="s">
        <v>53</v>
      </c>
      <c r="H715" s="11">
        <v>13503</v>
      </c>
      <c r="I715" s="11">
        <v>657</v>
      </c>
      <c r="J715" s="11">
        <v>62</v>
      </c>
      <c r="K715" s="13">
        <v>14047</v>
      </c>
      <c r="L715" s="16">
        <f t="shared" si="66"/>
        <v>4.8655854254610088E-2</v>
      </c>
      <c r="M715" s="16">
        <f t="shared" si="67"/>
        <v>9.4368340943683404E-2</v>
      </c>
      <c r="N715" s="17">
        <f t="shared" si="68"/>
        <v>13.394216133942161</v>
      </c>
      <c r="O715" s="17">
        <f t="shared" si="69"/>
        <v>141.93548387096774</v>
      </c>
      <c r="P715" s="16">
        <f t="shared" si="70"/>
        <v>1.1810495235538854</v>
      </c>
      <c r="Q715" s="16">
        <f t="shared" si="71"/>
        <v>1.5962499999999999</v>
      </c>
      <c r="R715" s="2" t="s">
        <v>1452</v>
      </c>
      <c r="S715" s="21" t="s">
        <v>30</v>
      </c>
      <c r="T715" s="21" t="s">
        <v>17</v>
      </c>
      <c r="U715" s="8">
        <v>8800</v>
      </c>
      <c r="V715" s="11">
        <v>2</v>
      </c>
      <c r="W715" t="str">
        <f>IF(Table1[[#This Row],[Satisfaction Rating]]&lt;2, "Low", IF(Table1[[#This Row],[Satisfaction Rating]]&lt;4, "Medium", "High"))</f>
        <v>Medium</v>
      </c>
    </row>
    <row r="716" spans="1:23" ht="13" x14ac:dyDescent="0.15">
      <c r="A716" s="2" t="s">
        <v>1453</v>
      </c>
      <c r="B716" s="23">
        <v>45295.429189814815</v>
      </c>
      <c r="C716" s="23">
        <v>45295.429189814815</v>
      </c>
      <c r="D716" s="23" t="str">
        <f>IF(Table1[[#This Row],[Duration of Campaign]]=0, "Ongoing","Completed")</f>
        <v>Ongoing</v>
      </c>
      <c r="E716" s="25">
        <f>Table1[[#This Row],[End Date]]-Table1[[#This Row],[Start Date]]</f>
        <v>0</v>
      </c>
      <c r="F716" s="8">
        <v>1972</v>
      </c>
      <c r="G716" s="21" t="s">
        <v>19</v>
      </c>
      <c r="H716" s="11">
        <v>5508</v>
      </c>
      <c r="I716" s="11">
        <v>1409</v>
      </c>
      <c r="J716" s="11">
        <v>93</v>
      </c>
      <c r="K716" s="13">
        <v>6101</v>
      </c>
      <c r="L716" s="16">
        <f t="shared" si="66"/>
        <v>0.2558097312999274</v>
      </c>
      <c r="M716" s="16">
        <f t="shared" si="67"/>
        <v>6.6004258339247696E-2</v>
      </c>
      <c r="N716" s="17">
        <f t="shared" si="68"/>
        <v>7.9552874378992193</v>
      </c>
      <c r="O716" s="17">
        <f t="shared" si="69"/>
        <v>120.52688172043011</v>
      </c>
      <c r="P716" s="16">
        <f t="shared" si="70"/>
        <v>5.6840770791075048</v>
      </c>
      <c r="Q716" s="16">
        <f t="shared" si="71"/>
        <v>0.54429476313676506</v>
      </c>
      <c r="R716" s="2" t="s">
        <v>1454</v>
      </c>
      <c r="S716" s="21" t="s">
        <v>16</v>
      </c>
      <c r="T716" s="21" t="s">
        <v>27</v>
      </c>
      <c r="U716" s="8">
        <v>11209</v>
      </c>
      <c r="V716" s="11">
        <v>2</v>
      </c>
      <c r="W716" t="str">
        <f>IF(Table1[[#This Row],[Satisfaction Rating]]&lt;2, "Low", IF(Table1[[#This Row],[Satisfaction Rating]]&lt;4, "Medium", "High"))</f>
        <v>Medium</v>
      </c>
    </row>
    <row r="717" spans="1:23" ht="13" x14ac:dyDescent="0.15">
      <c r="A717" s="2" t="s">
        <v>1455</v>
      </c>
      <c r="B717" s="23">
        <v>44951.895543981482</v>
      </c>
      <c r="C717" s="23">
        <v>45028.73296296296</v>
      </c>
      <c r="D717" s="23" t="str">
        <f>IF(Table1[[#This Row],[Duration of Campaign]]=0, "Ongoing","Completed")</f>
        <v>Completed</v>
      </c>
      <c r="E717" s="25">
        <f>Table1[[#This Row],[End Date]]-Table1[[#This Row],[Start Date]]</f>
        <v>76.83741898147855</v>
      </c>
      <c r="F717" s="8">
        <v>8420</v>
      </c>
      <c r="G717" s="21" t="s">
        <v>53</v>
      </c>
      <c r="H717" s="11">
        <v>14711</v>
      </c>
      <c r="I717" s="11">
        <v>272</v>
      </c>
      <c r="J717" s="11">
        <v>182</v>
      </c>
      <c r="K717" s="13">
        <v>4666</v>
      </c>
      <c r="L717" s="16">
        <f t="shared" si="66"/>
        <v>1.8489565631160356E-2</v>
      </c>
      <c r="M717" s="16">
        <f t="shared" si="67"/>
        <v>0.66911764705882348</v>
      </c>
      <c r="N717" s="17">
        <f t="shared" si="68"/>
        <v>3.6764705882352939</v>
      </c>
      <c r="O717" s="17">
        <f t="shared" si="69"/>
        <v>5.4945054945054945</v>
      </c>
      <c r="P717" s="16">
        <f t="shared" si="70"/>
        <v>0.11876484560570071</v>
      </c>
      <c r="Q717" s="16">
        <f t="shared" si="71"/>
        <v>4.6660000000000004</v>
      </c>
      <c r="R717" s="2" t="s">
        <v>1456</v>
      </c>
      <c r="S717" s="21" t="s">
        <v>35</v>
      </c>
      <c r="T717" s="21" t="s">
        <v>45</v>
      </c>
      <c r="U717" s="8">
        <v>1000</v>
      </c>
      <c r="V717" s="11">
        <v>3</v>
      </c>
      <c r="W717" t="str">
        <f>IF(Table1[[#This Row],[Satisfaction Rating]]&lt;2, "Low", IF(Table1[[#This Row],[Satisfaction Rating]]&lt;4, "Medium", "High"))</f>
        <v>Medium</v>
      </c>
    </row>
    <row r="718" spans="1:23" ht="13" x14ac:dyDescent="0.15">
      <c r="A718" s="2" t="s">
        <v>1457</v>
      </c>
      <c r="B718" s="23">
        <v>45120.054189814815</v>
      </c>
      <c r="C718" s="23">
        <v>45508.829872685186</v>
      </c>
      <c r="D718" s="23" t="str">
        <f>IF(Table1[[#This Row],[Duration of Campaign]]=0, "Ongoing","Completed")</f>
        <v>Completed</v>
      </c>
      <c r="E718" s="25">
        <f>Table1[[#This Row],[End Date]]-Table1[[#This Row],[Start Date]]</f>
        <v>388.77568287037138</v>
      </c>
      <c r="F718" s="8">
        <v>4537</v>
      </c>
      <c r="G718" s="21" t="s">
        <v>19</v>
      </c>
      <c r="H718" s="11">
        <v>9556</v>
      </c>
      <c r="I718" s="11">
        <v>1776</v>
      </c>
      <c r="J718" s="11">
        <v>149</v>
      </c>
      <c r="K718" s="13">
        <v>10015</v>
      </c>
      <c r="L718" s="16">
        <f t="shared" si="66"/>
        <v>0.18585182084554205</v>
      </c>
      <c r="M718" s="16">
        <f t="shared" si="67"/>
        <v>8.38963963963964E-2</v>
      </c>
      <c r="N718" s="17">
        <f t="shared" si="68"/>
        <v>7.4014639639639643</v>
      </c>
      <c r="O718" s="17">
        <f t="shared" si="69"/>
        <v>88.22147651006712</v>
      </c>
      <c r="P718" s="16">
        <f t="shared" si="70"/>
        <v>2.8972889574608773</v>
      </c>
      <c r="Q718" s="16">
        <f t="shared" si="71"/>
        <v>0.7618866489159376</v>
      </c>
      <c r="R718" s="2" t="s">
        <v>1458</v>
      </c>
      <c r="S718" s="21" t="s">
        <v>16</v>
      </c>
      <c r="T718" s="21" t="s">
        <v>45</v>
      </c>
      <c r="U718" s="8">
        <v>13145</v>
      </c>
      <c r="V718" s="11">
        <v>1</v>
      </c>
      <c r="W718" t="str">
        <f>IF(Table1[[#This Row],[Satisfaction Rating]]&lt;2, "Low", IF(Table1[[#This Row],[Satisfaction Rating]]&lt;4, "Medium", "High"))</f>
        <v>Low</v>
      </c>
    </row>
    <row r="719" spans="1:23" ht="13" x14ac:dyDescent="0.15">
      <c r="A719" s="2" t="s">
        <v>1459</v>
      </c>
      <c r="B719" s="23">
        <v>45173.121886574074</v>
      </c>
      <c r="C719" s="23">
        <v>45463.760462962964</v>
      </c>
      <c r="D719" s="23" t="str">
        <f>IF(Table1[[#This Row],[Duration of Campaign]]=0, "Ongoing","Completed")</f>
        <v>Completed</v>
      </c>
      <c r="E719" s="25">
        <f>Table1[[#This Row],[End Date]]-Table1[[#This Row],[Start Date]]</f>
        <v>290.63857638889021</v>
      </c>
      <c r="F719" s="8">
        <v>3532</v>
      </c>
      <c r="G719" s="21" t="s">
        <v>37</v>
      </c>
      <c r="H719" s="11">
        <v>7355</v>
      </c>
      <c r="I719" s="11">
        <v>1006</v>
      </c>
      <c r="J719" s="11">
        <v>142</v>
      </c>
      <c r="K719" s="13">
        <v>3821</v>
      </c>
      <c r="L719" s="16">
        <f t="shared" si="66"/>
        <v>0.13677770224337185</v>
      </c>
      <c r="M719" s="16">
        <f t="shared" si="67"/>
        <v>0.14115308151093439</v>
      </c>
      <c r="N719" s="17">
        <f t="shared" si="68"/>
        <v>17.133200795228628</v>
      </c>
      <c r="O719" s="17">
        <f t="shared" si="69"/>
        <v>121.38028169014085</v>
      </c>
      <c r="P719" s="16">
        <f t="shared" si="70"/>
        <v>4.87995469988675</v>
      </c>
      <c r="Q719" s="16">
        <f t="shared" si="71"/>
        <v>0.22168716639591551</v>
      </c>
      <c r="R719" s="2" t="s">
        <v>1460</v>
      </c>
      <c r="S719" s="21" t="s">
        <v>30</v>
      </c>
      <c r="T719" s="21" t="s">
        <v>17</v>
      </c>
      <c r="U719" s="8">
        <v>17236</v>
      </c>
      <c r="V719" s="11">
        <v>3</v>
      </c>
      <c r="W719" t="str">
        <f>IF(Table1[[#This Row],[Satisfaction Rating]]&lt;2, "Low", IF(Table1[[#This Row],[Satisfaction Rating]]&lt;4, "Medium", "High"))</f>
        <v>Medium</v>
      </c>
    </row>
    <row r="720" spans="1:23" ht="13" x14ac:dyDescent="0.15">
      <c r="A720" s="2" t="s">
        <v>1461</v>
      </c>
      <c r="B720" s="23">
        <v>44973.550659722219</v>
      </c>
      <c r="C720" s="23">
        <v>44995.356770833336</v>
      </c>
      <c r="D720" s="23" t="str">
        <f>IF(Table1[[#This Row],[Duration of Campaign]]=0, "Ongoing","Completed")</f>
        <v>Completed</v>
      </c>
      <c r="E720" s="25">
        <f>Table1[[#This Row],[End Date]]-Table1[[#This Row],[Start Date]]</f>
        <v>21.806111111116479</v>
      </c>
      <c r="F720" s="8">
        <v>5910</v>
      </c>
      <c r="G720" s="21" t="s">
        <v>37</v>
      </c>
      <c r="H720" s="11">
        <v>16581</v>
      </c>
      <c r="I720" s="11">
        <v>398</v>
      </c>
      <c r="J720" s="11">
        <v>83</v>
      </c>
      <c r="K720" s="13">
        <v>2701</v>
      </c>
      <c r="L720" s="16">
        <f t="shared" si="66"/>
        <v>2.400337735962849E-2</v>
      </c>
      <c r="M720" s="16">
        <f t="shared" si="67"/>
        <v>0.20854271356783918</v>
      </c>
      <c r="N720" s="17">
        <f t="shared" si="68"/>
        <v>46.422110552763819</v>
      </c>
      <c r="O720" s="17">
        <f t="shared" si="69"/>
        <v>222.60240963855421</v>
      </c>
      <c r="P720" s="16">
        <f t="shared" si="70"/>
        <v>3.1262267343485619</v>
      </c>
      <c r="Q720" s="16">
        <f t="shared" si="71"/>
        <v>0.14618965143970555</v>
      </c>
      <c r="R720" s="2" t="s">
        <v>1462</v>
      </c>
      <c r="S720" s="21" t="s">
        <v>24</v>
      </c>
      <c r="T720" s="21" t="s">
        <v>45</v>
      </c>
      <c r="U720" s="8">
        <v>18476</v>
      </c>
      <c r="V720" s="11">
        <v>2</v>
      </c>
      <c r="W720" t="str">
        <f>IF(Table1[[#This Row],[Satisfaction Rating]]&lt;2, "Low", IF(Table1[[#This Row],[Satisfaction Rating]]&lt;4, "Medium", "High"))</f>
        <v>Medium</v>
      </c>
    </row>
    <row r="721" spans="1:23" ht="13" x14ac:dyDescent="0.15">
      <c r="A721" s="2" t="s">
        <v>1463</v>
      </c>
      <c r="B721" s="23">
        <v>45147.235092592593</v>
      </c>
      <c r="C721" s="23">
        <v>45149.371527777781</v>
      </c>
      <c r="D721" s="23" t="str">
        <f>IF(Table1[[#This Row],[Duration of Campaign]]=0, "Ongoing","Completed")</f>
        <v>Completed</v>
      </c>
      <c r="E721" s="25">
        <f>Table1[[#This Row],[End Date]]-Table1[[#This Row],[Start Date]]</f>
        <v>2.1364351851880201</v>
      </c>
      <c r="F721" s="8">
        <v>5599</v>
      </c>
      <c r="G721" s="21" t="s">
        <v>19</v>
      </c>
      <c r="H721" s="11">
        <v>17537</v>
      </c>
      <c r="I721" s="11">
        <v>1317</v>
      </c>
      <c r="J721" s="11">
        <v>441</v>
      </c>
      <c r="K721" s="13">
        <v>10160</v>
      </c>
      <c r="L721" s="16">
        <f t="shared" si="66"/>
        <v>7.5098363460112907E-2</v>
      </c>
      <c r="M721" s="16">
        <f t="shared" si="67"/>
        <v>0.33485193621867881</v>
      </c>
      <c r="N721" s="17">
        <f t="shared" si="68"/>
        <v>14.133637053910402</v>
      </c>
      <c r="O721" s="17">
        <f t="shared" si="69"/>
        <v>42.208616780045354</v>
      </c>
      <c r="P721" s="16">
        <f t="shared" si="70"/>
        <v>3.3245222361135918</v>
      </c>
      <c r="Q721" s="16">
        <f t="shared" si="71"/>
        <v>0.54582572257440631</v>
      </c>
      <c r="R721" s="2" t="s">
        <v>1464</v>
      </c>
      <c r="S721" s="21" t="s">
        <v>30</v>
      </c>
      <c r="T721" s="21" t="s">
        <v>45</v>
      </c>
      <c r="U721" s="8">
        <v>18614</v>
      </c>
      <c r="V721" s="11">
        <v>1</v>
      </c>
      <c r="W721" t="str">
        <f>IF(Table1[[#This Row],[Satisfaction Rating]]&lt;2, "Low", IF(Table1[[#This Row],[Satisfaction Rating]]&lt;4, "Medium", "High"))</f>
        <v>Low</v>
      </c>
    </row>
    <row r="722" spans="1:23" ht="13" x14ac:dyDescent="0.15">
      <c r="A722" s="2" t="s">
        <v>1465</v>
      </c>
      <c r="B722" s="23">
        <v>45329.894293981481</v>
      </c>
      <c r="C722" s="23">
        <v>45329.894293981481</v>
      </c>
      <c r="D722" s="23" t="str">
        <f>IF(Table1[[#This Row],[Duration of Campaign]]=0, "Ongoing","Completed")</f>
        <v>Ongoing</v>
      </c>
      <c r="E722" s="25">
        <f>Table1[[#This Row],[End Date]]-Table1[[#This Row],[Start Date]]</f>
        <v>0</v>
      </c>
      <c r="F722" s="8">
        <v>9042</v>
      </c>
      <c r="G722" s="21" t="s">
        <v>53</v>
      </c>
      <c r="H722" s="11">
        <v>1805</v>
      </c>
      <c r="I722" s="11">
        <v>1146</v>
      </c>
      <c r="J722" s="11">
        <v>289</v>
      </c>
      <c r="K722" s="13">
        <v>10121</v>
      </c>
      <c r="L722" s="16">
        <f t="shared" si="66"/>
        <v>0.63490304709141276</v>
      </c>
      <c r="M722" s="16">
        <f t="shared" si="67"/>
        <v>0.25218150087260033</v>
      </c>
      <c r="N722" s="17">
        <f t="shared" si="68"/>
        <v>14.533158813263526</v>
      </c>
      <c r="O722" s="17">
        <f t="shared" si="69"/>
        <v>57.629757785467127</v>
      </c>
      <c r="P722" s="16">
        <f t="shared" si="70"/>
        <v>1.8419597434195973</v>
      </c>
      <c r="Q722" s="16">
        <f t="shared" si="71"/>
        <v>0.60768537976583603</v>
      </c>
      <c r="R722" s="2" t="s">
        <v>1466</v>
      </c>
      <c r="S722" s="21" t="s">
        <v>21</v>
      </c>
      <c r="T722" s="21" t="s">
        <v>17</v>
      </c>
      <c r="U722" s="8">
        <v>16655</v>
      </c>
      <c r="V722" s="11">
        <v>5</v>
      </c>
      <c r="W722" t="str">
        <f>IF(Table1[[#This Row],[Satisfaction Rating]]&lt;2, "Low", IF(Table1[[#This Row],[Satisfaction Rating]]&lt;4, "Medium", "High"))</f>
        <v>High</v>
      </c>
    </row>
    <row r="723" spans="1:23" ht="13" x14ac:dyDescent="0.15">
      <c r="A723" s="2" t="s">
        <v>1467</v>
      </c>
      <c r="B723" s="23">
        <v>45425.124282407407</v>
      </c>
      <c r="C723" s="23">
        <v>45425.124282407407</v>
      </c>
      <c r="D723" s="23" t="str">
        <f>IF(Table1[[#This Row],[Duration of Campaign]]=0, "Ongoing","Completed")</f>
        <v>Ongoing</v>
      </c>
      <c r="E723" s="25">
        <f>Table1[[#This Row],[End Date]]-Table1[[#This Row],[Start Date]]</f>
        <v>0</v>
      </c>
      <c r="F723" s="8">
        <v>8493</v>
      </c>
      <c r="G723" s="21" t="s">
        <v>37</v>
      </c>
      <c r="H723" s="11">
        <v>15575</v>
      </c>
      <c r="I723" s="11">
        <v>1609</v>
      </c>
      <c r="J723" s="11">
        <v>389</v>
      </c>
      <c r="K723" s="13">
        <v>12655</v>
      </c>
      <c r="L723" s="16">
        <f t="shared" si="66"/>
        <v>0.10330658105939004</v>
      </c>
      <c r="M723" s="16">
        <f t="shared" si="67"/>
        <v>0.24176507147296458</v>
      </c>
      <c r="N723" s="17">
        <f t="shared" si="68"/>
        <v>9.7818520820385331</v>
      </c>
      <c r="O723" s="17">
        <f t="shared" si="69"/>
        <v>40.460154241645242</v>
      </c>
      <c r="P723" s="16">
        <f t="shared" si="70"/>
        <v>1.853173201460026</v>
      </c>
      <c r="Q723" s="16">
        <f t="shared" si="71"/>
        <v>0.80405362475379627</v>
      </c>
      <c r="R723" s="2" t="s">
        <v>1468</v>
      </c>
      <c r="S723" s="21" t="s">
        <v>21</v>
      </c>
      <c r="T723" s="21" t="s">
        <v>27</v>
      </c>
      <c r="U723" s="8">
        <v>15739</v>
      </c>
      <c r="V723" s="11">
        <v>4</v>
      </c>
      <c r="W723" t="str">
        <f>IF(Table1[[#This Row],[Satisfaction Rating]]&lt;2, "Low", IF(Table1[[#This Row],[Satisfaction Rating]]&lt;4, "Medium", "High"))</f>
        <v>High</v>
      </c>
    </row>
    <row r="724" spans="1:23" ht="13" x14ac:dyDescent="0.15">
      <c r="A724" s="2" t="s">
        <v>1469</v>
      </c>
      <c r="B724" s="23">
        <v>44927.674027777779</v>
      </c>
      <c r="C724" s="23">
        <v>45001.015787037039</v>
      </c>
      <c r="D724" s="23" t="str">
        <f>IF(Table1[[#This Row],[Duration of Campaign]]=0, "Ongoing","Completed")</f>
        <v>Completed</v>
      </c>
      <c r="E724" s="25">
        <f>Table1[[#This Row],[End Date]]-Table1[[#This Row],[Start Date]]</f>
        <v>73.341759259259561</v>
      </c>
      <c r="F724" s="8">
        <v>9388</v>
      </c>
      <c r="G724" s="21" t="s">
        <v>53</v>
      </c>
      <c r="H724" s="11">
        <v>11119</v>
      </c>
      <c r="I724" s="11">
        <v>1948</v>
      </c>
      <c r="J724" s="11">
        <v>263</v>
      </c>
      <c r="K724" s="13">
        <v>10322</v>
      </c>
      <c r="L724" s="16">
        <f t="shared" si="66"/>
        <v>0.17519561111610757</v>
      </c>
      <c r="M724" s="16">
        <f t="shared" si="67"/>
        <v>0.13501026694045173</v>
      </c>
      <c r="N724" s="17">
        <f t="shared" si="68"/>
        <v>1.6940451745379876</v>
      </c>
      <c r="O724" s="17">
        <f t="shared" si="69"/>
        <v>12.547528517110266</v>
      </c>
      <c r="P724" s="16">
        <f t="shared" si="70"/>
        <v>0.35151256923732427</v>
      </c>
      <c r="Q724" s="16">
        <f t="shared" si="71"/>
        <v>3.1278787878787879</v>
      </c>
      <c r="R724" s="2" t="s">
        <v>1470</v>
      </c>
      <c r="S724" s="21" t="s">
        <v>30</v>
      </c>
      <c r="T724" s="21" t="s">
        <v>17</v>
      </c>
      <c r="U724" s="8">
        <v>3300</v>
      </c>
      <c r="V724" s="11">
        <v>4</v>
      </c>
      <c r="W724" t="str">
        <f>IF(Table1[[#This Row],[Satisfaction Rating]]&lt;2, "Low", IF(Table1[[#This Row],[Satisfaction Rating]]&lt;4, "Medium", "High"))</f>
        <v>High</v>
      </c>
    </row>
    <row r="725" spans="1:23" ht="13" x14ac:dyDescent="0.15">
      <c r="A725" s="2" t="s">
        <v>1471</v>
      </c>
      <c r="B725" s="23">
        <v>45585.981446759259</v>
      </c>
      <c r="C725" s="23">
        <v>45585.981446759259</v>
      </c>
      <c r="D725" s="23" t="str">
        <f>IF(Table1[[#This Row],[Duration of Campaign]]=0, "Ongoing","Completed")</f>
        <v>Ongoing</v>
      </c>
      <c r="E725" s="25">
        <f>Table1[[#This Row],[End Date]]-Table1[[#This Row],[Start Date]]</f>
        <v>0</v>
      </c>
      <c r="F725" s="8">
        <v>6935</v>
      </c>
      <c r="G725" s="21" t="s">
        <v>37</v>
      </c>
      <c r="H725" s="11">
        <v>6774</v>
      </c>
      <c r="I725" s="11">
        <v>1310</v>
      </c>
      <c r="J725" s="11">
        <v>212</v>
      </c>
      <c r="K725" s="13">
        <v>3982</v>
      </c>
      <c r="L725" s="16">
        <f t="shared" si="66"/>
        <v>0.19338647770888692</v>
      </c>
      <c r="M725" s="16">
        <f t="shared" si="67"/>
        <v>0.16183206106870229</v>
      </c>
      <c r="N725" s="17">
        <f t="shared" si="68"/>
        <v>4.8900763358778629</v>
      </c>
      <c r="O725" s="17">
        <f t="shared" si="69"/>
        <v>30.216981132075471</v>
      </c>
      <c r="P725" s="16">
        <f t="shared" si="70"/>
        <v>0.92372025955299208</v>
      </c>
      <c r="Q725" s="16">
        <f t="shared" si="71"/>
        <v>0.62160474555104595</v>
      </c>
      <c r="R725" s="2" t="s">
        <v>1472</v>
      </c>
      <c r="S725" s="21" t="s">
        <v>35</v>
      </c>
      <c r="T725" s="21" t="s">
        <v>45</v>
      </c>
      <c r="U725" s="8">
        <v>6406</v>
      </c>
      <c r="V725" s="11">
        <v>1</v>
      </c>
      <c r="W725" t="str">
        <f>IF(Table1[[#This Row],[Satisfaction Rating]]&lt;2, "Low", IF(Table1[[#This Row],[Satisfaction Rating]]&lt;4, "Medium", "High"))</f>
        <v>Low</v>
      </c>
    </row>
    <row r="726" spans="1:23" ht="13" x14ac:dyDescent="0.15">
      <c r="A726" s="2" t="s">
        <v>1473</v>
      </c>
      <c r="B726" s="23">
        <v>45589.22315972222</v>
      </c>
      <c r="C726" s="23">
        <v>45589.22315972222</v>
      </c>
      <c r="D726" s="23" t="str">
        <f>IF(Table1[[#This Row],[Duration of Campaign]]=0, "Ongoing","Completed")</f>
        <v>Ongoing</v>
      </c>
      <c r="E726" s="25">
        <f>Table1[[#This Row],[End Date]]-Table1[[#This Row],[Start Date]]</f>
        <v>0</v>
      </c>
      <c r="F726" s="8">
        <v>4948</v>
      </c>
      <c r="G726" s="21" t="s">
        <v>14</v>
      </c>
      <c r="H726" s="11">
        <v>7561</v>
      </c>
      <c r="I726" s="11">
        <v>806</v>
      </c>
      <c r="J726" s="11">
        <v>358</v>
      </c>
      <c r="K726" s="13">
        <v>5940</v>
      </c>
      <c r="L726" s="16">
        <f t="shared" si="66"/>
        <v>0.10659965613014151</v>
      </c>
      <c r="M726" s="16">
        <f t="shared" si="67"/>
        <v>0.44416873449131511</v>
      </c>
      <c r="N726" s="17">
        <f t="shared" si="68"/>
        <v>16.725806451612904</v>
      </c>
      <c r="O726" s="17">
        <f t="shared" si="69"/>
        <v>37.656424581005588</v>
      </c>
      <c r="P726" s="16">
        <f t="shared" si="70"/>
        <v>2.7245351657235246</v>
      </c>
      <c r="Q726" s="16">
        <f t="shared" si="71"/>
        <v>0.44062013203768269</v>
      </c>
      <c r="R726" s="2" t="s">
        <v>1474</v>
      </c>
      <c r="S726" s="21" t="s">
        <v>24</v>
      </c>
      <c r="T726" s="21" t="s">
        <v>17</v>
      </c>
      <c r="U726" s="8">
        <v>13481</v>
      </c>
      <c r="V726" s="11">
        <v>4</v>
      </c>
      <c r="W726" t="str">
        <f>IF(Table1[[#This Row],[Satisfaction Rating]]&lt;2, "Low", IF(Table1[[#This Row],[Satisfaction Rating]]&lt;4, "Medium", "High"))</f>
        <v>High</v>
      </c>
    </row>
    <row r="727" spans="1:23" ht="13" x14ac:dyDescent="0.15">
      <c r="A727" s="2" t="s">
        <v>1475</v>
      </c>
      <c r="B727" s="23">
        <v>45222.690729166665</v>
      </c>
      <c r="C727" s="23">
        <v>45557.738356481481</v>
      </c>
      <c r="D727" s="23" t="str">
        <f>IF(Table1[[#This Row],[Duration of Campaign]]=0, "Ongoing","Completed")</f>
        <v>Completed</v>
      </c>
      <c r="E727" s="25">
        <f>Table1[[#This Row],[End Date]]-Table1[[#This Row],[Start Date]]</f>
        <v>335.04762731481605</v>
      </c>
      <c r="F727" s="8">
        <v>7517</v>
      </c>
      <c r="G727" s="21" t="s">
        <v>19</v>
      </c>
      <c r="H727" s="11">
        <v>1160</v>
      </c>
      <c r="I727" s="11">
        <v>1168</v>
      </c>
      <c r="J727" s="11">
        <v>387</v>
      </c>
      <c r="K727" s="13">
        <v>6489</v>
      </c>
      <c r="L727" s="16">
        <f t="shared" si="66"/>
        <v>1.0068965517241379</v>
      </c>
      <c r="M727" s="16">
        <f t="shared" si="67"/>
        <v>0.33133561643835618</v>
      </c>
      <c r="N727" s="17">
        <f t="shared" si="68"/>
        <v>6.5282534246575343</v>
      </c>
      <c r="O727" s="17">
        <f t="shared" si="69"/>
        <v>19.702842377260982</v>
      </c>
      <c r="P727" s="16">
        <f t="shared" si="70"/>
        <v>1.0143674338166822</v>
      </c>
      <c r="Q727" s="16">
        <f t="shared" si="71"/>
        <v>0.85101639344262292</v>
      </c>
      <c r="R727" s="2" t="s">
        <v>1476</v>
      </c>
      <c r="S727" s="21" t="s">
        <v>30</v>
      </c>
      <c r="T727" s="21" t="s">
        <v>27</v>
      </c>
      <c r="U727" s="8">
        <v>7625</v>
      </c>
      <c r="V727" s="11">
        <v>1</v>
      </c>
      <c r="W727" t="str">
        <f>IF(Table1[[#This Row],[Satisfaction Rating]]&lt;2, "Low", IF(Table1[[#This Row],[Satisfaction Rating]]&lt;4, "Medium", "High"))</f>
        <v>Low</v>
      </c>
    </row>
    <row r="728" spans="1:23" ht="13" x14ac:dyDescent="0.15">
      <c r="A728" s="2" t="s">
        <v>1477</v>
      </c>
      <c r="B728" s="23">
        <v>45299.836678240739</v>
      </c>
      <c r="C728" s="23">
        <v>45299.836678240739</v>
      </c>
      <c r="D728" s="23" t="str">
        <f>IF(Table1[[#This Row],[Duration of Campaign]]=0, "Ongoing","Completed")</f>
        <v>Ongoing</v>
      </c>
      <c r="E728" s="25">
        <f>Table1[[#This Row],[End Date]]-Table1[[#This Row],[Start Date]]</f>
        <v>0</v>
      </c>
      <c r="F728" s="8">
        <v>1455</v>
      </c>
      <c r="G728" s="21" t="s">
        <v>37</v>
      </c>
      <c r="H728" s="11">
        <v>14762</v>
      </c>
      <c r="I728" s="11">
        <v>814</v>
      </c>
      <c r="J728" s="11">
        <v>345</v>
      </c>
      <c r="K728" s="13">
        <v>13529</v>
      </c>
      <c r="L728" s="16">
        <f t="shared" si="66"/>
        <v>5.5141579731743669E-2</v>
      </c>
      <c r="M728" s="16">
        <f t="shared" si="67"/>
        <v>0.42383292383292381</v>
      </c>
      <c r="N728" s="17">
        <f t="shared" si="68"/>
        <v>11.862407862407862</v>
      </c>
      <c r="O728" s="17">
        <f t="shared" si="69"/>
        <v>27.98840579710145</v>
      </c>
      <c r="P728" s="16">
        <f t="shared" si="70"/>
        <v>6.6364261168384884</v>
      </c>
      <c r="Q728" s="16">
        <f t="shared" si="71"/>
        <v>1.4010977630488815</v>
      </c>
      <c r="R728" s="2" t="s">
        <v>1478</v>
      </c>
      <c r="S728" s="21" t="s">
        <v>35</v>
      </c>
      <c r="T728" s="21" t="s">
        <v>45</v>
      </c>
      <c r="U728" s="8">
        <v>9656</v>
      </c>
      <c r="V728" s="11">
        <v>4</v>
      </c>
      <c r="W728" t="str">
        <f>IF(Table1[[#This Row],[Satisfaction Rating]]&lt;2, "Low", IF(Table1[[#This Row],[Satisfaction Rating]]&lt;4, "Medium", "High"))</f>
        <v>High</v>
      </c>
    </row>
    <row r="729" spans="1:23" ht="13" x14ac:dyDescent="0.15">
      <c r="A729" s="2" t="s">
        <v>1479</v>
      </c>
      <c r="B729" s="23">
        <v>45484.513773148145</v>
      </c>
      <c r="C729" s="23">
        <v>45484.513773148145</v>
      </c>
      <c r="D729" s="23" t="str">
        <f>IF(Table1[[#This Row],[Duration of Campaign]]=0, "Ongoing","Completed")</f>
        <v>Ongoing</v>
      </c>
      <c r="E729" s="25">
        <f>Table1[[#This Row],[End Date]]-Table1[[#This Row],[Start Date]]</f>
        <v>0</v>
      </c>
      <c r="F729" s="8">
        <v>2717</v>
      </c>
      <c r="G729" s="21" t="s">
        <v>14</v>
      </c>
      <c r="H729" s="11">
        <v>19561</v>
      </c>
      <c r="I729" s="11">
        <v>1088</v>
      </c>
      <c r="J729" s="11">
        <v>218</v>
      </c>
      <c r="K729" s="13">
        <v>6821</v>
      </c>
      <c r="L729" s="16">
        <f t="shared" si="66"/>
        <v>5.5620878278206637E-2</v>
      </c>
      <c r="M729" s="16">
        <f t="shared" si="67"/>
        <v>0.20036764705882354</v>
      </c>
      <c r="N729" s="17">
        <f t="shared" si="68"/>
        <v>1.96875</v>
      </c>
      <c r="O729" s="17">
        <f t="shared" si="69"/>
        <v>9.8256880733944953</v>
      </c>
      <c r="P729" s="16">
        <f t="shared" si="70"/>
        <v>0.78836952521163051</v>
      </c>
      <c r="Q729" s="16">
        <f t="shared" si="71"/>
        <v>3.1844070961718018</v>
      </c>
      <c r="R729" s="2" t="s">
        <v>1480</v>
      </c>
      <c r="S729" s="21" t="s">
        <v>24</v>
      </c>
      <c r="T729" s="21" t="s">
        <v>45</v>
      </c>
      <c r="U729" s="8">
        <v>2142</v>
      </c>
      <c r="V729" s="11">
        <v>2</v>
      </c>
      <c r="W729" t="str">
        <f>IF(Table1[[#This Row],[Satisfaction Rating]]&lt;2, "Low", IF(Table1[[#This Row],[Satisfaction Rating]]&lt;4, "Medium", "High"))</f>
        <v>Medium</v>
      </c>
    </row>
    <row r="730" spans="1:23" ht="13" x14ac:dyDescent="0.15">
      <c r="A730" s="2" t="s">
        <v>1481</v>
      </c>
      <c r="B730" s="23">
        <v>45590.051851851851</v>
      </c>
      <c r="C730" s="23">
        <v>45590.051851851851</v>
      </c>
      <c r="D730" s="23" t="str">
        <f>IF(Table1[[#This Row],[Duration of Campaign]]=0, "Ongoing","Completed")</f>
        <v>Ongoing</v>
      </c>
      <c r="E730" s="25">
        <f>Table1[[#This Row],[End Date]]-Table1[[#This Row],[Start Date]]</f>
        <v>0</v>
      </c>
      <c r="F730" s="8">
        <v>6471</v>
      </c>
      <c r="G730" s="21" t="s">
        <v>53</v>
      </c>
      <c r="H730" s="11">
        <v>1410</v>
      </c>
      <c r="I730" s="11">
        <v>677</v>
      </c>
      <c r="J730" s="11">
        <v>492</v>
      </c>
      <c r="K730" s="13">
        <v>11091</v>
      </c>
      <c r="L730" s="16">
        <f t="shared" si="66"/>
        <v>0.48014184397163123</v>
      </c>
      <c r="M730" s="16">
        <f t="shared" si="67"/>
        <v>0.72673559822747413</v>
      </c>
      <c r="N730" s="17">
        <f t="shared" si="68"/>
        <v>17.028064992614475</v>
      </c>
      <c r="O730" s="17">
        <f t="shared" si="69"/>
        <v>23.430894308943088</v>
      </c>
      <c r="P730" s="16">
        <f t="shared" si="70"/>
        <v>1.7814866326688301</v>
      </c>
      <c r="Q730" s="16">
        <f t="shared" si="71"/>
        <v>0.96209229701596111</v>
      </c>
      <c r="R730" s="2" t="s">
        <v>1482</v>
      </c>
      <c r="S730" s="21" t="s">
        <v>35</v>
      </c>
      <c r="T730" s="21" t="s">
        <v>27</v>
      </c>
      <c r="U730" s="8">
        <v>11528</v>
      </c>
      <c r="V730" s="11">
        <v>2</v>
      </c>
      <c r="W730" t="str">
        <f>IF(Table1[[#This Row],[Satisfaction Rating]]&lt;2, "Low", IF(Table1[[#This Row],[Satisfaction Rating]]&lt;4, "Medium", "High"))</f>
        <v>Medium</v>
      </c>
    </row>
    <row r="731" spans="1:23" ht="13" x14ac:dyDescent="0.15">
      <c r="A731" s="2" t="s">
        <v>1483</v>
      </c>
      <c r="B731" s="23">
        <v>45596.572175925925</v>
      </c>
      <c r="C731" s="23">
        <v>45596.572175925925</v>
      </c>
      <c r="D731" s="23" t="str">
        <f>IF(Table1[[#This Row],[Duration of Campaign]]=0, "Ongoing","Completed")</f>
        <v>Ongoing</v>
      </c>
      <c r="E731" s="25">
        <f>Table1[[#This Row],[End Date]]-Table1[[#This Row],[Start Date]]</f>
        <v>0</v>
      </c>
      <c r="F731" s="8">
        <v>1027</v>
      </c>
      <c r="G731" s="21" t="s">
        <v>53</v>
      </c>
      <c r="H731" s="11">
        <v>12982</v>
      </c>
      <c r="I731" s="11">
        <v>1567</v>
      </c>
      <c r="J731" s="11">
        <v>136</v>
      </c>
      <c r="K731" s="13">
        <v>9644</v>
      </c>
      <c r="L731" s="16">
        <f t="shared" si="66"/>
        <v>0.12070559235865044</v>
      </c>
      <c r="M731" s="16">
        <f t="shared" si="67"/>
        <v>8.6790044671346517E-2</v>
      </c>
      <c r="N731" s="17">
        <f t="shared" si="68"/>
        <v>8.8340778557753676</v>
      </c>
      <c r="O731" s="17">
        <f t="shared" si="69"/>
        <v>101.78676470588235</v>
      </c>
      <c r="P731" s="16">
        <f t="shared" si="70"/>
        <v>13.47906523855891</v>
      </c>
      <c r="Q731" s="16">
        <f t="shared" si="71"/>
        <v>0.69666979700931875</v>
      </c>
      <c r="R731" s="2" t="s">
        <v>1484</v>
      </c>
      <c r="S731" s="21" t="s">
        <v>35</v>
      </c>
      <c r="T731" s="21" t="s">
        <v>27</v>
      </c>
      <c r="U731" s="8">
        <v>13843</v>
      </c>
      <c r="V731" s="11">
        <v>1</v>
      </c>
      <c r="W731" t="str">
        <f>IF(Table1[[#This Row],[Satisfaction Rating]]&lt;2, "Low", IF(Table1[[#This Row],[Satisfaction Rating]]&lt;4, "Medium", "High"))</f>
        <v>Low</v>
      </c>
    </row>
    <row r="732" spans="1:23" ht="13" x14ac:dyDescent="0.15">
      <c r="A732" s="2" t="s">
        <v>1485</v>
      </c>
      <c r="B732" s="23">
        <v>45113.623020833336</v>
      </c>
      <c r="C732" s="23">
        <v>45456.934317129628</v>
      </c>
      <c r="D732" s="23" t="str">
        <f>IF(Table1[[#This Row],[Duration of Campaign]]=0, "Ongoing","Completed")</f>
        <v>Completed</v>
      </c>
      <c r="E732" s="25">
        <f>Table1[[#This Row],[End Date]]-Table1[[#This Row],[Start Date]]</f>
        <v>343.3112962962914</v>
      </c>
      <c r="F732" s="8">
        <v>1879</v>
      </c>
      <c r="G732" s="21" t="s">
        <v>37</v>
      </c>
      <c r="H732" s="11">
        <v>19039</v>
      </c>
      <c r="I732" s="11">
        <v>289</v>
      </c>
      <c r="J732" s="11">
        <v>370</v>
      </c>
      <c r="K732" s="13">
        <v>878</v>
      </c>
      <c r="L732" s="16">
        <f t="shared" si="66"/>
        <v>1.5179368664320606E-2</v>
      </c>
      <c r="M732" s="16">
        <f t="shared" si="67"/>
        <v>1.2802768166089966</v>
      </c>
      <c r="N732" s="17">
        <f t="shared" si="68"/>
        <v>47.615916955017298</v>
      </c>
      <c r="O732" s="17">
        <f t="shared" si="69"/>
        <v>37.191891891891892</v>
      </c>
      <c r="P732" s="16">
        <f t="shared" si="70"/>
        <v>7.3235763704097927</v>
      </c>
      <c r="Q732" s="16">
        <f t="shared" si="71"/>
        <v>6.3803502652423516E-2</v>
      </c>
      <c r="R732" s="2" t="s">
        <v>1486</v>
      </c>
      <c r="S732" s="21" t="s">
        <v>30</v>
      </c>
      <c r="T732" s="21" t="s">
        <v>45</v>
      </c>
      <c r="U732" s="8">
        <v>13761</v>
      </c>
      <c r="V732" s="11">
        <v>1</v>
      </c>
      <c r="W732" t="str">
        <f>IF(Table1[[#This Row],[Satisfaction Rating]]&lt;2, "Low", IF(Table1[[#This Row],[Satisfaction Rating]]&lt;4, "Medium", "High"))</f>
        <v>Low</v>
      </c>
    </row>
    <row r="733" spans="1:23" ht="13" x14ac:dyDescent="0.15">
      <c r="A733" s="2" t="s">
        <v>1487</v>
      </c>
      <c r="B733" s="23">
        <v>45618.740208333336</v>
      </c>
      <c r="C733" s="23">
        <v>45618.740208333336</v>
      </c>
      <c r="D733" s="23" t="str">
        <f>IF(Table1[[#This Row],[Duration of Campaign]]=0, "Ongoing","Completed")</f>
        <v>Ongoing</v>
      </c>
      <c r="E733" s="25">
        <f>Table1[[#This Row],[End Date]]-Table1[[#This Row],[Start Date]]</f>
        <v>0</v>
      </c>
      <c r="F733" s="8">
        <v>9478</v>
      </c>
      <c r="G733" s="21" t="s">
        <v>37</v>
      </c>
      <c r="H733" s="11">
        <v>11023</v>
      </c>
      <c r="I733" s="11">
        <v>969</v>
      </c>
      <c r="J733" s="11">
        <v>291</v>
      </c>
      <c r="K733" s="13">
        <v>14817</v>
      </c>
      <c r="L733" s="16">
        <f t="shared" si="66"/>
        <v>8.7907103329402159E-2</v>
      </c>
      <c r="M733" s="16">
        <f t="shared" si="67"/>
        <v>0.30030959752321984</v>
      </c>
      <c r="N733" s="17">
        <f t="shared" si="68"/>
        <v>12.532507739938081</v>
      </c>
      <c r="O733" s="17">
        <f t="shared" si="69"/>
        <v>41.731958762886599</v>
      </c>
      <c r="P733" s="16">
        <f t="shared" si="70"/>
        <v>1.2812829710909475</v>
      </c>
      <c r="Q733" s="16">
        <f t="shared" si="71"/>
        <v>1.2201086956521738</v>
      </c>
      <c r="R733" s="2" t="s">
        <v>1488</v>
      </c>
      <c r="S733" s="21" t="s">
        <v>16</v>
      </c>
      <c r="T733" s="21" t="s">
        <v>27</v>
      </c>
      <c r="U733" s="8">
        <v>12144</v>
      </c>
      <c r="V733" s="11">
        <v>1</v>
      </c>
      <c r="W733" t="str">
        <f>IF(Table1[[#This Row],[Satisfaction Rating]]&lt;2, "Low", IF(Table1[[#This Row],[Satisfaction Rating]]&lt;4, "Medium", "High"))</f>
        <v>Low</v>
      </c>
    </row>
    <row r="734" spans="1:23" ht="13" x14ac:dyDescent="0.15">
      <c r="A734" s="2" t="s">
        <v>1489</v>
      </c>
      <c r="B734" s="23">
        <v>44938.883379629631</v>
      </c>
      <c r="C734" s="23">
        <v>45306.518518518518</v>
      </c>
      <c r="D734" s="23" t="str">
        <f>IF(Table1[[#This Row],[Duration of Campaign]]=0, "Ongoing","Completed")</f>
        <v>Completed</v>
      </c>
      <c r="E734" s="25">
        <f>Table1[[#This Row],[End Date]]-Table1[[#This Row],[Start Date]]</f>
        <v>367.63513888888701</v>
      </c>
      <c r="F734" s="8">
        <v>9181</v>
      </c>
      <c r="G734" s="21" t="s">
        <v>19</v>
      </c>
      <c r="H734" s="11">
        <v>4306</v>
      </c>
      <c r="I734" s="11">
        <v>1740</v>
      </c>
      <c r="J734" s="11">
        <v>137</v>
      </c>
      <c r="K734" s="13">
        <v>14774</v>
      </c>
      <c r="L734" s="16">
        <f t="shared" si="66"/>
        <v>0.40408732001857872</v>
      </c>
      <c r="M734" s="16">
        <f t="shared" si="67"/>
        <v>7.8735632183908041E-2</v>
      </c>
      <c r="N734" s="17">
        <f t="shared" si="68"/>
        <v>2.6511494252873562</v>
      </c>
      <c r="O734" s="17">
        <f t="shared" si="69"/>
        <v>33.67153284671533</v>
      </c>
      <c r="P734" s="16">
        <f t="shared" si="70"/>
        <v>0.50245071342990955</v>
      </c>
      <c r="Q734" s="16">
        <f t="shared" si="71"/>
        <v>3.2026880554953392</v>
      </c>
      <c r="R734" s="2" t="s">
        <v>1490</v>
      </c>
      <c r="S734" s="21" t="s">
        <v>16</v>
      </c>
      <c r="T734" s="21" t="s">
        <v>17</v>
      </c>
      <c r="U734" s="8">
        <v>4613</v>
      </c>
      <c r="V734" s="11">
        <v>4</v>
      </c>
      <c r="W734" t="str">
        <f>IF(Table1[[#This Row],[Satisfaction Rating]]&lt;2, "Low", IF(Table1[[#This Row],[Satisfaction Rating]]&lt;4, "Medium", "High"))</f>
        <v>High</v>
      </c>
    </row>
    <row r="735" spans="1:23" ht="13" x14ac:dyDescent="0.15">
      <c r="A735" s="2" t="s">
        <v>1491</v>
      </c>
      <c r="B735" s="23">
        <v>45401.040277777778</v>
      </c>
      <c r="C735" s="23">
        <v>45639.151921296296</v>
      </c>
      <c r="D735" s="23" t="str">
        <f>IF(Table1[[#This Row],[Duration of Campaign]]=0, "Ongoing","Completed")</f>
        <v>Completed</v>
      </c>
      <c r="E735" s="25">
        <f>Table1[[#This Row],[End Date]]-Table1[[#This Row],[Start Date]]</f>
        <v>238.11164351851767</v>
      </c>
      <c r="F735" s="8">
        <v>4307</v>
      </c>
      <c r="G735" s="21" t="s">
        <v>14</v>
      </c>
      <c r="H735" s="11">
        <v>16540</v>
      </c>
      <c r="I735" s="11">
        <v>242</v>
      </c>
      <c r="J735" s="11">
        <v>308</v>
      </c>
      <c r="K735" s="13">
        <v>5913</v>
      </c>
      <c r="L735" s="16">
        <f t="shared" si="66"/>
        <v>1.4631197097944377E-2</v>
      </c>
      <c r="M735" s="16">
        <f t="shared" si="67"/>
        <v>1.2727272727272727</v>
      </c>
      <c r="N735" s="17">
        <f t="shared" si="68"/>
        <v>5.7066115702479339</v>
      </c>
      <c r="O735" s="17">
        <f t="shared" si="69"/>
        <v>4.4837662337662341</v>
      </c>
      <c r="P735" s="16">
        <f t="shared" si="70"/>
        <v>0.32064081727420479</v>
      </c>
      <c r="Q735" s="16">
        <f t="shared" si="71"/>
        <v>4.281679942070963</v>
      </c>
      <c r="R735" s="2" t="s">
        <v>1492</v>
      </c>
      <c r="S735" s="21" t="s">
        <v>35</v>
      </c>
      <c r="T735" s="21" t="s">
        <v>27</v>
      </c>
      <c r="U735" s="8">
        <v>1381</v>
      </c>
      <c r="V735" s="11">
        <v>3</v>
      </c>
      <c r="W735" t="str">
        <f>IF(Table1[[#This Row],[Satisfaction Rating]]&lt;2, "Low", IF(Table1[[#This Row],[Satisfaction Rating]]&lt;4, "Medium", "High"))</f>
        <v>Medium</v>
      </c>
    </row>
    <row r="736" spans="1:23" ht="13" x14ac:dyDescent="0.15">
      <c r="A736" s="2" t="s">
        <v>1493</v>
      </c>
      <c r="B736" s="23">
        <v>45443.357141203705</v>
      </c>
      <c r="C736" s="23">
        <v>45443.357141203705</v>
      </c>
      <c r="D736" s="23" t="str">
        <f>IF(Table1[[#This Row],[Duration of Campaign]]=0, "Ongoing","Completed")</f>
        <v>Ongoing</v>
      </c>
      <c r="E736" s="25">
        <f>Table1[[#This Row],[End Date]]-Table1[[#This Row],[Start Date]]</f>
        <v>0</v>
      </c>
      <c r="F736" s="8">
        <v>6325</v>
      </c>
      <c r="G736" s="21" t="s">
        <v>53</v>
      </c>
      <c r="H736" s="11">
        <v>3594</v>
      </c>
      <c r="I736" s="11">
        <v>1557</v>
      </c>
      <c r="J736" s="11">
        <v>342</v>
      </c>
      <c r="K736" s="13">
        <v>7503</v>
      </c>
      <c r="L736" s="16">
        <f t="shared" si="66"/>
        <v>0.43322203672787979</v>
      </c>
      <c r="M736" s="16">
        <f t="shared" si="67"/>
        <v>0.21965317919075145</v>
      </c>
      <c r="N736" s="17">
        <f t="shared" si="68"/>
        <v>11.12010276172126</v>
      </c>
      <c r="O736" s="17">
        <f t="shared" si="69"/>
        <v>50.625730994152043</v>
      </c>
      <c r="P736" s="16">
        <f t="shared" si="70"/>
        <v>2.7373913043478262</v>
      </c>
      <c r="Q736" s="16">
        <f t="shared" si="71"/>
        <v>0.43334873512764238</v>
      </c>
      <c r="R736" s="2" t="s">
        <v>1494</v>
      </c>
      <c r="S736" s="21" t="s">
        <v>35</v>
      </c>
      <c r="T736" s="21" t="s">
        <v>17</v>
      </c>
      <c r="U736" s="8">
        <v>17314</v>
      </c>
      <c r="V736" s="11">
        <v>2</v>
      </c>
      <c r="W736" t="str">
        <f>IF(Table1[[#This Row],[Satisfaction Rating]]&lt;2, "Low", IF(Table1[[#This Row],[Satisfaction Rating]]&lt;4, "Medium", "High"))</f>
        <v>Medium</v>
      </c>
    </row>
    <row r="737" spans="1:23" ht="13" x14ac:dyDescent="0.15">
      <c r="A737" s="2" t="s">
        <v>1495</v>
      </c>
      <c r="B737" s="23">
        <v>45443.413645833331</v>
      </c>
      <c r="C737" s="23">
        <v>45443.413645833331</v>
      </c>
      <c r="D737" s="23" t="str">
        <f>IF(Table1[[#This Row],[Duration of Campaign]]=0, "Ongoing","Completed")</f>
        <v>Ongoing</v>
      </c>
      <c r="E737" s="25">
        <f>Table1[[#This Row],[End Date]]-Table1[[#This Row],[Start Date]]</f>
        <v>0</v>
      </c>
      <c r="F737" s="8">
        <v>4288</v>
      </c>
      <c r="G737" s="21" t="s">
        <v>37</v>
      </c>
      <c r="H737" s="11">
        <v>2295</v>
      </c>
      <c r="I737" s="11">
        <v>467</v>
      </c>
      <c r="J737" s="11">
        <v>275</v>
      </c>
      <c r="K737" s="13">
        <v>644</v>
      </c>
      <c r="L737" s="16">
        <f t="shared" si="66"/>
        <v>0.20348583877995643</v>
      </c>
      <c r="M737" s="16">
        <f t="shared" si="67"/>
        <v>0.58886509635974305</v>
      </c>
      <c r="N737" s="17">
        <f t="shared" si="68"/>
        <v>19.717344753747323</v>
      </c>
      <c r="O737" s="17">
        <f t="shared" si="69"/>
        <v>33.483636363636364</v>
      </c>
      <c r="P737" s="16">
        <f t="shared" si="70"/>
        <v>2.1473880597014925</v>
      </c>
      <c r="Q737" s="16">
        <f t="shared" si="71"/>
        <v>6.9939183318853168E-2</v>
      </c>
      <c r="R737" s="2" t="s">
        <v>1496</v>
      </c>
      <c r="S737" s="21" t="s">
        <v>24</v>
      </c>
      <c r="T737" s="21" t="s">
        <v>45</v>
      </c>
      <c r="U737" s="8">
        <v>9208</v>
      </c>
      <c r="V737" s="11">
        <v>5</v>
      </c>
      <c r="W737" t="str">
        <f>IF(Table1[[#This Row],[Satisfaction Rating]]&lt;2, "Low", IF(Table1[[#This Row],[Satisfaction Rating]]&lt;4, "Medium", "High"))</f>
        <v>High</v>
      </c>
    </row>
    <row r="738" spans="1:23" ht="13" x14ac:dyDescent="0.15">
      <c r="A738" s="2" t="s">
        <v>1497</v>
      </c>
      <c r="B738" s="23">
        <v>45384.815370370372</v>
      </c>
      <c r="C738" s="23">
        <v>45483.161412037036</v>
      </c>
      <c r="D738" s="23" t="str">
        <f>IF(Table1[[#This Row],[Duration of Campaign]]=0, "Ongoing","Completed")</f>
        <v>Completed</v>
      </c>
      <c r="E738" s="25">
        <f>Table1[[#This Row],[End Date]]-Table1[[#This Row],[Start Date]]</f>
        <v>98.34604166666395</v>
      </c>
      <c r="F738" s="8">
        <v>6410</v>
      </c>
      <c r="G738" s="21" t="s">
        <v>19</v>
      </c>
      <c r="H738" s="11">
        <v>6037</v>
      </c>
      <c r="I738" s="11">
        <v>211</v>
      </c>
      <c r="J738" s="11">
        <v>430</v>
      </c>
      <c r="K738" s="13">
        <v>4685</v>
      </c>
      <c r="L738" s="16">
        <f t="shared" si="66"/>
        <v>3.4951134669537851E-2</v>
      </c>
      <c r="M738" s="16">
        <f t="shared" si="67"/>
        <v>2.0379146919431279</v>
      </c>
      <c r="N738" s="17">
        <f t="shared" si="68"/>
        <v>92.530805687203795</v>
      </c>
      <c r="O738" s="17">
        <f t="shared" si="69"/>
        <v>45.404651162790699</v>
      </c>
      <c r="P738" s="16">
        <f t="shared" si="70"/>
        <v>3.0458658346333851</v>
      </c>
      <c r="Q738" s="16">
        <f t="shared" si="71"/>
        <v>0.23996107355050195</v>
      </c>
      <c r="R738" s="2" t="s">
        <v>1498</v>
      </c>
      <c r="S738" s="21" t="s">
        <v>35</v>
      </c>
      <c r="T738" s="21" t="s">
        <v>45</v>
      </c>
      <c r="U738" s="8">
        <v>19524</v>
      </c>
      <c r="V738" s="11">
        <v>1</v>
      </c>
      <c r="W738" t="str">
        <f>IF(Table1[[#This Row],[Satisfaction Rating]]&lt;2, "Low", IF(Table1[[#This Row],[Satisfaction Rating]]&lt;4, "Medium", "High"))</f>
        <v>Low</v>
      </c>
    </row>
    <row r="739" spans="1:23" ht="13" x14ac:dyDescent="0.15">
      <c r="A739" s="2" t="s">
        <v>1499</v>
      </c>
      <c r="B739" s="23">
        <v>45308.887858796297</v>
      </c>
      <c r="C739" s="23">
        <v>45308.887858796297</v>
      </c>
      <c r="D739" s="23" t="str">
        <f>IF(Table1[[#This Row],[Duration of Campaign]]=0, "Ongoing","Completed")</f>
        <v>Ongoing</v>
      </c>
      <c r="E739" s="25">
        <f>Table1[[#This Row],[End Date]]-Table1[[#This Row],[Start Date]]</f>
        <v>0</v>
      </c>
      <c r="F739" s="8">
        <v>2625</v>
      </c>
      <c r="G739" s="21" t="s">
        <v>37</v>
      </c>
      <c r="H739" s="11">
        <v>6690</v>
      </c>
      <c r="I739" s="11">
        <v>878</v>
      </c>
      <c r="J739" s="11">
        <v>296</v>
      </c>
      <c r="K739" s="13">
        <v>7530</v>
      </c>
      <c r="L739" s="16">
        <f t="shared" si="66"/>
        <v>0.13124065769805679</v>
      </c>
      <c r="M739" s="16">
        <f t="shared" si="67"/>
        <v>0.33712984054669703</v>
      </c>
      <c r="N739" s="17">
        <f t="shared" si="68"/>
        <v>2.5296127562642368</v>
      </c>
      <c r="O739" s="17">
        <f t="shared" si="69"/>
        <v>7.5033783783783781</v>
      </c>
      <c r="P739" s="16">
        <f t="shared" si="70"/>
        <v>0.84609523809523812</v>
      </c>
      <c r="Q739" s="16">
        <f t="shared" si="71"/>
        <v>3.3903647005853221</v>
      </c>
      <c r="R739" s="2" t="s">
        <v>1500</v>
      </c>
      <c r="S739" s="21" t="s">
        <v>24</v>
      </c>
      <c r="T739" s="21" t="s">
        <v>17</v>
      </c>
      <c r="U739" s="8">
        <v>2221</v>
      </c>
      <c r="V739" s="11">
        <v>5</v>
      </c>
      <c r="W739" t="str">
        <f>IF(Table1[[#This Row],[Satisfaction Rating]]&lt;2, "Low", IF(Table1[[#This Row],[Satisfaction Rating]]&lt;4, "Medium", "High"))</f>
        <v>High</v>
      </c>
    </row>
    <row r="740" spans="1:23" ht="13" x14ac:dyDescent="0.15">
      <c r="A740" s="2" t="s">
        <v>1501</v>
      </c>
      <c r="B740" s="23">
        <v>44942.560891203706</v>
      </c>
      <c r="C740" s="23">
        <v>45204.85769675926</v>
      </c>
      <c r="D740" s="23" t="str">
        <f>IF(Table1[[#This Row],[Duration of Campaign]]=0, "Ongoing","Completed")</f>
        <v>Completed</v>
      </c>
      <c r="E740" s="25">
        <f>Table1[[#This Row],[End Date]]-Table1[[#This Row],[Start Date]]</f>
        <v>262.29680555555387</v>
      </c>
      <c r="F740" s="8">
        <v>8421</v>
      </c>
      <c r="G740" s="21" t="s">
        <v>37</v>
      </c>
      <c r="H740" s="11">
        <v>17116</v>
      </c>
      <c r="I740" s="11">
        <v>262</v>
      </c>
      <c r="J740" s="11">
        <v>406</v>
      </c>
      <c r="K740" s="13">
        <v>7866</v>
      </c>
      <c r="L740" s="16">
        <f t="shared" si="66"/>
        <v>1.5307314793175975E-2</v>
      </c>
      <c r="M740" s="16">
        <f t="shared" si="67"/>
        <v>1.5496183206106871</v>
      </c>
      <c r="N740" s="17">
        <f t="shared" si="68"/>
        <v>2.553435114503817</v>
      </c>
      <c r="O740" s="17">
        <f t="shared" si="69"/>
        <v>1.6477832512315271</v>
      </c>
      <c r="P740" s="16">
        <f t="shared" si="70"/>
        <v>7.9444246526540793E-2</v>
      </c>
      <c r="Q740" s="16">
        <f t="shared" si="71"/>
        <v>11.757847533632287</v>
      </c>
      <c r="R740" s="2" t="s">
        <v>1502</v>
      </c>
      <c r="S740" s="21" t="s">
        <v>16</v>
      </c>
      <c r="T740" s="21" t="s">
        <v>17</v>
      </c>
      <c r="U740" s="8">
        <v>669</v>
      </c>
      <c r="V740" s="11">
        <v>3</v>
      </c>
      <c r="W740" t="str">
        <f>IF(Table1[[#This Row],[Satisfaction Rating]]&lt;2, "Low", IF(Table1[[#This Row],[Satisfaction Rating]]&lt;4, "Medium", "High"))</f>
        <v>Medium</v>
      </c>
    </row>
    <row r="741" spans="1:23" ht="13" x14ac:dyDescent="0.15">
      <c r="A741" s="2" t="s">
        <v>1503</v>
      </c>
      <c r="B741" s="23">
        <v>45608.909317129626</v>
      </c>
      <c r="C741" s="23">
        <v>45608.909317129626</v>
      </c>
      <c r="D741" s="23" t="str">
        <f>IF(Table1[[#This Row],[Duration of Campaign]]=0, "Ongoing","Completed")</f>
        <v>Ongoing</v>
      </c>
      <c r="E741" s="25">
        <f>Table1[[#This Row],[End Date]]-Table1[[#This Row],[Start Date]]</f>
        <v>0</v>
      </c>
      <c r="F741" s="8">
        <v>9552</v>
      </c>
      <c r="G741" s="21" t="s">
        <v>37</v>
      </c>
      <c r="H741" s="11">
        <v>2229</v>
      </c>
      <c r="I741" s="11">
        <v>1795</v>
      </c>
      <c r="J741" s="11">
        <v>23</v>
      </c>
      <c r="K741" s="13">
        <v>5587</v>
      </c>
      <c r="L741" s="16">
        <f t="shared" si="66"/>
        <v>0.80529385374607443</v>
      </c>
      <c r="M741" s="16">
        <f t="shared" si="67"/>
        <v>1.2813370473537604E-2</v>
      </c>
      <c r="N741" s="17">
        <f t="shared" si="68"/>
        <v>7.176601671309192</v>
      </c>
      <c r="O741" s="17">
        <f t="shared" si="69"/>
        <v>560.08695652173913</v>
      </c>
      <c r="P741" s="16">
        <f t="shared" si="70"/>
        <v>1.3486180904522613</v>
      </c>
      <c r="Q741" s="16">
        <f t="shared" si="71"/>
        <v>0.43370594628163328</v>
      </c>
      <c r="R741" s="2" t="s">
        <v>1504</v>
      </c>
      <c r="S741" s="21" t="s">
        <v>35</v>
      </c>
      <c r="T741" s="21" t="s">
        <v>17</v>
      </c>
      <c r="U741" s="8">
        <v>12882</v>
      </c>
      <c r="V741" s="11">
        <v>2</v>
      </c>
      <c r="W741" t="str">
        <f>IF(Table1[[#This Row],[Satisfaction Rating]]&lt;2, "Low", IF(Table1[[#This Row],[Satisfaction Rating]]&lt;4, "Medium", "High"))</f>
        <v>Medium</v>
      </c>
    </row>
    <row r="742" spans="1:23" ht="13" x14ac:dyDescent="0.15">
      <c r="A742" s="2" t="s">
        <v>1505</v>
      </c>
      <c r="B742" s="23">
        <v>45021.501875000002</v>
      </c>
      <c r="C742" s="23">
        <v>45021.501875000002</v>
      </c>
      <c r="D742" s="23" t="str">
        <f>IF(Table1[[#This Row],[Duration of Campaign]]=0, "Ongoing","Completed")</f>
        <v>Ongoing</v>
      </c>
      <c r="E742" s="25">
        <f>Table1[[#This Row],[End Date]]-Table1[[#This Row],[Start Date]]</f>
        <v>0</v>
      </c>
      <c r="F742" s="8">
        <v>8101</v>
      </c>
      <c r="G742" s="21" t="s">
        <v>19</v>
      </c>
      <c r="H742" s="11">
        <v>19797</v>
      </c>
      <c r="I742" s="11">
        <v>1442</v>
      </c>
      <c r="J742" s="11">
        <v>74</v>
      </c>
      <c r="K742" s="13">
        <v>2469</v>
      </c>
      <c r="L742" s="16">
        <f t="shared" si="66"/>
        <v>7.2839319088750826E-2</v>
      </c>
      <c r="M742" s="16">
        <f t="shared" si="67"/>
        <v>5.1317614424410539E-2</v>
      </c>
      <c r="N742" s="17">
        <f t="shared" si="68"/>
        <v>0.41262135922330095</v>
      </c>
      <c r="O742" s="17">
        <f t="shared" si="69"/>
        <v>8.0405405405405403</v>
      </c>
      <c r="P742" s="16">
        <f t="shared" si="70"/>
        <v>7.3447722503394638E-2</v>
      </c>
      <c r="Q742" s="16">
        <f t="shared" si="71"/>
        <v>4.1495798319327735</v>
      </c>
      <c r="R742" s="2" t="s">
        <v>1506</v>
      </c>
      <c r="S742" s="21" t="s">
        <v>30</v>
      </c>
      <c r="T742" s="21" t="s">
        <v>27</v>
      </c>
      <c r="U742" s="8">
        <v>595</v>
      </c>
      <c r="V742" s="11">
        <v>4</v>
      </c>
      <c r="W742" t="str">
        <f>IF(Table1[[#This Row],[Satisfaction Rating]]&lt;2, "Low", IF(Table1[[#This Row],[Satisfaction Rating]]&lt;4, "Medium", "High"))</f>
        <v>High</v>
      </c>
    </row>
    <row r="743" spans="1:23" ht="13" x14ac:dyDescent="0.15">
      <c r="A743" s="2" t="s">
        <v>1507</v>
      </c>
      <c r="B743" s="23">
        <v>45567.552766203706</v>
      </c>
      <c r="C743" s="23">
        <v>45567.552766203706</v>
      </c>
      <c r="D743" s="23" t="str">
        <f>IF(Table1[[#This Row],[Duration of Campaign]]=0, "Ongoing","Completed")</f>
        <v>Ongoing</v>
      </c>
      <c r="E743" s="25">
        <f>Table1[[#This Row],[End Date]]-Table1[[#This Row],[Start Date]]</f>
        <v>0</v>
      </c>
      <c r="F743" s="8">
        <v>4022</v>
      </c>
      <c r="G743" s="21" t="s">
        <v>19</v>
      </c>
      <c r="H743" s="11">
        <v>11278</v>
      </c>
      <c r="I743" s="11">
        <v>737</v>
      </c>
      <c r="J743" s="11">
        <v>196</v>
      </c>
      <c r="K743" s="13">
        <v>9338</v>
      </c>
      <c r="L743" s="16">
        <f t="shared" si="66"/>
        <v>6.5348466040078032E-2</v>
      </c>
      <c r="M743" s="16">
        <f t="shared" si="67"/>
        <v>0.26594301221166894</v>
      </c>
      <c r="N743" s="17">
        <f t="shared" si="68"/>
        <v>6.9185888738127543</v>
      </c>
      <c r="O743" s="17">
        <f t="shared" si="69"/>
        <v>26.01530612244898</v>
      </c>
      <c r="P743" s="16">
        <f t="shared" si="70"/>
        <v>1.2677772252610642</v>
      </c>
      <c r="Q743" s="16">
        <f t="shared" si="71"/>
        <v>1.8313394783290842</v>
      </c>
      <c r="R743" s="2" t="s">
        <v>1508</v>
      </c>
      <c r="S743" s="21" t="s">
        <v>24</v>
      </c>
      <c r="T743" s="21" t="s">
        <v>45</v>
      </c>
      <c r="U743" s="8">
        <v>5099</v>
      </c>
      <c r="V743" s="11">
        <v>2</v>
      </c>
      <c r="W743" t="str">
        <f>IF(Table1[[#This Row],[Satisfaction Rating]]&lt;2, "Low", IF(Table1[[#This Row],[Satisfaction Rating]]&lt;4, "Medium", "High"))</f>
        <v>Medium</v>
      </c>
    </row>
    <row r="744" spans="1:23" ht="13" x14ac:dyDescent="0.15">
      <c r="A744" s="2" t="s">
        <v>1509</v>
      </c>
      <c r="B744" s="23">
        <v>45170.910509259258</v>
      </c>
      <c r="C744" s="23">
        <v>45189.430775462963</v>
      </c>
      <c r="D744" s="23" t="str">
        <f>IF(Table1[[#This Row],[Duration of Campaign]]=0, "Ongoing","Completed")</f>
        <v>Completed</v>
      </c>
      <c r="E744" s="25">
        <f>Table1[[#This Row],[End Date]]-Table1[[#This Row],[Start Date]]</f>
        <v>18.520266203704523</v>
      </c>
      <c r="F744" s="8">
        <v>1039</v>
      </c>
      <c r="G744" s="21" t="s">
        <v>53</v>
      </c>
      <c r="H744" s="11">
        <v>5018</v>
      </c>
      <c r="I744" s="11">
        <v>1687</v>
      </c>
      <c r="J744" s="11">
        <v>453</v>
      </c>
      <c r="K744" s="13">
        <v>2824</v>
      </c>
      <c r="L744" s="16">
        <f t="shared" si="66"/>
        <v>0.33618971701873257</v>
      </c>
      <c r="M744" s="16">
        <f t="shared" si="67"/>
        <v>0.26852400711321872</v>
      </c>
      <c r="N744" s="17">
        <f t="shared" si="68"/>
        <v>9.7344398340248954</v>
      </c>
      <c r="O744" s="17">
        <f t="shared" si="69"/>
        <v>36.251655629139073</v>
      </c>
      <c r="P744" s="16">
        <f t="shared" si="70"/>
        <v>15.8055822906641</v>
      </c>
      <c r="Q744" s="16">
        <f t="shared" si="71"/>
        <v>0.17196443794909269</v>
      </c>
      <c r="R744" s="2" t="s">
        <v>1510</v>
      </c>
      <c r="S744" s="21" t="s">
        <v>35</v>
      </c>
      <c r="T744" s="21" t="s">
        <v>17</v>
      </c>
      <c r="U744" s="8">
        <v>16422</v>
      </c>
      <c r="V744" s="11">
        <v>2</v>
      </c>
      <c r="W744" t="str">
        <f>IF(Table1[[#This Row],[Satisfaction Rating]]&lt;2, "Low", IF(Table1[[#This Row],[Satisfaction Rating]]&lt;4, "Medium", "High"))</f>
        <v>Medium</v>
      </c>
    </row>
    <row r="745" spans="1:23" ht="13" x14ac:dyDescent="0.15">
      <c r="A745" s="2" t="s">
        <v>1511</v>
      </c>
      <c r="B745" s="23">
        <v>45113.541087962964</v>
      </c>
      <c r="C745" s="23">
        <v>45113.541087962964</v>
      </c>
      <c r="D745" s="23" t="str">
        <f>IF(Table1[[#This Row],[Duration of Campaign]]=0, "Ongoing","Completed")</f>
        <v>Ongoing</v>
      </c>
      <c r="E745" s="25">
        <f>Table1[[#This Row],[End Date]]-Table1[[#This Row],[Start Date]]</f>
        <v>0</v>
      </c>
      <c r="F745" s="8">
        <v>8392</v>
      </c>
      <c r="G745" s="21" t="s">
        <v>19</v>
      </c>
      <c r="H745" s="11">
        <v>14090</v>
      </c>
      <c r="I745" s="11">
        <v>1917</v>
      </c>
      <c r="J745" s="11">
        <v>396</v>
      </c>
      <c r="K745" s="13">
        <v>13498</v>
      </c>
      <c r="L745" s="16">
        <f t="shared" si="66"/>
        <v>0.13605393896380411</v>
      </c>
      <c r="M745" s="16">
        <f t="shared" si="67"/>
        <v>0.20657276995305165</v>
      </c>
      <c r="N745" s="17">
        <f t="shared" si="68"/>
        <v>1.412623891497131</v>
      </c>
      <c r="O745" s="17">
        <f t="shared" si="69"/>
        <v>6.8383838383838382</v>
      </c>
      <c r="P745" s="16">
        <f t="shared" si="70"/>
        <v>0.32268827454718779</v>
      </c>
      <c r="Q745" s="16">
        <f t="shared" si="71"/>
        <v>4.9844903988183162</v>
      </c>
      <c r="R745" s="2" t="s">
        <v>1512</v>
      </c>
      <c r="S745" s="21" t="s">
        <v>24</v>
      </c>
      <c r="T745" s="21" t="s">
        <v>17</v>
      </c>
      <c r="U745" s="8">
        <v>2708</v>
      </c>
      <c r="V745" s="11">
        <v>1</v>
      </c>
      <c r="W745" t="str">
        <f>IF(Table1[[#This Row],[Satisfaction Rating]]&lt;2, "Low", IF(Table1[[#This Row],[Satisfaction Rating]]&lt;4, "Medium", "High"))</f>
        <v>Low</v>
      </c>
    </row>
    <row r="746" spans="1:23" ht="13" x14ac:dyDescent="0.15">
      <c r="A746" s="2" t="s">
        <v>1513</v>
      </c>
      <c r="B746" s="23">
        <v>45055.867314814815</v>
      </c>
      <c r="C746" s="23">
        <v>45129.799571759257</v>
      </c>
      <c r="D746" s="23" t="str">
        <f>IF(Table1[[#This Row],[Duration of Campaign]]=0, "Ongoing","Completed")</f>
        <v>Completed</v>
      </c>
      <c r="E746" s="25">
        <f>Table1[[#This Row],[End Date]]-Table1[[#This Row],[Start Date]]</f>
        <v>73.932256944441178</v>
      </c>
      <c r="F746" s="8">
        <v>8151</v>
      </c>
      <c r="G746" s="21" t="s">
        <v>14</v>
      </c>
      <c r="H746" s="11">
        <v>19429</v>
      </c>
      <c r="I746" s="11">
        <v>647</v>
      </c>
      <c r="J746" s="11">
        <v>265</v>
      </c>
      <c r="K746" s="13">
        <v>12771</v>
      </c>
      <c r="L746" s="16">
        <f t="shared" si="66"/>
        <v>3.330073601317618E-2</v>
      </c>
      <c r="M746" s="16">
        <f t="shared" si="67"/>
        <v>0.4095826893353941</v>
      </c>
      <c r="N746" s="17">
        <f t="shared" si="68"/>
        <v>19.07727975270479</v>
      </c>
      <c r="O746" s="17">
        <f t="shared" si="69"/>
        <v>46.577358490566034</v>
      </c>
      <c r="P746" s="16">
        <f t="shared" si="70"/>
        <v>1.5142927248190405</v>
      </c>
      <c r="Q746" s="16">
        <f t="shared" si="71"/>
        <v>1.0346755245888357</v>
      </c>
      <c r="R746" s="2" t="s">
        <v>1514</v>
      </c>
      <c r="S746" s="21" t="s">
        <v>21</v>
      </c>
      <c r="T746" s="21" t="s">
        <v>27</v>
      </c>
      <c r="U746" s="8">
        <v>12343</v>
      </c>
      <c r="V746" s="11">
        <v>5</v>
      </c>
      <c r="W746" t="str">
        <f>IF(Table1[[#This Row],[Satisfaction Rating]]&lt;2, "Low", IF(Table1[[#This Row],[Satisfaction Rating]]&lt;4, "Medium", "High"))</f>
        <v>High</v>
      </c>
    </row>
    <row r="747" spans="1:23" ht="13" x14ac:dyDescent="0.15">
      <c r="A747" s="2" t="s">
        <v>1515</v>
      </c>
      <c r="B747" s="23">
        <v>45051.085462962961</v>
      </c>
      <c r="C747" s="23">
        <v>45572.617476851854</v>
      </c>
      <c r="D747" s="23" t="str">
        <f>IF(Table1[[#This Row],[Duration of Campaign]]=0, "Ongoing","Completed")</f>
        <v>Completed</v>
      </c>
      <c r="E747" s="25">
        <f>Table1[[#This Row],[End Date]]-Table1[[#This Row],[Start Date]]</f>
        <v>521.53201388889283</v>
      </c>
      <c r="F747" s="8">
        <v>7455</v>
      </c>
      <c r="G747" s="21" t="s">
        <v>19</v>
      </c>
      <c r="H747" s="11">
        <v>12945</v>
      </c>
      <c r="I747" s="11">
        <v>351</v>
      </c>
      <c r="J747" s="11">
        <v>105</v>
      </c>
      <c r="K747" s="13">
        <v>5885</v>
      </c>
      <c r="L747" s="16">
        <f t="shared" si="66"/>
        <v>2.7114716106604868E-2</v>
      </c>
      <c r="M747" s="16">
        <f t="shared" si="67"/>
        <v>0.29914529914529914</v>
      </c>
      <c r="N747" s="17">
        <f t="shared" si="68"/>
        <v>55.56980056980057</v>
      </c>
      <c r="O747" s="17">
        <f t="shared" si="69"/>
        <v>185.76190476190476</v>
      </c>
      <c r="P747" s="16">
        <f t="shared" si="70"/>
        <v>2.6163648558014754</v>
      </c>
      <c r="Q747" s="16">
        <f t="shared" si="71"/>
        <v>0.30171750833119715</v>
      </c>
      <c r="R747" s="2" t="s">
        <v>1516</v>
      </c>
      <c r="S747" s="21" t="s">
        <v>16</v>
      </c>
      <c r="T747" s="21" t="s">
        <v>17</v>
      </c>
      <c r="U747" s="8">
        <v>19505</v>
      </c>
      <c r="V747" s="11">
        <v>3</v>
      </c>
      <c r="W747" t="str">
        <f>IF(Table1[[#This Row],[Satisfaction Rating]]&lt;2, "Low", IF(Table1[[#This Row],[Satisfaction Rating]]&lt;4, "Medium", "High"))</f>
        <v>Medium</v>
      </c>
    </row>
    <row r="748" spans="1:23" ht="13" x14ac:dyDescent="0.15">
      <c r="A748" s="2" t="s">
        <v>1517</v>
      </c>
      <c r="B748" s="23">
        <v>44932.509548611109</v>
      </c>
      <c r="C748" s="23">
        <v>45231.286145833335</v>
      </c>
      <c r="D748" s="23" t="str">
        <f>IF(Table1[[#This Row],[Duration of Campaign]]=0, "Ongoing","Completed")</f>
        <v>Completed</v>
      </c>
      <c r="E748" s="25">
        <f>Table1[[#This Row],[End Date]]-Table1[[#This Row],[Start Date]]</f>
        <v>298.77659722222597</v>
      </c>
      <c r="F748" s="8">
        <v>9609</v>
      </c>
      <c r="G748" s="21" t="s">
        <v>53</v>
      </c>
      <c r="H748" s="11">
        <v>6481</v>
      </c>
      <c r="I748" s="11">
        <v>348</v>
      </c>
      <c r="J748" s="11">
        <v>486</v>
      </c>
      <c r="K748" s="13">
        <v>14478</v>
      </c>
      <c r="L748" s="16">
        <f t="shared" si="66"/>
        <v>5.3695417373862062E-2</v>
      </c>
      <c r="M748" s="16">
        <f t="shared" si="67"/>
        <v>1.396551724137931</v>
      </c>
      <c r="N748" s="17">
        <f t="shared" si="68"/>
        <v>37.178160919540232</v>
      </c>
      <c r="O748" s="17">
        <f t="shared" si="69"/>
        <v>26.621399176954732</v>
      </c>
      <c r="P748" s="16">
        <f t="shared" si="70"/>
        <v>1.3464460401706733</v>
      </c>
      <c r="Q748" s="16">
        <f t="shared" si="71"/>
        <v>1.1190292162621733</v>
      </c>
      <c r="R748" s="2" t="s">
        <v>1518</v>
      </c>
      <c r="S748" s="21" t="s">
        <v>24</v>
      </c>
      <c r="T748" s="21" t="s">
        <v>27</v>
      </c>
      <c r="U748" s="8">
        <v>12938</v>
      </c>
      <c r="V748" s="11">
        <v>1</v>
      </c>
      <c r="W748" t="str">
        <f>IF(Table1[[#This Row],[Satisfaction Rating]]&lt;2, "Low", IF(Table1[[#This Row],[Satisfaction Rating]]&lt;4, "Medium", "High"))</f>
        <v>Low</v>
      </c>
    </row>
    <row r="749" spans="1:23" ht="13" x14ac:dyDescent="0.15">
      <c r="A749" s="2" t="s">
        <v>1519</v>
      </c>
      <c r="B749" s="23">
        <v>45405.842581018522</v>
      </c>
      <c r="C749" s="23">
        <v>45583.941030092596</v>
      </c>
      <c r="D749" s="23" t="str">
        <f>IF(Table1[[#This Row],[Duration of Campaign]]=0, "Ongoing","Completed")</f>
        <v>Completed</v>
      </c>
      <c r="E749" s="25">
        <f>Table1[[#This Row],[End Date]]-Table1[[#This Row],[Start Date]]</f>
        <v>178.09844907407387</v>
      </c>
      <c r="F749" s="8">
        <v>4558</v>
      </c>
      <c r="G749" s="21" t="s">
        <v>53</v>
      </c>
      <c r="H749" s="11">
        <v>7100</v>
      </c>
      <c r="I749" s="11">
        <v>1444</v>
      </c>
      <c r="J749" s="11">
        <v>199</v>
      </c>
      <c r="K749" s="13">
        <v>14217</v>
      </c>
      <c r="L749" s="16">
        <f t="shared" si="66"/>
        <v>0.20338028169014086</v>
      </c>
      <c r="M749" s="16">
        <f t="shared" si="67"/>
        <v>0.13781163434903046</v>
      </c>
      <c r="N749" s="17">
        <f t="shared" si="68"/>
        <v>1.479224376731302</v>
      </c>
      <c r="O749" s="17">
        <f t="shared" si="69"/>
        <v>10.733668341708542</v>
      </c>
      <c r="P749" s="16">
        <f t="shared" si="70"/>
        <v>0.46862659060991663</v>
      </c>
      <c r="Q749" s="16">
        <f t="shared" si="71"/>
        <v>6.6558988764044944</v>
      </c>
      <c r="R749" s="2" t="s">
        <v>1520</v>
      </c>
      <c r="S749" s="21" t="s">
        <v>21</v>
      </c>
      <c r="T749" s="21" t="s">
        <v>17</v>
      </c>
      <c r="U749" s="8">
        <v>2136</v>
      </c>
      <c r="V749" s="11">
        <v>1</v>
      </c>
      <c r="W749" t="str">
        <f>IF(Table1[[#This Row],[Satisfaction Rating]]&lt;2, "Low", IF(Table1[[#This Row],[Satisfaction Rating]]&lt;4, "Medium", "High"))</f>
        <v>Low</v>
      </c>
    </row>
    <row r="750" spans="1:23" ht="13" x14ac:dyDescent="0.15">
      <c r="A750" s="2" t="s">
        <v>1521</v>
      </c>
      <c r="B750" s="23">
        <v>45499.845648148148</v>
      </c>
      <c r="C750" s="23">
        <v>45650.344444444447</v>
      </c>
      <c r="D750" s="23" t="str">
        <f>IF(Table1[[#This Row],[Duration of Campaign]]=0, "Ongoing","Completed")</f>
        <v>Completed</v>
      </c>
      <c r="E750" s="25">
        <f>Table1[[#This Row],[End Date]]-Table1[[#This Row],[Start Date]]</f>
        <v>150.49879629629868</v>
      </c>
      <c r="F750" s="8">
        <v>5386</v>
      </c>
      <c r="G750" s="21" t="s">
        <v>19</v>
      </c>
      <c r="H750" s="11">
        <v>10309</v>
      </c>
      <c r="I750" s="11">
        <v>1229</v>
      </c>
      <c r="J750" s="11">
        <v>425</v>
      </c>
      <c r="K750" s="13">
        <v>10709</v>
      </c>
      <c r="L750" s="16">
        <f t="shared" si="66"/>
        <v>0.11921621883790863</v>
      </c>
      <c r="M750" s="16">
        <f t="shared" si="67"/>
        <v>0.34580960130187144</v>
      </c>
      <c r="N750" s="17">
        <f t="shared" si="68"/>
        <v>8.9576891781936538</v>
      </c>
      <c r="O750" s="17">
        <f t="shared" si="69"/>
        <v>25.903529411764705</v>
      </c>
      <c r="P750" s="16">
        <f t="shared" si="70"/>
        <v>2.0440029706646863</v>
      </c>
      <c r="Q750" s="16">
        <f t="shared" si="71"/>
        <v>0.97274956853483519</v>
      </c>
      <c r="R750" s="2" t="s">
        <v>1522</v>
      </c>
      <c r="S750" s="21" t="s">
        <v>16</v>
      </c>
      <c r="T750" s="21" t="s">
        <v>27</v>
      </c>
      <c r="U750" s="8">
        <v>11009</v>
      </c>
      <c r="V750" s="11">
        <v>1</v>
      </c>
      <c r="W750" t="str">
        <f>IF(Table1[[#This Row],[Satisfaction Rating]]&lt;2, "Low", IF(Table1[[#This Row],[Satisfaction Rating]]&lt;4, "Medium", "High"))</f>
        <v>Low</v>
      </c>
    </row>
    <row r="751" spans="1:23" ht="13" x14ac:dyDescent="0.15">
      <c r="A751" s="2" t="s">
        <v>1523</v>
      </c>
      <c r="B751" s="23">
        <v>45111.434756944444</v>
      </c>
      <c r="C751" s="23">
        <v>45111.434756944444</v>
      </c>
      <c r="D751" s="23" t="str">
        <f>IF(Table1[[#This Row],[Duration of Campaign]]=0, "Ongoing","Completed")</f>
        <v>Ongoing</v>
      </c>
      <c r="E751" s="25">
        <f>Table1[[#This Row],[End Date]]-Table1[[#This Row],[Start Date]]</f>
        <v>0</v>
      </c>
      <c r="F751" s="8">
        <v>3103</v>
      </c>
      <c r="G751" s="21" t="s">
        <v>19</v>
      </c>
      <c r="H751" s="11">
        <v>18273</v>
      </c>
      <c r="I751" s="11">
        <v>546</v>
      </c>
      <c r="J751" s="11">
        <v>275</v>
      </c>
      <c r="K751" s="13">
        <v>1566</v>
      </c>
      <c r="L751" s="16">
        <f t="shared" si="66"/>
        <v>2.9880151042521754E-2</v>
      </c>
      <c r="M751" s="16">
        <f t="shared" si="67"/>
        <v>0.50366300366300365</v>
      </c>
      <c r="N751" s="17">
        <f t="shared" si="68"/>
        <v>19.010989010989011</v>
      </c>
      <c r="O751" s="17">
        <f t="shared" si="69"/>
        <v>37.745454545454542</v>
      </c>
      <c r="P751" s="16">
        <f t="shared" si="70"/>
        <v>3.3451498549790526</v>
      </c>
      <c r="Q751" s="16">
        <f t="shared" si="71"/>
        <v>0.1508670520231214</v>
      </c>
      <c r="R751" s="2" t="s">
        <v>1524</v>
      </c>
      <c r="S751" s="21" t="s">
        <v>21</v>
      </c>
      <c r="T751" s="21" t="s">
        <v>17</v>
      </c>
      <c r="U751" s="8">
        <v>10380</v>
      </c>
      <c r="V751" s="11">
        <v>1</v>
      </c>
      <c r="W751" t="str">
        <f>IF(Table1[[#This Row],[Satisfaction Rating]]&lt;2, "Low", IF(Table1[[#This Row],[Satisfaction Rating]]&lt;4, "Medium", "High"))</f>
        <v>Low</v>
      </c>
    </row>
    <row r="752" spans="1:23" ht="13" x14ac:dyDescent="0.15">
      <c r="A752" s="2" t="s">
        <v>1525</v>
      </c>
      <c r="B752" s="23">
        <v>45616.238622685189</v>
      </c>
      <c r="C752" s="23">
        <v>45616.238622685189</v>
      </c>
      <c r="D752" s="23" t="str">
        <f>IF(Table1[[#This Row],[Duration of Campaign]]=0, "Ongoing","Completed")</f>
        <v>Ongoing</v>
      </c>
      <c r="E752" s="25">
        <f>Table1[[#This Row],[End Date]]-Table1[[#This Row],[Start Date]]</f>
        <v>0</v>
      </c>
      <c r="F752" s="8">
        <v>4545</v>
      </c>
      <c r="G752" s="21" t="s">
        <v>14</v>
      </c>
      <c r="H752" s="11">
        <v>10032</v>
      </c>
      <c r="I752" s="11">
        <v>860</v>
      </c>
      <c r="J752" s="11">
        <v>18</v>
      </c>
      <c r="K752" s="13">
        <v>835</v>
      </c>
      <c r="L752" s="16">
        <f t="shared" si="66"/>
        <v>8.5725677830940983E-2</v>
      </c>
      <c r="M752" s="16">
        <f t="shared" si="67"/>
        <v>2.0930232558139535E-2</v>
      </c>
      <c r="N752" s="17">
        <f t="shared" si="68"/>
        <v>15.059302325581395</v>
      </c>
      <c r="O752" s="17">
        <f t="shared" si="69"/>
        <v>719.5</v>
      </c>
      <c r="P752" s="16">
        <f t="shared" si="70"/>
        <v>2.8495049504950494</v>
      </c>
      <c r="Q752" s="16">
        <f t="shared" si="71"/>
        <v>6.4473785808045705E-2</v>
      </c>
      <c r="R752" s="2" t="s">
        <v>1526</v>
      </c>
      <c r="S752" s="21" t="s">
        <v>24</v>
      </c>
      <c r="T752" s="21" t="s">
        <v>27</v>
      </c>
      <c r="U752" s="8">
        <v>12951</v>
      </c>
      <c r="V752" s="11">
        <v>2</v>
      </c>
      <c r="W752" t="str">
        <f>IF(Table1[[#This Row],[Satisfaction Rating]]&lt;2, "Low", IF(Table1[[#This Row],[Satisfaction Rating]]&lt;4, "Medium", "High"))</f>
        <v>Medium</v>
      </c>
    </row>
    <row r="753" spans="1:23" ht="13" x14ac:dyDescent="0.15">
      <c r="A753" s="2" t="s">
        <v>1527</v>
      </c>
      <c r="B753" s="23">
        <v>45156.80028935185</v>
      </c>
      <c r="C753" s="23">
        <v>45156.80028935185</v>
      </c>
      <c r="D753" s="23" t="str">
        <f>IF(Table1[[#This Row],[Duration of Campaign]]=0, "Ongoing","Completed")</f>
        <v>Ongoing</v>
      </c>
      <c r="E753" s="25">
        <f>Table1[[#This Row],[End Date]]-Table1[[#This Row],[Start Date]]</f>
        <v>0</v>
      </c>
      <c r="F753" s="8">
        <v>9270</v>
      </c>
      <c r="G753" s="21" t="s">
        <v>37</v>
      </c>
      <c r="H753" s="11">
        <v>15787</v>
      </c>
      <c r="I753" s="11">
        <v>776</v>
      </c>
      <c r="J753" s="11">
        <v>46</v>
      </c>
      <c r="K753" s="13">
        <v>14831</v>
      </c>
      <c r="L753" s="16">
        <f t="shared" si="66"/>
        <v>4.9154367517577756E-2</v>
      </c>
      <c r="M753" s="16">
        <f t="shared" si="67"/>
        <v>5.9278350515463915E-2</v>
      </c>
      <c r="N753" s="17">
        <f t="shared" si="68"/>
        <v>7.6121134020618557</v>
      </c>
      <c r="O753" s="17">
        <f t="shared" si="69"/>
        <v>128.41304347826087</v>
      </c>
      <c r="P753" s="16">
        <f t="shared" si="70"/>
        <v>0.63721682847896444</v>
      </c>
      <c r="Q753" s="16">
        <f t="shared" si="71"/>
        <v>2.5107499576773318</v>
      </c>
      <c r="R753" s="2" t="s">
        <v>1528</v>
      </c>
      <c r="S753" s="21" t="s">
        <v>21</v>
      </c>
      <c r="T753" s="21" t="s">
        <v>27</v>
      </c>
      <c r="U753" s="8">
        <v>5907</v>
      </c>
      <c r="V753" s="11">
        <v>2</v>
      </c>
      <c r="W753" t="str">
        <f>IF(Table1[[#This Row],[Satisfaction Rating]]&lt;2, "Low", IF(Table1[[#This Row],[Satisfaction Rating]]&lt;4, "Medium", "High"))</f>
        <v>Medium</v>
      </c>
    </row>
    <row r="754" spans="1:23" ht="13" x14ac:dyDescent="0.15">
      <c r="A754" s="2" t="s">
        <v>1529</v>
      </c>
      <c r="B754" s="23">
        <v>45504.600972222222</v>
      </c>
      <c r="C754" s="23">
        <v>45504.600972222222</v>
      </c>
      <c r="D754" s="23" t="str">
        <f>IF(Table1[[#This Row],[Duration of Campaign]]=0, "Ongoing","Completed")</f>
        <v>Ongoing</v>
      </c>
      <c r="E754" s="25">
        <f>Table1[[#This Row],[End Date]]-Table1[[#This Row],[Start Date]]</f>
        <v>0</v>
      </c>
      <c r="F754" s="8">
        <v>2438</v>
      </c>
      <c r="G754" s="21" t="s">
        <v>37</v>
      </c>
      <c r="H754" s="11">
        <v>9859</v>
      </c>
      <c r="I754" s="11">
        <v>1663</v>
      </c>
      <c r="J754" s="11">
        <v>259</v>
      </c>
      <c r="K754" s="13">
        <v>14199</v>
      </c>
      <c r="L754" s="16">
        <f t="shared" si="66"/>
        <v>0.16867836494573485</v>
      </c>
      <c r="M754" s="16">
        <f t="shared" si="67"/>
        <v>0.15574263379434755</v>
      </c>
      <c r="N754" s="17">
        <f t="shared" si="68"/>
        <v>9.3722188815393874</v>
      </c>
      <c r="O754" s="17">
        <f t="shared" si="69"/>
        <v>60.177606177606179</v>
      </c>
      <c r="P754" s="16">
        <f t="shared" si="70"/>
        <v>6.3929450369155045</v>
      </c>
      <c r="Q754" s="16">
        <f t="shared" si="71"/>
        <v>0.91100988066213273</v>
      </c>
      <c r="R754" s="2" t="s">
        <v>1530</v>
      </c>
      <c r="S754" s="21" t="s">
        <v>24</v>
      </c>
      <c r="T754" s="21" t="s">
        <v>17</v>
      </c>
      <c r="U754" s="8">
        <v>15586</v>
      </c>
      <c r="V754" s="11">
        <v>2</v>
      </c>
      <c r="W754" t="str">
        <f>IF(Table1[[#This Row],[Satisfaction Rating]]&lt;2, "Low", IF(Table1[[#This Row],[Satisfaction Rating]]&lt;4, "Medium", "High"))</f>
        <v>Medium</v>
      </c>
    </row>
    <row r="755" spans="1:23" ht="13" x14ac:dyDescent="0.15">
      <c r="A755" s="2" t="s">
        <v>1531</v>
      </c>
      <c r="B755" s="23">
        <v>45374.678287037037</v>
      </c>
      <c r="C755" s="23">
        <v>45374.678287037037</v>
      </c>
      <c r="D755" s="23" t="str">
        <f>IF(Table1[[#This Row],[Duration of Campaign]]=0, "Ongoing","Completed")</f>
        <v>Ongoing</v>
      </c>
      <c r="E755" s="25">
        <f>Table1[[#This Row],[End Date]]-Table1[[#This Row],[Start Date]]</f>
        <v>0</v>
      </c>
      <c r="F755" s="8">
        <v>8114</v>
      </c>
      <c r="G755" s="21" t="s">
        <v>53</v>
      </c>
      <c r="H755" s="11">
        <v>16208</v>
      </c>
      <c r="I755" s="11">
        <v>1553</v>
      </c>
      <c r="J755" s="11">
        <v>156</v>
      </c>
      <c r="K755" s="13">
        <v>14315</v>
      </c>
      <c r="L755" s="16">
        <f t="shared" si="66"/>
        <v>9.5816880552813427E-2</v>
      </c>
      <c r="M755" s="16">
        <f t="shared" si="67"/>
        <v>0.10045074050225371</v>
      </c>
      <c r="N755" s="17">
        <f t="shared" si="68"/>
        <v>9.7121699935608508</v>
      </c>
      <c r="O755" s="17">
        <f t="shared" si="69"/>
        <v>96.685897435897431</v>
      </c>
      <c r="P755" s="16">
        <f t="shared" si="70"/>
        <v>1.8588858762632487</v>
      </c>
      <c r="Q755" s="16">
        <f t="shared" si="71"/>
        <v>0.94908174766293174</v>
      </c>
      <c r="R755" s="2" t="s">
        <v>1532</v>
      </c>
      <c r="S755" s="21" t="s">
        <v>30</v>
      </c>
      <c r="T755" s="21" t="s">
        <v>17</v>
      </c>
      <c r="U755" s="8">
        <v>15083</v>
      </c>
      <c r="V755" s="11">
        <v>3</v>
      </c>
      <c r="W755" t="str">
        <f>IF(Table1[[#This Row],[Satisfaction Rating]]&lt;2, "Low", IF(Table1[[#This Row],[Satisfaction Rating]]&lt;4, "Medium", "High"))</f>
        <v>Medium</v>
      </c>
    </row>
    <row r="756" spans="1:23" ht="13" x14ac:dyDescent="0.15">
      <c r="A756" s="2" t="s">
        <v>1533</v>
      </c>
      <c r="B756" s="23">
        <v>45096.033483796295</v>
      </c>
      <c r="C756" s="23">
        <v>45542.242048611108</v>
      </c>
      <c r="D756" s="23" t="str">
        <f>IF(Table1[[#This Row],[Duration of Campaign]]=0, "Ongoing","Completed")</f>
        <v>Completed</v>
      </c>
      <c r="E756" s="25">
        <f>Table1[[#This Row],[End Date]]-Table1[[#This Row],[Start Date]]</f>
        <v>446.20856481481314</v>
      </c>
      <c r="F756" s="8">
        <v>1188</v>
      </c>
      <c r="G756" s="21" t="s">
        <v>19</v>
      </c>
      <c r="H756" s="11">
        <v>18533</v>
      </c>
      <c r="I756" s="11">
        <v>1320</v>
      </c>
      <c r="J756" s="11">
        <v>248</v>
      </c>
      <c r="K756" s="13">
        <v>14820</v>
      </c>
      <c r="L756" s="16">
        <f t="shared" si="66"/>
        <v>7.1224302595370423E-2</v>
      </c>
      <c r="M756" s="16">
        <f t="shared" si="67"/>
        <v>0.18787878787878787</v>
      </c>
      <c r="N756" s="17">
        <f t="shared" si="68"/>
        <v>5.6196969696969701</v>
      </c>
      <c r="O756" s="17">
        <f t="shared" si="69"/>
        <v>29.911290322580644</v>
      </c>
      <c r="P756" s="16">
        <f t="shared" si="70"/>
        <v>6.2441077441077439</v>
      </c>
      <c r="Q756" s="16">
        <f t="shared" si="71"/>
        <v>1.9978430843893233</v>
      </c>
      <c r="R756" s="2" t="s">
        <v>1534</v>
      </c>
      <c r="S756" s="21" t="s">
        <v>16</v>
      </c>
      <c r="T756" s="21" t="s">
        <v>17</v>
      </c>
      <c r="U756" s="8">
        <v>7418</v>
      </c>
      <c r="V756" s="11">
        <v>3</v>
      </c>
      <c r="W756" t="str">
        <f>IF(Table1[[#This Row],[Satisfaction Rating]]&lt;2, "Low", IF(Table1[[#This Row],[Satisfaction Rating]]&lt;4, "Medium", "High"))</f>
        <v>Medium</v>
      </c>
    </row>
    <row r="757" spans="1:23" ht="13" x14ac:dyDescent="0.15">
      <c r="A757" s="2" t="s">
        <v>1535</v>
      </c>
      <c r="B757" s="23">
        <v>45334.728564814817</v>
      </c>
      <c r="C757" s="23">
        <v>45404.703645833331</v>
      </c>
      <c r="D757" s="23" t="str">
        <f>IF(Table1[[#This Row],[Duration of Campaign]]=0, "Ongoing","Completed")</f>
        <v>Completed</v>
      </c>
      <c r="E757" s="25">
        <f>Table1[[#This Row],[End Date]]-Table1[[#This Row],[Start Date]]</f>
        <v>69.975081018514175</v>
      </c>
      <c r="F757" s="8">
        <v>5791</v>
      </c>
      <c r="G757" s="21" t="s">
        <v>53</v>
      </c>
      <c r="H757" s="11">
        <v>19127</v>
      </c>
      <c r="I757" s="11">
        <v>1081</v>
      </c>
      <c r="J757" s="11">
        <v>225</v>
      </c>
      <c r="K757" s="13">
        <v>8466</v>
      </c>
      <c r="L757" s="16">
        <f t="shared" si="66"/>
        <v>5.6516965546086685E-2</v>
      </c>
      <c r="M757" s="16">
        <f t="shared" si="67"/>
        <v>0.20814061054579094</v>
      </c>
      <c r="N757" s="17">
        <f t="shared" si="68"/>
        <v>8.899167437557816</v>
      </c>
      <c r="O757" s="17">
        <f t="shared" si="69"/>
        <v>42.755555555555553</v>
      </c>
      <c r="P757" s="16">
        <f t="shared" si="70"/>
        <v>1.6611984113279226</v>
      </c>
      <c r="Q757" s="16">
        <f t="shared" si="71"/>
        <v>0.88004158004158006</v>
      </c>
      <c r="R757" s="2" t="s">
        <v>1536</v>
      </c>
      <c r="S757" s="21" t="s">
        <v>30</v>
      </c>
      <c r="T757" s="21" t="s">
        <v>27</v>
      </c>
      <c r="U757" s="8">
        <v>9620</v>
      </c>
      <c r="V757" s="11">
        <v>3</v>
      </c>
      <c r="W757" t="str">
        <f>IF(Table1[[#This Row],[Satisfaction Rating]]&lt;2, "Low", IF(Table1[[#This Row],[Satisfaction Rating]]&lt;4, "Medium", "High"))</f>
        <v>Medium</v>
      </c>
    </row>
    <row r="758" spans="1:23" ht="13" x14ac:dyDescent="0.15">
      <c r="A758" s="2" t="s">
        <v>1537</v>
      </c>
      <c r="B758" s="23">
        <v>45462.45071759259</v>
      </c>
      <c r="C758" s="23">
        <v>45462.45071759259</v>
      </c>
      <c r="D758" s="23" t="str">
        <f>IF(Table1[[#This Row],[Duration of Campaign]]=0, "Ongoing","Completed")</f>
        <v>Ongoing</v>
      </c>
      <c r="E758" s="25">
        <f>Table1[[#This Row],[End Date]]-Table1[[#This Row],[Start Date]]</f>
        <v>0</v>
      </c>
      <c r="F758" s="8">
        <v>7263</v>
      </c>
      <c r="G758" s="21" t="s">
        <v>19</v>
      </c>
      <c r="H758" s="11">
        <v>8530</v>
      </c>
      <c r="I758" s="11">
        <v>522</v>
      </c>
      <c r="J758" s="11">
        <v>272</v>
      </c>
      <c r="K758" s="13">
        <v>11915</v>
      </c>
      <c r="L758" s="16">
        <f t="shared" si="66"/>
        <v>6.1195779601406798E-2</v>
      </c>
      <c r="M758" s="16">
        <f t="shared" si="67"/>
        <v>0.52107279693486586</v>
      </c>
      <c r="N758" s="17">
        <f t="shared" si="68"/>
        <v>22.766283524904214</v>
      </c>
      <c r="O758" s="17">
        <f t="shared" si="69"/>
        <v>43.691176470588232</v>
      </c>
      <c r="P758" s="16">
        <f t="shared" si="70"/>
        <v>1.6362384689522236</v>
      </c>
      <c r="Q758" s="16">
        <f t="shared" si="71"/>
        <v>1.0026085493099965</v>
      </c>
      <c r="R758" s="2" t="s">
        <v>1538</v>
      </c>
      <c r="S758" s="21" t="s">
        <v>21</v>
      </c>
      <c r="T758" s="21" t="s">
        <v>17</v>
      </c>
      <c r="U758" s="8">
        <v>11884</v>
      </c>
      <c r="V758" s="11">
        <v>2</v>
      </c>
      <c r="W758" t="str">
        <f>IF(Table1[[#This Row],[Satisfaction Rating]]&lt;2, "Low", IF(Table1[[#This Row],[Satisfaction Rating]]&lt;4, "Medium", "High"))</f>
        <v>Medium</v>
      </c>
    </row>
    <row r="759" spans="1:23" ht="13" x14ac:dyDescent="0.15">
      <c r="A759" s="2" t="s">
        <v>1539</v>
      </c>
      <c r="B759" s="23">
        <v>45284.534050925926</v>
      </c>
      <c r="C759" s="23">
        <v>45349.667037037034</v>
      </c>
      <c r="D759" s="23" t="str">
        <f>IF(Table1[[#This Row],[Duration of Campaign]]=0, "Ongoing","Completed")</f>
        <v>Completed</v>
      </c>
      <c r="E759" s="25">
        <f>Table1[[#This Row],[End Date]]-Table1[[#This Row],[Start Date]]</f>
        <v>65.132986111108039</v>
      </c>
      <c r="F759" s="8">
        <v>5017</v>
      </c>
      <c r="G759" s="21" t="s">
        <v>53</v>
      </c>
      <c r="H759" s="11">
        <v>15635</v>
      </c>
      <c r="I759" s="11">
        <v>1397</v>
      </c>
      <c r="J759" s="11">
        <v>366</v>
      </c>
      <c r="K759" s="13">
        <v>13136</v>
      </c>
      <c r="L759" s="16">
        <f t="shared" si="66"/>
        <v>8.9350815478094023E-2</v>
      </c>
      <c r="M759" s="16">
        <f t="shared" si="67"/>
        <v>0.26198997852541162</v>
      </c>
      <c r="N759" s="17">
        <f t="shared" si="68"/>
        <v>6.9277022190408015</v>
      </c>
      <c r="O759" s="17">
        <f t="shared" si="69"/>
        <v>26.442622950819672</v>
      </c>
      <c r="P759" s="16">
        <f t="shared" si="70"/>
        <v>1.9290412597169624</v>
      </c>
      <c r="Q759" s="16">
        <f t="shared" si="71"/>
        <v>1.3573052283529654</v>
      </c>
      <c r="R759" s="2" t="s">
        <v>1540</v>
      </c>
      <c r="S759" s="21" t="s">
        <v>24</v>
      </c>
      <c r="T759" s="21" t="s">
        <v>17</v>
      </c>
      <c r="U759" s="8">
        <v>9678</v>
      </c>
      <c r="V759" s="11">
        <v>1</v>
      </c>
      <c r="W759" t="str">
        <f>IF(Table1[[#This Row],[Satisfaction Rating]]&lt;2, "Low", IF(Table1[[#This Row],[Satisfaction Rating]]&lt;4, "Medium", "High"))</f>
        <v>Low</v>
      </c>
    </row>
    <row r="760" spans="1:23" ht="13" x14ac:dyDescent="0.15">
      <c r="A760" s="2" t="s">
        <v>1541</v>
      </c>
      <c r="B760" s="23">
        <v>45246.774247685185</v>
      </c>
      <c r="C760" s="23">
        <v>45246.774247685185</v>
      </c>
      <c r="D760" s="23" t="str">
        <f>IF(Table1[[#This Row],[Duration of Campaign]]=0, "Ongoing","Completed")</f>
        <v>Ongoing</v>
      </c>
      <c r="E760" s="25">
        <f>Table1[[#This Row],[End Date]]-Table1[[#This Row],[Start Date]]</f>
        <v>0</v>
      </c>
      <c r="F760" s="8">
        <v>2502</v>
      </c>
      <c r="G760" s="21" t="s">
        <v>37</v>
      </c>
      <c r="H760" s="11">
        <v>17562</v>
      </c>
      <c r="I760" s="11">
        <v>1719</v>
      </c>
      <c r="J760" s="11">
        <v>140</v>
      </c>
      <c r="K760" s="13">
        <v>9226</v>
      </c>
      <c r="L760" s="16">
        <f t="shared" si="66"/>
        <v>9.7881790228903309E-2</v>
      </c>
      <c r="M760" s="16">
        <f t="shared" si="67"/>
        <v>8.1442699243746364E-2</v>
      </c>
      <c r="N760" s="17">
        <f t="shared" si="68"/>
        <v>0.5578824898196626</v>
      </c>
      <c r="O760" s="17">
        <f t="shared" si="69"/>
        <v>6.85</v>
      </c>
      <c r="P760" s="16">
        <f t="shared" si="70"/>
        <v>0.38329336530775382</v>
      </c>
      <c r="Q760" s="16">
        <f t="shared" si="71"/>
        <v>9.6204379562043787</v>
      </c>
      <c r="R760" s="2" t="s">
        <v>1542</v>
      </c>
      <c r="S760" s="21" t="s">
        <v>16</v>
      </c>
      <c r="T760" s="21" t="s">
        <v>45</v>
      </c>
      <c r="U760" s="8">
        <v>959</v>
      </c>
      <c r="V760" s="11">
        <v>2</v>
      </c>
      <c r="W760" t="str">
        <f>IF(Table1[[#This Row],[Satisfaction Rating]]&lt;2, "Low", IF(Table1[[#This Row],[Satisfaction Rating]]&lt;4, "Medium", "High"))</f>
        <v>Medium</v>
      </c>
    </row>
    <row r="761" spans="1:23" ht="13" x14ac:dyDescent="0.15">
      <c r="A761" s="2" t="s">
        <v>1543</v>
      </c>
      <c r="B761" s="23">
        <v>45348.912280092591</v>
      </c>
      <c r="C761" s="23">
        <v>45369.482430555552</v>
      </c>
      <c r="D761" s="23" t="str">
        <f>IF(Table1[[#This Row],[Duration of Campaign]]=0, "Ongoing","Completed")</f>
        <v>Completed</v>
      </c>
      <c r="E761" s="25">
        <f>Table1[[#This Row],[End Date]]-Table1[[#This Row],[Start Date]]</f>
        <v>20.570150462961465</v>
      </c>
      <c r="F761" s="8">
        <v>4579</v>
      </c>
      <c r="G761" s="21" t="s">
        <v>14</v>
      </c>
      <c r="H761" s="11">
        <v>8534</v>
      </c>
      <c r="I761" s="11">
        <v>1139</v>
      </c>
      <c r="J761" s="11">
        <v>426</v>
      </c>
      <c r="K761" s="13">
        <v>13303</v>
      </c>
      <c r="L761" s="16">
        <f t="shared" si="66"/>
        <v>0.13346613545816732</v>
      </c>
      <c r="M761" s="16">
        <f t="shared" si="67"/>
        <v>0.3740122914837577</v>
      </c>
      <c r="N761" s="17">
        <f t="shared" si="68"/>
        <v>15.025460930640913</v>
      </c>
      <c r="O761" s="17">
        <f t="shared" si="69"/>
        <v>40.173708920187792</v>
      </c>
      <c r="P761" s="16">
        <f t="shared" si="70"/>
        <v>3.7374972701463203</v>
      </c>
      <c r="Q761" s="16">
        <f t="shared" si="71"/>
        <v>0.77731681664134622</v>
      </c>
      <c r="R761" s="2" t="s">
        <v>1544</v>
      </c>
      <c r="S761" s="21" t="s">
        <v>35</v>
      </c>
      <c r="T761" s="21" t="s">
        <v>27</v>
      </c>
      <c r="U761" s="8">
        <v>17114</v>
      </c>
      <c r="V761" s="11">
        <v>3</v>
      </c>
      <c r="W761" t="str">
        <f>IF(Table1[[#This Row],[Satisfaction Rating]]&lt;2, "Low", IF(Table1[[#This Row],[Satisfaction Rating]]&lt;4, "Medium", "High"))</f>
        <v>Medium</v>
      </c>
    </row>
    <row r="762" spans="1:23" ht="13" x14ac:dyDescent="0.15">
      <c r="A762" s="2" t="s">
        <v>1545</v>
      </c>
      <c r="B762" s="23">
        <v>45425.23777777778</v>
      </c>
      <c r="C762" s="23">
        <v>45478.98028935185</v>
      </c>
      <c r="D762" s="23" t="str">
        <f>IF(Table1[[#This Row],[Duration of Campaign]]=0, "Ongoing","Completed")</f>
        <v>Completed</v>
      </c>
      <c r="E762" s="25">
        <f>Table1[[#This Row],[End Date]]-Table1[[#This Row],[Start Date]]</f>
        <v>53.742511574069795</v>
      </c>
      <c r="F762" s="8">
        <v>2259</v>
      </c>
      <c r="G762" s="21" t="s">
        <v>53</v>
      </c>
      <c r="H762" s="11">
        <v>1800</v>
      </c>
      <c r="I762" s="11">
        <v>1881</v>
      </c>
      <c r="J762" s="11">
        <v>262</v>
      </c>
      <c r="K762" s="13">
        <v>9770</v>
      </c>
      <c r="L762" s="16">
        <f t="shared" si="66"/>
        <v>1.0449999999999999</v>
      </c>
      <c r="M762" s="16">
        <f t="shared" si="67"/>
        <v>0.13928761297182349</v>
      </c>
      <c r="N762" s="17">
        <f t="shared" si="68"/>
        <v>0.59223817118553956</v>
      </c>
      <c r="O762" s="17">
        <f t="shared" si="69"/>
        <v>4.2519083969465647</v>
      </c>
      <c r="P762" s="16">
        <f t="shared" si="70"/>
        <v>0.49313855688357683</v>
      </c>
      <c r="Q762" s="16">
        <f t="shared" si="71"/>
        <v>8.7701974865350092</v>
      </c>
      <c r="R762" s="2" t="s">
        <v>1546</v>
      </c>
      <c r="S762" s="21" t="s">
        <v>21</v>
      </c>
      <c r="T762" s="21" t="s">
        <v>27</v>
      </c>
      <c r="U762" s="8">
        <v>1114</v>
      </c>
      <c r="V762" s="11">
        <v>3</v>
      </c>
      <c r="W762" t="str">
        <f>IF(Table1[[#This Row],[Satisfaction Rating]]&lt;2, "Low", IF(Table1[[#This Row],[Satisfaction Rating]]&lt;4, "Medium", "High"))</f>
        <v>Medium</v>
      </c>
    </row>
    <row r="763" spans="1:23" ht="13" x14ac:dyDescent="0.15">
      <c r="A763" s="2" t="s">
        <v>1547</v>
      </c>
      <c r="B763" s="23">
        <v>45234.879826388889</v>
      </c>
      <c r="C763" s="23">
        <v>45334.869490740741</v>
      </c>
      <c r="D763" s="23" t="str">
        <f>IF(Table1[[#This Row],[Duration of Campaign]]=0, "Ongoing","Completed")</f>
        <v>Completed</v>
      </c>
      <c r="E763" s="25">
        <f>Table1[[#This Row],[End Date]]-Table1[[#This Row],[Start Date]]</f>
        <v>99.989664351851388</v>
      </c>
      <c r="F763" s="8">
        <v>5334</v>
      </c>
      <c r="G763" s="21" t="s">
        <v>19</v>
      </c>
      <c r="H763" s="11">
        <v>12839</v>
      </c>
      <c r="I763" s="11">
        <v>1308</v>
      </c>
      <c r="J763" s="11">
        <v>345</v>
      </c>
      <c r="K763" s="13">
        <v>4790</v>
      </c>
      <c r="L763" s="16">
        <f t="shared" si="66"/>
        <v>0.10187709323156009</v>
      </c>
      <c r="M763" s="16">
        <f t="shared" si="67"/>
        <v>0.26376146788990823</v>
      </c>
      <c r="N763" s="17">
        <f t="shared" si="68"/>
        <v>13.288226299694189</v>
      </c>
      <c r="O763" s="17">
        <f t="shared" si="69"/>
        <v>50.379710144927536</v>
      </c>
      <c r="P763" s="16">
        <f t="shared" si="70"/>
        <v>3.258530183727034</v>
      </c>
      <c r="Q763" s="16">
        <f t="shared" si="71"/>
        <v>0.27558828605949026</v>
      </c>
      <c r="R763" s="2" t="s">
        <v>1548</v>
      </c>
      <c r="S763" s="21" t="s">
        <v>35</v>
      </c>
      <c r="T763" s="21" t="s">
        <v>17</v>
      </c>
      <c r="U763" s="8">
        <v>17381</v>
      </c>
      <c r="V763" s="11">
        <v>4</v>
      </c>
      <c r="W763" t="str">
        <f>IF(Table1[[#This Row],[Satisfaction Rating]]&lt;2, "Low", IF(Table1[[#This Row],[Satisfaction Rating]]&lt;4, "Medium", "High"))</f>
        <v>High</v>
      </c>
    </row>
    <row r="764" spans="1:23" ht="13" x14ac:dyDescent="0.15">
      <c r="A764" s="2" t="s">
        <v>1549</v>
      </c>
      <c r="B764" s="23">
        <v>45357.678738425922</v>
      </c>
      <c r="C764" s="23">
        <v>45616.181909722225</v>
      </c>
      <c r="D764" s="23" t="str">
        <f>IF(Table1[[#This Row],[Duration of Campaign]]=0, "Ongoing","Completed")</f>
        <v>Completed</v>
      </c>
      <c r="E764" s="25">
        <f>Table1[[#This Row],[End Date]]-Table1[[#This Row],[Start Date]]</f>
        <v>258.50317129630275</v>
      </c>
      <c r="F764" s="8">
        <v>1691</v>
      </c>
      <c r="G764" s="21" t="s">
        <v>14</v>
      </c>
      <c r="H764" s="11">
        <v>1018</v>
      </c>
      <c r="I764" s="11">
        <v>697</v>
      </c>
      <c r="J764" s="11">
        <v>494</v>
      </c>
      <c r="K764" s="13">
        <v>9882</v>
      </c>
      <c r="L764" s="16">
        <f t="shared" si="66"/>
        <v>0.68467583497053042</v>
      </c>
      <c r="M764" s="16">
        <f t="shared" si="67"/>
        <v>0.70875179340028693</v>
      </c>
      <c r="N764" s="17">
        <f t="shared" si="68"/>
        <v>17.081779053084649</v>
      </c>
      <c r="O764" s="17">
        <f t="shared" si="69"/>
        <v>24.101214574898787</v>
      </c>
      <c r="P764" s="16">
        <f t="shared" si="70"/>
        <v>7.0408042578356005</v>
      </c>
      <c r="Q764" s="16">
        <f t="shared" si="71"/>
        <v>0.83000167982529816</v>
      </c>
      <c r="R764" s="2" t="s">
        <v>1550</v>
      </c>
      <c r="S764" s="21" t="s">
        <v>16</v>
      </c>
      <c r="T764" s="21" t="s">
        <v>45</v>
      </c>
      <c r="U764" s="8">
        <v>11906</v>
      </c>
      <c r="V764" s="11">
        <v>4</v>
      </c>
      <c r="W764" t="str">
        <f>IF(Table1[[#This Row],[Satisfaction Rating]]&lt;2, "Low", IF(Table1[[#This Row],[Satisfaction Rating]]&lt;4, "Medium", "High"))</f>
        <v>High</v>
      </c>
    </row>
    <row r="765" spans="1:23" ht="13" x14ac:dyDescent="0.15">
      <c r="A765" s="2" t="s">
        <v>1551</v>
      </c>
      <c r="B765" s="23">
        <v>45058.94085648148</v>
      </c>
      <c r="C765" s="23">
        <v>45630.304618055554</v>
      </c>
      <c r="D765" s="23" t="str">
        <f>IF(Table1[[#This Row],[Duration of Campaign]]=0, "Ongoing","Completed")</f>
        <v>Completed</v>
      </c>
      <c r="E765" s="25">
        <f>Table1[[#This Row],[End Date]]-Table1[[#This Row],[Start Date]]</f>
        <v>571.36376157407358</v>
      </c>
      <c r="F765" s="8">
        <v>2210</v>
      </c>
      <c r="G765" s="21" t="s">
        <v>37</v>
      </c>
      <c r="H765" s="11">
        <v>5042</v>
      </c>
      <c r="I765" s="11">
        <v>1033</v>
      </c>
      <c r="J765" s="11">
        <v>410</v>
      </c>
      <c r="K765" s="13">
        <v>6174</v>
      </c>
      <c r="L765" s="16">
        <f t="shared" si="66"/>
        <v>0.20487901626338753</v>
      </c>
      <c r="M765" s="16">
        <f t="shared" si="67"/>
        <v>0.39690222652468538</v>
      </c>
      <c r="N765" s="17">
        <f t="shared" si="68"/>
        <v>4.6815101645692163</v>
      </c>
      <c r="O765" s="17">
        <f t="shared" si="69"/>
        <v>11.795121951219512</v>
      </c>
      <c r="P765" s="16">
        <f t="shared" si="70"/>
        <v>2.1882352941176473</v>
      </c>
      <c r="Q765" s="16">
        <f t="shared" si="71"/>
        <v>1.2766749379652604</v>
      </c>
      <c r="R765" s="2" t="s">
        <v>1552</v>
      </c>
      <c r="S765" s="21" t="s">
        <v>30</v>
      </c>
      <c r="T765" s="21" t="s">
        <v>17</v>
      </c>
      <c r="U765" s="8">
        <v>4836</v>
      </c>
      <c r="V765" s="11">
        <v>2</v>
      </c>
      <c r="W765" t="str">
        <f>IF(Table1[[#This Row],[Satisfaction Rating]]&lt;2, "Low", IF(Table1[[#This Row],[Satisfaction Rating]]&lt;4, "Medium", "High"))</f>
        <v>Medium</v>
      </c>
    </row>
    <row r="766" spans="1:23" ht="13" x14ac:dyDescent="0.15">
      <c r="A766" s="2" t="s">
        <v>1553</v>
      </c>
      <c r="B766" s="23">
        <v>45484.870891203704</v>
      </c>
      <c r="C766" s="23">
        <v>45484.870891203704</v>
      </c>
      <c r="D766" s="23" t="str">
        <f>IF(Table1[[#This Row],[Duration of Campaign]]=0, "Ongoing","Completed")</f>
        <v>Ongoing</v>
      </c>
      <c r="E766" s="25">
        <f>Table1[[#This Row],[End Date]]-Table1[[#This Row],[Start Date]]</f>
        <v>0</v>
      </c>
      <c r="F766" s="8">
        <v>6586</v>
      </c>
      <c r="G766" s="21" t="s">
        <v>37</v>
      </c>
      <c r="H766" s="11">
        <v>12894</v>
      </c>
      <c r="I766" s="11">
        <v>769</v>
      </c>
      <c r="J766" s="11">
        <v>421</v>
      </c>
      <c r="K766" s="13">
        <v>1317</v>
      </c>
      <c r="L766" s="16">
        <f t="shared" si="66"/>
        <v>5.9640142702031954E-2</v>
      </c>
      <c r="M766" s="16">
        <f t="shared" si="67"/>
        <v>0.54746423927178156</v>
      </c>
      <c r="N766" s="17">
        <f t="shared" si="68"/>
        <v>13.621586475942783</v>
      </c>
      <c r="O766" s="17">
        <f t="shared" si="69"/>
        <v>24.8812351543943</v>
      </c>
      <c r="P766" s="16">
        <f t="shared" si="70"/>
        <v>1.5904949893713938</v>
      </c>
      <c r="Q766" s="16">
        <f t="shared" si="71"/>
        <v>0.12572792362768495</v>
      </c>
      <c r="R766" s="2" t="s">
        <v>1554</v>
      </c>
      <c r="S766" s="21" t="s">
        <v>21</v>
      </c>
      <c r="T766" s="21" t="s">
        <v>17</v>
      </c>
      <c r="U766" s="8">
        <v>10475</v>
      </c>
      <c r="V766" s="11">
        <v>5</v>
      </c>
      <c r="W766" t="str">
        <f>IF(Table1[[#This Row],[Satisfaction Rating]]&lt;2, "Low", IF(Table1[[#This Row],[Satisfaction Rating]]&lt;4, "Medium", "High"))</f>
        <v>High</v>
      </c>
    </row>
    <row r="767" spans="1:23" ht="13" x14ac:dyDescent="0.15">
      <c r="A767" s="2" t="s">
        <v>1555</v>
      </c>
      <c r="B767" s="23">
        <v>45601.110590277778</v>
      </c>
      <c r="C767" s="23">
        <v>45601.110590277778</v>
      </c>
      <c r="D767" s="23" t="str">
        <f>IF(Table1[[#This Row],[Duration of Campaign]]=0, "Ongoing","Completed")</f>
        <v>Ongoing</v>
      </c>
      <c r="E767" s="25">
        <f>Table1[[#This Row],[End Date]]-Table1[[#This Row],[Start Date]]</f>
        <v>0</v>
      </c>
      <c r="F767" s="8">
        <v>9224</v>
      </c>
      <c r="G767" s="21" t="s">
        <v>53</v>
      </c>
      <c r="H767" s="11">
        <v>10871</v>
      </c>
      <c r="I767" s="11">
        <v>1685</v>
      </c>
      <c r="J767" s="11">
        <v>413</v>
      </c>
      <c r="K767" s="13">
        <v>13833</v>
      </c>
      <c r="L767" s="16">
        <f t="shared" si="66"/>
        <v>0.15499954006071198</v>
      </c>
      <c r="M767" s="16">
        <f t="shared" si="67"/>
        <v>0.24510385756676559</v>
      </c>
      <c r="N767" s="17">
        <f t="shared" si="68"/>
        <v>2.9305637982195845</v>
      </c>
      <c r="O767" s="17">
        <f t="shared" si="69"/>
        <v>11.956416464891042</v>
      </c>
      <c r="P767" s="16">
        <f t="shared" si="70"/>
        <v>0.53534258456201211</v>
      </c>
      <c r="Q767" s="16">
        <f t="shared" si="71"/>
        <v>2.8013365735115432</v>
      </c>
      <c r="R767" s="2" t="s">
        <v>1556</v>
      </c>
      <c r="S767" s="21" t="s">
        <v>35</v>
      </c>
      <c r="T767" s="21" t="s">
        <v>27</v>
      </c>
      <c r="U767" s="8">
        <v>4938</v>
      </c>
      <c r="V767" s="11">
        <v>4</v>
      </c>
      <c r="W767" t="str">
        <f>IF(Table1[[#This Row],[Satisfaction Rating]]&lt;2, "Low", IF(Table1[[#This Row],[Satisfaction Rating]]&lt;4, "Medium", "High"))</f>
        <v>High</v>
      </c>
    </row>
    <row r="768" spans="1:23" ht="13" x14ac:dyDescent="0.15">
      <c r="A768" s="2" t="s">
        <v>1557</v>
      </c>
      <c r="B768" s="23">
        <v>45125.83321759259</v>
      </c>
      <c r="C768" s="23">
        <v>45125.83321759259</v>
      </c>
      <c r="D768" s="23" t="str">
        <f>IF(Table1[[#This Row],[Duration of Campaign]]=0, "Ongoing","Completed")</f>
        <v>Ongoing</v>
      </c>
      <c r="E768" s="25">
        <f>Table1[[#This Row],[End Date]]-Table1[[#This Row],[Start Date]]</f>
        <v>0</v>
      </c>
      <c r="F768" s="8">
        <v>4922</v>
      </c>
      <c r="G768" s="21" t="s">
        <v>19</v>
      </c>
      <c r="H768" s="11">
        <v>13324</v>
      </c>
      <c r="I768" s="11">
        <v>334</v>
      </c>
      <c r="J768" s="11">
        <v>166</v>
      </c>
      <c r="K768" s="13">
        <v>2799</v>
      </c>
      <c r="L768" s="16">
        <f t="shared" si="66"/>
        <v>2.5067547283098169E-2</v>
      </c>
      <c r="M768" s="16">
        <f t="shared" si="67"/>
        <v>0.49700598802395207</v>
      </c>
      <c r="N768" s="17">
        <f t="shared" si="68"/>
        <v>35.281437125748504</v>
      </c>
      <c r="O768" s="17">
        <f t="shared" si="69"/>
        <v>70.98795180722891</v>
      </c>
      <c r="P768" s="16">
        <f t="shared" si="70"/>
        <v>2.3941487200325069</v>
      </c>
      <c r="Q768" s="16">
        <f t="shared" si="71"/>
        <v>0.23752545824847252</v>
      </c>
      <c r="R768" s="2" t="s">
        <v>1558</v>
      </c>
      <c r="S768" s="21" t="s">
        <v>24</v>
      </c>
      <c r="T768" s="21" t="s">
        <v>27</v>
      </c>
      <c r="U768" s="8">
        <v>11784</v>
      </c>
      <c r="V768" s="11">
        <v>4</v>
      </c>
      <c r="W768" t="str">
        <f>IF(Table1[[#This Row],[Satisfaction Rating]]&lt;2, "Low", IF(Table1[[#This Row],[Satisfaction Rating]]&lt;4, "Medium", "High"))</f>
        <v>High</v>
      </c>
    </row>
    <row r="769" spans="1:23" ht="13" x14ac:dyDescent="0.15">
      <c r="A769" s="2" t="s">
        <v>1559</v>
      </c>
      <c r="B769" s="23">
        <v>45518.886122685188</v>
      </c>
      <c r="C769" s="23">
        <v>45518.886122685188</v>
      </c>
      <c r="D769" s="23" t="str">
        <f>IF(Table1[[#This Row],[Duration of Campaign]]=0, "Ongoing","Completed")</f>
        <v>Ongoing</v>
      </c>
      <c r="E769" s="25">
        <f>Table1[[#This Row],[End Date]]-Table1[[#This Row],[Start Date]]</f>
        <v>0</v>
      </c>
      <c r="F769" s="8">
        <v>9281</v>
      </c>
      <c r="G769" s="21" t="s">
        <v>14</v>
      </c>
      <c r="H769" s="11">
        <v>13046</v>
      </c>
      <c r="I769" s="11">
        <v>938</v>
      </c>
      <c r="J769" s="11">
        <v>280</v>
      </c>
      <c r="K769" s="13">
        <v>5085</v>
      </c>
      <c r="L769" s="16">
        <f t="shared" si="66"/>
        <v>7.1899432776329916E-2</v>
      </c>
      <c r="M769" s="16">
        <f t="shared" si="67"/>
        <v>0.29850746268656714</v>
      </c>
      <c r="N769" s="17">
        <f t="shared" si="68"/>
        <v>16</v>
      </c>
      <c r="O769" s="17">
        <f t="shared" si="69"/>
        <v>53.6</v>
      </c>
      <c r="P769" s="16">
        <f t="shared" si="70"/>
        <v>1.6170671263872427</v>
      </c>
      <c r="Q769" s="16">
        <f t="shared" si="71"/>
        <v>0.33881929637526653</v>
      </c>
      <c r="R769" s="2" t="s">
        <v>1560</v>
      </c>
      <c r="S769" s="21" t="s">
        <v>21</v>
      </c>
      <c r="T769" s="21" t="s">
        <v>45</v>
      </c>
      <c r="U769" s="8">
        <v>15008</v>
      </c>
      <c r="V769" s="11">
        <v>2</v>
      </c>
      <c r="W769" t="str">
        <f>IF(Table1[[#This Row],[Satisfaction Rating]]&lt;2, "Low", IF(Table1[[#This Row],[Satisfaction Rating]]&lt;4, "Medium", "High"))</f>
        <v>Medium</v>
      </c>
    </row>
    <row r="770" spans="1:23" ht="13" x14ac:dyDescent="0.15">
      <c r="A770" s="2" t="s">
        <v>1561</v>
      </c>
      <c r="B770" s="23">
        <v>45371.982175925928</v>
      </c>
      <c r="C770" s="23">
        <v>45371.982175925928</v>
      </c>
      <c r="D770" s="23" t="str">
        <f>IF(Table1[[#This Row],[Duration of Campaign]]=0, "Ongoing","Completed")</f>
        <v>Ongoing</v>
      </c>
      <c r="E770" s="25">
        <f>Table1[[#This Row],[End Date]]-Table1[[#This Row],[Start Date]]</f>
        <v>0</v>
      </c>
      <c r="F770" s="8">
        <v>2525</v>
      </c>
      <c r="G770" s="21" t="s">
        <v>19</v>
      </c>
      <c r="H770" s="11">
        <v>14391</v>
      </c>
      <c r="I770" s="11">
        <v>1961</v>
      </c>
      <c r="J770" s="11">
        <v>117</v>
      </c>
      <c r="K770" s="13">
        <v>13842</v>
      </c>
      <c r="L770" s="16">
        <f t="shared" si="66"/>
        <v>0.1362657216315753</v>
      </c>
      <c r="M770" s="16">
        <f t="shared" si="67"/>
        <v>5.9663437021927591E-2</v>
      </c>
      <c r="N770" s="17">
        <f t="shared" si="68"/>
        <v>9.077001529831719</v>
      </c>
      <c r="O770" s="17">
        <f t="shared" si="69"/>
        <v>152.13675213675214</v>
      </c>
      <c r="P770" s="16">
        <f t="shared" si="70"/>
        <v>7.0495049504950495</v>
      </c>
      <c r="Q770" s="16">
        <f t="shared" si="71"/>
        <v>0.77764044943820221</v>
      </c>
      <c r="R770" s="2" t="s">
        <v>1562</v>
      </c>
      <c r="S770" s="21" t="s">
        <v>30</v>
      </c>
      <c r="T770" s="21" t="s">
        <v>27</v>
      </c>
      <c r="U770" s="8">
        <v>17800</v>
      </c>
      <c r="V770" s="11">
        <v>1</v>
      </c>
      <c r="W770" t="str">
        <f>IF(Table1[[#This Row],[Satisfaction Rating]]&lt;2, "Low", IF(Table1[[#This Row],[Satisfaction Rating]]&lt;4, "Medium", "High"))</f>
        <v>Low</v>
      </c>
    </row>
    <row r="771" spans="1:23" ht="13" x14ac:dyDescent="0.15">
      <c r="A771" s="2" t="s">
        <v>1563</v>
      </c>
      <c r="B771" s="23">
        <v>45230.351620370369</v>
      </c>
      <c r="C771" s="23">
        <v>45458.909074074072</v>
      </c>
      <c r="D771" s="23" t="str">
        <f>IF(Table1[[#This Row],[Duration of Campaign]]=0, "Ongoing","Completed")</f>
        <v>Completed</v>
      </c>
      <c r="E771" s="25">
        <f>Table1[[#This Row],[End Date]]-Table1[[#This Row],[Start Date]]</f>
        <v>228.55745370370278</v>
      </c>
      <c r="F771" s="8">
        <v>5083</v>
      </c>
      <c r="G771" s="21" t="s">
        <v>37</v>
      </c>
      <c r="H771" s="11">
        <v>18060</v>
      </c>
      <c r="I771" s="11">
        <v>1546</v>
      </c>
      <c r="J771" s="11">
        <v>461</v>
      </c>
      <c r="K771" s="13">
        <v>10956</v>
      </c>
      <c r="L771" s="16">
        <f t="shared" ref="L771:L834" si="72">I771/H771</f>
        <v>8.5603543743078631E-2</v>
      </c>
      <c r="M771" s="16">
        <f t="shared" ref="M771:M834" si="73">J771/I771</f>
        <v>0.29818887451487708</v>
      </c>
      <c r="N771" s="17">
        <f t="shared" ref="N771:N834" si="74">U771/I771</f>
        <v>10.714747736093143</v>
      </c>
      <c r="O771" s="17">
        <f t="shared" ref="O771:O834" si="75">U771/J771</f>
        <v>35.932754880694141</v>
      </c>
      <c r="P771" s="16">
        <f t="shared" ref="P771:P834" si="76">U771/F771</f>
        <v>3.2589022230965967</v>
      </c>
      <c r="Q771" s="16">
        <f t="shared" ref="Q771:Q834" si="77">K771/U771</f>
        <v>0.66139450648958653</v>
      </c>
      <c r="R771" s="2" t="s">
        <v>1564</v>
      </c>
      <c r="S771" s="21" t="s">
        <v>30</v>
      </c>
      <c r="T771" s="21" t="s">
        <v>17</v>
      </c>
      <c r="U771" s="8">
        <v>16565</v>
      </c>
      <c r="V771" s="11">
        <v>1</v>
      </c>
      <c r="W771" t="str">
        <f>IF(Table1[[#This Row],[Satisfaction Rating]]&lt;2, "Low", IF(Table1[[#This Row],[Satisfaction Rating]]&lt;4, "Medium", "High"))</f>
        <v>Low</v>
      </c>
    </row>
    <row r="772" spans="1:23" ht="13" x14ac:dyDescent="0.15">
      <c r="A772" s="2" t="s">
        <v>1565</v>
      </c>
      <c r="B772" s="23">
        <v>45573.395787037036</v>
      </c>
      <c r="C772" s="23">
        <v>45573.395787037036</v>
      </c>
      <c r="D772" s="23" t="str">
        <f>IF(Table1[[#This Row],[Duration of Campaign]]=0, "Ongoing","Completed")</f>
        <v>Ongoing</v>
      </c>
      <c r="E772" s="25">
        <f>Table1[[#This Row],[End Date]]-Table1[[#This Row],[Start Date]]</f>
        <v>0</v>
      </c>
      <c r="F772" s="8">
        <v>9996</v>
      </c>
      <c r="G772" s="21" t="s">
        <v>19</v>
      </c>
      <c r="H772" s="11">
        <v>16217</v>
      </c>
      <c r="I772" s="11">
        <v>1914</v>
      </c>
      <c r="J772" s="11">
        <v>23</v>
      </c>
      <c r="K772" s="13">
        <v>6322</v>
      </c>
      <c r="L772" s="16">
        <f t="shared" si="72"/>
        <v>0.11802429549238454</v>
      </c>
      <c r="M772" s="16">
        <f t="shared" si="73"/>
        <v>1.2016718913270637E-2</v>
      </c>
      <c r="N772" s="17">
        <f t="shared" si="74"/>
        <v>5.0940438871473352</v>
      </c>
      <c r="O772" s="17">
        <f t="shared" si="75"/>
        <v>423.91304347826087</v>
      </c>
      <c r="P772" s="16">
        <f t="shared" si="76"/>
        <v>0.97539015606242496</v>
      </c>
      <c r="Q772" s="16">
        <f t="shared" si="77"/>
        <v>0.6484102564102564</v>
      </c>
      <c r="R772" s="2" t="s">
        <v>1566</v>
      </c>
      <c r="S772" s="21" t="s">
        <v>30</v>
      </c>
      <c r="T772" s="21" t="s">
        <v>27</v>
      </c>
      <c r="U772" s="8">
        <v>9750</v>
      </c>
      <c r="V772" s="11">
        <v>1</v>
      </c>
      <c r="W772" t="str">
        <f>IF(Table1[[#This Row],[Satisfaction Rating]]&lt;2, "Low", IF(Table1[[#This Row],[Satisfaction Rating]]&lt;4, "Medium", "High"))</f>
        <v>Low</v>
      </c>
    </row>
    <row r="773" spans="1:23" ht="13" x14ac:dyDescent="0.15">
      <c r="A773" s="2" t="s">
        <v>1567</v>
      </c>
      <c r="B773" s="23">
        <v>45561.234942129631</v>
      </c>
      <c r="C773" s="23">
        <v>45561.234942129631</v>
      </c>
      <c r="D773" s="23" t="str">
        <f>IF(Table1[[#This Row],[Duration of Campaign]]=0, "Ongoing","Completed")</f>
        <v>Ongoing</v>
      </c>
      <c r="E773" s="25">
        <f>Table1[[#This Row],[End Date]]-Table1[[#This Row],[Start Date]]</f>
        <v>0</v>
      </c>
      <c r="F773" s="8">
        <v>2415</v>
      </c>
      <c r="G773" s="21" t="s">
        <v>37</v>
      </c>
      <c r="H773" s="11">
        <v>7124</v>
      </c>
      <c r="I773" s="11">
        <v>365</v>
      </c>
      <c r="J773" s="11">
        <v>423</v>
      </c>
      <c r="K773" s="13">
        <v>3241</v>
      </c>
      <c r="L773" s="16">
        <f t="shared" si="72"/>
        <v>5.1235261089275688E-2</v>
      </c>
      <c r="M773" s="16">
        <f t="shared" si="73"/>
        <v>1.1589041095890411</v>
      </c>
      <c r="N773" s="17">
        <f t="shared" si="74"/>
        <v>54.213698630136989</v>
      </c>
      <c r="O773" s="17">
        <f t="shared" si="75"/>
        <v>46.780141843971634</v>
      </c>
      <c r="P773" s="16">
        <f t="shared" si="76"/>
        <v>8.1937888198757758</v>
      </c>
      <c r="Q773" s="16">
        <f t="shared" si="77"/>
        <v>0.16378613300990499</v>
      </c>
      <c r="R773" s="2" t="s">
        <v>1568</v>
      </c>
      <c r="S773" s="21" t="s">
        <v>16</v>
      </c>
      <c r="T773" s="21" t="s">
        <v>27</v>
      </c>
      <c r="U773" s="8">
        <v>19788</v>
      </c>
      <c r="V773" s="11">
        <v>1</v>
      </c>
      <c r="W773" t="str">
        <f>IF(Table1[[#This Row],[Satisfaction Rating]]&lt;2, "Low", IF(Table1[[#This Row],[Satisfaction Rating]]&lt;4, "Medium", "High"))</f>
        <v>Low</v>
      </c>
    </row>
    <row r="774" spans="1:23" ht="13" x14ac:dyDescent="0.15">
      <c r="A774" s="2" t="s">
        <v>1569</v>
      </c>
      <c r="B774" s="23">
        <v>45479.053020833337</v>
      </c>
      <c r="C774" s="23">
        <v>45479.053020833337</v>
      </c>
      <c r="D774" s="23" t="str">
        <f>IF(Table1[[#This Row],[Duration of Campaign]]=0, "Ongoing","Completed")</f>
        <v>Ongoing</v>
      </c>
      <c r="E774" s="25">
        <f>Table1[[#This Row],[End Date]]-Table1[[#This Row],[Start Date]]</f>
        <v>0</v>
      </c>
      <c r="F774" s="8">
        <v>4211</v>
      </c>
      <c r="G774" s="21" t="s">
        <v>19</v>
      </c>
      <c r="H774" s="11">
        <v>11558</v>
      </c>
      <c r="I774" s="11">
        <v>1148</v>
      </c>
      <c r="J774" s="11">
        <v>321</v>
      </c>
      <c r="K774" s="13">
        <v>13258</v>
      </c>
      <c r="L774" s="16">
        <f t="shared" si="72"/>
        <v>9.932514275826268E-2</v>
      </c>
      <c r="M774" s="16">
        <f t="shared" si="73"/>
        <v>0.27961672473867594</v>
      </c>
      <c r="N774" s="17">
        <f t="shared" si="74"/>
        <v>11.785714285714286</v>
      </c>
      <c r="O774" s="17">
        <f t="shared" si="75"/>
        <v>42.149532710280376</v>
      </c>
      <c r="P774" s="16">
        <f t="shared" si="76"/>
        <v>3.2130135359772027</v>
      </c>
      <c r="Q774" s="16">
        <f t="shared" si="77"/>
        <v>0.97989652623798962</v>
      </c>
      <c r="R774" s="2" t="s">
        <v>1570</v>
      </c>
      <c r="S774" s="21" t="s">
        <v>30</v>
      </c>
      <c r="T774" s="21" t="s">
        <v>27</v>
      </c>
      <c r="U774" s="8">
        <v>13530</v>
      </c>
      <c r="V774" s="11">
        <v>1</v>
      </c>
      <c r="W774" t="str">
        <f>IF(Table1[[#This Row],[Satisfaction Rating]]&lt;2, "Low", IF(Table1[[#This Row],[Satisfaction Rating]]&lt;4, "Medium", "High"))</f>
        <v>Low</v>
      </c>
    </row>
    <row r="775" spans="1:23" ht="13" x14ac:dyDescent="0.15">
      <c r="A775" s="2" t="s">
        <v>1571</v>
      </c>
      <c r="B775" s="23">
        <v>45020.436388888891</v>
      </c>
      <c r="C775" s="23">
        <v>45020.436388888891</v>
      </c>
      <c r="D775" s="23" t="str">
        <f>IF(Table1[[#This Row],[Duration of Campaign]]=0, "Ongoing","Completed")</f>
        <v>Ongoing</v>
      </c>
      <c r="E775" s="25">
        <f>Table1[[#This Row],[End Date]]-Table1[[#This Row],[Start Date]]</f>
        <v>0</v>
      </c>
      <c r="F775" s="8">
        <v>3983</v>
      </c>
      <c r="G775" s="21" t="s">
        <v>19</v>
      </c>
      <c r="H775" s="11">
        <v>9622</v>
      </c>
      <c r="I775" s="11">
        <v>1277</v>
      </c>
      <c r="J775" s="11">
        <v>153</v>
      </c>
      <c r="K775" s="13">
        <v>1426</v>
      </c>
      <c r="L775" s="16">
        <f t="shared" si="72"/>
        <v>0.13271669091664934</v>
      </c>
      <c r="M775" s="16">
        <f t="shared" si="73"/>
        <v>0.11981205951448708</v>
      </c>
      <c r="N775" s="17">
        <f t="shared" si="74"/>
        <v>1.0704776820673454</v>
      </c>
      <c r="O775" s="17">
        <f t="shared" si="75"/>
        <v>8.9346405228758172</v>
      </c>
      <c r="P775" s="16">
        <f t="shared" si="76"/>
        <v>0.34320863670600049</v>
      </c>
      <c r="Q775" s="16">
        <f t="shared" si="77"/>
        <v>1.0431602048280908</v>
      </c>
      <c r="R775" s="2" t="s">
        <v>1572</v>
      </c>
      <c r="S775" s="21" t="s">
        <v>16</v>
      </c>
      <c r="T775" s="21" t="s">
        <v>17</v>
      </c>
      <c r="U775" s="8">
        <v>1367</v>
      </c>
      <c r="V775" s="11">
        <v>2</v>
      </c>
      <c r="W775" t="str">
        <f>IF(Table1[[#This Row],[Satisfaction Rating]]&lt;2, "Low", IF(Table1[[#This Row],[Satisfaction Rating]]&lt;4, "Medium", "High"))</f>
        <v>Medium</v>
      </c>
    </row>
    <row r="776" spans="1:23" ht="13" x14ac:dyDescent="0.15">
      <c r="A776" s="2" t="s">
        <v>1573</v>
      </c>
      <c r="B776" s="23">
        <v>45355.431296296294</v>
      </c>
      <c r="C776" s="23">
        <v>45355.431296296294</v>
      </c>
      <c r="D776" s="23" t="str">
        <f>IF(Table1[[#This Row],[Duration of Campaign]]=0, "Ongoing","Completed")</f>
        <v>Ongoing</v>
      </c>
      <c r="E776" s="25">
        <f>Table1[[#This Row],[End Date]]-Table1[[#This Row],[Start Date]]</f>
        <v>0</v>
      </c>
      <c r="F776" s="8">
        <v>1995</v>
      </c>
      <c r="G776" s="21" t="s">
        <v>53</v>
      </c>
      <c r="H776" s="11">
        <v>4722</v>
      </c>
      <c r="I776" s="11">
        <v>1911</v>
      </c>
      <c r="J776" s="11">
        <v>492</v>
      </c>
      <c r="K776" s="13">
        <v>11330</v>
      </c>
      <c r="L776" s="16">
        <f t="shared" si="72"/>
        <v>0.40470139771283353</v>
      </c>
      <c r="M776" s="16">
        <f t="shared" si="73"/>
        <v>0.25745682888540034</v>
      </c>
      <c r="N776" s="17">
        <f t="shared" si="74"/>
        <v>5.0816326530612246</v>
      </c>
      <c r="O776" s="17">
        <f t="shared" si="75"/>
        <v>19.737804878048781</v>
      </c>
      <c r="P776" s="16">
        <f t="shared" si="76"/>
        <v>4.8676691729323309</v>
      </c>
      <c r="Q776" s="16">
        <f t="shared" si="77"/>
        <v>1.1667181546699619</v>
      </c>
      <c r="R776" s="2" t="s">
        <v>1574</v>
      </c>
      <c r="S776" s="21" t="s">
        <v>21</v>
      </c>
      <c r="T776" s="21" t="s">
        <v>17</v>
      </c>
      <c r="U776" s="8">
        <v>9711</v>
      </c>
      <c r="V776" s="11">
        <v>5</v>
      </c>
      <c r="W776" t="str">
        <f>IF(Table1[[#This Row],[Satisfaction Rating]]&lt;2, "Low", IF(Table1[[#This Row],[Satisfaction Rating]]&lt;4, "Medium", "High"))</f>
        <v>High</v>
      </c>
    </row>
    <row r="777" spans="1:23" ht="13" x14ac:dyDescent="0.15">
      <c r="A777" s="2" t="s">
        <v>1575</v>
      </c>
      <c r="B777" s="23">
        <v>44967.684675925928</v>
      </c>
      <c r="C777" s="23">
        <v>45486.572326388887</v>
      </c>
      <c r="D777" s="23" t="str">
        <f>IF(Table1[[#This Row],[Duration of Campaign]]=0, "Ongoing","Completed")</f>
        <v>Completed</v>
      </c>
      <c r="E777" s="25">
        <f>Table1[[#This Row],[End Date]]-Table1[[#This Row],[Start Date]]</f>
        <v>518.88765046295885</v>
      </c>
      <c r="F777" s="8">
        <v>8311</v>
      </c>
      <c r="G777" s="21" t="s">
        <v>53</v>
      </c>
      <c r="H777" s="11">
        <v>19106</v>
      </c>
      <c r="I777" s="11">
        <v>1609</v>
      </c>
      <c r="J777" s="11">
        <v>238</v>
      </c>
      <c r="K777" s="13">
        <v>4546</v>
      </c>
      <c r="L777" s="16">
        <f t="shared" si="72"/>
        <v>8.4214382916361352E-2</v>
      </c>
      <c r="M777" s="16">
        <f t="shared" si="73"/>
        <v>0.14791796146674954</v>
      </c>
      <c r="N777" s="17">
        <f t="shared" si="74"/>
        <v>5.8763206960845249</v>
      </c>
      <c r="O777" s="17">
        <f t="shared" si="75"/>
        <v>39.726890756302524</v>
      </c>
      <c r="P777" s="16">
        <f t="shared" si="76"/>
        <v>1.1376488990494524</v>
      </c>
      <c r="Q777" s="16">
        <f t="shared" si="77"/>
        <v>0.48080380750925439</v>
      </c>
      <c r="R777" s="2" t="s">
        <v>1576</v>
      </c>
      <c r="S777" s="21" t="s">
        <v>21</v>
      </c>
      <c r="T777" s="21" t="s">
        <v>45</v>
      </c>
      <c r="U777" s="8">
        <v>9455</v>
      </c>
      <c r="V777" s="11">
        <v>1</v>
      </c>
      <c r="W777" t="str">
        <f>IF(Table1[[#This Row],[Satisfaction Rating]]&lt;2, "Low", IF(Table1[[#This Row],[Satisfaction Rating]]&lt;4, "Medium", "High"))</f>
        <v>Low</v>
      </c>
    </row>
    <row r="778" spans="1:23" ht="13" x14ac:dyDescent="0.15">
      <c r="A778" s="2" t="s">
        <v>1577</v>
      </c>
      <c r="B778" s="23">
        <v>45470.407071759262</v>
      </c>
      <c r="C778" s="23">
        <v>45470.407071759262</v>
      </c>
      <c r="D778" s="23" t="str">
        <f>IF(Table1[[#This Row],[Duration of Campaign]]=0, "Ongoing","Completed")</f>
        <v>Ongoing</v>
      </c>
      <c r="E778" s="25">
        <f>Table1[[#This Row],[End Date]]-Table1[[#This Row],[Start Date]]</f>
        <v>0</v>
      </c>
      <c r="F778" s="8">
        <v>7943</v>
      </c>
      <c r="G778" s="21" t="s">
        <v>19</v>
      </c>
      <c r="H778" s="11">
        <v>9942</v>
      </c>
      <c r="I778" s="11">
        <v>1627</v>
      </c>
      <c r="J778" s="11">
        <v>404</v>
      </c>
      <c r="K778" s="13">
        <v>2965</v>
      </c>
      <c r="L778" s="16">
        <f t="shared" si="72"/>
        <v>0.16364916515791592</v>
      </c>
      <c r="M778" s="16">
        <f t="shared" si="73"/>
        <v>0.24830977258758452</v>
      </c>
      <c r="N778" s="17">
        <f t="shared" si="74"/>
        <v>1.5783650891210816</v>
      </c>
      <c r="O778" s="17">
        <f t="shared" si="75"/>
        <v>6.3564356435643568</v>
      </c>
      <c r="P778" s="16">
        <f t="shared" si="76"/>
        <v>0.32330353770615639</v>
      </c>
      <c r="Q778" s="16">
        <f t="shared" si="77"/>
        <v>1.154595015576324</v>
      </c>
      <c r="R778" s="2" t="s">
        <v>1578</v>
      </c>
      <c r="S778" s="21" t="s">
        <v>16</v>
      </c>
      <c r="T778" s="21" t="s">
        <v>17</v>
      </c>
      <c r="U778" s="8">
        <v>2568</v>
      </c>
      <c r="V778" s="11">
        <v>3</v>
      </c>
      <c r="W778" t="str">
        <f>IF(Table1[[#This Row],[Satisfaction Rating]]&lt;2, "Low", IF(Table1[[#This Row],[Satisfaction Rating]]&lt;4, "Medium", "High"))</f>
        <v>Medium</v>
      </c>
    </row>
    <row r="779" spans="1:23" ht="13" x14ac:dyDescent="0.15">
      <c r="A779" s="2" t="s">
        <v>1579</v>
      </c>
      <c r="B779" s="23">
        <v>45086.59578703704</v>
      </c>
      <c r="C779" s="23">
        <v>45289.824328703704</v>
      </c>
      <c r="D779" s="23" t="str">
        <f>IF(Table1[[#This Row],[Duration of Campaign]]=0, "Ongoing","Completed")</f>
        <v>Completed</v>
      </c>
      <c r="E779" s="25">
        <f>Table1[[#This Row],[End Date]]-Table1[[#This Row],[Start Date]]</f>
        <v>203.22854166666366</v>
      </c>
      <c r="F779" s="8">
        <v>8837</v>
      </c>
      <c r="G779" s="21" t="s">
        <v>37</v>
      </c>
      <c r="H779" s="11">
        <v>6698</v>
      </c>
      <c r="I779" s="11">
        <v>1016</v>
      </c>
      <c r="J779" s="11">
        <v>37</v>
      </c>
      <c r="K779" s="13">
        <v>11493</v>
      </c>
      <c r="L779" s="16">
        <f t="shared" si="72"/>
        <v>0.15168707076739324</v>
      </c>
      <c r="M779" s="16">
        <f t="shared" si="73"/>
        <v>3.6417322834645667E-2</v>
      </c>
      <c r="N779" s="17">
        <f t="shared" si="74"/>
        <v>17.402559055118111</v>
      </c>
      <c r="O779" s="17">
        <f t="shared" si="75"/>
        <v>477.86486486486484</v>
      </c>
      <c r="P779" s="16">
        <f t="shared" si="76"/>
        <v>2.0007921240239899</v>
      </c>
      <c r="Q779" s="16">
        <f t="shared" si="77"/>
        <v>0.65001979526044906</v>
      </c>
      <c r="R779" s="2" t="s">
        <v>1580</v>
      </c>
      <c r="S779" s="21" t="s">
        <v>16</v>
      </c>
      <c r="T779" s="21" t="s">
        <v>17</v>
      </c>
      <c r="U779" s="8">
        <v>17681</v>
      </c>
      <c r="V779" s="11">
        <v>2</v>
      </c>
      <c r="W779" t="str">
        <f>IF(Table1[[#This Row],[Satisfaction Rating]]&lt;2, "Low", IF(Table1[[#This Row],[Satisfaction Rating]]&lt;4, "Medium", "High"))</f>
        <v>Medium</v>
      </c>
    </row>
    <row r="780" spans="1:23" ht="13" x14ac:dyDescent="0.15">
      <c r="A780" s="2" t="s">
        <v>1581</v>
      </c>
      <c r="B780" s="23">
        <v>45481.073750000003</v>
      </c>
      <c r="C780" s="23">
        <v>45481.073750000003</v>
      </c>
      <c r="D780" s="23" t="str">
        <f>IF(Table1[[#This Row],[Duration of Campaign]]=0, "Ongoing","Completed")</f>
        <v>Ongoing</v>
      </c>
      <c r="E780" s="25">
        <f>Table1[[#This Row],[End Date]]-Table1[[#This Row],[Start Date]]</f>
        <v>0</v>
      </c>
      <c r="F780" s="8">
        <v>6309</v>
      </c>
      <c r="G780" s="21" t="s">
        <v>14</v>
      </c>
      <c r="H780" s="11">
        <v>7611</v>
      </c>
      <c r="I780" s="11">
        <v>563</v>
      </c>
      <c r="J780" s="11">
        <v>254</v>
      </c>
      <c r="K780" s="13">
        <v>1013</v>
      </c>
      <c r="L780" s="16">
        <f t="shared" si="72"/>
        <v>7.3971882801208783E-2</v>
      </c>
      <c r="M780" s="16">
        <f t="shared" si="73"/>
        <v>0.45115452930728239</v>
      </c>
      <c r="N780" s="17">
        <f t="shared" si="74"/>
        <v>32.724689165186504</v>
      </c>
      <c r="O780" s="17">
        <f t="shared" si="75"/>
        <v>72.535433070866148</v>
      </c>
      <c r="P780" s="16">
        <f t="shared" si="76"/>
        <v>2.9202726264067205</v>
      </c>
      <c r="Q780" s="16">
        <f t="shared" si="77"/>
        <v>5.4982631350412509E-2</v>
      </c>
      <c r="R780" s="2" t="s">
        <v>1582</v>
      </c>
      <c r="S780" s="21" t="s">
        <v>16</v>
      </c>
      <c r="T780" s="21" t="s">
        <v>45</v>
      </c>
      <c r="U780" s="8">
        <v>18424</v>
      </c>
      <c r="V780" s="11">
        <v>5</v>
      </c>
      <c r="W780" t="str">
        <f>IF(Table1[[#This Row],[Satisfaction Rating]]&lt;2, "Low", IF(Table1[[#This Row],[Satisfaction Rating]]&lt;4, "Medium", "High"))</f>
        <v>High</v>
      </c>
    </row>
    <row r="781" spans="1:23" ht="13" x14ac:dyDescent="0.15">
      <c r="A781" s="2" t="s">
        <v>1583</v>
      </c>
      <c r="B781" s="23">
        <v>45397.905601851853</v>
      </c>
      <c r="C781" s="23">
        <v>45397.905601851853</v>
      </c>
      <c r="D781" s="23" t="str">
        <f>IF(Table1[[#This Row],[Duration of Campaign]]=0, "Ongoing","Completed")</f>
        <v>Ongoing</v>
      </c>
      <c r="E781" s="25">
        <f>Table1[[#This Row],[End Date]]-Table1[[#This Row],[Start Date]]</f>
        <v>0</v>
      </c>
      <c r="F781" s="8">
        <v>8067</v>
      </c>
      <c r="G781" s="21" t="s">
        <v>19</v>
      </c>
      <c r="H781" s="11">
        <v>16797</v>
      </c>
      <c r="I781" s="11">
        <v>1986</v>
      </c>
      <c r="J781" s="11">
        <v>476</v>
      </c>
      <c r="K781" s="13">
        <v>2563</v>
      </c>
      <c r="L781" s="16">
        <f t="shared" si="72"/>
        <v>0.11823539917842472</v>
      </c>
      <c r="M781" s="16">
        <f t="shared" si="73"/>
        <v>0.23967774420946628</v>
      </c>
      <c r="N781" s="17">
        <f t="shared" si="74"/>
        <v>2.5297079556898288</v>
      </c>
      <c r="O781" s="17">
        <f t="shared" si="75"/>
        <v>10.554621848739496</v>
      </c>
      <c r="P781" s="16">
        <f t="shared" si="76"/>
        <v>0.62278418247179868</v>
      </c>
      <c r="Q781" s="16">
        <f t="shared" si="77"/>
        <v>0.51015127388535031</v>
      </c>
      <c r="R781" s="2" t="s">
        <v>1584</v>
      </c>
      <c r="S781" s="21" t="s">
        <v>21</v>
      </c>
      <c r="T781" s="21" t="s">
        <v>17</v>
      </c>
      <c r="U781" s="8">
        <v>5024</v>
      </c>
      <c r="V781" s="11">
        <v>2</v>
      </c>
      <c r="W781" t="str">
        <f>IF(Table1[[#This Row],[Satisfaction Rating]]&lt;2, "Low", IF(Table1[[#This Row],[Satisfaction Rating]]&lt;4, "Medium", "High"))</f>
        <v>Medium</v>
      </c>
    </row>
    <row r="782" spans="1:23" ht="13" x14ac:dyDescent="0.15">
      <c r="A782" s="2" t="s">
        <v>1585</v>
      </c>
      <c r="B782" s="23">
        <v>45527.917546296296</v>
      </c>
      <c r="C782" s="23">
        <v>45527.917546296296</v>
      </c>
      <c r="D782" s="23" t="str">
        <f>IF(Table1[[#This Row],[Duration of Campaign]]=0, "Ongoing","Completed")</f>
        <v>Ongoing</v>
      </c>
      <c r="E782" s="25">
        <f>Table1[[#This Row],[End Date]]-Table1[[#This Row],[Start Date]]</f>
        <v>0</v>
      </c>
      <c r="F782" s="8">
        <v>9459</v>
      </c>
      <c r="G782" s="21" t="s">
        <v>53</v>
      </c>
      <c r="H782" s="11">
        <v>18157</v>
      </c>
      <c r="I782" s="11">
        <v>1223</v>
      </c>
      <c r="J782" s="11">
        <v>104</v>
      </c>
      <c r="K782" s="13">
        <v>7974</v>
      </c>
      <c r="L782" s="16">
        <f t="shared" si="72"/>
        <v>6.735694222613868E-2</v>
      </c>
      <c r="M782" s="16">
        <f t="shared" si="73"/>
        <v>8.5036794766966475E-2</v>
      </c>
      <c r="N782" s="17">
        <f t="shared" si="74"/>
        <v>10.523303352412102</v>
      </c>
      <c r="O782" s="17">
        <f t="shared" si="75"/>
        <v>123.75</v>
      </c>
      <c r="P782" s="16">
        <f t="shared" si="76"/>
        <v>1.3606089438629876</v>
      </c>
      <c r="Q782" s="16">
        <f t="shared" si="77"/>
        <v>0.61958041958041954</v>
      </c>
      <c r="R782" s="2" t="s">
        <v>1586</v>
      </c>
      <c r="S782" s="21" t="s">
        <v>16</v>
      </c>
      <c r="T782" s="21" t="s">
        <v>27</v>
      </c>
      <c r="U782" s="8">
        <v>12870</v>
      </c>
      <c r="V782" s="11">
        <v>4</v>
      </c>
      <c r="W782" t="str">
        <f>IF(Table1[[#This Row],[Satisfaction Rating]]&lt;2, "Low", IF(Table1[[#This Row],[Satisfaction Rating]]&lt;4, "Medium", "High"))</f>
        <v>High</v>
      </c>
    </row>
    <row r="783" spans="1:23" ht="13" x14ac:dyDescent="0.15">
      <c r="A783" s="2" t="s">
        <v>1587</v>
      </c>
      <c r="B783" s="23">
        <v>45500.402418981481</v>
      </c>
      <c r="C783" s="23">
        <v>45500.402418981481</v>
      </c>
      <c r="D783" s="23" t="str">
        <f>IF(Table1[[#This Row],[Duration of Campaign]]=0, "Ongoing","Completed")</f>
        <v>Ongoing</v>
      </c>
      <c r="E783" s="25">
        <f>Table1[[#This Row],[End Date]]-Table1[[#This Row],[Start Date]]</f>
        <v>0</v>
      </c>
      <c r="F783" s="8">
        <v>7628</v>
      </c>
      <c r="G783" s="21" t="s">
        <v>14</v>
      </c>
      <c r="H783" s="11">
        <v>10393</v>
      </c>
      <c r="I783" s="11">
        <v>844</v>
      </c>
      <c r="J783" s="11">
        <v>175</v>
      </c>
      <c r="K783" s="13">
        <v>2555</v>
      </c>
      <c r="L783" s="16">
        <f t="shared" si="72"/>
        <v>8.1208505725007221E-2</v>
      </c>
      <c r="M783" s="16">
        <f t="shared" si="73"/>
        <v>0.20734597156398105</v>
      </c>
      <c r="N783" s="17">
        <f t="shared" si="74"/>
        <v>13.84478672985782</v>
      </c>
      <c r="O783" s="17">
        <f t="shared" si="75"/>
        <v>66.771428571428572</v>
      </c>
      <c r="P783" s="16">
        <f t="shared" si="76"/>
        <v>1.5318563188253802</v>
      </c>
      <c r="Q783" s="16">
        <f t="shared" si="77"/>
        <v>0.2186563970902867</v>
      </c>
      <c r="R783" s="2" t="s">
        <v>1588</v>
      </c>
      <c r="S783" s="21" t="s">
        <v>21</v>
      </c>
      <c r="T783" s="21" t="s">
        <v>17</v>
      </c>
      <c r="U783" s="8">
        <v>11685</v>
      </c>
      <c r="V783" s="11">
        <v>4</v>
      </c>
      <c r="W783" t="str">
        <f>IF(Table1[[#This Row],[Satisfaction Rating]]&lt;2, "Low", IF(Table1[[#This Row],[Satisfaction Rating]]&lt;4, "Medium", "High"))</f>
        <v>High</v>
      </c>
    </row>
    <row r="784" spans="1:23" ht="13" x14ac:dyDescent="0.15">
      <c r="A784" s="2" t="s">
        <v>1589</v>
      </c>
      <c r="B784" s="23">
        <v>45274.844050925924</v>
      </c>
      <c r="C784" s="23">
        <v>45436.739629629628</v>
      </c>
      <c r="D784" s="23" t="str">
        <f>IF(Table1[[#This Row],[Duration of Campaign]]=0, "Ongoing","Completed")</f>
        <v>Completed</v>
      </c>
      <c r="E784" s="25">
        <f>Table1[[#This Row],[End Date]]-Table1[[#This Row],[Start Date]]</f>
        <v>161.89557870370481</v>
      </c>
      <c r="F784" s="8">
        <v>9802</v>
      </c>
      <c r="G784" s="21" t="s">
        <v>53</v>
      </c>
      <c r="H784" s="11">
        <v>13033</v>
      </c>
      <c r="I784" s="11">
        <v>841</v>
      </c>
      <c r="J784" s="11">
        <v>366</v>
      </c>
      <c r="K784" s="13">
        <v>7009</v>
      </c>
      <c r="L784" s="16">
        <f t="shared" si="72"/>
        <v>6.4528504565334155E-2</v>
      </c>
      <c r="M784" s="16">
        <f t="shared" si="73"/>
        <v>0.43519619500594531</v>
      </c>
      <c r="N784" s="17">
        <f t="shared" si="74"/>
        <v>3.1343638525564805</v>
      </c>
      <c r="O784" s="17">
        <f t="shared" si="75"/>
        <v>7.2021857923497263</v>
      </c>
      <c r="P784" s="16">
        <f t="shared" si="76"/>
        <v>0.26892470924301165</v>
      </c>
      <c r="Q784" s="16">
        <f t="shared" si="77"/>
        <v>2.6589529590288317</v>
      </c>
      <c r="R784" s="2" t="s">
        <v>1590</v>
      </c>
      <c r="S784" s="21" t="s">
        <v>21</v>
      </c>
      <c r="T784" s="21" t="s">
        <v>17</v>
      </c>
      <c r="U784" s="8">
        <v>2636</v>
      </c>
      <c r="V784" s="11">
        <v>5</v>
      </c>
      <c r="W784" t="str">
        <f>IF(Table1[[#This Row],[Satisfaction Rating]]&lt;2, "Low", IF(Table1[[#This Row],[Satisfaction Rating]]&lt;4, "Medium", "High"))</f>
        <v>High</v>
      </c>
    </row>
    <row r="785" spans="1:23" ht="13" x14ac:dyDescent="0.15">
      <c r="A785" s="2" t="s">
        <v>1591</v>
      </c>
      <c r="B785" s="23">
        <v>45406.567465277774</v>
      </c>
      <c r="C785" s="23">
        <v>45595.255185185182</v>
      </c>
      <c r="D785" s="23" t="str">
        <f>IF(Table1[[#This Row],[Duration of Campaign]]=0, "Ongoing","Completed")</f>
        <v>Completed</v>
      </c>
      <c r="E785" s="25">
        <f>Table1[[#This Row],[End Date]]-Table1[[#This Row],[Start Date]]</f>
        <v>188.68771990740788</v>
      </c>
      <c r="F785" s="8">
        <v>4965</v>
      </c>
      <c r="G785" s="21" t="s">
        <v>19</v>
      </c>
      <c r="H785" s="11">
        <v>18756</v>
      </c>
      <c r="I785" s="11">
        <v>206</v>
      </c>
      <c r="J785" s="11">
        <v>454</v>
      </c>
      <c r="K785" s="13">
        <v>13776</v>
      </c>
      <c r="L785" s="16">
        <f t="shared" si="72"/>
        <v>1.0983152058008105E-2</v>
      </c>
      <c r="M785" s="16">
        <f t="shared" si="73"/>
        <v>2.203883495145631</v>
      </c>
      <c r="N785" s="17">
        <f t="shared" si="74"/>
        <v>13.407766990291263</v>
      </c>
      <c r="O785" s="17">
        <f t="shared" si="75"/>
        <v>6.0837004405286343</v>
      </c>
      <c r="P785" s="16">
        <f t="shared" si="76"/>
        <v>0.55629405840886204</v>
      </c>
      <c r="Q785" s="16">
        <f t="shared" si="77"/>
        <v>4.9876900796524257</v>
      </c>
      <c r="R785" s="2" t="s">
        <v>1592</v>
      </c>
      <c r="S785" s="21" t="s">
        <v>16</v>
      </c>
      <c r="T785" s="21" t="s">
        <v>45</v>
      </c>
      <c r="U785" s="8">
        <v>2762</v>
      </c>
      <c r="V785" s="11">
        <v>1</v>
      </c>
      <c r="W785" t="str">
        <f>IF(Table1[[#This Row],[Satisfaction Rating]]&lt;2, "Low", IF(Table1[[#This Row],[Satisfaction Rating]]&lt;4, "Medium", "High"))</f>
        <v>Low</v>
      </c>
    </row>
    <row r="786" spans="1:23" ht="13" x14ac:dyDescent="0.15">
      <c r="A786" s="2" t="s">
        <v>1593</v>
      </c>
      <c r="B786" s="23">
        <v>44963.941435185188</v>
      </c>
      <c r="C786" s="23">
        <v>45040.856909722221</v>
      </c>
      <c r="D786" s="23" t="str">
        <f>IF(Table1[[#This Row],[Duration of Campaign]]=0, "Ongoing","Completed")</f>
        <v>Completed</v>
      </c>
      <c r="E786" s="25">
        <f>Table1[[#This Row],[End Date]]-Table1[[#This Row],[Start Date]]</f>
        <v>76.915474537032424</v>
      </c>
      <c r="F786" s="8">
        <v>7872</v>
      </c>
      <c r="G786" s="21" t="s">
        <v>37</v>
      </c>
      <c r="H786" s="11">
        <v>2891</v>
      </c>
      <c r="I786" s="11">
        <v>1414</v>
      </c>
      <c r="J786" s="11">
        <v>452</v>
      </c>
      <c r="K786" s="13">
        <v>1476</v>
      </c>
      <c r="L786" s="16">
        <f t="shared" si="72"/>
        <v>0.48910411622276029</v>
      </c>
      <c r="M786" s="16">
        <f t="shared" si="73"/>
        <v>0.31966053748231965</v>
      </c>
      <c r="N786" s="17">
        <f t="shared" si="74"/>
        <v>5.1124469589816126</v>
      </c>
      <c r="O786" s="17">
        <f t="shared" si="75"/>
        <v>15.993362831858407</v>
      </c>
      <c r="P786" s="16">
        <f t="shared" si="76"/>
        <v>0.91831808943089432</v>
      </c>
      <c r="Q786" s="16">
        <f t="shared" si="77"/>
        <v>0.20417761792779085</v>
      </c>
      <c r="R786" s="2" t="s">
        <v>1594</v>
      </c>
      <c r="S786" s="21" t="s">
        <v>21</v>
      </c>
      <c r="T786" s="21" t="s">
        <v>17</v>
      </c>
      <c r="U786" s="8">
        <v>7229</v>
      </c>
      <c r="V786" s="11">
        <v>1</v>
      </c>
      <c r="W786" t="str">
        <f>IF(Table1[[#This Row],[Satisfaction Rating]]&lt;2, "Low", IF(Table1[[#This Row],[Satisfaction Rating]]&lt;4, "Medium", "High"))</f>
        <v>Low</v>
      </c>
    </row>
    <row r="787" spans="1:23" ht="13" x14ac:dyDescent="0.15">
      <c r="A787" s="2" t="s">
        <v>1595</v>
      </c>
      <c r="B787" s="23">
        <v>45158.250856481478</v>
      </c>
      <c r="C787" s="23">
        <v>45536.687152777777</v>
      </c>
      <c r="D787" s="23" t="str">
        <f>IF(Table1[[#This Row],[Duration of Campaign]]=0, "Ongoing","Completed")</f>
        <v>Completed</v>
      </c>
      <c r="E787" s="25">
        <f>Table1[[#This Row],[End Date]]-Table1[[#This Row],[Start Date]]</f>
        <v>378.43629629629868</v>
      </c>
      <c r="F787" s="8">
        <v>5220</v>
      </c>
      <c r="G787" s="21" t="s">
        <v>37</v>
      </c>
      <c r="H787" s="11">
        <v>17814</v>
      </c>
      <c r="I787" s="11">
        <v>801</v>
      </c>
      <c r="J787" s="11">
        <v>495</v>
      </c>
      <c r="K787" s="13">
        <v>10585</v>
      </c>
      <c r="L787" s="16">
        <f t="shared" si="72"/>
        <v>4.4964634557089926E-2</v>
      </c>
      <c r="M787" s="16">
        <f t="shared" si="73"/>
        <v>0.6179775280898876</v>
      </c>
      <c r="N787" s="17">
        <f t="shared" si="74"/>
        <v>3.0037453183520597</v>
      </c>
      <c r="O787" s="17">
        <f t="shared" si="75"/>
        <v>4.8606060606060604</v>
      </c>
      <c r="P787" s="16">
        <f t="shared" si="76"/>
        <v>0.46091954022988507</v>
      </c>
      <c r="Q787" s="16">
        <f t="shared" si="77"/>
        <v>4.3994181213632588</v>
      </c>
      <c r="R787" s="2" t="s">
        <v>1596</v>
      </c>
      <c r="S787" s="21" t="s">
        <v>30</v>
      </c>
      <c r="T787" s="21" t="s">
        <v>27</v>
      </c>
      <c r="U787" s="8">
        <v>2406</v>
      </c>
      <c r="V787" s="11">
        <v>4</v>
      </c>
      <c r="W787" t="str">
        <f>IF(Table1[[#This Row],[Satisfaction Rating]]&lt;2, "Low", IF(Table1[[#This Row],[Satisfaction Rating]]&lt;4, "Medium", "High"))</f>
        <v>High</v>
      </c>
    </row>
    <row r="788" spans="1:23" ht="13" x14ac:dyDescent="0.15">
      <c r="A788" s="2" t="s">
        <v>1597</v>
      </c>
      <c r="B788" s="23">
        <v>45459.228703703702</v>
      </c>
      <c r="C788" s="23">
        <v>45459.228703703702</v>
      </c>
      <c r="D788" s="23" t="str">
        <f>IF(Table1[[#This Row],[Duration of Campaign]]=0, "Ongoing","Completed")</f>
        <v>Ongoing</v>
      </c>
      <c r="E788" s="25">
        <f>Table1[[#This Row],[End Date]]-Table1[[#This Row],[Start Date]]</f>
        <v>0</v>
      </c>
      <c r="F788" s="8">
        <v>5667</v>
      </c>
      <c r="G788" s="21" t="s">
        <v>19</v>
      </c>
      <c r="H788" s="11">
        <v>13432</v>
      </c>
      <c r="I788" s="11">
        <v>1149</v>
      </c>
      <c r="J788" s="11">
        <v>252</v>
      </c>
      <c r="K788" s="13">
        <v>1106</v>
      </c>
      <c r="L788" s="16">
        <f t="shared" si="72"/>
        <v>8.5541989279332931E-2</v>
      </c>
      <c r="M788" s="16">
        <f t="shared" si="73"/>
        <v>0.21932114882506529</v>
      </c>
      <c r="N788" s="17">
        <f t="shared" si="74"/>
        <v>8.1409921671018282</v>
      </c>
      <c r="O788" s="17">
        <f t="shared" si="75"/>
        <v>37.11904761904762</v>
      </c>
      <c r="P788" s="16">
        <f t="shared" si="76"/>
        <v>1.6506087877183695</v>
      </c>
      <c r="Q788" s="16">
        <f t="shared" si="77"/>
        <v>0.11823818687192644</v>
      </c>
      <c r="R788" s="2" t="s">
        <v>1598</v>
      </c>
      <c r="S788" s="21" t="s">
        <v>35</v>
      </c>
      <c r="T788" s="21" t="s">
        <v>17</v>
      </c>
      <c r="U788" s="8">
        <v>9354</v>
      </c>
      <c r="V788" s="11">
        <v>2</v>
      </c>
      <c r="W788" t="str">
        <f>IF(Table1[[#This Row],[Satisfaction Rating]]&lt;2, "Low", IF(Table1[[#This Row],[Satisfaction Rating]]&lt;4, "Medium", "High"))</f>
        <v>Medium</v>
      </c>
    </row>
    <row r="789" spans="1:23" ht="13" x14ac:dyDescent="0.15">
      <c r="A789" s="2" t="s">
        <v>1599</v>
      </c>
      <c r="B789" s="23">
        <v>45627.973645833335</v>
      </c>
      <c r="C789" s="23">
        <v>45627.973645833335</v>
      </c>
      <c r="D789" s="23" t="str">
        <f>IF(Table1[[#This Row],[Duration of Campaign]]=0, "Ongoing","Completed")</f>
        <v>Ongoing</v>
      </c>
      <c r="E789" s="25">
        <f>Table1[[#This Row],[End Date]]-Table1[[#This Row],[Start Date]]</f>
        <v>0</v>
      </c>
      <c r="F789" s="8">
        <v>6614</v>
      </c>
      <c r="G789" s="21" t="s">
        <v>37</v>
      </c>
      <c r="H789" s="11">
        <v>3254</v>
      </c>
      <c r="I789" s="11">
        <v>1157</v>
      </c>
      <c r="J789" s="11">
        <v>299</v>
      </c>
      <c r="K789" s="13">
        <v>10075</v>
      </c>
      <c r="L789" s="16">
        <f t="shared" si="72"/>
        <v>0.35556238475722191</v>
      </c>
      <c r="M789" s="16">
        <f t="shared" si="73"/>
        <v>0.25842696629213485</v>
      </c>
      <c r="N789" s="17">
        <f t="shared" si="74"/>
        <v>7.5738980121002593</v>
      </c>
      <c r="O789" s="17">
        <f t="shared" si="75"/>
        <v>29.307692307692307</v>
      </c>
      <c r="P789" s="16">
        <f t="shared" si="76"/>
        <v>1.3249168430601754</v>
      </c>
      <c r="Q789" s="16">
        <f t="shared" si="77"/>
        <v>1.1497204153828597</v>
      </c>
      <c r="R789" s="2" t="s">
        <v>1600</v>
      </c>
      <c r="S789" s="21" t="s">
        <v>24</v>
      </c>
      <c r="T789" s="21" t="s">
        <v>27</v>
      </c>
      <c r="U789" s="8">
        <v>8763</v>
      </c>
      <c r="V789" s="11">
        <v>2</v>
      </c>
      <c r="W789" t="str">
        <f>IF(Table1[[#This Row],[Satisfaction Rating]]&lt;2, "Low", IF(Table1[[#This Row],[Satisfaction Rating]]&lt;4, "Medium", "High"))</f>
        <v>Medium</v>
      </c>
    </row>
    <row r="790" spans="1:23" ht="13" x14ac:dyDescent="0.15">
      <c r="A790" s="2" t="s">
        <v>1601</v>
      </c>
      <c r="B790" s="23">
        <v>45007.842083333337</v>
      </c>
      <c r="C790" s="23">
        <v>45639.925347222219</v>
      </c>
      <c r="D790" s="23" t="str">
        <f>IF(Table1[[#This Row],[Duration of Campaign]]=0, "Ongoing","Completed")</f>
        <v>Completed</v>
      </c>
      <c r="E790" s="25">
        <f>Table1[[#This Row],[End Date]]-Table1[[#This Row],[Start Date]]</f>
        <v>632.08326388888236</v>
      </c>
      <c r="F790" s="8">
        <v>8057</v>
      </c>
      <c r="G790" s="21" t="s">
        <v>53</v>
      </c>
      <c r="H790" s="11">
        <v>12128</v>
      </c>
      <c r="I790" s="11">
        <v>329</v>
      </c>
      <c r="J790" s="11">
        <v>343</v>
      </c>
      <c r="K790" s="13">
        <v>5807</v>
      </c>
      <c r="L790" s="16">
        <f t="shared" si="72"/>
        <v>2.7127308707124011E-2</v>
      </c>
      <c r="M790" s="16">
        <f t="shared" si="73"/>
        <v>1.0425531914893618</v>
      </c>
      <c r="N790" s="17">
        <f t="shared" si="74"/>
        <v>57.835866261398174</v>
      </c>
      <c r="O790" s="17">
        <f t="shared" si="75"/>
        <v>55.475218658892125</v>
      </c>
      <c r="P790" s="16">
        <f t="shared" si="76"/>
        <v>2.361673079309917</v>
      </c>
      <c r="Q790" s="16">
        <f t="shared" si="77"/>
        <v>0.30518183729241116</v>
      </c>
      <c r="R790" s="2" t="s">
        <v>1602</v>
      </c>
      <c r="S790" s="21" t="s">
        <v>16</v>
      </c>
      <c r="T790" s="21" t="s">
        <v>45</v>
      </c>
      <c r="U790" s="8">
        <v>19028</v>
      </c>
      <c r="V790" s="11">
        <v>4</v>
      </c>
      <c r="W790" t="str">
        <f>IF(Table1[[#This Row],[Satisfaction Rating]]&lt;2, "Low", IF(Table1[[#This Row],[Satisfaction Rating]]&lt;4, "Medium", "High"))</f>
        <v>High</v>
      </c>
    </row>
    <row r="791" spans="1:23" ht="13" x14ac:dyDescent="0.15">
      <c r="A791" s="2" t="s">
        <v>1603</v>
      </c>
      <c r="B791" s="23">
        <v>45413.3281712963</v>
      </c>
      <c r="C791" s="23">
        <v>45413.3281712963</v>
      </c>
      <c r="D791" s="23" t="str">
        <f>IF(Table1[[#This Row],[Duration of Campaign]]=0, "Ongoing","Completed")</f>
        <v>Ongoing</v>
      </c>
      <c r="E791" s="25">
        <f>Table1[[#This Row],[End Date]]-Table1[[#This Row],[Start Date]]</f>
        <v>0</v>
      </c>
      <c r="F791" s="8">
        <v>1422</v>
      </c>
      <c r="G791" s="21" t="s">
        <v>19</v>
      </c>
      <c r="H791" s="11">
        <v>12370</v>
      </c>
      <c r="I791" s="11">
        <v>1487</v>
      </c>
      <c r="J791" s="11">
        <v>137</v>
      </c>
      <c r="K791" s="13">
        <v>7719</v>
      </c>
      <c r="L791" s="16">
        <f t="shared" si="72"/>
        <v>0.12021018593371059</v>
      </c>
      <c r="M791" s="16">
        <f t="shared" si="73"/>
        <v>9.213180901143242E-2</v>
      </c>
      <c r="N791" s="17">
        <f t="shared" si="74"/>
        <v>9.7975790181573643</v>
      </c>
      <c r="O791" s="17">
        <f t="shared" si="75"/>
        <v>106.34306569343066</v>
      </c>
      <c r="P791" s="16">
        <f t="shared" si="76"/>
        <v>10.245428973277075</v>
      </c>
      <c r="Q791" s="16">
        <f t="shared" si="77"/>
        <v>0.52982359805065549</v>
      </c>
      <c r="R791" s="2" t="s">
        <v>1604</v>
      </c>
      <c r="S791" s="21" t="s">
        <v>24</v>
      </c>
      <c r="T791" s="21" t="s">
        <v>45</v>
      </c>
      <c r="U791" s="8">
        <v>14569</v>
      </c>
      <c r="V791" s="11">
        <v>5</v>
      </c>
      <c r="W791" t="str">
        <f>IF(Table1[[#This Row],[Satisfaction Rating]]&lt;2, "Low", IF(Table1[[#This Row],[Satisfaction Rating]]&lt;4, "Medium", "High"))</f>
        <v>High</v>
      </c>
    </row>
    <row r="792" spans="1:23" ht="13" x14ac:dyDescent="0.15">
      <c r="A792" s="2" t="s">
        <v>1605</v>
      </c>
      <c r="B792" s="23">
        <v>45265.261296296296</v>
      </c>
      <c r="C792" s="23">
        <v>45265.261296296296</v>
      </c>
      <c r="D792" s="23" t="str">
        <f>IF(Table1[[#This Row],[Duration of Campaign]]=0, "Ongoing","Completed")</f>
        <v>Ongoing</v>
      </c>
      <c r="E792" s="25">
        <f>Table1[[#This Row],[End Date]]-Table1[[#This Row],[Start Date]]</f>
        <v>0</v>
      </c>
      <c r="F792" s="8">
        <v>8120</v>
      </c>
      <c r="G792" s="21" t="s">
        <v>37</v>
      </c>
      <c r="H792" s="11">
        <v>17773</v>
      </c>
      <c r="I792" s="11">
        <v>746</v>
      </c>
      <c r="J792" s="11">
        <v>473</v>
      </c>
      <c r="K792" s="13">
        <v>11279</v>
      </c>
      <c r="L792" s="16">
        <f t="shared" si="72"/>
        <v>4.1973780453496874E-2</v>
      </c>
      <c r="M792" s="16">
        <f t="shared" si="73"/>
        <v>0.63404825737265413</v>
      </c>
      <c r="N792" s="17">
        <f t="shared" si="74"/>
        <v>26.428954423592494</v>
      </c>
      <c r="O792" s="17">
        <f t="shared" si="75"/>
        <v>41.682875264270614</v>
      </c>
      <c r="P792" s="16">
        <f t="shared" si="76"/>
        <v>2.42807881773399</v>
      </c>
      <c r="Q792" s="16">
        <f t="shared" si="77"/>
        <v>0.57207344288902418</v>
      </c>
      <c r="R792" s="2" t="s">
        <v>1606</v>
      </c>
      <c r="S792" s="21" t="s">
        <v>30</v>
      </c>
      <c r="T792" s="21" t="s">
        <v>45</v>
      </c>
      <c r="U792" s="8">
        <v>19716</v>
      </c>
      <c r="V792" s="11">
        <v>4</v>
      </c>
      <c r="W792" t="str">
        <f>IF(Table1[[#This Row],[Satisfaction Rating]]&lt;2, "Low", IF(Table1[[#This Row],[Satisfaction Rating]]&lt;4, "Medium", "High"))</f>
        <v>High</v>
      </c>
    </row>
    <row r="793" spans="1:23" ht="13" x14ac:dyDescent="0.15">
      <c r="A793" s="2" t="s">
        <v>1607</v>
      </c>
      <c r="B793" s="23">
        <v>45077.985393518517</v>
      </c>
      <c r="C793" s="23">
        <v>45408.873344907406</v>
      </c>
      <c r="D793" s="23" t="str">
        <f>IF(Table1[[#This Row],[Duration of Campaign]]=0, "Ongoing","Completed")</f>
        <v>Completed</v>
      </c>
      <c r="E793" s="25">
        <f>Table1[[#This Row],[End Date]]-Table1[[#This Row],[Start Date]]</f>
        <v>330.88795138888963</v>
      </c>
      <c r="F793" s="8">
        <v>2437</v>
      </c>
      <c r="G793" s="21" t="s">
        <v>53</v>
      </c>
      <c r="H793" s="11">
        <v>11767</v>
      </c>
      <c r="I793" s="11">
        <v>905</v>
      </c>
      <c r="J793" s="11">
        <v>280</v>
      </c>
      <c r="K793" s="13">
        <v>2463</v>
      </c>
      <c r="L793" s="16">
        <f t="shared" si="72"/>
        <v>7.6910002549502851E-2</v>
      </c>
      <c r="M793" s="16">
        <f t="shared" si="73"/>
        <v>0.30939226519337015</v>
      </c>
      <c r="N793" s="17">
        <f t="shared" si="74"/>
        <v>16.904972375690608</v>
      </c>
      <c r="O793" s="17">
        <f t="shared" si="75"/>
        <v>54.639285714285712</v>
      </c>
      <c r="P793" s="16">
        <f t="shared" si="76"/>
        <v>6.2778005744768155</v>
      </c>
      <c r="Q793" s="16">
        <f t="shared" si="77"/>
        <v>0.16099091443885222</v>
      </c>
      <c r="R793" s="2" t="s">
        <v>1608</v>
      </c>
      <c r="S793" s="21" t="s">
        <v>21</v>
      </c>
      <c r="T793" s="21" t="s">
        <v>27</v>
      </c>
      <c r="U793" s="8">
        <v>15299</v>
      </c>
      <c r="V793" s="11">
        <v>2</v>
      </c>
      <c r="W793" t="str">
        <f>IF(Table1[[#This Row],[Satisfaction Rating]]&lt;2, "Low", IF(Table1[[#This Row],[Satisfaction Rating]]&lt;4, "Medium", "High"))</f>
        <v>Medium</v>
      </c>
    </row>
    <row r="794" spans="1:23" ht="13" x14ac:dyDescent="0.15">
      <c r="A794" s="2" t="s">
        <v>1609</v>
      </c>
      <c r="B794" s="23">
        <v>45375.550474537034</v>
      </c>
      <c r="C794" s="23">
        <v>45375.550474537034</v>
      </c>
      <c r="D794" s="23" t="str">
        <f>IF(Table1[[#This Row],[Duration of Campaign]]=0, "Ongoing","Completed")</f>
        <v>Ongoing</v>
      </c>
      <c r="E794" s="25">
        <f>Table1[[#This Row],[End Date]]-Table1[[#This Row],[Start Date]]</f>
        <v>0</v>
      </c>
      <c r="F794" s="8">
        <v>2662</v>
      </c>
      <c r="G794" s="21" t="s">
        <v>53</v>
      </c>
      <c r="H794" s="11">
        <v>16650</v>
      </c>
      <c r="I794" s="11">
        <v>441</v>
      </c>
      <c r="J794" s="11">
        <v>421</v>
      </c>
      <c r="K794" s="13">
        <v>14531</v>
      </c>
      <c r="L794" s="16">
        <f t="shared" si="72"/>
        <v>2.6486486486486487E-2</v>
      </c>
      <c r="M794" s="16">
        <f t="shared" si="73"/>
        <v>0.95464852607709749</v>
      </c>
      <c r="N794" s="17">
        <f t="shared" si="74"/>
        <v>5.4829931972789119</v>
      </c>
      <c r="O794" s="17">
        <f t="shared" si="75"/>
        <v>5.7434679334916865</v>
      </c>
      <c r="P794" s="16">
        <f t="shared" si="76"/>
        <v>0.90833959429000755</v>
      </c>
      <c r="Q794" s="16">
        <f t="shared" si="77"/>
        <v>6.0095119933829615</v>
      </c>
      <c r="R794" s="2" t="s">
        <v>1610</v>
      </c>
      <c r="S794" s="21" t="s">
        <v>30</v>
      </c>
      <c r="T794" s="21" t="s">
        <v>27</v>
      </c>
      <c r="U794" s="8">
        <v>2418</v>
      </c>
      <c r="V794" s="11">
        <v>3</v>
      </c>
      <c r="W794" t="str">
        <f>IF(Table1[[#This Row],[Satisfaction Rating]]&lt;2, "Low", IF(Table1[[#This Row],[Satisfaction Rating]]&lt;4, "Medium", "High"))</f>
        <v>Medium</v>
      </c>
    </row>
    <row r="795" spans="1:23" ht="13" x14ac:dyDescent="0.15">
      <c r="A795" s="2" t="s">
        <v>1611</v>
      </c>
      <c r="B795" s="23">
        <v>45264.126956018517</v>
      </c>
      <c r="C795" s="23">
        <v>45318.263402777775</v>
      </c>
      <c r="D795" s="23" t="str">
        <f>IF(Table1[[#This Row],[Duration of Campaign]]=0, "Ongoing","Completed")</f>
        <v>Completed</v>
      </c>
      <c r="E795" s="25">
        <f>Table1[[#This Row],[End Date]]-Table1[[#This Row],[Start Date]]</f>
        <v>54.136446759257524</v>
      </c>
      <c r="F795" s="8">
        <v>4575</v>
      </c>
      <c r="G795" s="21" t="s">
        <v>37</v>
      </c>
      <c r="H795" s="11">
        <v>17772</v>
      </c>
      <c r="I795" s="11">
        <v>1247</v>
      </c>
      <c r="J795" s="11">
        <v>152</v>
      </c>
      <c r="K795" s="13">
        <v>4923</v>
      </c>
      <c r="L795" s="16">
        <f t="shared" si="72"/>
        <v>7.0166554130092276E-2</v>
      </c>
      <c r="M795" s="16">
        <f t="shared" si="73"/>
        <v>0.1218925421010425</v>
      </c>
      <c r="N795" s="17">
        <f t="shared" si="74"/>
        <v>9.3247794707297516</v>
      </c>
      <c r="O795" s="17">
        <f t="shared" si="75"/>
        <v>76.5</v>
      </c>
      <c r="P795" s="16">
        <f t="shared" si="76"/>
        <v>2.5416393442622951</v>
      </c>
      <c r="Q795" s="16">
        <f t="shared" si="77"/>
        <v>0.42337461300309598</v>
      </c>
      <c r="R795" s="2" t="s">
        <v>1612</v>
      </c>
      <c r="S795" s="21" t="s">
        <v>24</v>
      </c>
      <c r="T795" s="21" t="s">
        <v>17</v>
      </c>
      <c r="U795" s="8">
        <v>11628</v>
      </c>
      <c r="V795" s="11">
        <v>4</v>
      </c>
      <c r="W795" t="str">
        <f>IF(Table1[[#This Row],[Satisfaction Rating]]&lt;2, "Low", IF(Table1[[#This Row],[Satisfaction Rating]]&lt;4, "Medium", "High"))</f>
        <v>High</v>
      </c>
    </row>
    <row r="796" spans="1:23" ht="13" x14ac:dyDescent="0.15">
      <c r="A796" s="2" t="s">
        <v>1613</v>
      </c>
      <c r="B796" s="23">
        <v>45383.487025462964</v>
      </c>
      <c r="C796" s="23">
        <v>45563.379687499997</v>
      </c>
      <c r="D796" s="23" t="str">
        <f>IF(Table1[[#This Row],[Duration of Campaign]]=0, "Ongoing","Completed")</f>
        <v>Completed</v>
      </c>
      <c r="E796" s="25">
        <f>Table1[[#This Row],[End Date]]-Table1[[#This Row],[Start Date]]</f>
        <v>179.89266203703301</v>
      </c>
      <c r="F796" s="8">
        <v>3436</v>
      </c>
      <c r="G796" s="21" t="s">
        <v>53</v>
      </c>
      <c r="H796" s="11">
        <v>18395</v>
      </c>
      <c r="I796" s="11">
        <v>1024</v>
      </c>
      <c r="J796" s="11">
        <v>335</v>
      </c>
      <c r="K796" s="13">
        <v>730</v>
      </c>
      <c r="L796" s="16">
        <f t="shared" si="72"/>
        <v>5.5667300896982873E-2</v>
      </c>
      <c r="M796" s="16">
        <f t="shared" si="73"/>
        <v>0.3271484375</v>
      </c>
      <c r="N796" s="17">
        <f t="shared" si="74"/>
        <v>15.509765625</v>
      </c>
      <c r="O796" s="17">
        <f t="shared" si="75"/>
        <v>47.408955223880596</v>
      </c>
      <c r="P796" s="16">
        <f t="shared" si="76"/>
        <v>4.622235157159488</v>
      </c>
      <c r="Q796" s="16">
        <f t="shared" si="77"/>
        <v>4.5963984384838182E-2</v>
      </c>
      <c r="R796" s="2" t="s">
        <v>1614</v>
      </c>
      <c r="S796" s="21" t="s">
        <v>16</v>
      </c>
      <c r="T796" s="21" t="s">
        <v>17</v>
      </c>
      <c r="U796" s="8">
        <v>15882</v>
      </c>
      <c r="V796" s="11">
        <v>5</v>
      </c>
      <c r="W796" t="str">
        <f>IF(Table1[[#This Row],[Satisfaction Rating]]&lt;2, "Low", IF(Table1[[#This Row],[Satisfaction Rating]]&lt;4, "Medium", "High"))</f>
        <v>High</v>
      </c>
    </row>
    <row r="797" spans="1:23" ht="13" x14ac:dyDescent="0.15">
      <c r="A797" s="2" t="s">
        <v>1615</v>
      </c>
      <c r="B797" s="23">
        <v>45491.973773148151</v>
      </c>
      <c r="C797" s="23">
        <v>45618.536504629628</v>
      </c>
      <c r="D797" s="23" t="str">
        <f>IF(Table1[[#This Row],[Duration of Campaign]]=0, "Ongoing","Completed")</f>
        <v>Completed</v>
      </c>
      <c r="E797" s="25">
        <f>Table1[[#This Row],[End Date]]-Table1[[#This Row],[Start Date]]</f>
        <v>126.56273148147739</v>
      </c>
      <c r="F797" s="8">
        <v>7488</v>
      </c>
      <c r="G797" s="21" t="s">
        <v>19</v>
      </c>
      <c r="H797" s="11">
        <v>19638</v>
      </c>
      <c r="I797" s="11">
        <v>949</v>
      </c>
      <c r="J797" s="11">
        <v>257</v>
      </c>
      <c r="K797" s="13">
        <v>3898</v>
      </c>
      <c r="L797" s="16">
        <f t="shared" si="72"/>
        <v>4.8324676647316427E-2</v>
      </c>
      <c r="M797" s="16">
        <f t="shared" si="73"/>
        <v>0.27081138040042152</v>
      </c>
      <c r="N797" s="17">
        <f t="shared" si="74"/>
        <v>7.6638566912539519</v>
      </c>
      <c r="O797" s="17">
        <f t="shared" si="75"/>
        <v>28.299610894941633</v>
      </c>
      <c r="P797" s="16">
        <f t="shared" si="76"/>
        <v>0.97128739316239321</v>
      </c>
      <c r="Q797" s="16">
        <f t="shared" si="77"/>
        <v>0.53595490169118654</v>
      </c>
      <c r="R797" s="2" t="s">
        <v>1616</v>
      </c>
      <c r="S797" s="21" t="s">
        <v>24</v>
      </c>
      <c r="T797" s="21" t="s">
        <v>17</v>
      </c>
      <c r="U797" s="8">
        <v>7273</v>
      </c>
      <c r="V797" s="11">
        <v>5</v>
      </c>
      <c r="W797" t="str">
        <f>IF(Table1[[#This Row],[Satisfaction Rating]]&lt;2, "Low", IF(Table1[[#This Row],[Satisfaction Rating]]&lt;4, "Medium", "High"))</f>
        <v>High</v>
      </c>
    </row>
    <row r="798" spans="1:23" ht="13" x14ac:dyDescent="0.15">
      <c r="A798" s="2" t="s">
        <v>1617</v>
      </c>
      <c r="B798" s="23">
        <v>45539.76390046296</v>
      </c>
      <c r="C798" s="23">
        <v>45539.76390046296</v>
      </c>
      <c r="D798" s="23" t="str">
        <f>IF(Table1[[#This Row],[Duration of Campaign]]=0, "Ongoing","Completed")</f>
        <v>Ongoing</v>
      </c>
      <c r="E798" s="25">
        <f>Table1[[#This Row],[End Date]]-Table1[[#This Row],[Start Date]]</f>
        <v>0</v>
      </c>
      <c r="F798" s="8">
        <v>5420</v>
      </c>
      <c r="G798" s="21" t="s">
        <v>53</v>
      </c>
      <c r="H798" s="11">
        <v>14836</v>
      </c>
      <c r="I798" s="11">
        <v>1489</v>
      </c>
      <c r="J798" s="11">
        <v>128</v>
      </c>
      <c r="K798" s="13">
        <v>2652</v>
      </c>
      <c r="L798" s="16">
        <f t="shared" si="72"/>
        <v>0.1003639795093017</v>
      </c>
      <c r="M798" s="16">
        <f t="shared" si="73"/>
        <v>8.5963734049697788E-2</v>
      </c>
      <c r="N798" s="17">
        <f t="shared" si="74"/>
        <v>7.6413700470114172</v>
      </c>
      <c r="O798" s="17">
        <f t="shared" si="75"/>
        <v>88.890625</v>
      </c>
      <c r="P798" s="16">
        <f t="shared" si="76"/>
        <v>2.0992619926199261</v>
      </c>
      <c r="Q798" s="16">
        <f t="shared" si="77"/>
        <v>0.23308138512919668</v>
      </c>
      <c r="R798" s="2" t="s">
        <v>1618</v>
      </c>
      <c r="S798" s="21" t="s">
        <v>30</v>
      </c>
      <c r="T798" s="21" t="s">
        <v>45</v>
      </c>
      <c r="U798" s="8">
        <v>11378</v>
      </c>
      <c r="V798" s="11">
        <v>2</v>
      </c>
      <c r="W798" t="str">
        <f>IF(Table1[[#This Row],[Satisfaction Rating]]&lt;2, "Low", IF(Table1[[#This Row],[Satisfaction Rating]]&lt;4, "Medium", "High"))</f>
        <v>Medium</v>
      </c>
    </row>
    <row r="799" spans="1:23" ht="13" x14ac:dyDescent="0.15">
      <c r="A799" s="2" t="s">
        <v>1619</v>
      </c>
      <c r="B799" s="23">
        <v>45031.293310185189</v>
      </c>
      <c r="C799" s="23">
        <v>45549.528229166666</v>
      </c>
      <c r="D799" s="23" t="str">
        <f>IF(Table1[[#This Row],[Duration of Campaign]]=0, "Ongoing","Completed")</f>
        <v>Completed</v>
      </c>
      <c r="E799" s="25">
        <f>Table1[[#This Row],[End Date]]-Table1[[#This Row],[Start Date]]</f>
        <v>518.23491898147768</v>
      </c>
      <c r="F799" s="8">
        <v>5205</v>
      </c>
      <c r="G799" s="21" t="s">
        <v>14</v>
      </c>
      <c r="H799" s="11">
        <v>8729</v>
      </c>
      <c r="I799" s="11">
        <v>1610</v>
      </c>
      <c r="J799" s="11">
        <v>262</v>
      </c>
      <c r="K799" s="13">
        <v>12640</v>
      </c>
      <c r="L799" s="16">
        <f t="shared" si="72"/>
        <v>0.18444266238973536</v>
      </c>
      <c r="M799" s="16">
        <f t="shared" si="73"/>
        <v>0.16273291925465838</v>
      </c>
      <c r="N799" s="17">
        <f t="shared" si="74"/>
        <v>0.67018633540372674</v>
      </c>
      <c r="O799" s="17">
        <f t="shared" si="75"/>
        <v>4.1183206106870225</v>
      </c>
      <c r="P799" s="16">
        <f t="shared" si="76"/>
        <v>0.20730067243035544</v>
      </c>
      <c r="Q799" s="16">
        <f t="shared" si="77"/>
        <v>11.714550509731232</v>
      </c>
      <c r="R799" s="2" t="s">
        <v>1620</v>
      </c>
      <c r="S799" s="21" t="s">
        <v>21</v>
      </c>
      <c r="T799" s="21" t="s">
        <v>45</v>
      </c>
      <c r="U799" s="8">
        <v>1079</v>
      </c>
      <c r="V799" s="11">
        <v>5</v>
      </c>
      <c r="W799" t="str">
        <f>IF(Table1[[#This Row],[Satisfaction Rating]]&lt;2, "Low", IF(Table1[[#This Row],[Satisfaction Rating]]&lt;4, "Medium", "High"))</f>
        <v>High</v>
      </c>
    </row>
    <row r="800" spans="1:23" ht="13" x14ac:dyDescent="0.15">
      <c r="A800" s="2" t="s">
        <v>1621</v>
      </c>
      <c r="B800" s="23">
        <v>45486.579016203701</v>
      </c>
      <c r="C800" s="23">
        <v>45486.579016203701</v>
      </c>
      <c r="D800" s="23" t="str">
        <f>IF(Table1[[#This Row],[Duration of Campaign]]=0, "Ongoing","Completed")</f>
        <v>Ongoing</v>
      </c>
      <c r="E800" s="25">
        <f>Table1[[#This Row],[End Date]]-Table1[[#This Row],[Start Date]]</f>
        <v>0</v>
      </c>
      <c r="F800" s="8">
        <v>4503</v>
      </c>
      <c r="G800" s="21" t="s">
        <v>37</v>
      </c>
      <c r="H800" s="11">
        <v>4715</v>
      </c>
      <c r="I800" s="11">
        <v>787</v>
      </c>
      <c r="J800" s="11">
        <v>404</v>
      </c>
      <c r="K800" s="13">
        <v>4310</v>
      </c>
      <c r="L800" s="16">
        <f t="shared" si="72"/>
        <v>0.16691410392364794</v>
      </c>
      <c r="M800" s="16">
        <f t="shared" si="73"/>
        <v>0.51334180432020327</v>
      </c>
      <c r="N800" s="17">
        <f t="shared" si="74"/>
        <v>18.339263024142312</v>
      </c>
      <c r="O800" s="17">
        <f t="shared" si="75"/>
        <v>35.725247524752476</v>
      </c>
      <c r="P800" s="16">
        <f t="shared" si="76"/>
        <v>3.2051965356429046</v>
      </c>
      <c r="Q800" s="16">
        <f t="shared" si="77"/>
        <v>0.29862121527056051</v>
      </c>
      <c r="R800" s="2" t="s">
        <v>1622</v>
      </c>
      <c r="S800" s="21" t="s">
        <v>35</v>
      </c>
      <c r="T800" s="21" t="s">
        <v>17</v>
      </c>
      <c r="U800" s="8">
        <v>14433</v>
      </c>
      <c r="V800" s="11">
        <v>2</v>
      </c>
      <c r="W800" t="str">
        <f>IF(Table1[[#This Row],[Satisfaction Rating]]&lt;2, "Low", IF(Table1[[#This Row],[Satisfaction Rating]]&lt;4, "Medium", "High"))</f>
        <v>Medium</v>
      </c>
    </row>
    <row r="801" spans="1:23" ht="13" x14ac:dyDescent="0.15">
      <c r="A801" s="2" t="s">
        <v>1623</v>
      </c>
      <c r="B801" s="23">
        <v>45386.270092592589</v>
      </c>
      <c r="C801" s="23">
        <v>45637.899641203701</v>
      </c>
      <c r="D801" s="23" t="str">
        <f>IF(Table1[[#This Row],[Duration of Campaign]]=0, "Ongoing","Completed")</f>
        <v>Completed</v>
      </c>
      <c r="E801" s="25">
        <f>Table1[[#This Row],[End Date]]-Table1[[#This Row],[Start Date]]</f>
        <v>251.62954861111211</v>
      </c>
      <c r="F801" s="8">
        <v>7469</v>
      </c>
      <c r="G801" s="21" t="s">
        <v>53</v>
      </c>
      <c r="H801" s="11">
        <v>1109</v>
      </c>
      <c r="I801" s="11">
        <v>1201</v>
      </c>
      <c r="J801" s="11">
        <v>27</v>
      </c>
      <c r="K801" s="13">
        <v>3123</v>
      </c>
      <c r="L801" s="16">
        <f t="shared" si="72"/>
        <v>1.0829576194770063</v>
      </c>
      <c r="M801" s="16">
        <f t="shared" si="73"/>
        <v>2.2481265611990008E-2</v>
      </c>
      <c r="N801" s="17">
        <f t="shared" si="74"/>
        <v>0.86677768526228138</v>
      </c>
      <c r="O801" s="17">
        <f t="shared" si="75"/>
        <v>38.555555555555557</v>
      </c>
      <c r="P801" s="16">
        <f t="shared" si="76"/>
        <v>0.13937608782969607</v>
      </c>
      <c r="Q801" s="16">
        <f t="shared" si="77"/>
        <v>3</v>
      </c>
      <c r="R801" s="2" t="s">
        <v>1624</v>
      </c>
      <c r="S801" s="21" t="s">
        <v>35</v>
      </c>
      <c r="T801" s="21" t="s">
        <v>27</v>
      </c>
      <c r="U801" s="8">
        <v>1041</v>
      </c>
      <c r="V801" s="11">
        <v>4</v>
      </c>
      <c r="W801" t="str">
        <f>IF(Table1[[#This Row],[Satisfaction Rating]]&lt;2, "Low", IF(Table1[[#This Row],[Satisfaction Rating]]&lt;4, "Medium", "High"))</f>
        <v>High</v>
      </c>
    </row>
    <row r="802" spans="1:23" ht="13" x14ac:dyDescent="0.15">
      <c r="A802" s="2" t="s">
        <v>1625</v>
      </c>
      <c r="B802" s="23">
        <v>44978.384062500001</v>
      </c>
      <c r="C802" s="23">
        <v>45230.267476851855</v>
      </c>
      <c r="D802" s="23" t="str">
        <f>IF(Table1[[#This Row],[Duration of Campaign]]=0, "Ongoing","Completed")</f>
        <v>Completed</v>
      </c>
      <c r="E802" s="25">
        <f>Table1[[#This Row],[End Date]]-Table1[[#This Row],[Start Date]]</f>
        <v>251.8834143518543</v>
      </c>
      <c r="F802" s="8">
        <v>6079</v>
      </c>
      <c r="G802" s="21" t="s">
        <v>14</v>
      </c>
      <c r="H802" s="11">
        <v>16477</v>
      </c>
      <c r="I802" s="11">
        <v>1200</v>
      </c>
      <c r="J802" s="11">
        <v>59</v>
      </c>
      <c r="K802" s="13">
        <v>13578</v>
      </c>
      <c r="L802" s="16">
        <f t="shared" si="72"/>
        <v>7.2828791648965219E-2</v>
      </c>
      <c r="M802" s="16">
        <f t="shared" si="73"/>
        <v>4.9166666666666664E-2</v>
      </c>
      <c r="N802" s="17">
        <f t="shared" si="74"/>
        <v>0.71833333333333338</v>
      </c>
      <c r="O802" s="17">
        <f t="shared" si="75"/>
        <v>14.610169491525424</v>
      </c>
      <c r="P802" s="16">
        <f t="shared" si="76"/>
        <v>0.14179963809837146</v>
      </c>
      <c r="Q802" s="16">
        <f t="shared" si="77"/>
        <v>15.751740139211137</v>
      </c>
      <c r="R802" s="2" t="s">
        <v>1626</v>
      </c>
      <c r="S802" s="21" t="s">
        <v>35</v>
      </c>
      <c r="T802" s="21" t="s">
        <v>17</v>
      </c>
      <c r="U802" s="8">
        <v>862</v>
      </c>
      <c r="V802" s="11">
        <v>4</v>
      </c>
      <c r="W802" t="str">
        <f>IF(Table1[[#This Row],[Satisfaction Rating]]&lt;2, "Low", IF(Table1[[#This Row],[Satisfaction Rating]]&lt;4, "Medium", "High"))</f>
        <v>High</v>
      </c>
    </row>
    <row r="803" spans="1:23" ht="13" x14ac:dyDescent="0.15">
      <c r="A803" s="2" t="s">
        <v>1627</v>
      </c>
      <c r="B803" s="23">
        <v>45113.680219907408</v>
      </c>
      <c r="C803" s="23">
        <v>45290.520115740743</v>
      </c>
      <c r="D803" s="23" t="str">
        <f>IF(Table1[[#This Row],[Duration of Campaign]]=0, "Ongoing","Completed")</f>
        <v>Completed</v>
      </c>
      <c r="E803" s="25">
        <f>Table1[[#This Row],[End Date]]-Table1[[#This Row],[Start Date]]</f>
        <v>176.83989583333459</v>
      </c>
      <c r="F803" s="8">
        <v>8865</v>
      </c>
      <c r="G803" s="21" t="s">
        <v>14</v>
      </c>
      <c r="H803" s="11">
        <v>3596</v>
      </c>
      <c r="I803" s="11">
        <v>298</v>
      </c>
      <c r="J803" s="11">
        <v>233</v>
      </c>
      <c r="K803" s="13">
        <v>7514</v>
      </c>
      <c r="L803" s="16">
        <f t="shared" si="72"/>
        <v>8.2869855394883202E-2</v>
      </c>
      <c r="M803" s="16">
        <f t="shared" si="73"/>
        <v>0.78187919463087252</v>
      </c>
      <c r="N803" s="17">
        <f t="shared" si="74"/>
        <v>51.040268456375841</v>
      </c>
      <c r="O803" s="17">
        <f t="shared" si="75"/>
        <v>65.278969957081543</v>
      </c>
      <c r="P803" s="16">
        <f t="shared" si="76"/>
        <v>1.7157360406091371</v>
      </c>
      <c r="Q803" s="16">
        <f t="shared" si="77"/>
        <v>0.49401709401709404</v>
      </c>
      <c r="R803" s="2" t="s">
        <v>1628</v>
      </c>
      <c r="S803" s="21" t="s">
        <v>16</v>
      </c>
      <c r="T803" s="21" t="s">
        <v>17</v>
      </c>
      <c r="U803" s="8">
        <v>15210</v>
      </c>
      <c r="V803" s="11">
        <v>5</v>
      </c>
      <c r="W803" t="str">
        <f>IF(Table1[[#This Row],[Satisfaction Rating]]&lt;2, "Low", IF(Table1[[#This Row],[Satisfaction Rating]]&lt;4, "Medium", "High"))</f>
        <v>High</v>
      </c>
    </row>
    <row r="804" spans="1:23" ht="13" x14ac:dyDescent="0.15">
      <c r="A804" s="2" t="s">
        <v>1629</v>
      </c>
      <c r="B804" s="23">
        <v>45048.467372685183</v>
      </c>
      <c r="C804" s="23">
        <v>45607.563252314816</v>
      </c>
      <c r="D804" s="23" t="str">
        <f>IF(Table1[[#This Row],[Duration of Campaign]]=0, "Ongoing","Completed")</f>
        <v>Completed</v>
      </c>
      <c r="E804" s="25">
        <f>Table1[[#This Row],[End Date]]-Table1[[#This Row],[Start Date]]</f>
        <v>559.09587962963269</v>
      </c>
      <c r="F804" s="8">
        <v>8374</v>
      </c>
      <c r="G804" s="21" t="s">
        <v>53</v>
      </c>
      <c r="H804" s="11">
        <v>3083</v>
      </c>
      <c r="I804" s="11">
        <v>241</v>
      </c>
      <c r="J804" s="11">
        <v>144</v>
      </c>
      <c r="K804" s="13">
        <v>5130</v>
      </c>
      <c r="L804" s="16">
        <f t="shared" si="72"/>
        <v>7.817061303924748E-2</v>
      </c>
      <c r="M804" s="16">
        <f t="shared" si="73"/>
        <v>0.59751037344398339</v>
      </c>
      <c r="N804" s="17">
        <f t="shared" si="74"/>
        <v>16.053941908713693</v>
      </c>
      <c r="O804" s="17">
        <f t="shared" si="75"/>
        <v>26.868055555555557</v>
      </c>
      <c r="P804" s="16">
        <f t="shared" si="76"/>
        <v>0.46202531645569622</v>
      </c>
      <c r="Q804" s="16">
        <f t="shared" si="77"/>
        <v>1.3259240113724478</v>
      </c>
      <c r="R804" s="2" t="s">
        <v>1630</v>
      </c>
      <c r="S804" s="21" t="s">
        <v>35</v>
      </c>
      <c r="T804" s="21" t="s">
        <v>27</v>
      </c>
      <c r="U804" s="8">
        <v>3869</v>
      </c>
      <c r="V804" s="11">
        <v>3</v>
      </c>
      <c r="W804" t="str">
        <f>IF(Table1[[#This Row],[Satisfaction Rating]]&lt;2, "Low", IF(Table1[[#This Row],[Satisfaction Rating]]&lt;4, "Medium", "High"))</f>
        <v>Medium</v>
      </c>
    </row>
    <row r="805" spans="1:23" ht="13" x14ac:dyDescent="0.15">
      <c r="A805" s="2" t="s">
        <v>1631</v>
      </c>
      <c r="B805" s="23">
        <v>45252.145578703705</v>
      </c>
      <c r="C805" s="23">
        <v>45423.624236111114</v>
      </c>
      <c r="D805" s="23" t="str">
        <f>IF(Table1[[#This Row],[Duration of Campaign]]=0, "Ongoing","Completed")</f>
        <v>Completed</v>
      </c>
      <c r="E805" s="25">
        <f>Table1[[#This Row],[End Date]]-Table1[[#This Row],[Start Date]]</f>
        <v>171.47865740740963</v>
      </c>
      <c r="F805" s="8">
        <v>2446</v>
      </c>
      <c r="G805" s="21" t="s">
        <v>14</v>
      </c>
      <c r="H805" s="11">
        <v>12298</v>
      </c>
      <c r="I805" s="11">
        <v>997</v>
      </c>
      <c r="J805" s="11">
        <v>465</v>
      </c>
      <c r="K805" s="13">
        <v>5714</v>
      </c>
      <c r="L805" s="16">
        <f t="shared" si="72"/>
        <v>8.1070092697999668E-2</v>
      </c>
      <c r="M805" s="16">
        <f t="shared" si="73"/>
        <v>0.46639919759277831</v>
      </c>
      <c r="N805" s="17">
        <f t="shared" si="74"/>
        <v>11.320962888665997</v>
      </c>
      <c r="O805" s="17">
        <f t="shared" si="75"/>
        <v>24.273118279569893</v>
      </c>
      <c r="P805" s="16">
        <f t="shared" si="76"/>
        <v>4.6144726083401473</v>
      </c>
      <c r="Q805" s="16">
        <f t="shared" si="77"/>
        <v>0.50624612385930712</v>
      </c>
      <c r="R805" s="2" t="s">
        <v>1632</v>
      </c>
      <c r="S805" s="21" t="s">
        <v>21</v>
      </c>
      <c r="T805" s="21" t="s">
        <v>17</v>
      </c>
      <c r="U805" s="8">
        <v>11287</v>
      </c>
      <c r="V805" s="11">
        <v>2</v>
      </c>
      <c r="W805" t="str">
        <f>IF(Table1[[#This Row],[Satisfaction Rating]]&lt;2, "Low", IF(Table1[[#This Row],[Satisfaction Rating]]&lt;4, "Medium", "High"))</f>
        <v>Medium</v>
      </c>
    </row>
    <row r="806" spans="1:23" ht="13" x14ac:dyDescent="0.15">
      <c r="A806" s="2" t="s">
        <v>1633</v>
      </c>
      <c r="B806" s="23">
        <v>45076.078761574077</v>
      </c>
      <c r="C806" s="23">
        <v>45613.946840277778</v>
      </c>
      <c r="D806" s="23" t="str">
        <f>IF(Table1[[#This Row],[Duration of Campaign]]=0, "Ongoing","Completed")</f>
        <v>Completed</v>
      </c>
      <c r="E806" s="25">
        <f>Table1[[#This Row],[End Date]]-Table1[[#This Row],[Start Date]]</f>
        <v>537.86807870370103</v>
      </c>
      <c r="F806" s="8">
        <v>9720</v>
      </c>
      <c r="G806" s="21" t="s">
        <v>37</v>
      </c>
      <c r="H806" s="11">
        <v>4741</v>
      </c>
      <c r="I806" s="11">
        <v>1159</v>
      </c>
      <c r="J806" s="11">
        <v>305</v>
      </c>
      <c r="K806" s="13">
        <v>14129</v>
      </c>
      <c r="L806" s="16">
        <f t="shared" si="72"/>
        <v>0.24446319341910988</v>
      </c>
      <c r="M806" s="16">
        <f t="shared" si="73"/>
        <v>0.26315789473684209</v>
      </c>
      <c r="N806" s="17">
        <f t="shared" si="74"/>
        <v>11.455565142364106</v>
      </c>
      <c r="O806" s="17">
        <f t="shared" si="75"/>
        <v>43.531147540983604</v>
      </c>
      <c r="P806" s="16">
        <f t="shared" si="76"/>
        <v>1.3659465020576131</v>
      </c>
      <c r="Q806" s="16">
        <f t="shared" si="77"/>
        <v>1.0641711229946524</v>
      </c>
      <c r="R806" s="2" t="s">
        <v>1634</v>
      </c>
      <c r="S806" s="21" t="s">
        <v>35</v>
      </c>
      <c r="T806" s="21" t="s">
        <v>17</v>
      </c>
      <c r="U806" s="8">
        <v>13277</v>
      </c>
      <c r="V806" s="11">
        <v>3</v>
      </c>
      <c r="W806" t="str">
        <f>IF(Table1[[#This Row],[Satisfaction Rating]]&lt;2, "Low", IF(Table1[[#This Row],[Satisfaction Rating]]&lt;4, "Medium", "High"))</f>
        <v>Medium</v>
      </c>
    </row>
    <row r="807" spans="1:23" ht="13" x14ac:dyDescent="0.15">
      <c r="A807" s="2" t="s">
        <v>1635</v>
      </c>
      <c r="B807" s="23">
        <v>45293.060081018521</v>
      </c>
      <c r="C807" s="23">
        <v>45293.060081018521</v>
      </c>
      <c r="D807" s="23" t="str">
        <f>IF(Table1[[#This Row],[Duration of Campaign]]=0, "Ongoing","Completed")</f>
        <v>Ongoing</v>
      </c>
      <c r="E807" s="25">
        <f>Table1[[#This Row],[End Date]]-Table1[[#This Row],[Start Date]]</f>
        <v>0</v>
      </c>
      <c r="F807" s="8">
        <v>1064</v>
      </c>
      <c r="G807" s="21" t="s">
        <v>53</v>
      </c>
      <c r="H807" s="11">
        <v>11322</v>
      </c>
      <c r="I807" s="11">
        <v>392</v>
      </c>
      <c r="J807" s="11">
        <v>140</v>
      </c>
      <c r="K807" s="13">
        <v>2794</v>
      </c>
      <c r="L807" s="16">
        <f t="shared" si="72"/>
        <v>3.4622858152269918E-2</v>
      </c>
      <c r="M807" s="16">
        <f t="shared" si="73"/>
        <v>0.35714285714285715</v>
      </c>
      <c r="N807" s="17">
        <f t="shared" si="74"/>
        <v>33.969387755102041</v>
      </c>
      <c r="O807" s="17">
        <f t="shared" si="75"/>
        <v>95.114285714285714</v>
      </c>
      <c r="P807" s="16">
        <f t="shared" si="76"/>
        <v>12.515037593984962</v>
      </c>
      <c r="Q807" s="16">
        <f t="shared" si="77"/>
        <v>0.20982276960048063</v>
      </c>
      <c r="R807" s="2" t="s">
        <v>1636</v>
      </c>
      <c r="S807" s="21" t="s">
        <v>24</v>
      </c>
      <c r="T807" s="21" t="s">
        <v>45</v>
      </c>
      <c r="U807" s="8">
        <v>13316</v>
      </c>
      <c r="V807" s="11">
        <v>4</v>
      </c>
      <c r="W807" t="str">
        <f>IF(Table1[[#This Row],[Satisfaction Rating]]&lt;2, "Low", IF(Table1[[#This Row],[Satisfaction Rating]]&lt;4, "Medium", "High"))</f>
        <v>High</v>
      </c>
    </row>
    <row r="808" spans="1:23" ht="13" x14ac:dyDescent="0.15">
      <c r="A808" s="2" t="s">
        <v>1637</v>
      </c>
      <c r="B808" s="23">
        <v>45648.261134259257</v>
      </c>
      <c r="C808" s="23">
        <v>45648.261134259257</v>
      </c>
      <c r="D808" s="23" t="str">
        <f>IF(Table1[[#This Row],[Duration of Campaign]]=0, "Ongoing","Completed")</f>
        <v>Ongoing</v>
      </c>
      <c r="E808" s="25">
        <f>Table1[[#This Row],[End Date]]-Table1[[#This Row],[Start Date]]</f>
        <v>0</v>
      </c>
      <c r="F808" s="8">
        <v>6178</v>
      </c>
      <c r="G808" s="21" t="s">
        <v>37</v>
      </c>
      <c r="H808" s="11">
        <v>5643</v>
      </c>
      <c r="I808" s="11">
        <v>170</v>
      </c>
      <c r="J808" s="11">
        <v>96</v>
      </c>
      <c r="K808" s="13">
        <v>8733</v>
      </c>
      <c r="L808" s="16">
        <f t="shared" si="72"/>
        <v>3.0125819599503809E-2</v>
      </c>
      <c r="M808" s="16">
        <f t="shared" si="73"/>
        <v>0.56470588235294117</v>
      </c>
      <c r="N808" s="17">
        <f t="shared" si="74"/>
        <v>92.382352941176464</v>
      </c>
      <c r="O808" s="17">
        <f t="shared" si="75"/>
        <v>163.59375</v>
      </c>
      <c r="P808" s="16">
        <f t="shared" si="76"/>
        <v>2.5420848170929102</v>
      </c>
      <c r="Q808" s="16">
        <f t="shared" si="77"/>
        <v>0.55606494746895896</v>
      </c>
      <c r="R808" s="2" t="s">
        <v>1638</v>
      </c>
      <c r="S808" s="21" t="s">
        <v>24</v>
      </c>
      <c r="T808" s="21" t="s">
        <v>17</v>
      </c>
      <c r="U808" s="8">
        <v>15705</v>
      </c>
      <c r="V808" s="11">
        <v>2</v>
      </c>
      <c r="W808" t="str">
        <f>IF(Table1[[#This Row],[Satisfaction Rating]]&lt;2, "Low", IF(Table1[[#This Row],[Satisfaction Rating]]&lt;4, "Medium", "High"))</f>
        <v>Medium</v>
      </c>
    </row>
    <row r="809" spans="1:23" ht="13" x14ac:dyDescent="0.15">
      <c r="A809" s="2" t="s">
        <v>1639</v>
      </c>
      <c r="B809" s="23">
        <v>45364.558981481481</v>
      </c>
      <c r="C809" s="23">
        <v>45530.029236111113</v>
      </c>
      <c r="D809" s="23" t="str">
        <f>IF(Table1[[#This Row],[Duration of Campaign]]=0, "Ongoing","Completed")</f>
        <v>Completed</v>
      </c>
      <c r="E809" s="25">
        <f>Table1[[#This Row],[End Date]]-Table1[[#This Row],[Start Date]]</f>
        <v>165.47025462963211</v>
      </c>
      <c r="F809" s="8">
        <v>5155</v>
      </c>
      <c r="G809" s="21" t="s">
        <v>37</v>
      </c>
      <c r="H809" s="11">
        <v>12094</v>
      </c>
      <c r="I809" s="11">
        <v>1732</v>
      </c>
      <c r="J809" s="11">
        <v>221</v>
      </c>
      <c r="K809" s="13">
        <v>5140</v>
      </c>
      <c r="L809" s="16">
        <f t="shared" si="72"/>
        <v>0.14321150983958988</v>
      </c>
      <c r="M809" s="16">
        <f t="shared" si="73"/>
        <v>0.12759815242494227</v>
      </c>
      <c r="N809" s="17">
        <f t="shared" si="74"/>
        <v>4.7961893764434178</v>
      </c>
      <c r="O809" s="17">
        <f t="shared" si="75"/>
        <v>37.588235294117645</v>
      </c>
      <c r="P809" s="16">
        <f t="shared" si="76"/>
        <v>1.6114451988360814</v>
      </c>
      <c r="Q809" s="16">
        <f t="shared" si="77"/>
        <v>0.61875526664259062</v>
      </c>
      <c r="R809" s="2" t="s">
        <v>1640</v>
      </c>
      <c r="S809" s="21" t="s">
        <v>24</v>
      </c>
      <c r="T809" s="21" t="s">
        <v>45</v>
      </c>
      <c r="U809" s="8">
        <v>8307</v>
      </c>
      <c r="V809" s="11">
        <v>4</v>
      </c>
      <c r="W809" t="str">
        <f>IF(Table1[[#This Row],[Satisfaction Rating]]&lt;2, "Low", IF(Table1[[#This Row],[Satisfaction Rating]]&lt;4, "Medium", "High"))</f>
        <v>High</v>
      </c>
    </row>
    <row r="810" spans="1:23" ht="13" x14ac:dyDescent="0.15">
      <c r="A810" s="2" t="s">
        <v>1641</v>
      </c>
      <c r="B810" s="23">
        <v>45468.049432870372</v>
      </c>
      <c r="C810" s="23">
        <v>45468.049432870372</v>
      </c>
      <c r="D810" s="23" t="str">
        <f>IF(Table1[[#This Row],[Duration of Campaign]]=0, "Ongoing","Completed")</f>
        <v>Ongoing</v>
      </c>
      <c r="E810" s="25">
        <f>Table1[[#This Row],[End Date]]-Table1[[#This Row],[Start Date]]</f>
        <v>0</v>
      </c>
      <c r="F810" s="8">
        <v>9868</v>
      </c>
      <c r="G810" s="21" t="s">
        <v>53</v>
      </c>
      <c r="H810" s="11">
        <v>10236</v>
      </c>
      <c r="I810" s="11">
        <v>615</v>
      </c>
      <c r="J810" s="11">
        <v>259</v>
      </c>
      <c r="K810" s="13">
        <v>10027</v>
      </c>
      <c r="L810" s="16">
        <f t="shared" si="72"/>
        <v>6.00820633059789E-2</v>
      </c>
      <c r="M810" s="16">
        <f t="shared" si="73"/>
        <v>0.42113821138211383</v>
      </c>
      <c r="N810" s="17">
        <f t="shared" si="74"/>
        <v>21.048780487804876</v>
      </c>
      <c r="O810" s="17">
        <f t="shared" si="75"/>
        <v>49.980694980694977</v>
      </c>
      <c r="P810" s="16">
        <f t="shared" si="76"/>
        <v>1.3118159708147548</v>
      </c>
      <c r="Q810" s="16">
        <f t="shared" si="77"/>
        <v>0.77458478176902279</v>
      </c>
      <c r="R810" s="2" t="s">
        <v>1642</v>
      </c>
      <c r="S810" s="21" t="s">
        <v>24</v>
      </c>
      <c r="T810" s="21" t="s">
        <v>45</v>
      </c>
      <c r="U810" s="8">
        <v>12945</v>
      </c>
      <c r="V810" s="11">
        <v>4</v>
      </c>
      <c r="W810" t="str">
        <f>IF(Table1[[#This Row],[Satisfaction Rating]]&lt;2, "Low", IF(Table1[[#This Row],[Satisfaction Rating]]&lt;4, "Medium", "High"))</f>
        <v>High</v>
      </c>
    </row>
    <row r="811" spans="1:23" ht="13" x14ac:dyDescent="0.15">
      <c r="A811" s="2" t="s">
        <v>1643</v>
      </c>
      <c r="B811" s="23">
        <v>45391.70857638889</v>
      </c>
      <c r="C811" s="23">
        <v>45391.70857638889</v>
      </c>
      <c r="D811" s="23" t="str">
        <f>IF(Table1[[#This Row],[Duration of Campaign]]=0, "Ongoing","Completed")</f>
        <v>Ongoing</v>
      </c>
      <c r="E811" s="25">
        <f>Table1[[#This Row],[End Date]]-Table1[[#This Row],[Start Date]]</f>
        <v>0</v>
      </c>
      <c r="F811" s="8">
        <v>2773</v>
      </c>
      <c r="G811" s="21" t="s">
        <v>19</v>
      </c>
      <c r="H811" s="11">
        <v>5470</v>
      </c>
      <c r="I811" s="11">
        <v>898</v>
      </c>
      <c r="J811" s="11">
        <v>437</v>
      </c>
      <c r="K811" s="13">
        <v>12152</v>
      </c>
      <c r="L811" s="16">
        <f t="shared" si="72"/>
        <v>0.16416819012797074</v>
      </c>
      <c r="M811" s="16">
        <f t="shared" si="73"/>
        <v>0.48663697104677062</v>
      </c>
      <c r="N811" s="17">
        <f t="shared" si="74"/>
        <v>16.971046770601337</v>
      </c>
      <c r="O811" s="17">
        <f t="shared" si="75"/>
        <v>34.874141876430208</v>
      </c>
      <c r="P811" s="16">
        <f t="shared" si="76"/>
        <v>5.4958528669311217</v>
      </c>
      <c r="Q811" s="16">
        <f t="shared" si="77"/>
        <v>0.79737532808398948</v>
      </c>
      <c r="R811" s="2" t="s">
        <v>1644</v>
      </c>
      <c r="S811" s="21" t="s">
        <v>21</v>
      </c>
      <c r="T811" s="21" t="s">
        <v>17</v>
      </c>
      <c r="U811" s="8">
        <v>15240</v>
      </c>
      <c r="V811" s="11">
        <v>1</v>
      </c>
      <c r="W811" t="str">
        <f>IF(Table1[[#This Row],[Satisfaction Rating]]&lt;2, "Low", IF(Table1[[#This Row],[Satisfaction Rating]]&lt;4, "Medium", "High"))</f>
        <v>Low</v>
      </c>
    </row>
    <row r="812" spans="1:23" ht="13" x14ac:dyDescent="0.15">
      <c r="A812" s="2" t="s">
        <v>1645</v>
      </c>
      <c r="B812" s="23">
        <v>45095.254502314812</v>
      </c>
      <c r="C812" s="23">
        <v>45218.255520833336</v>
      </c>
      <c r="D812" s="23" t="str">
        <f>IF(Table1[[#This Row],[Duration of Campaign]]=0, "Ongoing","Completed")</f>
        <v>Completed</v>
      </c>
      <c r="E812" s="25">
        <f>Table1[[#This Row],[End Date]]-Table1[[#This Row],[Start Date]]</f>
        <v>123.00101851852378</v>
      </c>
      <c r="F812" s="8">
        <v>7398</v>
      </c>
      <c r="G812" s="21" t="s">
        <v>53</v>
      </c>
      <c r="H812" s="11">
        <v>12880</v>
      </c>
      <c r="I812" s="11">
        <v>690</v>
      </c>
      <c r="J812" s="11">
        <v>145</v>
      </c>
      <c r="K812" s="13">
        <v>6839</v>
      </c>
      <c r="L812" s="16">
        <f t="shared" si="72"/>
        <v>5.3571428571428568E-2</v>
      </c>
      <c r="M812" s="16">
        <f t="shared" si="73"/>
        <v>0.21014492753623187</v>
      </c>
      <c r="N812" s="17">
        <f t="shared" si="74"/>
        <v>28.331884057971013</v>
      </c>
      <c r="O812" s="17">
        <f t="shared" si="75"/>
        <v>134.8206896551724</v>
      </c>
      <c r="P812" s="16">
        <f t="shared" si="76"/>
        <v>2.642470938091376</v>
      </c>
      <c r="Q812" s="16">
        <f t="shared" si="77"/>
        <v>0.34983886643818096</v>
      </c>
      <c r="R812" s="2" t="s">
        <v>1646</v>
      </c>
      <c r="S812" s="21" t="s">
        <v>35</v>
      </c>
      <c r="T812" s="21" t="s">
        <v>27</v>
      </c>
      <c r="U812" s="8">
        <v>19549</v>
      </c>
      <c r="V812" s="11">
        <v>3</v>
      </c>
      <c r="W812" t="str">
        <f>IF(Table1[[#This Row],[Satisfaction Rating]]&lt;2, "Low", IF(Table1[[#This Row],[Satisfaction Rating]]&lt;4, "Medium", "High"))</f>
        <v>Medium</v>
      </c>
    </row>
    <row r="813" spans="1:23" ht="13" x14ac:dyDescent="0.15">
      <c r="A813" s="2" t="s">
        <v>1647</v>
      </c>
      <c r="B813" s="23">
        <v>45298.203321759262</v>
      </c>
      <c r="C813" s="23">
        <v>45594.583171296297</v>
      </c>
      <c r="D813" s="23" t="str">
        <f>IF(Table1[[#This Row],[Duration of Campaign]]=0, "Ongoing","Completed")</f>
        <v>Completed</v>
      </c>
      <c r="E813" s="25">
        <f>Table1[[#This Row],[End Date]]-Table1[[#This Row],[Start Date]]</f>
        <v>296.37984953703562</v>
      </c>
      <c r="F813" s="8">
        <v>1099</v>
      </c>
      <c r="G813" s="21" t="s">
        <v>19</v>
      </c>
      <c r="H813" s="11">
        <v>7030</v>
      </c>
      <c r="I813" s="11">
        <v>906</v>
      </c>
      <c r="J813" s="11">
        <v>96</v>
      </c>
      <c r="K813" s="13">
        <v>2884</v>
      </c>
      <c r="L813" s="16">
        <f t="shared" si="72"/>
        <v>0.12887624466571834</v>
      </c>
      <c r="M813" s="16">
        <f t="shared" si="73"/>
        <v>0.10596026490066225</v>
      </c>
      <c r="N813" s="17">
        <f t="shared" si="74"/>
        <v>18.32560706401766</v>
      </c>
      <c r="O813" s="17">
        <f t="shared" si="75"/>
        <v>172.94791666666666</v>
      </c>
      <c r="P813" s="16">
        <f t="shared" si="76"/>
        <v>15.1073703366697</v>
      </c>
      <c r="Q813" s="16">
        <f t="shared" si="77"/>
        <v>0.1737035475516473</v>
      </c>
      <c r="R813" s="2" t="s">
        <v>1648</v>
      </c>
      <c r="S813" s="21" t="s">
        <v>16</v>
      </c>
      <c r="T813" s="21" t="s">
        <v>27</v>
      </c>
      <c r="U813" s="8">
        <v>16603</v>
      </c>
      <c r="V813" s="11">
        <v>1</v>
      </c>
      <c r="W813" t="str">
        <f>IF(Table1[[#This Row],[Satisfaction Rating]]&lt;2, "Low", IF(Table1[[#This Row],[Satisfaction Rating]]&lt;4, "Medium", "High"))</f>
        <v>Low</v>
      </c>
    </row>
    <row r="814" spans="1:23" ht="13" x14ac:dyDescent="0.15">
      <c r="A814" s="2" t="s">
        <v>1649</v>
      </c>
      <c r="B814" s="23">
        <v>45013.33520833333</v>
      </c>
      <c r="C814" s="23">
        <v>45390.334282407406</v>
      </c>
      <c r="D814" s="23" t="str">
        <f>IF(Table1[[#This Row],[Duration of Campaign]]=0, "Ongoing","Completed")</f>
        <v>Completed</v>
      </c>
      <c r="E814" s="25">
        <f>Table1[[#This Row],[End Date]]-Table1[[#This Row],[Start Date]]</f>
        <v>376.99907407407591</v>
      </c>
      <c r="F814" s="8">
        <v>1023</v>
      </c>
      <c r="G814" s="21" t="s">
        <v>53</v>
      </c>
      <c r="H814" s="11">
        <v>17806</v>
      </c>
      <c r="I814" s="11">
        <v>366</v>
      </c>
      <c r="J814" s="11">
        <v>289</v>
      </c>
      <c r="K814" s="13">
        <v>14413</v>
      </c>
      <c r="L814" s="16">
        <f t="shared" si="72"/>
        <v>2.0554869145231944E-2</v>
      </c>
      <c r="M814" s="16">
        <f t="shared" si="73"/>
        <v>0.7896174863387978</v>
      </c>
      <c r="N814" s="17">
        <f t="shared" si="74"/>
        <v>15.366120218579235</v>
      </c>
      <c r="O814" s="17">
        <f t="shared" si="75"/>
        <v>19.460207612456749</v>
      </c>
      <c r="P814" s="16">
        <f t="shared" si="76"/>
        <v>5.4975562072336261</v>
      </c>
      <c r="Q814" s="16">
        <f t="shared" si="77"/>
        <v>2.5627667140825037</v>
      </c>
      <c r="R814" s="2" t="s">
        <v>1650</v>
      </c>
      <c r="S814" s="21" t="s">
        <v>30</v>
      </c>
      <c r="T814" s="21" t="s">
        <v>27</v>
      </c>
      <c r="U814" s="8">
        <v>5624</v>
      </c>
      <c r="V814" s="11">
        <v>3</v>
      </c>
      <c r="W814" t="str">
        <f>IF(Table1[[#This Row],[Satisfaction Rating]]&lt;2, "Low", IF(Table1[[#This Row],[Satisfaction Rating]]&lt;4, "Medium", "High"))</f>
        <v>Medium</v>
      </c>
    </row>
    <row r="815" spans="1:23" ht="13" x14ac:dyDescent="0.15">
      <c r="A815" s="2" t="s">
        <v>1651</v>
      </c>
      <c r="B815" s="23">
        <v>45435.35769675926</v>
      </c>
      <c r="C815" s="23">
        <v>45435.35769675926</v>
      </c>
      <c r="D815" s="23" t="str">
        <f>IF(Table1[[#This Row],[Duration of Campaign]]=0, "Ongoing","Completed")</f>
        <v>Ongoing</v>
      </c>
      <c r="E815" s="25">
        <f>Table1[[#This Row],[End Date]]-Table1[[#This Row],[Start Date]]</f>
        <v>0</v>
      </c>
      <c r="F815" s="8">
        <v>1318</v>
      </c>
      <c r="G815" s="21" t="s">
        <v>19</v>
      </c>
      <c r="H815" s="11">
        <v>19522</v>
      </c>
      <c r="I815" s="11">
        <v>107</v>
      </c>
      <c r="J815" s="11">
        <v>318</v>
      </c>
      <c r="K815" s="13">
        <v>11875</v>
      </c>
      <c r="L815" s="16">
        <f t="shared" si="72"/>
        <v>5.480995799610696E-3</v>
      </c>
      <c r="M815" s="16">
        <f t="shared" si="73"/>
        <v>2.97196261682243</v>
      </c>
      <c r="N815" s="17">
        <f t="shared" si="74"/>
        <v>173.73831775700936</v>
      </c>
      <c r="O815" s="17">
        <f t="shared" si="75"/>
        <v>58.459119496855344</v>
      </c>
      <c r="P815" s="16">
        <f t="shared" si="76"/>
        <v>14.104704097116844</v>
      </c>
      <c r="Q815" s="16">
        <f t="shared" si="77"/>
        <v>0.63878429263044645</v>
      </c>
      <c r="R815" s="2" t="s">
        <v>1652</v>
      </c>
      <c r="S815" s="21" t="s">
        <v>16</v>
      </c>
      <c r="T815" s="21" t="s">
        <v>17</v>
      </c>
      <c r="U815" s="8">
        <v>18590</v>
      </c>
      <c r="V815" s="11">
        <v>5</v>
      </c>
      <c r="W815" t="str">
        <f>IF(Table1[[#This Row],[Satisfaction Rating]]&lt;2, "Low", IF(Table1[[#This Row],[Satisfaction Rating]]&lt;4, "Medium", "High"))</f>
        <v>High</v>
      </c>
    </row>
    <row r="816" spans="1:23" ht="13" x14ac:dyDescent="0.15">
      <c r="A816" s="2" t="s">
        <v>1653</v>
      </c>
      <c r="B816" s="23">
        <v>45555.784629629627</v>
      </c>
      <c r="C816" s="23">
        <v>45555.784629629627</v>
      </c>
      <c r="D816" s="23" t="str">
        <f>IF(Table1[[#This Row],[Duration of Campaign]]=0, "Ongoing","Completed")</f>
        <v>Ongoing</v>
      </c>
      <c r="E816" s="25">
        <f>Table1[[#This Row],[End Date]]-Table1[[#This Row],[Start Date]]</f>
        <v>0</v>
      </c>
      <c r="F816" s="8">
        <v>7967</v>
      </c>
      <c r="G816" s="21" t="s">
        <v>37</v>
      </c>
      <c r="H816" s="11">
        <v>1240</v>
      </c>
      <c r="I816" s="11">
        <v>1053</v>
      </c>
      <c r="J816" s="11">
        <v>36</v>
      </c>
      <c r="K816" s="13">
        <v>8953</v>
      </c>
      <c r="L816" s="16">
        <f t="shared" si="72"/>
        <v>0.84919354838709682</v>
      </c>
      <c r="M816" s="16">
        <f t="shared" si="73"/>
        <v>3.4188034188034191E-2</v>
      </c>
      <c r="N816" s="17">
        <f t="shared" si="74"/>
        <v>16.920227920227919</v>
      </c>
      <c r="O816" s="17">
        <f t="shared" si="75"/>
        <v>494.91666666666669</v>
      </c>
      <c r="P816" s="16">
        <f t="shared" si="76"/>
        <v>2.2363499435170078</v>
      </c>
      <c r="Q816" s="16">
        <f t="shared" si="77"/>
        <v>0.50249761463770559</v>
      </c>
      <c r="R816" s="2" t="s">
        <v>1654</v>
      </c>
      <c r="S816" s="21" t="s">
        <v>24</v>
      </c>
      <c r="T816" s="21" t="s">
        <v>27</v>
      </c>
      <c r="U816" s="8">
        <v>17817</v>
      </c>
      <c r="V816" s="11">
        <v>5</v>
      </c>
      <c r="W816" t="str">
        <f>IF(Table1[[#This Row],[Satisfaction Rating]]&lt;2, "Low", IF(Table1[[#This Row],[Satisfaction Rating]]&lt;4, "Medium", "High"))</f>
        <v>High</v>
      </c>
    </row>
    <row r="817" spans="1:23" ht="13" x14ac:dyDescent="0.15">
      <c r="A817" s="2" t="s">
        <v>1655</v>
      </c>
      <c r="B817" s="23">
        <v>45010.80804398148</v>
      </c>
      <c r="C817" s="23">
        <v>45245.499722222223</v>
      </c>
      <c r="D817" s="23" t="str">
        <f>IF(Table1[[#This Row],[Duration of Campaign]]=0, "Ongoing","Completed")</f>
        <v>Completed</v>
      </c>
      <c r="E817" s="25">
        <f>Table1[[#This Row],[End Date]]-Table1[[#This Row],[Start Date]]</f>
        <v>234.69167824074248</v>
      </c>
      <c r="F817" s="8">
        <v>1747</v>
      </c>
      <c r="G817" s="21" t="s">
        <v>19</v>
      </c>
      <c r="H817" s="11">
        <v>18546</v>
      </c>
      <c r="I817" s="11">
        <v>929</v>
      </c>
      <c r="J817" s="11">
        <v>498</v>
      </c>
      <c r="K817" s="13">
        <v>9343</v>
      </c>
      <c r="L817" s="16">
        <f t="shared" si="72"/>
        <v>5.0091663970667527E-2</v>
      </c>
      <c r="M817" s="16">
        <f t="shared" si="73"/>
        <v>0.53606027987082883</v>
      </c>
      <c r="N817" s="17">
        <f t="shared" si="74"/>
        <v>4.3186221743810549</v>
      </c>
      <c r="O817" s="17">
        <f t="shared" si="75"/>
        <v>8.0562248995983943</v>
      </c>
      <c r="P817" s="16">
        <f t="shared" si="76"/>
        <v>2.2965082999427588</v>
      </c>
      <c r="Q817" s="16">
        <f t="shared" si="77"/>
        <v>2.3287637088733799</v>
      </c>
      <c r="R817" s="2" t="s">
        <v>1656</v>
      </c>
      <c r="S817" s="21" t="s">
        <v>30</v>
      </c>
      <c r="T817" s="21" t="s">
        <v>27</v>
      </c>
      <c r="U817" s="8">
        <v>4012</v>
      </c>
      <c r="V817" s="11">
        <v>3</v>
      </c>
      <c r="W817" t="str">
        <f>IF(Table1[[#This Row],[Satisfaction Rating]]&lt;2, "Low", IF(Table1[[#This Row],[Satisfaction Rating]]&lt;4, "Medium", "High"))</f>
        <v>Medium</v>
      </c>
    </row>
    <row r="818" spans="1:23" ht="13" x14ac:dyDescent="0.15">
      <c r="A818" s="2" t="s">
        <v>1657</v>
      </c>
      <c r="B818" s="23">
        <v>45575.961168981485</v>
      </c>
      <c r="C818" s="23">
        <v>45575.961168981485</v>
      </c>
      <c r="D818" s="23" t="str">
        <f>IF(Table1[[#This Row],[Duration of Campaign]]=0, "Ongoing","Completed")</f>
        <v>Ongoing</v>
      </c>
      <c r="E818" s="25">
        <f>Table1[[#This Row],[End Date]]-Table1[[#This Row],[Start Date]]</f>
        <v>0</v>
      </c>
      <c r="F818" s="8">
        <v>4745</v>
      </c>
      <c r="G818" s="21" t="s">
        <v>14</v>
      </c>
      <c r="H818" s="11">
        <v>11601</v>
      </c>
      <c r="I818" s="11">
        <v>1000</v>
      </c>
      <c r="J818" s="11">
        <v>133</v>
      </c>
      <c r="K818" s="13">
        <v>1194</v>
      </c>
      <c r="L818" s="16">
        <f t="shared" si="72"/>
        <v>8.619946556331351E-2</v>
      </c>
      <c r="M818" s="16">
        <f t="shared" si="73"/>
        <v>0.13300000000000001</v>
      </c>
      <c r="N818" s="17">
        <f t="shared" si="74"/>
        <v>16.713000000000001</v>
      </c>
      <c r="O818" s="17">
        <f t="shared" si="75"/>
        <v>125.66165413533835</v>
      </c>
      <c r="P818" s="16">
        <f t="shared" si="76"/>
        <v>3.5222339304531087</v>
      </c>
      <c r="Q818" s="16">
        <f t="shared" si="77"/>
        <v>7.1441392927661107E-2</v>
      </c>
      <c r="R818" s="2" t="s">
        <v>1658</v>
      </c>
      <c r="S818" s="21" t="s">
        <v>30</v>
      </c>
      <c r="T818" s="21" t="s">
        <v>27</v>
      </c>
      <c r="U818" s="8">
        <v>16713</v>
      </c>
      <c r="V818" s="11">
        <v>5</v>
      </c>
      <c r="W818" t="str">
        <f>IF(Table1[[#This Row],[Satisfaction Rating]]&lt;2, "Low", IF(Table1[[#This Row],[Satisfaction Rating]]&lt;4, "Medium", "High"))</f>
        <v>High</v>
      </c>
    </row>
    <row r="819" spans="1:23" ht="13" x14ac:dyDescent="0.15">
      <c r="A819" s="2" t="s">
        <v>1659</v>
      </c>
      <c r="B819" s="23">
        <v>45058.570960648147</v>
      </c>
      <c r="C819" s="23">
        <v>45275.819363425922</v>
      </c>
      <c r="D819" s="23" t="str">
        <f>IF(Table1[[#This Row],[Duration of Campaign]]=0, "Ongoing","Completed")</f>
        <v>Completed</v>
      </c>
      <c r="E819" s="25">
        <f>Table1[[#This Row],[End Date]]-Table1[[#This Row],[Start Date]]</f>
        <v>217.24840277777548</v>
      </c>
      <c r="F819" s="8">
        <v>8525</v>
      </c>
      <c r="G819" s="21" t="s">
        <v>53</v>
      </c>
      <c r="H819" s="11">
        <v>7669</v>
      </c>
      <c r="I819" s="11">
        <v>677</v>
      </c>
      <c r="J819" s="11">
        <v>41</v>
      </c>
      <c r="K819" s="13">
        <v>893</v>
      </c>
      <c r="L819" s="16">
        <f t="shared" si="72"/>
        <v>8.8277480766723176E-2</v>
      </c>
      <c r="M819" s="16">
        <f t="shared" si="73"/>
        <v>6.0561299852289516E-2</v>
      </c>
      <c r="N819" s="17">
        <f t="shared" si="74"/>
        <v>4.7872968980797639</v>
      </c>
      <c r="O819" s="17">
        <f t="shared" si="75"/>
        <v>79.048780487804876</v>
      </c>
      <c r="P819" s="16">
        <f t="shared" si="76"/>
        <v>0.3801759530791789</v>
      </c>
      <c r="Q819" s="16">
        <f t="shared" si="77"/>
        <v>0.27553224313483493</v>
      </c>
      <c r="R819" s="2" t="s">
        <v>1660</v>
      </c>
      <c r="S819" s="21" t="s">
        <v>24</v>
      </c>
      <c r="T819" s="21" t="s">
        <v>27</v>
      </c>
      <c r="U819" s="8">
        <v>3241</v>
      </c>
      <c r="V819" s="11">
        <v>1</v>
      </c>
      <c r="W819" t="str">
        <f>IF(Table1[[#This Row],[Satisfaction Rating]]&lt;2, "Low", IF(Table1[[#This Row],[Satisfaction Rating]]&lt;4, "Medium", "High"))</f>
        <v>Low</v>
      </c>
    </row>
    <row r="820" spans="1:23" ht="13" x14ac:dyDescent="0.15">
      <c r="A820" s="2" t="s">
        <v>1661</v>
      </c>
      <c r="B820" s="23">
        <v>45091.945659722223</v>
      </c>
      <c r="C820" s="23">
        <v>45627.672118055554</v>
      </c>
      <c r="D820" s="23" t="str">
        <f>IF(Table1[[#This Row],[Duration of Campaign]]=0, "Ongoing","Completed")</f>
        <v>Completed</v>
      </c>
      <c r="E820" s="25">
        <f>Table1[[#This Row],[End Date]]-Table1[[#This Row],[Start Date]]</f>
        <v>535.72645833333081</v>
      </c>
      <c r="F820" s="8">
        <v>5732</v>
      </c>
      <c r="G820" s="21" t="s">
        <v>37</v>
      </c>
      <c r="H820" s="11">
        <v>9837</v>
      </c>
      <c r="I820" s="11">
        <v>159</v>
      </c>
      <c r="J820" s="11">
        <v>42</v>
      </c>
      <c r="K820" s="13">
        <v>10089</v>
      </c>
      <c r="L820" s="16">
        <f t="shared" si="72"/>
        <v>1.6163464470875268E-2</v>
      </c>
      <c r="M820" s="16">
        <f t="shared" si="73"/>
        <v>0.26415094339622641</v>
      </c>
      <c r="N820" s="17">
        <f t="shared" si="74"/>
        <v>37.025157232704402</v>
      </c>
      <c r="O820" s="17">
        <f t="shared" si="75"/>
        <v>140.16666666666666</v>
      </c>
      <c r="P820" s="16">
        <f t="shared" si="76"/>
        <v>1.0270411723656665</v>
      </c>
      <c r="Q820" s="16">
        <f t="shared" si="77"/>
        <v>1.7137761168676746</v>
      </c>
      <c r="R820" s="2" t="s">
        <v>1662</v>
      </c>
      <c r="S820" s="21" t="s">
        <v>30</v>
      </c>
      <c r="T820" s="21" t="s">
        <v>45</v>
      </c>
      <c r="U820" s="8">
        <v>5887</v>
      </c>
      <c r="V820" s="11">
        <v>4</v>
      </c>
      <c r="W820" t="str">
        <f>IF(Table1[[#This Row],[Satisfaction Rating]]&lt;2, "Low", IF(Table1[[#This Row],[Satisfaction Rating]]&lt;4, "Medium", "High"))</f>
        <v>High</v>
      </c>
    </row>
    <row r="821" spans="1:23" ht="13" x14ac:dyDescent="0.15">
      <c r="A821" s="2" t="s">
        <v>1663</v>
      </c>
      <c r="B821" s="23">
        <v>45293.338020833333</v>
      </c>
      <c r="C821" s="23">
        <v>45293.338020833333</v>
      </c>
      <c r="D821" s="23" t="str">
        <f>IF(Table1[[#This Row],[Duration of Campaign]]=0, "Ongoing","Completed")</f>
        <v>Ongoing</v>
      </c>
      <c r="E821" s="25">
        <f>Table1[[#This Row],[End Date]]-Table1[[#This Row],[Start Date]]</f>
        <v>0</v>
      </c>
      <c r="F821" s="8">
        <v>3468</v>
      </c>
      <c r="G821" s="21" t="s">
        <v>14</v>
      </c>
      <c r="H821" s="11">
        <v>13701</v>
      </c>
      <c r="I821" s="11">
        <v>799</v>
      </c>
      <c r="J821" s="11">
        <v>205</v>
      </c>
      <c r="K821" s="13">
        <v>3641</v>
      </c>
      <c r="L821" s="16">
        <f t="shared" si="72"/>
        <v>5.8316911174366833E-2</v>
      </c>
      <c r="M821" s="16">
        <f t="shared" si="73"/>
        <v>0.2565707133917397</v>
      </c>
      <c r="N821" s="17">
        <f t="shared" si="74"/>
        <v>14.389236545682103</v>
      </c>
      <c r="O821" s="17">
        <f t="shared" si="75"/>
        <v>56.082926829268295</v>
      </c>
      <c r="P821" s="16">
        <f t="shared" si="76"/>
        <v>3.3151672433679353</v>
      </c>
      <c r="Q821" s="16">
        <f t="shared" si="77"/>
        <v>0.31669131077672436</v>
      </c>
      <c r="R821" s="2" t="s">
        <v>1664</v>
      </c>
      <c r="S821" s="21" t="s">
        <v>24</v>
      </c>
      <c r="T821" s="21" t="s">
        <v>27</v>
      </c>
      <c r="U821" s="8">
        <v>11497</v>
      </c>
      <c r="V821" s="11">
        <v>3</v>
      </c>
      <c r="W821" t="str">
        <f>IF(Table1[[#This Row],[Satisfaction Rating]]&lt;2, "Low", IF(Table1[[#This Row],[Satisfaction Rating]]&lt;4, "Medium", "High"))</f>
        <v>Medium</v>
      </c>
    </row>
    <row r="822" spans="1:23" ht="13" x14ac:dyDescent="0.15">
      <c r="A822" s="2" t="s">
        <v>1665</v>
      </c>
      <c r="B822" s="23">
        <v>45216.787083333336</v>
      </c>
      <c r="C822" s="23">
        <v>45216.787083333336</v>
      </c>
      <c r="D822" s="23" t="str">
        <f>IF(Table1[[#This Row],[Duration of Campaign]]=0, "Ongoing","Completed")</f>
        <v>Ongoing</v>
      </c>
      <c r="E822" s="25">
        <f>Table1[[#This Row],[End Date]]-Table1[[#This Row],[Start Date]]</f>
        <v>0</v>
      </c>
      <c r="F822" s="8">
        <v>3971</v>
      </c>
      <c r="G822" s="21" t="s">
        <v>53</v>
      </c>
      <c r="H822" s="11">
        <v>10009</v>
      </c>
      <c r="I822" s="11">
        <v>1943</v>
      </c>
      <c r="J822" s="11">
        <v>228</v>
      </c>
      <c r="K822" s="13">
        <v>2504</v>
      </c>
      <c r="L822" s="16">
        <f t="shared" si="72"/>
        <v>0.19412528724148267</v>
      </c>
      <c r="M822" s="16">
        <f t="shared" si="73"/>
        <v>0.11734431291816778</v>
      </c>
      <c r="N822" s="17">
        <f t="shared" si="74"/>
        <v>9.8013381369016983</v>
      </c>
      <c r="O822" s="17">
        <f t="shared" si="75"/>
        <v>83.526315789473685</v>
      </c>
      <c r="P822" s="16">
        <f t="shared" si="76"/>
        <v>4.7957693276252833</v>
      </c>
      <c r="Q822" s="16">
        <f t="shared" si="77"/>
        <v>0.13148498214660786</v>
      </c>
      <c r="R822" s="2" t="s">
        <v>1666</v>
      </c>
      <c r="S822" s="21" t="s">
        <v>24</v>
      </c>
      <c r="T822" s="21" t="s">
        <v>17</v>
      </c>
      <c r="U822" s="8">
        <v>19044</v>
      </c>
      <c r="V822" s="11">
        <v>2</v>
      </c>
      <c r="W822" t="str">
        <f>IF(Table1[[#This Row],[Satisfaction Rating]]&lt;2, "Low", IF(Table1[[#This Row],[Satisfaction Rating]]&lt;4, "Medium", "High"))</f>
        <v>Medium</v>
      </c>
    </row>
    <row r="823" spans="1:23" ht="13" x14ac:dyDescent="0.15">
      <c r="A823" s="2" t="s">
        <v>1667</v>
      </c>
      <c r="B823" s="23">
        <v>45298.267777777779</v>
      </c>
      <c r="C823" s="23">
        <v>45298.267777777779</v>
      </c>
      <c r="D823" s="23" t="str">
        <f>IF(Table1[[#This Row],[Duration of Campaign]]=0, "Ongoing","Completed")</f>
        <v>Ongoing</v>
      </c>
      <c r="E823" s="25">
        <f>Table1[[#This Row],[End Date]]-Table1[[#This Row],[Start Date]]</f>
        <v>0</v>
      </c>
      <c r="F823" s="8">
        <v>5019</v>
      </c>
      <c r="G823" s="21" t="s">
        <v>53</v>
      </c>
      <c r="H823" s="11">
        <v>7030</v>
      </c>
      <c r="I823" s="11">
        <v>1271</v>
      </c>
      <c r="J823" s="11">
        <v>476</v>
      </c>
      <c r="K823" s="13">
        <v>10241</v>
      </c>
      <c r="L823" s="16">
        <f t="shared" si="72"/>
        <v>0.18079658605974394</v>
      </c>
      <c r="M823" s="16">
        <f t="shared" si="73"/>
        <v>0.37450826121164438</v>
      </c>
      <c r="N823" s="17">
        <f t="shared" si="74"/>
        <v>13.72462627852085</v>
      </c>
      <c r="O823" s="17">
        <f t="shared" si="75"/>
        <v>36.647058823529413</v>
      </c>
      <c r="P823" s="16">
        <f t="shared" si="76"/>
        <v>3.4755927475592747</v>
      </c>
      <c r="Q823" s="16">
        <f t="shared" si="77"/>
        <v>0.5870786516853933</v>
      </c>
      <c r="R823" s="2" t="s">
        <v>1668</v>
      </c>
      <c r="S823" s="21" t="s">
        <v>35</v>
      </c>
      <c r="T823" s="21" t="s">
        <v>27</v>
      </c>
      <c r="U823" s="8">
        <v>17444</v>
      </c>
      <c r="V823" s="11">
        <v>1</v>
      </c>
      <c r="W823" t="str">
        <f>IF(Table1[[#This Row],[Satisfaction Rating]]&lt;2, "Low", IF(Table1[[#This Row],[Satisfaction Rating]]&lt;4, "Medium", "High"))</f>
        <v>Low</v>
      </c>
    </row>
    <row r="824" spans="1:23" ht="13" x14ac:dyDescent="0.15">
      <c r="A824" s="2" t="s">
        <v>1669</v>
      </c>
      <c r="B824" s="23">
        <v>45588.572627314818</v>
      </c>
      <c r="C824" s="23">
        <v>45598.294305555559</v>
      </c>
      <c r="D824" s="23" t="str">
        <f>IF(Table1[[#This Row],[Duration of Campaign]]=0, "Ongoing","Completed")</f>
        <v>Completed</v>
      </c>
      <c r="E824" s="25">
        <f>Table1[[#This Row],[End Date]]-Table1[[#This Row],[Start Date]]</f>
        <v>9.721678240741312</v>
      </c>
      <c r="F824" s="8">
        <v>6443</v>
      </c>
      <c r="G824" s="21" t="s">
        <v>37</v>
      </c>
      <c r="H824" s="11">
        <v>7440</v>
      </c>
      <c r="I824" s="11">
        <v>245</v>
      </c>
      <c r="J824" s="11">
        <v>79</v>
      </c>
      <c r="K824" s="13">
        <v>13385</v>
      </c>
      <c r="L824" s="16">
        <f t="shared" si="72"/>
        <v>3.2930107526881719E-2</v>
      </c>
      <c r="M824" s="16">
        <f t="shared" si="73"/>
        <v>0.32244897959183672</v>
      </c>
      <c r="N824" s="17">
        <f t="shared" si="74"/>
        <v>43.648979591836735</v>
      </c>
      <c r="O824" s="17">
        <f t="shared" si="75"/>
        <v>135.36708860759492</v>
      </c>
      <c r="P824" s="16">
        <f t="shared" si="76"/>
        <v>1.6597858140617725</v>
      </c>
      <c r="Q824" s="16">
        <f t="shared" si="77"/>
        <v>1.2516364316439126</v>
      </c>
      <c r="R824" s="2" t="s">
        <v>1670</v>
      </c>
      <c r="S824" s="21" t="s">
        <v>24</v>
      </c>
      <c r="T824" s="21" t="s">
        <v>17</v>
      </c>
      <c r="U824" s="8">
        <v>10694</v>
      </c>
      <c r="V824" s="11">
        <v>1</v>
      </c>
      <c r="W824" t="str">
        <f>IF(Table1[[#This Row],[Satisfaction Rating]]&lt;2, "Low", IF(Table1[[#This Row],[Satisfaction Rating]]&lt;4, "Medium", "High"))</f>
        <v>Low</v>
      </c>
    </row>
    <row r="825" spans="1:23" ht="13" x14ac:dyDescent="0.15">
      <c r="A825" s="2" t="s">
        <v>1671</v>
      </c>
      <c r="B825" s="23">
        <v>45395.826874999999</v>
      </c>
      <c r="C825" s="23">
        <v>45395.826874999999</v>
      </c>
      <c r="D825" s="23" t="str">
        <f>IF(Table1[[#This Row],[Duration of Campaign]]=0, "Ongoing","Completed")</f>
        <v>Ongoing</v>
      </c>
      <c r="E825" s="25">
        <f>Table1[[#This Row],[End Date]]-Table1[[#This Row],[Start Date]]</f>
        <v>0</v>
      </c>
      <c r="F825" s="8">
        <v>8482</v>
      </c>
      <c r="G825" s="21" t="s">
        <v>19</v>
      </c>
      <c r="H825" s="11">
        <v>3759</v>
      </c>
      <c r="I825" s="11">
        <v>1337</v>
      </c>
      <c r="J825" s="11">
        <v>436</v>
      </c>
      <c r="K825" s="13">
        <v>3024</v>
      </c>
      <c r="L825" s="16">
        <f t="shared" si="72"/>
        <v>0.35567970204841715</v>
      </c>
      <c r="M825" s="16">
        <f t="shared" si="73"/>
        <v>0.3261032161555722</v>
      </c>
      <c r="N825" s="17">
        <f t="shared" si="74"/>
        <v>12.707554225878834</v>
      </c>
      <c r="O825" s="17">
        <f t="shared" si="75"/>
        <v>38.967889908256879</v>
      </c>
      <c r="P825" s="16">
        <f t="shared" si="76"/>
        <v>2.0030653147842492</v>
      </c>
      <c r="Q825" s="16">
        <f t="shared" si="77"/>
        <v>0.17798705120659211</v>
      </c>
      <c r="R825" s="2" t="s">
        <v>1672</v>
      </c>
      <c r="S825" s="21" t="s">
        <v>21</v>
      </c>
      <c r="T825" s="21" t="s">
        <v>17</v>
      </c>
      <c r="U825" s="8">
        <v>16990</v>
      </c>
      <c r="V825" s="11">
        <v>3</v>
      </c>
      <c r="W825" t="str">
        <f>IF(Table1[[#This Row],[Satisfaction Rating]]&lt;2, "Low", IF(Table1[[#This Row],[Satisfaction Rating]]&lt;4, "Medium", "High"))</f>
        <v>Medium</v>
      </c>
    </row>
    <row r="826" spans="1:23" ht="13" x14ac:dyDescent="0.15">
      <c r="A826" s="2" t="s">
        <v>1673</v>
      </c>
      <c r="B826" s="23">
        <v>45000.602743055555</v>
      </c>
      <c r="C826" s="23">
        <v>45182.93037037037</v>
      </c>
      <c r="D826" s="23" t="str">
        <f>IF(Table1[[#This Row],[Duration of Campaign]]=0, "Ongoing","Completed")</f>
        <v>Completed</v>
      </c>
      <c r="E826" s="25">
        <f>Table1[[#This Row],[End Date]]-Table1[[#This Row],[Start Date]]</f>
        <v>182.32762731481489</v>
      </c>
      <c r="F826" s="8">
        <v>4465</v>
      </c>
      <c r="G826" s="21" t="s">
        <v>53</v>
      </c>
      <c r="H826" s="11">
        <v>17819</v>
      </c>
      <c r="I826" s="11">
        <v>207</v>
      </c>
      <c r="J826" s="11">
        <v>99</v>
      </c>
      <c r="K826" s="13">
        <v>9669</v>
      </c>
      <c r="L826" s="16">
        <f t="shared" si="72"/>
        <v>1.1616813513665189E-2</v>
      </c>
      <c r="M826" s="16">
        <f t="shared" si="73"/>
        <v>0.47826086956521741</v>
      </c>
      <c r="N826" s="17">
        <f t="shared" si="74"/>
        <v>5.6714975845410631</v>
      </c>
      <c r="O826" s="17">
        <f t="shared" si="75"/>
        <v>11.858585858585858</v>
      </c>
      <c r="P826" s="16">
        <f t="shared" si="76"/>
        <v>0.26293393057110864</v>
      </c>
      <c r="Q826" s="16">
        <f t="shared" si="77"/>
        <v>8.2359454855195917</v>
      </c>
      <c r="R826" s="2" t="s">
        <v>1674</v>
      </c>
      <c r="S826" s="21" t="s">
        <v>16</v>
      </c>
      <c r="T826" s="21" t="s">
        <v>45</v>
      </c>
      <c r="U826" s="8">
        <v>1174</v>
      </c>
      <c r="V826" s="11">
        <v>5</v>
      </c>
      <c r="W826" t="str">
        <f>IF(Table1[[#This Row],[Satisfaction Rating]]&lt;2, "Low", IF(Table1[[#This Row],[Satisfaction Rating]]&lt;4, "Medium", "High"))</f>
        <v>High</v>
      </c>
    </row>
    <row r="827" spans="1:23" ht="13" x14ac:dyDescent="0.15">
      <c r="A827" s="2" t="s">
        <v>1675</v>
      </c>
      <c r="B827" s="23">
        <v>45491.362037037034</v>
      </c>
      <c r="C827" s="23">
        <v>45491.362037037034</v>
      </c>
      <c r="D827" s="23" t="str">
        <f>IF(Table1[[#This Row],[Duration of Campaign]]=0, "Ongoing","Completed")</f>
        <v>Ongoing</v>
      </c>
      <c r="E827" s="25">
        <f>Table1[[#This Row],[End Date]]-Table1[[#This Row],[Start Date]]</f>
        <v>0</v>
      </c>
      <c r="F827" s="8">
        <v>5066</v>
      </c>
      <c r="G827" s="21" t="s">
        <v>37</v>
      </c>
      <c r="H827" s="11">
        <v>11108</v>
      </c>
      <c r="I827" s="11">
        <v>1109</v>
      </c>
      <c r="J827" s="11">
        <v>362</v>
      </c>
      <c r="K827" s="13">
        <v>10962</v>
      </c>
      <c r="L827" s="16">
        <f t="shared" si="72"/>
        <v>9.9837954627295639E-2</v>
      </c>
      <c r="M827" s="16">
        <f t="shared" si="73"/>
        <v>0.32642019837691616</v>
      </c>
      <c r="N827" s="17">
        <f t="shared" si="74"/>
        <v>13.553651938683499</v>
      </c>
      <c r="O827" s="17">
        <f t="shared" si="75"/>
        <v>41.52209944751381</v>
      </c>
      <c r="P827" s="16">
        <f t="shared" si="76"/>
        <v>2.9670351362021319</v>
      </c>
      <c r="Q827" s="16">
        <f t="shared" si="77"/>
        <v>0.72929279489055954</v>
      </c>
      <c r="R827" s="2" t="s">
        <v>1676</v>
      </c>
      <c r="S827" s="21" t="s">
        <v>30</v>
      </c>
      <c r="T827" s="21" t="s">
        <v>17</v>
      </c>
      <c r="U827" s="8">
        <v>15031</v>
      </c>
      <c r="V827" s="11">
        <v>4</v>
      </c>
      <c r="W827" t="str">
        <f>IF(Table1[[#This Row],[Satisfaction Rating]]&lt;2, "Low", IF(Table1[[#This Row],[Satisfaction Rating]]&lt;4, "Medium", "High"))</f>
        <v>High</v>
      </c>
    </row>
    <row r="828" spans="1:23" ht="13" x14ac:dyDescent="0.15">
      <c r="A828" s="2" t="s">
        <v>1677</v>
      </c>
      <c r="B828" s="23">
        <v>45313.619814814818</v>
      </c>
      <c r="C828" s="23">
        <v>45313.619814814818</v>
      </c>
      <c r="D828" s="23" t="str">
        <f>IF(Table1[[#This Row],[Duration of Campaign]]=0, "Ongoing","Completed")</f>
        <v>Ongoing</v>
      </c>
      <c r="E828" s="25">
        <f>Table1[[#This Row],[End Date]]-Table1[[#This Row],[Start Date]]</f>
        <v>0</v>
      </c>
      <c r="F828" s="8">
        <v>9594</v>
      </c>
      <c r="G828" s="21" t="s">
        <v>19</v>
      </c>
      <c r="H828" s="11">
        <v>8791</v>
      </c>
      <c r="I828" s="11">
        <v>1300</v>
      </c>
      <c r="J828" s="11">
        <v>246</v>
      </c>
      <c r="K828" s="13">
        <v>10976</v>
      </c>
      <c r="L828" s="16">
        <f t="shared" si="72"/>
        <v>0.14787851211466271</v>
      </c>
      <c r="M828" s="16">
        <f t="shared" si="73"/>
        <v>0.18923076923076923</v>
      </c>
      <c r="N828" s="17">
        <f t="shared" si="74"/>
        <v>12.251538461538461</v>
      </c>
      <c r="O828" s="17">
        <f t="shared" si="75"/>
        <v>64.743902439024396</v>
      </c>
      <c r="P828" s="16">
        <f t="shared" si="76"/>
        <v>1.6601000625390869</v>
      </c>
      <c r="Q828" s="16">
        <f t="shared" si="77"/>
        <v>0.68914422050605895</v>
      </c>
      <c r="R828" s="2" t="s">
        <v>1678</v>
      </c>
      <c r="S828" s="21" t="s">
        <v>24</v>
      </c>
      <c r="T828" s="21" t="s">
        <v>17</v>
      </c>
      <c r="U828" s="8">
        <v>15927</v>
      </c>
      <c r="V828" s="11">
        <v>2</v>
      </c>
      <c r="W828" t="str">
        <f>IF(Table1[[#This Row],[Satisfaction Rating]]&lt;2, "Low", IF(Table1[[#This Row],[Satisfaction Rating]]&lt;4, "Medium", "High"))</f>
        <v>Medium</v>
      </c>
    </row>
    <row r="829" spans="1:23" ht="13" x14ac:dyDescent="0.15">
      <c r="A829" s="2" t="s">
        <v>1679</v>
      </c>
      <c r="B829" s="23">
        <v>44981.339594907404</v>
      </c>
      <c r="C829" s="23">
        <v>45237.194849537038</v>
      </c>
      <c r="D829" s="23" t="str">
        <f>IF(Table1[[#This Row],[Duration of Campaign]]=0, "Ongoing","Completed")</f>
        <v>Completed</v>
      </c>
      <c r="E829" s="25">
        <f>Table1[[#This Row],[End Date]]-Table1[[#This Row],[Start Date]]</f>
        <v>255.85525462963415</v>
      </c>
      <c r="F829" s="8">
        <v>2534</v>
      </c>
      <c r="G829" s="21" t="s">
        <v>14</v>
      </c>
      <c r="H829" s="11">
        <v>17702</v>
      </c>
      <c r="I829" s="11">
        <v>1356</v>
      </c>
      <c r="J829" s="11">
        <v>189</v>
      </c>
      <c r="K829" s="13">
        <v>1053</v>
      </c>
      <c r="L829" s="16">
        <f t="shared" si="72"/>
        <v>7.660151395322562E-2</v>
      </c>
      <c r="M829" s="16">
        <f t="shared" si="73"/>
        <v>0.13938053097345132</v>
      </c>
      <c r="N829" s="17">
        <f t="shared" si="74"/>
        <v>3.5737463126843658</v>
      </c>
      <c r="O829" s="17">
        <f t="shared" si="75"/>
        <v>25.640211640211639</v>
      </c>
      <c r="P829" s="16">
        <f t="shared" si="76"/>
        <v>1.9123914759273875</v>
      </c>
      <c r="Q829" s="16">
        <f t="shared" si="77"/>
        <v>0.21729261246388773</v>
      </c>
      <c r="R829" s="2" t="s">
        <v>1680</v>
      </c>
      <c r="S829" s="21" t="s">
        <v>16</v>
      </c>
      <c r="T829" s="21" t="s">
        <v>27</v>
      </c>
      <c r="U829" s="8">
        <v>4846</v>
      </c>
      <c r="V829" s="11">
        <v>5</v>
      </c>
      <c r="W829" t="str">
        <f>IF(Table1[[#This Row],[Satisfaction Rating]]&lt;2, "Low", IF(Table1[[#This Row],[Satisfaction Rating]]&lt;4, "Medium", "High"))</f>
        <v>High</v>
      </c>
    </row>
    <row r="830" spans="1:23" ht="13" x14ac:dyDescent="0.15">
      <c r="A830" s="2" t="s">
        <v>1681</v>
      </c>
      <c r="B830" s="23">
        <v>45612.89099537037</v>
      </c>
      <c r="C830" s="23">
        <v>45623.982199074075</v>
      </c>
      <c r="D830" s="23" t="str">
        <f>IF(Table1[[#This Row],[Duration of Campaign]]=0, "Ongoing","Completed")</f>
        <v>Completed</v>
      </c>
      <c r="E830" s="25">
        <f>Table1[[#This Row],[End Date]]-Table1[[#This Row],[Start Date]]</f>
        <v>11.091203703705105</v>
      </c>
      <c r="F830" s="8">
        <v>8783</v>
      </c>
      <c r="G830" s="21" t="s">
        <v>37</v>
      </c>
      <c r="H830" s="11">
        <v>2071</v>
      </c>
      <c r="I830" s="11">
        <v>464</v>
      </c>
      <c r="J830" s="11">
        <v>380</v>
      </c>
      <c r="K830" s="13">
        <v>11544</v>
      </c>
      <c r="L830" s="16">
        <f t="shared" si="72"/>
        <v>0.22404635441815549</v>
      </c>
      <c r="M830" s="16">
        <f t="shared" si="73"/>
        <v>0.81896551724137934</v>
      </c>
      <c r="N830" s="17">
        <f t="shared" si="74"/>
        <v>40.84698275862069</v>
      </c>
      <c r="O830" s="17">
        <f t="shared" si="75"/>
        <v>49.876315789473686</v>
      </c>
      <c r="P830" s="16">
        <f t="shared" si="76"/>
        <v>2.1579187065922807</v>
      </c>
      <c r="Q830" s="16">
        <f t="shared" si="77"/>
        <v>0.6090856328813381</v>
      </c>
      <c r="R830" s="2" t="s">
        <v>1682</v>
      </c>
      <c r="S830" s="21" t="s">
        <v>30</v>
      </c>
      <c r="T830" s="21" t="s">
        <v>45</v>
      </c>
      <c r="U830" s="8">
        <v>18953</v>
      </c>
      <c r="V830" s="11">
        <v>5</v>
      </c>
      <c r="W830" t="str">
        <f>IF(Table1[[#This Row],[Satisfaction Rating]]&lt;2, "Low", IF(Table1[[#This Row],[Satisfaction Rating]]&lt;4, "Medium", "High"))</f>
        <v>High</v>
      </c>
    </row>
    <row r="831" spans="1:23" ht="13" x14ac:dyDescent="0.15">
      <c r="A831" s="2" t="s">
        <v>1683</v>
      </c>
      <c r="B831" s="23">
        <v>44970.067407407405</v>
      </c>
      <c r="C831" s="23">
        <v>45073.734895833331</v>
      </c>
      <c r="D831" s="23" t="str">
        <f>IF(Table1[[#This Row],[Duration of Campaign]]=0, "Ongoing","Completed")</f>
        <v>Completed</v>
      </c>
      <c r="E831" s="25">
        <f>Table1[[#This Row],[End Date]]-Table1[[#This Row],[Start Date]]</f>
        <v>103.66748842592642</v>
      </c>
      <c r="F831" s="8">
        <v>9756</v>
      </c>
      <c r="G831" s="21" t="s">
        <v>37</v>
      </c>
      <c r="H831" s="11">
        <v>10339</v>
      </c>
      <c r="I831" s="11">
        <v>274</v>
      </c>
      <c r="J831" s="11">
        <v>141</v>
      </c>
      <c r="K831" s="13">
        <v>8943</v>
      </c>
      <c r="L831" s="16">
        <f t="shared" si="72"/>
        <v>2.6501595899023116E-2</v>
      </c>
      <c r="M831" s="16">
        <f t="shared" si="73"/>
        <v>0.51459854014598538</v>
      </c>
      <c r="N831" s="17">
        <f t="shared" si="74"/>
        <v>69.412408759124091</v>
      </c>
      <c r="O831" s="17">
        <f t="shared" si="75"/>
        <v>134.88652482269504</v>
      </c>
      <c r="P831" s="16">
        <f t="shared" si="76"/>
        <v>1.9494669946699468</v>
      </c>
      <c r="Q831" s="16">
        <f t="shared" si="77"/>
        <v>0.47021399652978602</v>
      </c>
      <c r="R831" s="2" t="s">
        <v>1684</v>
      </c>
      <c r="S831" s="21" t="s">
        <v>16</v>
      </c>
      <c r="T831" s="21" t="s">
        <v>27</v>
      </c>
      <c r="U831" s="8">
        <v>19019</v>
      </c>
      <c r="V831" s="11">
        <v>2</v>
      </c>
      <c r="W831" t="str">
        <f>IF(Table1[[#This Row],[Satisfaction Rating]]&lt;2, "Low", IF(Table1[[#This Row],[Satisfaction Rating]]&lt;4, "Medium", "High"))</f>
        <v>Medium</v>
      </c>
    </row>
    <row r="832" spans="1:23" ht="13" x14ac:dyDescent="0.15">
      <c r="A832" s="2" t="s">
        <v>1685</v>
      </c>
      <c r="B832" s="23">
        <v>44969.578275462962</v>
      </c>
      <c r="C832" s="23">
        <v>45571.244467592594</v>
      </c>
      <c r="D832" s="23" t="str">
        <f>IF(Table1[[#This Row],[Duration of Campaign]]=0, "Ongoing","Completed")</f>
        <v>Completed</v>
      </c>
      <c r="E832" s="25">
        <f>Table1[[#This Row],[End Date]]-Table1[[#This Row],[Start Date]]</f>
        <v>601.66619212963269</v>
      </c>
      <c r="F832" s="8">
        <v>2715</v>
      </c>
      <c r="G832" s="21" t="s">
        <v>37</v>
      </c>
      <c r="H832" s="11">
        <v>8769</v>
      </c>
      <c r="I832" s="11">
        <v>426</v>
      </c>
      <c r="J832" s="11">
        <v>242</v>
      </c>
      <c r="K832" s="13">
        <v>5611</v>
      </c>
      <c r="L832" s="16">
        <f t="shared" si="72"/>
        <v>4.8580225795415669E-2</v>
      </c>
      <c r="M832" s="16">
        <f t="shared" si="73"/>
        <v>0.568075117370892</v>
      </c>
      <c r="N832" s="17">
        <f t="shared" si="74"/>
        <v>16.572769953051644</v>
      </c>
      <c r="O832" s="17">
        <f t="shared" si="75"/>
        <v>29.173553719008265</v>
      </c>
      <c r="P832" s="16">
        <f t="shared" si="76"/>
        <v>2.6003683241252302</v>
      </c>
      <c r="Q832" s="16">
        <f t="shared" si="77"/>
        <v>0.7947592067988668</v>
      </c>
      <c r="R832" s="2" t="s">
        <v>1686</v>
      </c>
      <c r="S832" s="21" t="s">
        <v>21</v>
      </c>
      <c r="T832" s="21" t="s">
        <v>27</v>
      </c>
      <c r="U832" s="8">
        <v>7060</v>
      </c>
      <c r="V832" s="11">
        <v>3</v>
      </c>
      <c r="W832" t="str">
        <f>IF(Table1[[#This Row],[Satisfaction Rating]]&lt;2, "Low", IF(Table1[[#This Row],[Satisfaction Rating]]&lt;4, "Medium", "High"))</f>
        <v>Medium</v>
      </c>
    </row>
    <row r="833" spans="1:23" ht="13" x14ac:dyDescent="0.15">
      <c r="A833" s="2" t="s">
        <v>1687</v>
      </c>
      <c r="B833" s="23">
        <v>45235.860509259262</v>
      </c>
      <c r="C833" s="23">
        <v>45235.860509259262</v>
      </c>
      <c r="D833" s="23" t="str">
        <f>IF(Table1[[#This Row],[Duration of Campaign]]=0, "Ongoing","Completed")</f>
        <v>Ongoing</v>
      </c>
      <c r="E833" s="25">
        <f>Table1[[#This Row],[End Date]]-Table1[[#This Row],[Start Date]]</f>
        <v>0</v>
      </c>
      <c r="F833" s="8">
        <v>5356</v>
      </c>
      <c r="G833" s="21" t="s">
        <v>53</v>
      </c>
      <c r="H833" s="11">
        <v>7126</v>
      </c>
      <c r="I833" s="11">
        <v>1539</v>
      </c>
      <c r="J833" s="11">
        <v>150</v>
      </c>
      <c r="K833" s="13">
        <v>14860</v>
      </c>
      <c r="L833" s="16">
        <f t="shared" si="72"/>
        <v>0.21596968846477688</v>
      </c>
      <c r="M833" s="16">
        <f t="shared" si="73"/>
        <v>9.7465886939571145E-2</v>
      </c>
      <c r="N833" s="17">
        <f t="shared" si="74"/>
        <v>0.54515919428200132</v>
      </c>
      <c r="O833" s="17">
        <f t="shared" si="75"/>
        <v>5.5933333333333337</v>
      </c>
      <c r="P833" s="16">
        <f t="shared" si="76"/>
        <v>0.15664675130694547</v>
      </c>
      <c r="Q833" s="16">
        <f t="shared" si="77"/>
        <v>17.71156138259833</v>
      </c>
      <c r="R833" s="2" t="s">
        <v>1688</v>
      </c>
      <c r="S833" s="21" t="s">
        <v>35</v>
      </c>
      <c r="T833" s="21" t="s">
        <v>45</v>
      </c>
      <c r="U833" s="8">
        <v>839</v>
      </c>
      <c r="V833" s="11">
        <v>1</v>
      </c>
      <c r="W833" t="str">
        <f>IF(Table1[[#This Row],[Satisfaction Rating]]&lt;2, "Low", IF(Table1[[#This Row],[Satisfaction Rating]]&lt;4, "Medium", "High"))</f>
        <v>Low</v>
      </c>
    </row>
    <row r="834" spans="1:23" ht="13" x14ac:dyDescent="0.15">
      <c r="A834" s="2" t="s">
        <v>1689</v>
      </c>
      <c r="B834" s="23">
        <v>45431.694201388891</v>
      </c>
      <c r="C834" s="23">
        <v>45431.694201388891</v>
      </c>
      <c r="D834" s="23" t="str">
        <f>IF(Table1[[#This Row],[Duration of Campaign]]=0, "Ongoing","Completed")</f>
        <v>Ongoing</v>
      </c>
      <c r="E834" s="25">
        <f>Table1[[#This Row],[End Date]]-Table1[[#This Row],[Start Date]]</f>
        <v>0</v>
      </c>
      <c r="F834" s="8">
        <v>4989</v>
      </c>
      <c r="G834" s="21" t="s">
        <v>37</v>
      </c>
      <c r="H834" s="11">
        <v>14763</v>
      </c>
      <c r="I834" s="11">
        <v>461</v>
      </c>
      <c r="J834" s="11">
        <v>424</v>
      </c>
      <c r="K834" s="13">
        <v>8356</v>
      </c>
      <c r="L834" s="16">
        <f t="shared" si="72"/>
        <v>3.1226715437241752E-2</v>
      </c>
      <c r="M834" s="16">
        <f t="shared" si="73"/>
        <v>0.91973969631236441</v>
      </c>
      <c r="N834" s="17">
        <f t="shared" si="74"/>
        <v>30.759219088937094</v>
      </c>
      <c r="O834" s="17">
        <f t="shared" si="75"/>
        <v>33.443396226415096</v>
      </c>
      <c r="P834" s="16">
        <f t="shared" si="76"/>
        <v>2.8422529565043093</v>
      </c>
      <c r="Q834" s="16">
        <f t="shared" si="77"/>
        <v>0.58928067700987308</v>
      </c>
      <c r="R834" s="2" t="s">
        <v>1690</v>
      </c>
      <c r="S834" s="21" t="s">
        <v>21</v>
      </c>
      <c r="T834" s="21" t="s">
        <v>27</v>
      </c>
      <c r="U834" s="8">
        <v>14180</v>
      </c>
      <c r="V834" s="11">
        <v>3</v>
      </c>
      <c r="W834" t="str">
        <f>IF(Table1[[#This Row],[Satisfaction Rating]]&lt;2, "Low", IF(Table1[[#This Row],[Satisfaction Rating]]&lt;4, "Medium", "High"))</f>
        <v>Medium</v>
      </c>
    </row>
    <row r="835" spans="1:23" ht="13" x14ac:dyDescent="0.15">
      <c r="A835" s="2" t="s">
        <v>1691</v>
      </c>
      <c r="B835" s="23">
        <v>45446.919733796298</v>
      </c>
      <c r="C835" s="23">
        <v>45446.919733796298</v>
      </c>
      <c r="D835" s="23" t="str">
        <f>IF(Table1[[#This Row],[Duration of Campaign]]=0, "Ongoing","Completed")</f>
        <v>Ongoing</v>
      </c>
      <c r="E835" s="25">
        <f>Table1[[#This Row],[End Date]]-Table1[[#This Row],[Start Date]]</f>
        <v>0</v>
      </c>
      <c r="F835" s="8">
        <v>1548</v>
      </c>
      <c r="G835" s="21" t="s">
        <v>19</v>
      </c>
      <c r="H835" s="11">
        <v>5543</v>
      </c>
      <c r="I835" s="11">
        <v>458</v>
      </c>
      <c r="J835" s="11">
        <v>362</v>
      </c>
      <c r="K835" s="13">
        <v>710</v>
      </c>
      <c r="L835" s="16">
        <f t="shared" ref="L835:L898" si="78">I835/H835</f>
        <v>8.2626736424318961E-2</v>
      </c>
      <c r="M835" s="16">
        <f t="shared" ref="M835:M898" si="79">J835/I835</f>
        <v>0.79039301310043664</v>
      </c>
      <c r="N835" s="17">
        <f t="shared" ref="N835:N898" si="80">U835/I835</f>
        <v>33.058951965065503</v>
      </c>
      <c r="O835" s="17">
        <f t="shared" ref="O835:O898" si="81">U835/J835</f>
        <v>41.825966850828728</v>
      </c>
      <c r="P835" s="16">
        <f t="shared" ref="P835:P898" si="82">U835/F835</f>
        <v>9.7810077519379846</v>
      </c>
      <c r="Q835" s="16">
        <f t="shared" ref="Q835:Q898" si="83">K835/U835</f>
        <v>4.6892543425137045E-2</v>
      </c>
      <c r="R835" s="2" t="s">
        <v>1692</v>
      </c>
      <c r="S835" s="21" t="s">
        <v>30</v>
      </c>
      <c r="T835" s="21" t="s">
        <v>17</v>
      </c>
      <c r="U835" s="8">
        <v>15141</v>
      </c>
      <c r="V835" s="11">
        <v>3</v>
      </c>
      <c r="W835" t="str">
        <f>IF(Table1[[#This Row],[Satisfaction Rating]]&lt;2, "Low", IF(Table1[[#This Row],[Satisfaction Rating]]&lt;4, "Medium", "High"))</f>
        <v>Medium</v>
      </c>
    </row>
    <row r="836" spans="1:23" ht="13" x14ac:dyDescent="0.15">
      <c r="A836" s="2" t="s">
        <v>1693</v>
      </c>
      <c r="B836" s="23">
        <v>45474.664097222223</v>
      </c>
      <c r="C836" s="23">
        <v>45474.664097222223</v>
      </c>
      <c r="D836" s="23" t="str">
        <f>IF(Table1[[#This Row],[Duration of Campaign]]=0, "Ongoing","Completed")</f>
        <v>Ongoing</v>
      </c>
      <c r="E836" s="25">
        <f>Table1[[#This Row],[End Date]]-Table1[[#This Row],[Start Date]]</f>
        <v>0</v>
      </c>
      <c r="F836" s="8">
        <v>9593</v>
      </c>
      <c r="G836" s="21" t="s">
        <v>19</v>
      </c>
      <c r="H836" s="11">
        <v>3383</v>
      </c>
      <c r="I836" s="11">
        <v>1510</v>
      </c>
      <c r="J836" s="11">
        <v>319</v>
      </c>
      <c r="K836" s="13">
        <v>13392</v>
      </c>
      <c r="L836" s="16">
        <f t="shared" si="78"/>
        <v>0.44634939402896839</v>
      </c>
      <c r="M836" s="16">
        <f t="shared" si="79"/>
        <v>0.21125827814569537</v>
      </c>
      <c r="N836" s="17">
        <f t="shared" si="80"/>
        <v>11.737086092715233</v>
      </c>
      <c r="O836" s="17">
        <f t="shared" si="81"/>
        <v>55.557993730407524</v>
      </c>
      <c r="P836" s="16">
        <f t="shared" si="82"/>
        <v>1.8474929636193058</v>
      </c>
      <c r="Q836" s="16">
        <f t="shared" si="83"/>
        <v>0.75562827963663037</v>
      </c>
      <c r="R836" s="2" t="s">
        <v>1694</v>
      </c>
      <c r="S836" s="21" t="s">
        <v>21</v>
      </c>
      <c r="T836" s="21" t="s">
        <v>45</v>
      </c>
      <c r="U836" s="8">
        <v>17723</v>
      </c>
      <c r="V836" s="11">
        <v>4</v>
      </c>
      <c r="W836" t="str">
        <f>IF(Table1[[#This Row],[Satisfaction Rating]]&lt;2, "Low", IF(Table1[[#This Row],[Satisfaction Rating]]&lt;4, "Medium", "High"))</f>
        <v>High</v>
      </c>
    </row>
    <row r="837" spans="1:23" ht="13" x14ac:dyDescent="0.15">
      <c r="A837" s="2" t="s">
        <v>1695</v>
      </c>
      <c r="B837" s="23">
        <v>45606.802812499998</v>
      </c>
      <c r="C837" s="23">
        <v>45606.802812499998</v>
      </c>
      <c r="D837" s="23" t="str">
        <f>IF(Table1[[#This Row],[Duration of Campaign]]=0, "Ongoing","Completed")</f>
        <v>Ongoing</v>
      </c>
      <c r="E837" s="25">
        <f>Table1[[#This Row],[End Date]]-Table1[[#This Row],[Start Date]]</f>
        <v>0</v>
      </c>
      <c r="F837" s="8">
        <v>1588</v>
      </c>
      <c r="G837" s="21" t="s">
        <v>53</v>
      </c>
      <c r="H837" s="11">
        <v>2721</v>
      </c>
      <c r="I837" s="11">
        <v>1670</v>
      </c>
      <c r="J837" s="11">
        <v>31</v>
      </c>
      <c r="K837" s="13">
        <v>14305</v>
      </c>
      <c r="L837" s="16">
        <f t="shared" si="78"/>
        <v>0.61374494671076807</v>
      </c>
      <c r="M837" s="16">
        <f t="shared" si="79"/>
        <v>1.8562874251497007E-2</v>
      </c>
      <c r="N837" s="17">
        <f t="shared" si="80"/>
        <v>2.4904191616766469</v>
      </c>
      <c r="O837" s="17">
        <f t="shared" si="81"/>
        <v>134.16129032258064</v>
      </c>
      <c r="P837" s="16">
        <f t="shared" si="82"/>
        <v>2.6190176322418135</v>
      </c>
      <c r="Q837" s="16">
        <f t="shared" si="83"/>
        <v>3.439528732868478</v>
      </c>
      <c r="R837" s="2" t="s">
        <v>1696</v>
      </c>
      <c r="S837" s="21" t="s">
        <v>30</v>
      </c>
      <c r="T837" s="21" t="s">
        <v>27</v>
      </c>
      <c r="U837" s="8">
        <v>4159</v>
      </c>
      <c r="V837" s="11">
        <v>1</v>
      </c>
      <c r="W837" t="str">
        <f>IF(Table1[[#This Row],[Satisfaction Rating]]&lt;2, "Low", IF(Table1[[#This Row],[Satisfaction Rating]]&lt;4, "Medium", "High"))</f>
        <v>Low</v>
      </c>
    </row>
    <row r="838" spans="1:23" ht="13" x14ac:dyDescent="0.15">
      <c r="A838" s="2" t="s">
        <v>1697</v>
      </c>
      <c r="B838" s="23">
        <v>45471.316701388889</v>
      </c>
      <c r="C838" s="23">
        <v>45471.316701388889</v>
      </c>
      <c r="D838" s="23" t="str">
        <f>IF(Table1[[#This Row],[Duration of Campaign]]=0, "Ongoing","Completed")</f>
        <v>Ongoing</v>
      </c>
      <c r="E838" s="25">
        <f>Table1[[#This Row],[End Date]]-Table1[[#This Row],[Start Date]]</f>
        <v>0</v>
      </c>
      <c r="F838" s="8">
        <v>2718</v>
      </c>
      <c r="G838" s="21" t="s">
        <v>14</v>
      </c>
      <c r="H838" s="11">
        <v>19544</v>
      </c>
      <c r="I838" s="11">
        <v>663</v>
      </c>
      <c r="J838" s="11">
        <v>389</v>
      </c>
      <c r="K838" s="13">
        <v>5743</v>
      </c>
      <c r="L838" s="16">
        <f t="shared" si="78"/>
        <v>3.3923454768726977E-2</v>
      </c>
      <c r="M838" s="16">
        <f t="shared" si="79"/>
        <v>0.5867269984917044</v>
      </c>
      <c r="N838" s="17">
        <f t="shared" si="80"/>
        <v>23.837104072398191</v>
      </c>
      <c r="O838" s="17">
        <f t="shared" si="81"/>
        <v>40.627249357326477</v>
      </c>
      <c r="P838" s="16">
        <f t="shared" si="82"/>
        <v>5.814569536423841</v>
      </c>
      <c r="Q838" s="16">
        <f t="shared" si="83"/>
        <v>0.36338901543912933</v>
      </c>
      <c r="R838" s="2" t="s">
        <v>1698</v>
      </c>
      <c r="S838" s="21" t="s">
        <v>30</v>
      </c>
      <c r="T838" s="21" t="s">
        <v>45</v>
      </c>
      <c r="U838" s="8">
        <v>15804</v>
      </c>
      <c r="V838" s="11">
        <v>1</v>
      </c>
      <c r="W838" t="str">
        <f>IF(Table1[[#This Row],[Satisfaction Rating]]&lt;2, "Low", IF(Table1[[#This Row],[Satisfaction Rating]]&lt;4, "Medium", "High"))</f>
        <v>Low</v>
      </c>
    </row>
    <row r="839" spans="1:23" ht="13" x14ac:dyDescent="0.15">
      <c r="A839" s="2" t="s">
        <v>1699</v>
      </c>
      <c r="B839" s="23">
        <v>45504.337627314817</v>
      </c>
      <c r="C839" s="23">
        <v>45504.337627314817</v>
      </c>
      <c r="D839" s="23" t="str">
        <f>IF(Table1[[#This Row],[Duration of Campaign]]=0, "Ongoing","Completed")</f>
        <v>Ongoing</v>
      </c>
      <c r="E839" s="25">
        <f>Table1[[#This Row],[End Date]]-Table1[[#This Row],[Start Date]]</f>
        <v>0</v>
      </c>
      <c r="F839" s="8">
        <v>2660</v>
      </c>
      <c r="G839" s="21" t="s">
        <v>19</v>
      </c>
      <c r="H839" s="11">
        <v>4588</v>
      </c>
      <c r="I839" s="11">
        <v>651</v>
      </c>
      <c r="J839" s="11">
        <v>26</v>
      </c>
      <c r="K839" s="13">
        <v>4608</v>
      </c>
      <c r="L839" s="16">
        <f t="shared" si="78"/>
        <v>0.14189189189189189</v>
      </c>
      <c r="M839" s="16">
        <f t="shared" si="79"/>
        <v>3.9938556067588324E-2</v>
      </c>
      <c r="N839" s="17">
        <f t="shared" si="80"/>
        <v>12.411674347158218</v>
      </c>
      <c r="O839" s="17">
        <f t="shared" si="81"/>
        <v>310.76923076923077</v>
      </c>
      <c r="P839" s="16">
        <f t="shared" si="82"/>
        <v>3.0375939849624061</v>
      </c>
      <c r="Q839" s="16">
        <f t="shared" si="83"/>
        <v>0.57029702970297025</v>
      </c>
      <c r="R839" s="2" t="s">
        <v>1700</v>
      </c>
      <c r="S839" s="21" t="s">
        <v>21</v>
      </c>
      <c r="T839" s="21" t="s">
        <v>27</v>
      </c>
      <c r="U839" s="8">
        <v>8080</v>
      </c>
      <c r="V839" s="11">
        <v>3</v>
      </c>
      <c r="W839" t="str">
        <f>IF(Table1[[#This Row],[Satisfaction Rating]]&lt;2, "Low", IF(Table1[[#This Row],[Satisfaction Rating]]&lt;4, "Medium", "High"))</f>
        <v>Medium</v>
      </c>
    </row>
    <row r="840" spans="1:23" ht="13" x14ac:dyDescent="0.15">
      <c r="A840" s="2" t="s">
        <v>1701</v>
      </c>
      <c r="B840" s="23">
        <v>45408.34814814815</v>
      </c>
      <c r="C840" s="23">
        <v>45408.34814814815</v>
      </c>
      <c r="D840" s="23" t="str">
        <f>IF(Table1[[#This Row],[Duration of Campaign]]=0, "Ongoing","Completed")</f>
        <v>Ongoing</v>
      </c>
      <c r="E840" s="25">
        <f>Table1[[#This Row],[End Date]]-Table1[[#This Row],[Start Date]]</f>
        <v>0</v>
      </c>
      <c r="F840" s="8">
        <v>1349</v>
      </c>
      <c r="G840" s="21" t="s">
        <v>53</v>
      </c>
      <c r="H840" s="11">
        <v>4640</v>
      </c>
      <c r="I840" s="11">
        <v>1508</v>
      </c>
      <c r="J840" s="11">
        <v>60</v>
      </c>
      <c r="K840" s="13">
        <v>9306</v>
      </c>
      <c r="L840" s="16">
        <f t="shared" si="78"/>
        <v>0.32500000000000001</v>
      </c>
      <c r="M840" s="16">
        <f t="shared" si="79"/>
        <v>3.9787798408488062E-2</v>
      </c>
      <c r="N840" s="17">
        <f t="shared" si="80"/>
        <v>10.669098143236074</v>
      </c>
      <c r="O840" s="17">
        <f t="shared" si="81"/>
        <v>268.14999999999998</v>
      </c>
      <c r="P840" s="16">
        <f t="shared" si="82"/>
        <v>11.926612305411416</v>
      </c>
      <c r="Q840" s="16">
        <f t="shared" si="83"/>
        <v>0.5784076076822674</v>
      </c>
      <c r="R840" s="2" t="s">
        <v>1702</v>
      </c>
      <c r="S840" s="21" t="s">
        <v>21</v>
      </c>
      <c r="T840" s="21" t="s">
        <v>45</v>
      </c>
      <c r="U840" s="8">
        <v>16089</v>
      </c>
      <c r="V840" s="11">
        <v>3</v>
      </c>
      <c r="W840" t="str">
        <f>IF(Table1[[#This Row],[Satisfaction Rating]]&lt;2, "Low", IF(Table1[[#This Row],[Satisfaction Rating]]&lt;4, "Medium", "High"))</f>
        <v>Medium</v>
      </c>
    </row>
    <row r="841" spans="1:23" ht="13" x14ac:dyDescent="0.15">
      <c r="A841" s="2" t="s">
        <v>1703</v>
      </c>
      <c r="B841" s="23">
        <v>45577.169409722221</v>
      </c>
      <c r="C841" s="23">
        <v>45577.169409722221</v>
      </c>
      <c r="D841" s="23" t="str">
        <f>IF(Table1[[#This Row],[Duration of Campaign]]=0, "Ongoing","Completed")</f>
        <v>Ongoing</v>
      </c>
      <c r="E841" s="25">
        <f>Table1[[#This Row],[End Date]]-Table1[[#This Row],[Start Date]]</f>
        <v>0</v>
      </c>
      <c r="F841" s="8">
        <v>6367</v>
      </c>
      <c r="G841" s="21" t="s">
        <v>19</v>
      </c>
      <c r="H841" s="11">
        <v>17983</v>
      </c>
      <c r="I841" s="11">
        <v>631</v>
      </c>
      <c r="J841" s="11">
        <v>61</v>
      </c>
      <c r="K841" s="13">
        <v>3045</v>
      </c>
      <c r="L841" s="16">
        <f t="shared" si="78"/>
        <v>3.5088694878496356E-2</v>
      </c>
      <c r="M841" s="16">
        <f t="shared" si="79"/>
        <v>9.6671949286846276E-2</v>
      </c>
      <c r="N841" s="17">
        <f t="shared" si="80"/>
        <v>2.4548335974643423</v>
      </c>
      <c r="O841" s="17">
        <f t="shared" si="81"/>
        <v>25.393442622950818</v>
      </c>
      <c r="P841" s="16">
        <f t="shared" si="82"/>
        <v>0.2432856918485943</v>
      </c>
      <c r="Q841" s="16">
        <f t="shared" si="83"/>
        <v>1.9657843770174306</v>
      </c>
      <c r="R841" s="2" t="s">
        <v>1704</v>
      </c>
      <c r="S841" s="21" t="s">
        <v>21</v>
      </c>
      <c r="T841" s="21" t="s">
        <v>17</v>
      </c>
      <c r="U841" s="8">
        <v>1549</v>
      </c>
      <c r="V841" s="11">
        <v>4</v>
      </c>
      <c r="W841" t="str">
        <f>IF(Table1[[#This Row],[Satisfaction Rating]]&lt;2, "Low", IF(Table1[[#This Row],[Satisfaction Rating]]&lt;4, "Medium", "High"))</f>
        <v>High</v>
      </c>
    </row>
    <row r="842" spans="1:23" ht="13" x14ac:dyDescent="0.15">
      <c r="A842" s="2" t="s">
        <v>1705</v>
      </c>
      <c r="B842" s="23">
        <v>45198.206203703703</v>
      </c>
      <c r="C842" s="23">
        <v>45198.206203703703</v>
      </c>
      <c r="D842" s="23" t="str">
        <f>IF(Table1[[#This Row],[Duration of Campaign]]=0, "Ongoing","Completed")</f>
        <v>Ongoing</v>
      </c>
      <c r="E842" s="25">
        <f>Table1[[#This Row],[End Date]]-Table1[[#This Row],[Start Date]]</f>
        <v>0</v>
      </c>
      <c r="F842" s="8">
        <v>5764</v>
      </c>
      <c r="G842" s="21" t="s">
        <v>53</v>
      </c>
      <c r="H842" s="11">
        <v>4571</v>
      </c>
      <c r="I842" s="11">
        <v>1873</v>
      </c>
      <c r="J842" s="11">
        <v>261</v>
      </c>
      <c r="K842" s="13">
        <v>4518</v>
      </c>
      <c r="L842" s="16">
        <f t="shared" si="78"/>
        <v>0.40975716473419382</v>
      </c>
      <c r="M842" s="16">
        <f t="shared" si="79"/>
        <v>0.13934863854778431</v>
      </c>
      <c r="N842" s="17">
        <f t="shared" si="80"/>
        <v>7.7474639615589966</v>
      </c>
      <c r="O842" s="17">
        <f t="shared" si="81"/>
        <v>55.597701149425291</v>
      </c>
      <c r="P842" s="16">
        <f t="shared" si="82"/>
        <v>2.5175225537820958</v>
      </c>
      <c r="Q842" s="16">
        <f t="shared" si="83"/>
        <v>0.31135001033698573</v>
      </c>
      <c r="R842" s="2" t="s">
        <v>1706</v>
      </c>
      <c r="S842" s="21" t="s">
        <v>35</v>
      </c>
      <c r="T842" s="21" t="s">
        <v>17</v>
      </c>
      <c r="U842" s="8">
        <v>14511</v>
      </c>
      <c r="V842" s="11">
        <v>5</v>
      </c>
      <c r="W842" t="str">
        <f>IF(Table1[[#This Row],[Satisfaction Rating]]&lt;2, "Low", IF(Table1[[#This Row],[Satisfaction Rating]]&lt;4, "Medium", "High"))</f>
        <v>High</v>
      </c>
    </row>
    <row r="843" spans="1:23" ht="13" x14ac:dyDescent="0.15">
      <c r="A843" s="2" t="s">
        <v>1707</v>
      </c>
      <c r="B843" s="23">
        <v>45406.671990740739</v>
      </c>
      <c r="C843" s="23">
        <v>45406.671990740739</v>
      </c>
      <c r="D843" s="23" t="str">
        <f>IF(Table1[[#This Row],[Duration of Campaign]]=0, "Ongoing","Completed")</f>
        <v>Ongoing</v>
      </c>
      <c r="E843" s="25">
        <f>Table1[[#This Row],[End Date]]-Table1[[#This Row],[Start Date]]</f>
        <v>0</v>
      </c>
      <c r="F843" s="8">
        <v>8138</v>
      </c>
      <c r="G843" s="21" t="s">
        <v>53</v>
      </c>
      <c r="H843" s="11">
        <v>10382</v>
      </c>
      <c r="I843" s="11">
        <v>633</v>
      </c>
      <c r="J843" s="11">
        <v>110</v>
      </c>
      <c r="K843" s="13">
        <v>14151</v>
      </c>
      <c r="L843" s="16">
        <f t="shared" si="78"/>
        <v>6.097091119244847E-2</v>
      </c>
      <c r="M843" s="16">
        <f t="shared" si="79"/>
        <v>0.17377567140600317</v>
      </c>
      <c r="N843" s="17">
        <f t="shared" si="80"/>
        <v>22.597156398104264</v>
      </c>
      <c r="O843" s="17">
        <f t="shared" si="81"/>
        <v>130.03636363636363</v>
      </c>
      <c r="P843" s="16">
        <f t="shared" si="82"/>
        <v>1.7576800196608504</v>
      </c>
      <c r="Q843" s="16">
        <f t="shared" si="83"/>
        <v>0.98930369127516782</v>
      </c>
      <c r="R843" s="2" t="s">
        <v>1708</v>
      </c>
      <c r="S843" s="21" t="s">
        <v>16</v>
      </c>
      <c r="T843" s="21" t="s">
        <v>45</v>
      </c>
      <c r="U843" s="8">
        <v>14304</v>
      </c>
      <c r="V843" s="11">
        <v>4</v>
      </c>
      <c r="W843" t="str">
        <f>IF(Table1[[#This Row],[Satisfaction Rating]]&lt;2, "Low", IF(Table1[[#This Row],[Satisfaction Rating]]&lt;4, "Medium", "High"))</f>
        <v>High</v>
      </c>
    </row>
    <row r="844" spans="1:23" ht="13" x14ac:dyDescent="0.15">
      <c r="A844" s="2" t="s">
        <v>1709</v>
      </c>
      <c r="B844" s="23">
        <v>44928.938125000001</v>
      </c>
      <c r="C844" s="23">
        <v>45145.684062499997</v>
      </c>
      <c r="D844" s="23" t="str">
        <f>IF(Table1[[#This Row],[Duration of Campaign]]=0, "Ongoing","Completed")</f>
        <v>Completed</v>
      </c>
      <c r="E844" s="25">
        <f>Table1[[#This Row],[End Date]]-Table1[[#This Row],[Start Date]]</f>
        <v>216.74593749999622</v>
      </c>
      <c r="F844" s="8">
        <v>2513</v>
      </c>
      <c r="G844" s="21" t="s">
        <v>14</v>
      </c>
      <c r="H844" s="11">
        <v>11489</v>
      </c>
      <c r="I844" s="11">
        <v>1582</v>
      </c>
      <c r="J844" s="11">
        <v>35</v>
      </c>
      <c r="K844" s="13">
        <v>7713</v>
      </c>
      <c r="L844" s="16">
        <f t="shared" si="78"/>
        <v>0.13769692749586562</v>
      </c>
      <c r="M844" s="16">
        <f t="shared" si="79"/>
        <v>2.2123893805309734E-2</v>
      </c>
      <c r="N844" s="17">
        <f t="shared" si="80"/>
        <v>11.525284450063211</v>
      </c>
      <c r="O844" s="17">
        <f t="shared" si="81"/>
        <v>520.94285714285718</v>
      </c>
      <c r="P844" s="16">
        <f t="shared" si="82"/>
        <v>7.2554715479506564</v>
      </c>
      <c r="Q844" s="16">
        <f t="shared" si="83"/>
        <v>0.42302418691383753</v>
      </c>
      <c r="R844" s="2" t="s">
        <v>1710</v>
      </c>
      <c r="S844" s="21" t="s">
        <v>30</v>
      </c>
      <c r="T844" s="21" t="s">
        <v>27</v>
      </c>
      <c r="U844" s="8">
        <v>18233</v>
      </c>
      <c r="V844" s="11">
        <v>2</v>
      </c>
      <c r="W844" t="str">
        <f>IF(Table1[[#This Row],[Satisfaction Rating]]&lt;2, "Low", IF(Table1[[#This Row],[Satisfaction Rating]]&lt;4, "Medium", "High"))</f>
        <v>Medium</v>
      </c>
    </row>
    <row r="845" spans="1:23" ht="13" x14ac:dyDescent="0.15">
      <c r="A845" s="2" t="s">
        <v>1711</v>
      </c>
      <c r="B845" s="23">
        <v>45474.956354166665</v>
      </c>
      <c r="C845" s="23">
        <v>45494.294733796298</v>
      </c>
      <c r="D845" s="23" t="str">
        <f>IF(Table1[[#This Row],[Duration of Campaign]]=0, "Ongoing","Completed")</f>
        <v>Completed</v>
      </c>
      <c r="E845" s="25">
        <f>Table1[[#This Row],[End Date]]-Table1[[#This Row],[Start Date]]</f>
        <v>19.338379629632982</v>
      </c>
      <c r="F845" s="8">
        <v>9388</v>
      </c>
      <c r="G845" s="21" t="s">
        <v>37</v>
      </c>
      <c r="H845" s="11">
        <v>6609</v>
      </c>
      <c r="I845" s="11">
        <v>1375</v>
      </c>
      <c r="J845" s="11">
        <v>373</v>
      </c>
      <c r="K845" s="13">
        <v>14614</v>
      </c>
      <c r="L845" s="16">
        <f t="shared" si="78"/>
        <v>0.2080496292933878</v>
      </c>
      <c r="M845" s="16">
        <f t="shared" si="79"/>
        <v>0.27127272727272728</v>
      </c>
      <c r="N845" s="17">
        <f t="shared" si="80"/>
        <v>10.197090909090909</v>
      </c>
      <c r="O845" s="17">
        <f t="shared" si="81"/>
        <v>37.589812332439678</v>
      </c>
      <c r="P845" s="16">
        <f t="shared" si="82"/>
        <v>1.4935023434171282</v>
      </c>
      <c r="Q845" s="16">
        <f t="shared" si="83"/>
        <v>1.0422937023036873</v>
      </c>
      <c r="R845" s="2" t="s">
        <v>1712</v>
      </c>
      <c r="S845" s="21" t="s">
        <v>16</v>
      </c>
      <c r="T845" s="21" t="s">
        <v>27</v>
      </c>
      <c r="U845" s="8">
        <v>14021</v>
      </c>
      <c r="V845" s="11">
        <v>4</v>
      </c>
      <c r="W845" t="str">
        <f>IF(Table1[[#This Row],[Satisfaction Rating]]&lt;2, "Low", IF(Table1[[#This Row],[Satisfaction Rating]]&lt;4, "Medium", "High"))</f>
        <v>High</v>
      </c>
    </row>
    <row r="846" spans="1:23" ht="13" x14ac:dyDescent="0.15">
      <c r="A846" s="2" t="s">
        <v>1713</v>
      </c>
      <c r="B846" s="23">
        <v>45577.933888888889</v>
      </c>
      <c r="C846" s="23">
        <v>45577.933888888889</v>
      </c>
      <c r="D846" s="23" t="str">
        <f>IF(Table1[[#This Row],[Duration of Campaign]]=0, "Ongoing","Completed")</f>
        <v>Ongoing</v>
      </c>
      <c r="E846" s="25">
        <f>Table1[[#This Row],[End Date]]-Table1[[#This Row],[Start Date]]</f>
        <v>0</v>
      </c>
      <c r="F846" s="8">
        <v>9112</v>
      </c>
      <c r="G846" s="21" t="s">
        <v>53</v>
      </c>
      <c r="H846" s="11">
        <v>17356</v>
      </c>
      <c r="I846" s="11">
        <v>574</v>
      </c>
      <c r="J846" s="11">
        <v>193</v>
      </c>
      <c r="K846" s="13">
        <v>10255</v>
      </c>
      <c r="L846" s="16">
        <f t="shared" si="78"/>
        <v>3.3072136436967041E-2</v>
      </c>
      <c r="M846" s="16">
        <f t="shared" si="79"/>
        <v>0.33623693379790942</v>
      </c>
      <c r="N846" s="17">
        <f t="shared" si="80"/>
        <v>30.851916376306619</v>
      </c>
      <c r="O846" s="17">
        <f t="shared" si="81"/>
        <v>91.756476683937819</v>
      </c>
      <c r="P846" s="16">
        <f t="shared" si="82"/>
        <v>1.9434811237928007</v>
      </c>
      <c r="Q846" s="16">
        <f t="shared" si="83"/>
        <v>0.57908408154045965</v>
      </c>
      <c r="R846" s="2" t="s">
        <v>1714</v>
      </c>
      <c r="S846" s="21" t="s">
        <v>21</v>
      </c>
      <c r="T846" s="21" t="s">
        <v>45</v>
      </c>
      <c r="U846" s="8">
        <v>17709</v>
      </c>
      <c r="V846" s="11">
        <v>1</v>
      </c>
      <c r="W846" t="str">
        <f>IF(Table1[[#This Row],[Satisfaction Rating]]&lt;2, "Low", IF(Table1[[#This Row],[Satisfaction Rating]]&lt;4, "Medium", "High"))</f>
        <v>Low</v>
      </c>
    </row>
    <row r="847" spans="1:23" ht="13" x14ac:dyDescent="0.15">
      <c r="A847" s="2" t="s">
        <v>1715</v>
      </c>
      <c r="B847" s="23">
        <v>45637.608032407406</v>
      </c>
      <c r="C847" s="23">
        <v>45637.608032407406</v>
      </c>
      <c r="D847" s="23" t="str">
        <f>IF(Table1[[#This Row],[Duration of Campaign]]=0, "Ongoing","Completed")</f>
        <v>Ongoing</v>
      </c>
      <c r="E847" s="25">
        <f>Table1[[#This Row],[End Date]]-Table1[[#This Row],[Start Date]]</f>
        <v>0</v>
      </c>
      <c r="F847" s="8">
        <v>3509</v>
      </c>
      <c r="G847" s="21" t="s">
        <v>14</v>
      </c>
      <c r="H847" s="11">
        <v>18097</v>
      </c>
      <c r="I847" s="11">
        <v>1537</v>
      </c>
      <c r="J847" s="11">
        <v>274</v>
      </c>
      <c r="K847" s="13">
        <v>12408</v>
      </c>
      <c r="L847" s="16">
        <f t="shared" si="78"/>
        <v>8.4931204066972424E-2</v>
      </c>
      <c r="M847" s="16">
        <f t="shared" si="79"/>
        <v>0.1782693558880937</v>
      </c>
      <c r="N847" s="17">
        <f t="shared" si="80"/>
        <v>4.8445022771633051</v>
      </c>
      <c r="O847" s="17">
        <f t="shared" si="81"/>
        <v>27.175182481751825</v>
      </c>
      <c r="P847" s="16">
        <f t="shared" si="82"/>
        <v>2.1219720718153319</v>
      </c>
      <c r="Q847" s="16">
        <f t="shared" si="83"/>
        <v>1.6663980660757454</v>
      </c>
      <c r="R847" s="2" t="s">
        <v>1716</v>
      </c>
      <c r="S847" s="21" t="s">
        <v>24</v>
      </c>
      <c r="T847" s="21" t="s">
        <v>27</v>
      </c>
      <c r="U847" s="8">
        <v>7446</v>
      </c>
      <c r="V847" s="11">
        <v>3</v>
      </c>
      <c r="W847" t="str">
        <f>IF(Table1[[#This Row],[Satisfaction Rating]]&lt;2, "Low", IF(Table1[[#This Row],[Satisfaction Rating]]&lt;4, "Medium", "High"))</f>
        <v>Medium</v>
      </c>
    </row>
    <row r="848" spans="1:23" ht="13" x14ac:dyDescent="0.15">
      <c r="A848" s="2" t="s">
        <v>1717</v>
      </c>
      <c r="B848" s="23">
        <v>45336.983425925922</v>
      </c>
      <c r="C848" s="23">
        <v>45531.179224537038</v>
      </c>
      <c r="D848" s="23" t="str">
        <f>IF(Table1[[#This Row],[Duration of Campaign]]=0, "Ongoing","Completed")</f>
        <v>Completed</v>
      </c>
      <c r="E848" s="25">
        <f>Table1[[#This Row],[End Date]]-Table1[[#This Row],[Start Date]]</f>
        <v>194.19579861111561</v>
      </c>
      <c r="F848" s="8">
        <v>6176</v>
      </c>
      <c r="G848" s="21" t="s">
        <v>19</v>
      </c>
      <c r="H848" s="11">
        <v>13609</v>
      </c>
      <c r="I848" s="11">
        <v>141</v>
      </c>
      <c r="J848" s="11">
        <v>114</v>
      </c>
      <c r="K848" s="13">
        <v>5956</v>
      </c>
      <c r="L848" s="16">
        <f t="shared" si="78"/>
        <v>1.0360790653244177E-2</v>
      </c>
      <c r="M848" s="16">
        <f t="shared" si="79"/>
        <v>0.80851063829787229</v>
      </c>
      <c r="N848" s="17">
        <f t="shared" si="80"/>
        <v>73.531914893617028</v>
      </c>
      <c r="O848" s="17">
        <f t="shared" si="81"/>
        <v>90.94736842105263</v>
      </c>
      <c r="P848" s="16">
        <f t="shared" si="82"/>
        <v>1.6787564766839378</v>
      </c>
      <c r="Q848" s="16">
        <f t="shared" si="83"/>
        <v>0.57445987654320985</v>
      </c>
      <c r="R848" s="2" t="s">
        <v>1718</v>
      </c>
      <c r="S848" s="21" t="s">
        <v>35</v>
      </c>
      <c r="T848" s="21" t="s">
        <v>45</v>
      </c>
      <c r="U848" s="8">
        <v>10368</v>
      </c>
      <c r="V848" s="11">
        <v>3</v>
      </c>
      <c r="W848" t="str">
        <f>IF(Table1[[#This Row],[Satisfaction Rating]]&lt;2, "Low", IF(Table1[[#This Row],[Satisfaction Rating]]&lt;4, "Medium", "High"))</f>
        <v>Medium</v>
      </c>
    </row>
    <row r="849" spans="1:23" ht="13" x14ac:dyDescent="0.15">
      <c r="A849" s="2" t="s">
        <v>1719</v>
      </c>
      <c r="B849" s="23">
        <v>45512.310196759259</v>
      </c>
      <c r="C849" s="23">
        <v>45637.022685185184</v>
      </c>
      <c r="D849" s="23" t="str">
        <f>IF(Table1[[#This Row],[Duration of Campaign]]=0, "Ongoing","Completed")</f>
        <v>Completed</v>
      </c>
      <c r="E849" s="25">
        <f>Table1[[#This Row],[End Date]]-Table1[[#This Row],[Start Date]]</f>
        <v>124.71248842592468</v>
      </c>
      <c r="F849" s="8">
        <v>6876</v>
      </c>
      <c r="G849" s="21" t="s">
        <v>14</v>
      </c>
      <c r="H849" s="11">
        <v>13928</v>
      </c>
      <c r="I849" s="11">
        <v>816</v>
      </c>
      <c r="J849" s="11">
        <v>21</v>
      </c>
      <c r="K849" s="13">
        <v>2901</v>
      </c>
      <c r="L849" s="16">
        <f t="shared" si="78"/>
        <v>5.858701895462378E-2</v>
      </c>
      <c r="M849" s="16">
        <f t="shared" si="79"/>
        <v>2.5735294117647058E-2</v>
      </c>
      <c r="N849" s="17">
        <f t="shared" si="80"/>
        <v>23.024509803921568</v>
      </c>
      <c r="O849" s="17">
        <f t="shared" si="81"/>
        <v>894.66666666666663</v>
      </c>
      <c r="P849" s="16">
        <f t="shared" si="82"/>
        <v>2.7324025596276904</v>
      </c>
      <c r="Q849" s="16">
        <f t="shared" si="83"/>
        <v>0.15440706834149456</v>
      </c>
      <c r="R849" s="2" t="s">
        <v>1720</v>
      </c>
      <c r="S849" s="21" t="s">
        <v>21</v>
      </c>
      <c r="T849" s="21" t="s">
        <v>45</v>
      </c>
      <c r="U849" s="8">
        <v>18788</v>
      </c>
      <c r="V849" s="11">
        <v>1</v>
      </c>
      <c r="W849" t="str">
        <f>IF(Table1[[#This Row],[Satisfaction Rating]]&lt;2, "Low", IF(Table1[[#This Row],[Satisfaction Rating]]&lt;4, "Medium", "High"))</f>
        <v>Low</v>
      </c>
    </row>
    <row r="850" spans="1:23" ht="13" x14ac:dyDescent="0.15">
      <c r="A850" s="2" t="s">
        <v>1721</v>
      </c>
      <c r="B850" s="23">
        <v>45262.060393518521</v>
      </c>
      <c r="C850" s="23">
        <v>45262.060393518521</v>
      </c>
      <c r="D850" s="23" t="str">
        <f>IF(Table1[[#This Row],[Duration of Campaign]]=0, "Ongoing","Completed")</f>
        <v>Ongoing</v>
      </c>
      <c r="E850" s="25">
        <f>Table1[[#This Row],[End Date]]-Table1[[#This Row],[Start Date]]</f>
        <v>0</v>
      </c>
      <c r="F850" s="8">
        <v>7983</v>
      </c>
      <c r="G850" s="21" t="s">
        <v>19</v>
      </c>
      <c r="H850" s="11">
        <v>11772</v>
      </c>
      <c r="I850" s="11">
        <v>1601</v>
      </c>
      <c r="J850" s="11">
        <v>212</v>
      </c>
      <c r="K850" s="13">
        <v>8508</v>
      </c>
      <c r="L850" s="16">
        <f t="shared" si="78"/>
        <v>0.13600067957866124</v>
      </c>
      <c r="M850" s="16">
        <f t="shared" si="79"/>
        <v>0.13241723922548407</v>
      </c>
      <c r="N850" s="17">
        <f t="shared" si="80"/>
        <v>3.919425359150531</v>
      </c>
      <c r="O850" s="17">
        <f t="shared" si="81"/>
        <v>29.599056603773583</v>
      </c>
      <c r="P850" s="16">
        <f t="shared" si="82"/>
        <v>0.78604534636101719</v>
      </c>
      <c r="Q850" s="16">
        <f t="shared" si="83"/>
        <v>1.3558565737051793</v>
      </c>
      <c r="R850" s="2" t="s">
        <v>1722</v>
      </c>
      <c r="S850" s="21" t="s">
        <v>30</v>
      </c>
      <c r="T850" s="21" t="s">
        <v>45</v>
      </c>
      <c r="U850" s="8">
        <v>6275</v>
      </c>
      <c r="V850" s="11">
        <v>5</v>
      </c>
      <c r="W850" t="str">
        <f>IF(Table1[[#This Row],[Satisfaction Rating]]&lt;2, "Low", IF(Table1[[#This Row],[Satisfaction Rating]]&lt;4, "Medium", "High"))</f>
        <v>High</v>
      </c>
    </row>
    <row r="851" spans="1:23" ht="13" x14ac:dyDescent="0.15">
      <c r="A851" s="2" t="s">
        <v>1723</v>
      </c>
      <c r="B851" s="23">
        <v>45123.721168981479</v>
      </c>
      <c r="C851" s="23">
        <v>45123.721168981479</v>
      </c>
      <c r="D851" s="23" t="str">
        <f>IF(Table1[[#This Row],[Duration of Campaign]]=0, "Ongoing","Completed")</f>
        <v>Ongoing</v>
      </c>
      <c r="E851" s="25">
        <f>Table1[[#This Row],[End Date]]-Table1[[#This Row],[Start Date]]</f>
        <v>0</v>
      </c>
      <c r="F851" s="8">
        <v>9067</v>
      </c>
      <c r="G851" s="21" t="s">
        <v>19</v>
      </c>
      <c r="H851" s="11">
        <v>14035</v>
      </c>
      <c r="I851" s="11">
        <v>746</v>
      </c>
      <c r="J851" s="11">
        <v>98</v>
      </c>
      <c r="K851" s="13">
        <v>9406</v>
      </c>
      <c r="L851" s="16">
        <f t="shared" si="78"/>
        <v>5.3152832205201284E-2</v>
      </c>
      <c r="M851" s="16">
        <f t="shared" si="79"/>
        <v>0.13136729222520108</v>
      </c>
      <c r="N851" s="17">
        <f t="shared" si="80"/>
        <v>21.833780160857909</v>
      </c>
      <c r="O851" s="17">
        <f t="shared" si="81"/>
        <v>166.20408163265307</v>
      </c>
      <c r="P851" s="16">
        <f t="shared" si="82"/>
        <v>1.79640454395059</v>
      </c>
      <c r="Q851" s="16">
        <f t="shared" si="83"/>
        <v>0.57748035363457761</v>
      </c>
      <c r="R851" s="2" t="s">
        <v>1724</v>
      </c>
      <c r="S851" s="21" t="s">
        <v>21</v>
      </c>
      <c r="T851" s="21" t="s">
        <v>17</v>
      </c>
      <c r="U851" s="8">
        <v>16288</v>
      </c>
      <c r="V851" s="11">
        <v>1</v>
      </c>
      <c r="W851" t="str">
        <f>IF(Table1[[#This Row],[Satisfaction Rating]]&lt;2, "Low", IF(Table1[[#This Row],[Satisfaction Rating]]&lt;4, "Medium", "High"))</f>
        <v>Low</v>
      </c>
    </row>
    <row r="852" spans="1:23" ht="13" x14ac:dyDescent="0.15">
      <c r="A852" s="2" t="s">
        <v>1725</v>
      </c>
      <c r="B852" s="23">
        <v>45255.857685185183</v>
      </c>
      <c r="C852" s="23">
        <v>45255.857685185183</v>
      </c>
      <c r="D852" s="23" t="str">
        <f>IF(Table1[[#This Row],[Duration of Campaign]]=0, "Ongoing","Completed")</f>
        <v>Ongoing</v>
      </c>
      <c r="E852" s="25">
        <f>Table1[[#This Row],[End Date]]-Table1[[#This Row],[Start Date]]</f>
        <v>0</v>
      </c>
      <c r="F852" s="8">
        <v>6554</v>
      </c>
      <c r="G852" s="21" t="s">
        <v>53</v>
      </c>
      <c r="H852" s="11">
        <v>13328</v>
      </c>
      <c r="I852" s="11">
        <v>685</v>
      </c>
      <c r="J852" s="11">
        <v>348</v>
      </c>
      <c r="K852" s="13">
        <v>8490</v>
      </c>
      <c r="L852" s="16">
        <f t="shared" si="78"/>
        <v>5.1395558223289319E-2</v>
      </c>
      <c r="M852" s="16">
        <f t="shared" si="79"/>
        <v>0.50802919708029193</v>
      </c>
      <c r="N852" s="17">
        <f t="shared" si="80"/>
        <v>11.217518248175182</v>
      </c>
      <c r="O852" s="17">
        <f t="shared" si="81"/>
        <v>22.080459770114942</v>
      </c>
      <c r="P852" s="16">
        <f t="shared" si="82"/>
        <v>1.1724137931034482</v>
      </c>
      <c r="Q852" s="16">
        <f t="shared" si="83"/>
        <v>1.1048932847475272</v>
      </c>
      <c r="R852" s="2" t="s">
        <v>1726</v>
      </c>
      <c r="S852" s="21" t="s">
        <v>30</v>
      </c>
      <c r="T852" s="21" t="s">
        <v>27</v>
      </c>
      <c r="U852" s="8">
        <v>7684</v>
      </c>
      <c r="V852" s="11">
        <v>4</v>
      </c>
      <c r="W852" t="str">
        <f>IF(Table1[[#This Row],[Satisfaction Rating]]&lt;2, "Low", IF(Table1[[#This Row],[Satisfaction Rating]]&lt;4, "Medium", "High"))</f>
        <v>High</v>
      </c>
    </row>
    <row r="853" spans="1:23" ht="13" x14ac:dyDescent="0.15">
      <c r="A853" s="2" t="s">
        <v>1727</v>
      </c>
      <c r="B853" s="23">
        <v>45560.528333333335</v>
      </c>
      <c r="C853" s="23">
        <v>45560.528333333335</v>
      </c>
      <c r="D853" s="23" t="str">
        <f>IF(Table1[[#This Row],[Duration of Campaign]]=0, "Ongoing","Completed")</f>
        <v>Ongoing</v>
      </c>
      <c r="E853" s="25">
        <f>Table1[[#This Row],[End Date]]-Table1[[#This Row],[Start Date]]</f>
        <v>0</v>
      </c>
      <c r="F853" s="8">
        <v>7743</v>
      </c>
      <c r="G853" s="21" t="s">
        <v>37</v>
      </c>
      <c r="H853" s="11">
        <v>6465</v>
      </c>
      <c r="I853" s="11">
        <v>1799</v>
      </c>
      <c r="J853" s="11">
        <v>430</v>
      </c>
      <c r="K853" s="13">
        <v>6723</v>
      </c>
      <c r="L853" s="16">
        <f t="shared" si="78"/>
        <v>0.27826759474091262</v>
      </c>
      <c r="M853" s="16">
        <f t="shared" si="79"/>
        <v>0.23902167871039467</v>
      </c>
      <c r="N853" s="17">
        <f t="shared" si="80"/>
        <v>10.58254585881045</v>
      </c>
      <c r="O853" s="17">
        <f t="shared" si="81"/>
        <v>44.27441860465116</v>
      </c>
      <c r="P853" s="16">
        <f t="shared" si="82"/>
        <v>2.458736923672995</v>
      </c>
      <c r="Q853" s="16">
        <f t="shared" si="83"/>
        <v>0.35313583359596595</v>
      </c>
      <c r="R853" s="2" t="s">
        <v>1728</v>
      </c>
      <c r="S853" s="21" t="s">
        <v>24</v>
      </c>
      <c r="T853" s="21" t="s">
        <v>27</v>
      </c>
      <c r="U853" s="8">
        <v>19038</v>
      </c>
      <c r="V853" s="11">
        <v>3</v>
      </c>
      <c r="W853" t="str">
        <f>IF(Table1[[#This Row],[Satisfaction Rating]]&lt;2, "Low", IF(Table1[[#This Row],[Satisfaction Rating]]&lt;4, "Medium", "High"))</f>
        <v>Medium</v>
      </c>
    </row>
    <row r="854" spans="1:23" ht="13" x14ac:dyDescent="0.15">
      <c r="A854" s="2" t="s">
        <v>1729</v>
      </c>
      <c r="B854" s="23">
        <v>45378.433240740742</v>
      </c>
      <c r="C854" s="23">
        <v>45388.307881944442</v>
      </c>
      <c r="D854" s="23" t="str">
        <f>IF(Table1[[#This Row],[Duration of Campaign]]=0, "Ongoing","Completed")</f>
        <v>Completed</v>
      </c>
      <c r="E854" s="25">
        <f>Table1[[#This Row],[End Date]]-Table1[[#This Row],[Start Date]]</f>
        <v>9.8746412036998663</v>
      </c>
      <c r="F854" s="8">
        <v>5347</v>
      </c>
      <c r="G854" s="21" t="s">
        <v>53</v>
      </c>
      <c r="H854" s="11">
        <v>3239</v>
      </c>
      <c r="I854" s="11">
        <v>1233</v>
      </c>
      <c r="J854" s="11">
        <v>69</v>
      </c>
      <c r="K854" s="13">
        <v>3866</v>
      </c>
      <c r="L854" s="16">
        <f t="shared" si="78"/>
        <v>0.38067304723680151</v>
      </c>
      <c r="M854" s="16">
        <f t="shared" si="79"/>
        <v>5.5961070559610707E-2</v>
      </c>
      <c r="N854" s="17">
        <f t="shared" si="80"/>
        <v>1.089213300892133</v>
      </c>
      <c r="O854" s="17">
        <f t="shared" si="81"/>
        <v>19.463768115942027</v>
      </c>
      <c r="P854" s="16">
        <f t="shared" si="82"/>
        <v>0.25116887974565177</v>
      </c>
      <c r="Q854" s="16">
        <f t="shared" si="83"/>
        <v>2.8786299329858527</v>
      </c>
      <c r="R854" s="2" t="s">
        <v>1730</v>
      </c>
      <c r="S854" s="21" t="s">
        <v>24</v>
      </c>
      <c r="T854" s="21" t="s">
        <v>45</v>
      </c>
      <c r="U854" s="8">
        <v>1343</v>
      </c>
      <c r="V854" s="11">
        <v>1</v>
      </c>
      <c r="W854" t="str">
        <f>IF(Table1[[#This Row],[Satisfaction Rating]]&lt;2, "Low", IF(Table1[[#This Row],[Satisfaction Rating]]&lt;4, "Medium", "High"))</f>
        <v>Low</v>
      </c>
    </row>
    <row r="855" spans="1:23" ht="13" x14ac:dyDescent="0.15">
      <c r="A855" s="2" t="s">
        <v>1731</v>
      </c>
      <c r="B855" s="23">
        <v>45010.608113425929</v>
      </c>
      <c r="C855" s="23">
        <v>45397.978356481479</v>
      </c>
      <c r="D855" s="23" t="str">
        <f>IF(Table1[[#This Row],[Duration of Campaign]]=0, "Ongoing","Completed")</f>
        <v>Completed</v>
      </c>
      <c r="E855" s="25">
        <f>Table1[[#This Row],[End Date]]-Table1[[#This Row],[Start Date]]</f>
        <v>387.37024305554951</v>
      </c>
      <c r="F855" s="8">
        <v>3952</v>
      </c>
      <c r="G855" s="21" t="s">
        <v>37</v>
      </c>
      <c r="H855" s="11">
        <v>4153</v>
      </c>
      <c r="I855" s="11">
        <v>473</v>
      </c>
      <c r="J855" s="11">
        <v>311</v>
      </c>
      <c r="K855" s="13">
        <v>585</v>
      </c>
      <c r="L855" s="16">
        <f t="shared" si="78"/>
        <v>0.11389357091259331</v>
      </c>
      <c r="M855" s="16">
        <f t="shared" si="79"/>
        <v>0.65750528541226216</v>
      </c>
      <c r="N855" s="17">
        <f t="shared" si="80"/>
        <v>22.598308668076111</v>
      </c>
      <c r="O855" s="17">
        <f t="shared" si="81"/>
        <v>34.369774919614144</v>
      </c>
      <c r="P855" s="16">
        <f t="shared" si="82"/>
        <v>2.7047064777327936</v>
      </c>
      <c r="Q855" s="16">
        <f t="shared" si="83"/>
        <v>5.4729160819534099E-2</v>
      </c>
      <c r="R855" s="2" t="s">
        <v>1732</v>
      </c>
      <c r="S855" s="21" t="s">
        <v>35</v>
      </c>
      <c r="T855" s="21" t="s">
        <v>27</v>
      </c>
      <c r="U855" s="8">
        <v>10689</v>
      </c>
      <c r="V855" s="11">
        <v>5</v>
      </c>
      <c r="W855" t="str">
        <f>IF(Table1[[#This Row],[Satisfaction Rating]]&lt;2, "Low", IF(Table1[[#This Row],[Satisfaction Rating]]&lt;4, "Medium", "High"))</f>
        <v>High</v>
      </c>
    </row>
    <row r="856" spans="1:23" ht="13" x14ac:dyDescent="0.15">
      <c r="A856" s="2" t="s">
        <v>1733</v>
      </c>
      <c r="B856" s="23">
        <v>45510.85261574074</v>
      </c>
      <c r="C856" s="23">
        <v>45510.85261574074</v>
      </c>
      <c r="D856" s="23" t="str">
        <f>IF(Table1[[#This Row],[Duration of Campaign]]=0, "Ongoing","Completed")</f>
        <v>Ongoing</v>
      </c>
      <c r="E856" s="25">
        <f>Table1[[#This Row],[End Date]]-Table1[[#This Row],[Start Date]]</f>
        <v>0</v>
      </c>
      <c r="F856" s="8">
        <v>2216</v>
      </c>
      <c r="G856" s="21" t="s">
        <v>53</v>
      </c>
      <c r="H856" s="11">
        <v>3798</v>
      </c>
      <c r="I856" s="11">
        <v>1158</v>
      </c>
      <c r="J856" s="11">
        <v>136</v>
      </c>
      <c r="K856" s="13">
        <v>13920</v>
      </c>
      <c r="L856" s="16">
        <f t="shared" si="78"/>
        <v>0.30489731437598738</v>
      </c>
      <c r="M856" s="16">
        <f t="shared" si="79"/>
        <v>0.11744386873920552</v>
      </c>
      <c r="N856" s="17">
        <f t="shared" si="80"/>
        <v>16.273747841105354</v>
      </c>
      <c r="O856" s="17">
        <f t="shared" si="81"/>
        <v>138.56617647058823</v>
      </c>
      <c r="P856" s="16">
        <f t="shared" si="82"/>
        <v>8.5040613718411553</v>
      </c>
      <c r="Q856" s="16">
        <f t="shared" si="83"/>
        <v>0.73865746882462191</v>
      </c>
      <c r="R856" s="2" t="s">
        <v>1734</v>
      </c>
      <c r="S856" s="21" t="s">
        <v>16</v>
      </c>
      <c r="T856" s="21" t="s">
        <v>17</v>
      </c>
      <c r="U856" s="8">
        <v>18845</v>
      </c>
      <c r="V856" s="11">
        <v>5</v>
      </c>
      <c r="W856" t="str">
        <f>IF(Table1[[#This Row],[Satisfaction Rating]]&lt;2, "Low", IF(Table1[[#This Row],[Satisfaction Rating]]&lt;4, "Medium", "High"))</f>
        <v>High</v>
      </c>
    </row>
    <row r="857" spans="1:23" ht="13" x14ac:dyDescent="0.15">
      <c r="A857" s="2" t="s">
        <v>1735</v>
      </c>
      <c r="B857" s="23">
        <v>45371.412534722222</v>
      </c>
      <c r="C857" s="23">
        <v>45484.734675925924</v>
      </c>
      <c r="D857" s="23" t="str">
        <f>IF(Table1[[#This Row],[Duration of Campaign]]=0, "Ongoing","Completed")</f>
        <v>Completed</v>
      </c>
      <c r="E857" s="25">
        <f>Table1[[#This Row],[End Date]]-Table1[[#This Row],[Start Date]]</f>
        <v>113.3221412037019</v>
      </c>
      <c r="F857" s="8">
        <v>9676</v>
      </c>
      <c r="G857" s="21" t="s">
        <v>53</v>
      </c>
      <c r="H857" s="11">
        <v>13175</v>
      </c>
      <c r="I857" s="11">
        <v>1160</v>
      </c>
      <c r="J857" s="11">
        <v>445</v>
      </c>
      <c r="K857" s="13">
        <v>13603</v>
      </c>
      <c r="L857" s="16">
        <f t="shared" si="78"/>
        <v>8.8045540796963945E-2</v>
      </c>
      <c r="M857" s="16">
        <f t="shared" si="79"/>
        <v>0.38362068965517243</v>
      </c>
      <c r="N857" s="17">
        <f t="shared" si="80"/>
        <v>8.3870689655172406</v>
      </c>
      <c r="O857" s="17">
        <f t="shared" si="81"/>
        <v>21.862921348314607</v>
      </c>
      <c r="P857" s="16">
        <f t="shared" si="82"/>
        <v>1.0054774700289375</v>
      </c>
      <c r="Q857" s="16">
        <f t="shared" si="83"/>
        <v>1.3981909754342687</v>
      </c>
      <c r="R857" s="2" t="s">
        <v>1736</v>
      </c>
      <c r="S857" s="21" t="s">
        <v>35</v>
      </c>
      <c r="T857" s="21" t="s">
        <v>45</v>
      </c>
      <c r="U857" s="8">
        <v>9729</v>
      </c>
      <c r="V857" s="11">
        <v>5</v>
      </c>
      <c r="W857" t="str">
        <f>IF(Table1[[#This Row],[Satisfaction Rating]]&lt;2, "Low", IF(Table1[[#This Row],[Satisfaction Rating]]&lt;4, "Medium", "High"))</f>
        <v>High</v>
      </c>
    </row>
    <row r="858" spans="1:23" ht="13" x14ac:dyDescent="0.15">
      <c r="A858" s="2" t="s">
        <v>1737</v>
      </c>
      <c r="B858" s="23">
        <v>45120.644976851851</v>
      </c>
      <c r="C858" s="23">
        <v>45120.644976851851</v>
      </c>
      <c r="D858" s="23" t="str">
        <f>IF(Table1[[#This Row],[Duration of Campaign]]=0, "Ongoing","Completed")</f>
        <v>Ongoing</v>
      </c>
      <c r="E858" s="25">
        <f>Table1[[#This Row],[End Date]]-Table1[[#This Row],[Start Date]]</f>
        <v>0</v>
      </c>
      <c r="F858" s="8">
        <v>6546</v>
      </c>
      <c r="G858" s="21" t="s">
        <v>37</v>
      </c>
      <c r="H858" s="11">
        <v>10434</v>
      </c>
      <c r="I858" s="11">
        <v>1567</v>
      </c>
      <c r="J858" s="11">
        <v>114</v>
      </c>
      <c r="K858" s="13">
        <v>9032</v>
      </c>
      <c r="L858" s="16">
        <f t="shared" si="78"/>
        <v>0.15018209699060764</v>
      </c>
      <c r="M858" s="16">
        <f t="shared" si="79"/>
        <v>7.2750478621569872E-2</v>
      </c>
      <c r="N858" s="17">
        <f t="shared" si="80"/>
        <v>2.0446713465220165</v>
      </c>
      <c r="O858" s="17">
        <f t="shared" si="81"/>
        <v>28.105263157894736</v>
      </c>
      <c r="P858" s="16">
        <f t="shared" si="82"/>
        <v>0.48945921173235563</v>
      </c>
      <c r="Q858" s="16">
        <f t="shared" si="83"/>
        <v>2.8189762796504367</v>
      </c>
      <c r="R858" s="2" t="s">
        <v>1738</v>
      </c>
      <c r="S858" s="21" t="s">
        <v>21</v>
      </c>
      <c r="T858" s="21" t="s">
        <v>17</v>
      </c>
      <c r="U858" s="8">
        <v>3204</v>
      </c>
      <c r="V858" s="11">
        <v>2</v>
      </c>
      <c r="W858" t="str">
        <f>IF(Table1[[#This Row],[Satisfaction Rating]]&lt;2, "Low", IF(Table1[[#This Row],[Satisfaction Rating]]&lt;4, "Medium", "High"))</f>
        <v>Medium</v>
      </c>
    </row>
    <row r="859" spans="1:23" ht="13" x14ac:dyDescent="0.15">
      <c r="A859" s="2" t="s">
        <v>1739</v>
      </c>
      <c r="B859" s="23">
        <v>45179.37841435185</v>
      </c>
      <c r="C859" s="23">
        <v>45648.615717592591</v>
      </c>
      <c r="D859" s="23" t="str">
        <f>IF(Table1[[#This Row],[Duration of Campaign]]=0, "Ongoing","Completed")</f>
        <v>Completed</v>
      </c>
      <c r="E859" s="25">
        <f>Table1[[#This Row],[End Date]]-Table1[[#This Row],[Start Date]]</f>
        <v>469.23730324074131</v>
      </c>
      <c r="F859" s="8">
        <v>3392</v>
      </c>
      <c r="G859" s="21" t="s">
        <v>19</v>
      </c>
      <c r="H859" s="11">
        <v>4257</v>
      </c>
      <c r="I859" s="11">
        <v>1266</v>
      </c>
      <c r="J859" s="11">
        <v>468</v>
      </c>
      <c r="K859" s="13">
        <v>11176</v>
      </c>
      <c r="L859" s="16">
        <f t="shared" si="78"/>
        <v>0.2973925299506695</v>
      </c>
      <c r="M859" s="16">
        <f t="shared" si="79"/>
        <v>0.36966824644549762</v>
      </c>
      <c r="N859" s="17">
        <f t="shared" si="80"/>
        <v>10.785150078988941</v>
      </c>
      <c r="O859" s="17">
        <f t="shared" si="81"/>
        <v>29.175213675213676</v>
      </c>
      <c r="P859" s="16">
        <f t="shared" si="82"/>
        <v>4.0253537735849054</v>
      </c>
      <c r="Q859" s="16">
        <f t="shared" si="83"/>
        <v>0.81851472096089062</v>
      </c>
      <c r="R859" s="2" t="s">
        <v>1740</v>
      </c>
      <c r="S859" s="21" t="s">
        <v>16</v>
      </c>
      <c r="T859" s="21" t="s">
        <v>45</v>
      </c>
      <c r="U859" s="8">
        <v>13654</v>
      </c>
      <c r="V859" s="11">
        <v>3</v>
      </c>
      <c r="W859" t="str">
        <f>IF(Table1[[#This Row],[Satisfaction Rating]]&lt;2, "Low", IF(Table1[[#This Row],[Satisfaction Rating]]&lt;4, "Medium", "High"))</f>
        <v>Medium</v>
      </c>
    </row>
    <row r="860" spans="1:23" ht="13" x14ac:dyDescent="0.15">
      <c r="A860" s="2" t="s">
        <v>1741</v>
      </c>
      <c r="B860" s="23">
        <v>45206.771944444445</v>
      </c>
      <c r="C860" s="23">
        <v>45577.584814814814</v>
      </c>
      <c r="D860" s="23" t="str">
        <f>IF(Table1[[#This Row],[Duration of Campaign]]=0, "Ongoing","Completed")</f>
        <v>Completed</v>
      </c>
      <c r="E860" s="25">
        <f>Table1[[#This Row],[End Date]]-Table1[[#This Row],[Start Date]]</f>
        <v>370.81287037036964</v>
      </c>
      <c r="F860" s="8">
        <v>8863</v>
      </c>
      <c r="G860" s="21" t="s">
        <v>53</v>
      </c>
      <c r="H860" s="11">
        <v>16217</v>
      </c>
      <c r="I860" s="11">
        <v>993</v>
      </c>
      <c r="J860" s="11">
        <v>287</v>
      </c>
      <c r="K860" s="13">
        <v>9928</v>
      </c>
      <c r="L860" s="16">
        <f t="shared" si="78"/>
        <v>6.1232040451378186E-2</v>
      </c>
      <c r="M860" s="16">
        <f t="shared" si="79"/>
        <v>0.28902316213494461</v>
      </c>
      <c r="N860" s="17">
        <f t="shared" si="80"/>
        <v>19.831822759315205</v>
      </c>
      <c r="O860" s="17">
        <f t="shared" si="81"/>
        <v>68.616724738675956</v>
      </c>
      <c r="P860" s="16">
        <f t="shared" si="82"/>
        <v>2.2219338824325847</v>
      </c>
      <c r="Q860" s="16">
        <f t="shared" si="83"/>
        <v>0.50413852637993195</v>
      </c>
      <c r="R860" s="2" t="s">
        <v>1742</v>
      </c>
      <c r="S860" s="21" t="s">
        <v>21</v>
      </c>
      <c r="T860" s="21" t="s">
        <v>27</v>
      </c>
      <c r="U860" s="8">
        <v>19693</v>
      </c>
      <c r="V860" s="11">
        <v>3</v>
      </c>
      <c r="W860" t="str">
        <f>IF(Table1[[#This Row],[Satisfaction Rating]]&lt;2, "Low", IF(Table1[[#This Row],[Satisfaction Rating]]&lt;4, "Medium", "High"))</f>
        <v>Medium</v>
      </c>
    </row>
    <row r="861" spans="1:23" ht="13" x14ac:dyDescent="0.15">
      <c r="A861" s="2" t="s">
        <v>1743</v>
      </c>
      <c r="B861" s="23">
        <v>45315.044525462959</v>
      </c>
      <c r="C861" s="23">
        <v>45315.044525462959</v>
      </c>
      <c r="D861" s="23" t="str">
        <f>IF(Table1[[#This Row],[Duration of Campaign]]=0, "Ongoing","Completed")</f>
        <v>Ongoing</v>
      </c>
      <c r="E861" s="25">
        <f>Table1[[#This Row],[End Date]]-Table1[[#This Row],[Start Date]]</f>
        <v>0</v>
      </c>
      <c r="F861" s="8">
        <v>3529</v>
      </c>
      <c r="G861" s="21" t="s">
        <v>14</v>
      </c>
      <c r="H861" s="11">
        <v>16290</v>
      </c>
      <c r="I861" s="11">
        <v>839</v>
      </c>
      <c r="J861" s="11">
        <v>459</v>
      </c>
      <c r="K861" s="13">
        <v>7333</v>
      </c>
      <c r="L861" s="16">
        <f t="shared" si="78"/>
        <v>5.1503990178023325E-2</v>
      </c>
      <c r="M861" s="16">
        <f t="shared" si="79"/>
        <v>0.54707985697258643</v>
      </c>
      <c r="N861" s="17">
        <f t="shared" si="80"/>
        <v>18.837902264600714</v>
      </c>
      <c r="O861" s="17">
        <f t="shared" si="81"/>
        <v>34.433551198257078</v>
      </c>
      <c r="P861" s="16">
        <f t="shared" si="82"/>
        <v>4.4786058373476907</v>
      </c>
      <c r="Q861" s="16">
        <f t="shared" si="83"/>
        <v>0.46396709901929767</v>
      </c>
      <c r="R861" s="2" t="s">
        <v>1744</v>
      </c>
      <c r="S861" s="21" t="s">
        <v>35</v>
      </c>
      <c r="T861" s="21" t="s">
        <v>27</v>
      </c>
      <c r="U861" s="8">
        <v>15805</v>
      </c>
      <c r="V861" s="11">
        <v>2</v>
      </c>
      <c r="W861" t="str">
        <f>IF(Table1[[#This Row],[Satisfaction Rating]]&lt;2, "Low", IF(Table1[[#This Row],[Satisfaction Rating]]&lt;4, "Medium", "High"))</f>
        <v>Medium</v>
      </c>
    </row>
    <row r="862" spans="1:23" ht="13" x14ac:dyDescent="0.15">
      <c r="A862" s="2" t="s">
        <v>1745</v>
      </c>
      <c r="B862" s="23">
        <v>45067.388090277775</v>
      </c>
      <c r="C862" s="23">
        <v>45394.413310185184</v>
      </c>
      <c r="D862" s="23" t="str">
        <f>IF(Table1[[#This Row],[Duration of Campaign]]=0, "Ongoing","Completed")</f>
        <v>Completed</v>
      </c>
      <c r="E862" s="25">
        <f>Table1[[#This Row],[End Date]]-Table1[[#This Row],[Start Date]]</f>
        <v>327.02521990740934</v>
      </c>
      <c r="F862" s="8">
        <v>6543</v>
      </c>
      <c r="G862" s="21" t="s">
        <v>53</v>
      </c>
      <c r="H862" s="11">
        <v>17594</v>
      </c>
      <c r="I862" s="11">
        <v>1428</v>
      </c>
      <c r="J862" s="11">
        <v>320</v>
      </c>
      <c r="K862" s="13">
        <v>4458</v>
      </c>
      <c r="L862" s="16">
        <f t="shared" si="78"/>
        <v>8.1164033193134019E-2</v>
      </c>
      <c r="M862" s="16">
        <f t="shared" si="79"/>
        <v>0.22408963585434175</v>
      </c>
      <c r="N862" s="17">
        <f t="shared" si="80"/>
        <v>5.927871148459384</v>
      </c>
      <c r="O862" s="17">
        <f t="shared" si="81"/>
        <v>26.453125</v>
      </c>
      <c r="P862" s="16">
        <f t="shared" si="82"/>
        <v>1.2937490447806816</v>
      </c>
      <c r="Q862" s="16">
        <f t="shared" si="83"/>
        <v>0.52663910218546961</v>
      </c>
      <c r="R862" s="2" t="s">
        <v>1746</v>
      </c>
      <c r="S862" s="21" t="s">
        <v>30</v>
      </c>
      <c r="T862" s="21" t="s">
        <v>45</v>
      </c>
      <c r="U862" s="8">
        <v>8465</v>
      </c>
      <c r="V862" s="11">
        <v>5</v>
      </c>
      <c r="W862" t="str">
        <f>IF(Table1[[#This Row],[Satisfaction Rating]]&lt;2, "Low", IF(Table1[[#This Row],[Satisfaction Rating]]&lt;4, "Medium", "High"))</f>
        <v>High</v>
      </c>
    </row>
    <row r="863" spans="1:23" ht="13" x14ac:dyDescent="0.15">
      <c r="A863" s="2" t="s">
        <v>1747</v>
      </c>
      <c r="B863" s="23">
        <v>45391.510324074072</v>
      </c>
      <c r="C863" s="23">
        <v>45391.510324074072</v>
      </c>
      <c r="D863" s="23" t="str">
        <f>IF(Table1[[#This Row],[Duration of Campaign]]=0, "Ongoing","Completed")</f>
        <v>Ongoing</v>
      </c>
      <c r="E863" s="25">
        <f>Table1[[#This Row],[End Date]]-Table1[[#This Row],[Start Date]]</f>
        <v>0</v>
      </c>
      <c r="F863" s="8">
        <v>6186</v>
      </c>
      <c r="G863" s="21" t="s">
        <v>19</v>
      </c>
      <c r="H863" s="11">
        <v>19595</v>
      </c>
      <c r="I863" s="11">
        <v>860</v>
      </c>
      <c r="J863" s="11">
        <v>345</v>
      </c>
      <c r="K863" s="13">
        <v>3395</v>
      </c>
      <c r="L863" s="16">
        <f t="shared" si="78"/>
        <v>4.3888747129369736E-2</v>
      </c>
      <c r="M863" s="16">
        <f t="shared" si="79"/>
        <v>0.40116279069767441</v>
      </c>
      <c r="N863" s="17">
        <f t="shared" si="80"/>
        <v>8.4988372093023248</v>
      </c>
      <c r="O863" s="17">
        <f t="shared" si="81"/>
        <v>21.185507246376812</v>
      </c>
      <c r="P863" s="16">
        <f t="shared" si="82"/>
        <v>1.1815389589395409</v>
      </c>
      <c r="Q863" s="16">
        <f t="shared" si="83"/>
        <v>0.46449582706252568</v>
      </c>
      <c r="R863" s="2" t="s">
        <v>1748</v>
      </c>
      <c r="S863" s="21" t="s">
        <v>16</v>
      </c>
      <c r="T863" s="21" t="s">
        <v>45</v>
      </c>
      <c r="U863" s="8">
        <v>7309</v>
      </c>
      <c r="V863" s="11">
        <v>1</v>
      </c>
      <c r="W863" t="str">
        <f>IF(Table1[[#This Row],[Satisfaction Rating]]&lt;2, "Low", IF(Table1[[#This Row],[Satisfaction Rating]]&lt;4, "Medium", "High"))</f>
        <v>Low</v>
      </c>
    </row>
    <row r="864" spans="1:23" ht="13" x14ac:dyDescent="0.15">
      <c r="A864" s="2" t="s">
        <v>1749</v>
      </c>
      <c r="B864" s="23">
        <v>45565.867858796293</v>
      </c>
      <c r="C864" s="23">
        <v>45565.867858796293</v>
      </c>
      <c r="D864" s="23" t="str">
        <f>IF(Table1[[#This Row],[Duration of Campaign]]=0, "Ongoing","Completed")</f>
        <v>Ongoing</v>
      </c>
      <c r="E864" s="25">
        <f>Table1[[#This Row],[End Date]]-Table1[[#This Row],[Start Date]]</f>
        <v>0</v>
      </c>
      <c r="F864" s="8">
        <v>6583</v>
      </c>
      <c r="G864" s="21" t="s">
        <v>14</v>
      </c>
      <c r="H864" s="11">
        <v>8548</v>
      </c>
      <c r="I864" s="11">
        <v>471</v>
      </c>
      <c r="J864" s="11">
        <v>452</v>
      </c>
      <c r="K864" s="13">
        <v>4667</v>
      </c>
      <c r="L864" s="16">
        <f t="shared" si="78"/>
        <v>5.5100608329433788E-2</v>
      </c>
      <c r="M864" s="16">
        <f t="shared" si="79"/>
        <v>0.95966029723991508</v>
      </c>
      <c r="N864" s="17">
        <f t="shared" si="80"/>
        <v>35.666666666666664</v>
      </c>
      <c r="O864" s="17">
        <f t="shared" si="81"/>
        <v>37.165929203539825</v>
      </c>
      <c r="P864" s="16">
        <f t="shared" si="82"/>
        <v>2.5518760443566761</v>
      </c>
      <c r="Q864" s="16">
        <f t="shared" si="83"/>
        <v>0.27781415560450029</v>
      </c>
      <c r="R864" s="2" t="s">
        <v>1750</v>
      </c>
      <c r="S864" s="21" t="s">
        <v>35</v>
      </c>
      <c r="T864" s="21" t="s">
        <v>17</v>
      </c>
      <c r="U864" s="8">
        <v>16799</v>
      </c>
      <c r="V864" s="11">
        <v>5</v>
      </c>
      <c r="W864" t="str">
        <f>IF(Table1[[#This Row],[Satisfaction Rating]]&lt;2, "Low", IF(Table1[[#This Row],[Satisfaction Rating]]&lt;4, "Medium", "High"))</f>
        <v>High</v>
      </c>
    </row>
    <row r="865" spans="1:23" ht="13" x14ac:dyDescent="0.15">
      <c r="A865" s="2" t="s">
        <v>1751</v>
      </c>
      <c r="B865" s="23">
        <v>45321.857349537036</v>
      </c>
      <c r="C865" s="23">
        <v>45321.857349537036</v>
      </c>
      <c r="D865" s="23" t="str">
        <f>IF(Table1[[#This Row],[Duration of Campaign]]=0, "Ongoing","Completed")</f>
        <v>Ongoing</v>
      </c>
      <c r="E865" s="25">
        <f>Table1[[#This Row],[End Date]]-Table1[[#This Row],[Start Date]]</f>
        <v>0</v>
      </c>
      <c r="F865" s="8">
        <v>7754</v>
      </c>
      <c r="G865" s="21" t="s">
        <v>19</v>
      </c>
      <c r="H865" s="11">
        <v>6690</v>
      </c>
      <c r="I865" s="11">
        <v>1579</v>
      </c>
      <c r="J865" s="11">
        <v>330</v>
      </c>
      <c r="K865" s="13">
        <v>7370</v>
      </c>
      <c r="L865" s="16">
        <f t="shared" si="78"/>
        <v>0.23602391629297459</v>
      </c>
      <c r="M865" s="16">
        <f t="shared" si="79"/>
        <v>0.20899303356554783</v>
      </c>
      <c r="N865" s="17">
        <f t="shared" si="80"/>
        <v>0.9119696010132996</v>
      </c>
      <c r="O865" s="17">
        <f t="shared" si="81"/>
        <v>4.3636363636363633</v>
      </c>
      <c r="P865" s="16">
        <f t="shared" si="82"/>
        <v>0.18571060098013928</v>
      </c>
      <c r="Q865" s="16">
        <f t="shared" si="83"/>
        <v>5.1180555555555554</v>
      </c>
      <c r="R865" s="2" t="s">
        <v>1752</v>
      </c>
      <c r="S865" s="21" t="s">
        <v>16</v>
      </c>
      <c r="T865" s="21" t="s">
        <v>27</v>
      </c>
      <c r="U865" s="8">
        <v>1440</v>
      </c>
      <c r="V865" s="11">
        <v>1</v>
      </c>
      <c r="W865" t="str">
        <f>IF(Table1[[#This Row],[Satisfaction Rating]]&lt;2, "Low", IF(Table1[[#This Row],[Satisfaction Rating]]&lt;4, "Medium", "High"))</f>
        <v>Low</v>
      </c>
    </row>
    <row r="866" spans="1:23" ht="13" x14ac:dyDescent="0.15">
      <c r="A866" s="2" t="s">
        <v>1753</v>
      </c>
      <c r="B866" s="23">
        <v>45036.164351851854</v>
      </c>
      <c r="C866" s="23">
        <v>45454.912233796298</v>
      </c>
      <c r="D866" s="23" t="str">
        <f>IF(Table1[[#This Row],[Duration of Campaign]]=0, "Ongoing","Completed")</f>
        <v>Completed</v>
      </c>
      <c r="E866" s="25">
        <f>Table1[[#This Row],[End Date]]-Table1[[#This Row],[Start Date]]</f>
        <v>418.74788194444409</v>
      </c>
      <c r="F866" s="8">
        <v>9909</v>
      </c>
      <c r="G866" s="21" t="s">
        <v>19</v>
      </c>
      <c r="H866" s="11">
        <v>8460</v>
      </c>
      <c r="I866" s="11">
        <v>1773</v>
      </c>
      <c r="J866" s="11">
        <v>455</v>
      </c>
      <c r="K866" s="13">
        <v>11917</v>
      </c>
      <c r="L866" s="16">
        <f t="shared" si="78"/>
        <v>0.20957446808510638</v>
      </c>
      <c r="M866" s="16">
        <f t="shared" si="79"/>
        <v>0.25662718556119574</v>
      </c>
      <c r="N866" s="17">
        <f t="shared" si="80"/>
        <v>2.3981951494641849</v>
      </c>
      <c r="O866" s="17">
        <f t="shared" si="81"/>
        <v>9.3450549450549456</v>
      </c>
      <c r="P866" s="16">
        <f t="shared" si="82"/>
        <v>0.42910485417297406</v>
      </c>
      <c r="Q866" s="16">
        <f t="shared" si="83"/>
        <v>2.8026810912511757</v>
      </c>
      <c r="R866" s="2" t="s">
        <v>1754</v>
      </c>
      <c r="S866" s="21" t="s">
        <v>21</v>
      </c>
      <c r="T866" s="21" t="s">
        <v>17</v>
      </c>
      <c r="U866" s="8">
        <v>4252</v>
      </c>
      <c r="V866" s="11">
        <v>5</v>
      </c>
      <c r="W866" t="str">
        <f>IF(Table1[[#This Row],[Satisfaction Rating]]&lt;2, "Low", IF(Table1[[#This Row],[Satisfaction Rating]]&lt;4, "Medium", "High"))</f>
        <v>High</v>
      </c>
    </row>
    <row r="867" spans="1:23" ht="13" x14ac:dyDescent="0.15">
      <c r="A867" s="2" t="s">
        <v>1755</v>
      </c>
      <c r="B867" s="23">
        <v>45404.968078703707</v>
      </c>
      <c r="C867" s="23">
        <v>45404.968078703707</v>
      </c>
      <c r="D867" s="23" t="str">
        <f>IF(Table1[[#This Row],[Duration of Campaign]]=0, "Ongoing","Completed")</f>
        <v>Ongoing</v>
      </c>
      <c r="E867" s="25">
        <f>Table1[[#This Row],[End Date]]-Table1[[#This Row],[Start Date]]</f>
        <v>0</v>
      </c>
      <c r="F867" s="8">
        <v>7817</v>
      </c>
      <c r="G867" s="21" t="s">
        <v>19</v>
      </c>
      <c r="H867" s="11">
        <v>6636</v>
      </c>
      <c r="I867" s="11">
        <v>1821</v>
      </c>
      <c r="J867" s="11">
        <v>30</v>
      </c>
      <c r="K867" s="13">
        <v>3711</v>
      </c>
      <c r="L867" s="16">
        <f t="shared" si="78"/>
        <v>0.2744122965641953</v>
      </c>
      <c r="M867" s="16">
        <f t="shared" si="79"/>
        <v>1.6474464579901153E-2</v>
      </c>
      <c r="N867" s="17">
        <f t="shared" si="80"/>
        <v>4.7276221856123009</v>
      </c>
      <c r="O867" s="17">
        <f t="shared" si="81"/>
        <v>286.96666666666664</v>
      </c>
      <c r="P867" s="16">
        <f t="shared" si="82"/>
        <v>1.1013176410387617</v>
      </c>
      <c r="Q867" s="16">
        <f t="shared" si="83"/>
        <v>0.43106051806249274</v>
      </c>
      <c r="R867" s="2" t="s">
        <v>1756</v>
      </c>
      <c r="S867" s="21" t="s">
        <v>35</v>
      </c>
      <c r="T867" s="21" t="s">
        <v>27</v>
      </c>
      <c r="U867" s="8">
        <v>8609</v>
      </c>
      <c r="V867" s="11">
        <v>1</v>
      </c>
      <c r="W867" t="str">
        <f>IF(Table1[[#This Row],[Satisfaction Rating]]&lt;2, "Low", IF(Table1[[#This Row],[Satisfaction Rating]]&lt;4, "Medium", "High"))</f>
        <v>Low</v>
      </c>
    </row>
    <row r="868" spans="1:23" ht="13" x14ac:dyDescent="0.15">
      <c r="A868" s="2" t="s">
        <v>1757</v>
      </c>
      <c r="B868" s="23">
        <v>45263.661400462966</v>
      </c>
      <c r="C868" s="23">
        <v>45263.661400462966</v>
      </c>
      <c r="D868" s="23" t="str">
        <f>IF(Table1[[#This Row],[Duration of Campaign]]=0, "Ongoing","Completed")</f>
        <v>Ongoing</v>
      </c>
      <c r="E868" s="25">
        <f>Table1[[#This Row],[End Date]]-Table1[[#This Row],[Start Date]]</f>
        <v>0</v>
      </c>
      <c r="F868" s="8">
        <v>5958</v>
      </c>
      <c r="G868" s="21" t="s">
        <v>19</v>
      </c>
      <c r="H868" s="11">
        <v>16109</v>
      </c>
      <c r="I868" s="11">
        <v>481</v>
      </c>
      <c r="J868" s="11">
        <v>172</v>
      </c>
      <c r="K868" s="13">
        <v>13488</v>
      </c>
      <c r="L868" s="16">
        <f t="shared" si="78"/>
        <v>2.9859084983549569E-2</v>
      </c>
      <c r="M868" s="16">
        <f t="shared" si="79"/>
        <v>0.35758835758835761</v>
      </c>
      <c r="N868" s="17">
        <f t="shared" si="80"/>
        <v>27.534303534303536</v>
      </c>
      <c r="O868" s="17">
        <f t="shared" si="81"/>
        <v>77</v>
      </c>
      <c r="P868" s="16">
        <f t="shared" si="82"/>
        <v>2.222893588452501</v>
      </c>
      <c r="Q868" s="16">
        <f t="shared" si="83"/>
        <v>1.0184234370280882</v>
      </c>
      <c r="R868" s="2" t="s">
        <v>1758</v>
      </c>
      <c r="S868" s="21" t="s">
        <v>24</v>
      </c>
      <c r="T868" s="21" t="s">
        <v>17</v>
      </c>
      <c r="U868" s="8">
        <v>13244</v>
      </c>
      <c r="V868" s="11">
        <v>4</v>
      </c>
      <c r="W868" t="str">
        <f>IF(Table1[[#This Row],[Satisfaction Rating]]&lt;2, "Low", IF(Table1[[#This Row],[Satisfaction Rating]]&lt;4, "Medium", "High"))</f>
        <v>High</v>
      </c>
    </row>
    <row r="869" spans="1:23" ht="13" x14ac:dyDescent="0.15">
      <c r="A869" s="2" t="s">
        <v>1759</v>
      </c>
      <c r="B869" s="23">
        <v>45399.520115740743</v>
      </c>
      <c r="C869" s="23">
        <v>45399.520115740743</v>
      </c>
      <c r="D869" s="23" t="str">
        <f>IF(Table1[[#This Row],[Duration of Campaign]]=0, "Ongoing","Completed")</f>
        <v>Ongoing</v>
      </c>
      <c r="E869" s="25">
        <f>Table1[[#This Row],[End Date]]-Table1[[#This Row],[Start Date]]</f>
        <v>0</v>
      </c>
      <c r="F869" s="8">
        <v>7039</v>
      </c>
      <c r="G869" s="21" t="s">
        <v>19</v>
      </c>
      <c r="H869" s="11">
        <v>15355</v>
      </c>
      <c r="I869" s="11">
        <v>1172</v>
      </c>
      <c r="J869" s="11">
        <v>194</v>
      </c>
      <c r="K869" s="13">
        <v>715</v>
      </c>
      <c r="L869" s="16">
        <f t="shared" si="78"/>
        <v>7.6326929338977528E-2</v>
      </c>
      <c r="M869" s="16">
        <f t="shared" si="79"/>
        <v>0.16552901023890784</v>
      </c>
      <c r="N869" s="17">
        <f t="shared" si="80"/>
        <v>16.581058020477816</v>
      </c>
      <c r="O869" s="17">
        <f t="shared" si="81"/>
        <v>100.17010309278351</v>
      </c>
      <c r="P869" s="16">
        <f t="shared" si="82"/>
        <v>2.7607614717999716</v>
      </c>
      <c r="Q869" s="16">
        <f t="shared" si="83"/>
        <v>3.6793083929398444E-2</v>
      </c>
      <c r="R869" s="2" t="s">
        <v>1760</v>
      </c>
      <c r="S869" s="21" t="s">
        <v>35</v>
      </c>
      <c r="T869" s="21" t="s">
        <v>17</v>
      </c>
      <c r="U869" s="8">
        <v>19433</v>
      </c>
      <c r="V869" s="11">
        <v>3</v>
      </c>
      <c r="W869" t="str">
        <f>IF(Table1[[#This Row],[Satisfaction Rating]]&lt;2, "Low", IF(Table1[[#This Row],[Satisfaction Rating]]&lt;4, "Medium", "High"))</f>
        <v>Medium</v>
      </c>
    </row>
    <row r="870" spans="1:23" ht="13" x14ac:dyDescent="0.15">
      <c r="A870" s="2" t="s">
        <v>1761</v>
      </c>
      <c r="B870" s="23">
        <v>45595.794652777775</v>
      </c>
      <c r="C870" s="23">
        <v>45595.794652777775</v>
      </c>
      <c r="D870" s="23" t="str">
        <f>IF(Table1[[#This Row],[Duration of Campaign]]=0, "Ongoing","Completed")</f>
        <v>Ongoing</v>
      </c>
      <c r="E870" s="25">
        <f>Table1[[#This Row],[End Date]]-Table1[[#This Row],[Start Date]]</f>
        <v>0</v>
      </c>
      <c r="F870" s="8">
        <v>9717</v>
      </c>
      <c r="G870" s="21" t="s">
        <v>37</v>
      </c>
      <c r="H870" s="11">
        <v>8035</v>
      </c>
      <c r="I870" s="11">
        <v>578</v>
      </c>
      <c r="J870" s="11">
        <v>283</v>
      </c>
      <c r="K870" s="13">
        <v>3567</v>
      </c>
      <c r="L870" s="16">
        <f t="shared" si="78"/>
        <v>7.1935283136278783E-2</v>
      </c>
      <c r="M870" s="16">
        <f t="shared" si="79"/>
        <v>0.48961937716262977</v>
      </c>
      <c r="N870" s="17">
        <f t="shared" si="80"/>
        <v>22.027681660899653</v>
      </c>
      <c r="O870" s="17">
        <f t="shared" si="81"/>
        <v>44.989399293286219</v>
      </c>
      <c r="P870" s="16">
        <f t="shared" si="82"/>
        <v>1.3102809509107749</v>
      </c>
      <c r="Q870" s="16">
        <f t="shared" si="83"/>
        <v>0.28016022620169651</v>
      </c>
      <c r="R870" s="2" t="s">
        <v>1762</v>
      </c>
      <c r="S870" s="21" t="s">
        <v>21</v>
      </c>
      <c r="T870" s="21" t="s">
        <v>45</v>
      </c>
      <c r="U870" s="8">
        <v>12732</v>
      </c>
      <c r="V870" s="11">
        <v>5</v>
      </c>
      <c r="W870" t="str">
        <f>IF(Table1[[#This Row],[Satisfaction Rating]]&lt;2, "Low", IF(Table1[[#This Row],[Satisfaction Rating]]&lt;4, "Medium", "High"))</f>
        <v>High</v>
      </c>
    </row>
    <row r="871" spans="1:23" ht="13" x14ac:dyDescent="0.15">
      <c r="A871" s="2" t="s">
        <v>1763</v>
      </c>
      <c r="B871" s="23">
        <v>45017.87363425926</v>
      </c>
      <c r="C871" s="23">
        <v>45419.041006944448</v>
      </c>
      <c r="D871" s="23" t="str">
        <f>IF(Table1[[#This Row],[Duration of Campaign]]=0, "Ongoing","Completed")</f>
        <v>Completed</v>
      </c>
      <c r="E871" s="25">
        <f>Table1[[#This Row],[End Date]]-Table1[[#This Row],[Start Date]]</f>
        <v>401.16737268518773</v>
      </c>
      <c r="F871" s="8">
        <v>8295</v>
      </c>
      <c r="G871" s="21" t="s">
        <v>53</v>
      </c>
      <c r="H871" s="11">
        <v>12489</v>
      </c>
      <c r="I871" s="11">
        <v>322</v>
      </c>
      <c r="J871" s="11">
        <v>26</v>
      </c>
      <c r="K871" s="13">
        <v>7987</v>
      </c>
      <c r="L871" s="16">
        <f t="shared" si="78"/>
        <v>2.5782688766114181E-2</v>
      </c>
      <c r="M871" s="16">
        <f t="shared" si="79"/>
        <v>8.0745341614906832E-2</v>
      </c>
      <c r="N871" s="17">
        <f t="shared" si="80"/>
        <v>24.363354037267079</v>
      </c>
      <c r="O871" s="17">
        <f t="shared" si="81"/>
        <v>301.73076923076923</v>
      </c>
      <c r="P871" s="16">
        <f t="shared" si="82"/>
        <v>0.94575045207956598</v>
      </c>
      <c r="Q871" s="16">
        <f t="shared" si="83"/>
        <v>1.0181007010834926</v>
      </c>
      <c r="R871" s="2" t="s">
        <v>1764</v>
      </c>
      <c r="S871" s="21" t="s">
        <v>24</v>
      </c>
      <c r="T871" s="21" t="s">
        <v>17</v>
      </c>
      <c r="U871" s="8">
        <v>7845</v>
      </c>
      <c r="V871" s="11">
        <v>4</v>
      </c>
      <c r="W871" t="str">
        <f>IF(Table1[[#This Row],[Satisfaction Rating]]&lt;2, "Low", IF(Table1[[#This Row],[Satisfaction Rating]]&lt;4, "Medium", "High"))</f>
        <v>High</v>
      </c>
    </row>
    <row r="872" spans="1:23" ht="13" x14ac:dyDescent="0.15">
      <c r="A872" s="2" t="s">
        <v>1765</v>
      </c>
      <c r="B872" s="23">
        <v>45015.415706018517</v>
      </c>
      <c r="C872" s="23">
        <v>45431.601388888892</v>
      </c>
      <c r="D872" s="23" t="str">
        <f>IF(Table1[[#This Row],[Duration of Campaign]]=0, "Ongoing","Completed")</f>
        <v>Completed</v>
      </c>
      <c r="E872" s="25">
        <f>Table1[[#This Row],[End Date]]-Table1[[#This Row],[Start Date]]</f>
        <v>416.18568287037488</v>
      </c>
      <c r="F872" s="8">
        <v>9994</v>
      </c>
      <c r="G872" s="21" t="s">
        <v>14</v>
      </c>
      <c r="H872" s="11">
        <v>5586</v>
      </c>
      <c r="I872" s="11">
        <v>1663</v>
      </c>
      <c r="J872" s="11">
        <v>213</v>
      </c>
      <c r="K872" s="13">
        <v>13929</v>
      </c>
      <c r="L872" s="16">
        <f t="shared" si="78"/>
        <v>0.29770855710705335</v>
      </c>
      <c r="M872" s="16">
        <f t="shared" si="79"/>
        <v>0.12808177991581479</v>
      </c>
      <c r="N872" s="17">
        <f t="shared" si="80"/>
        <v>10.728803367408299</v>
      </c>
      <c r="O872" s="17">
        <f t="shared" si="81"/>
        <v>83.765258215962447</v>
      </c>
      <c r="P872" s="16">
        <f t="shared" si="82"/>
        <v>1.7852711626976185</v>
      </c>
      <c r="Q872" s="16">
        <f t="shared" si="83"/>
        <v>0.78068602174644097</v>
      </c>
      <c r="R872" s="2" t="s">
        <v>1766</v>
      </c>
      <c r="S872" s="21" t="s">
        <v>16</v>
      </c>
      <c r="T872" s="21" t="s">
        <v>27</v>
      </c>
      <c r="U872" s="8">
        <v>17842</v>
      </c>
      <c r="V872" s="11">
        <v>5</v>
      </c>
      <c r="W872" t="str">
        <f>IF(Table1[[#This Row],[Satisfaction Rating]]&lt;2, "Low", IF(Table1[[#This Row],[Satisfaction Rating]]&lt;4, "Medium", "High"))</f>
        <v>High</v>
      </c>
    </row>
    <row r="873" spans="1:23" ht="13" x14ac:dyDescent="0.15">
      <c r="A873" s="2" t="s">
        <v>1767</v>
      </c>
      <c r="B873" s="23">
        <v>45144.52548611111</v>
      </c>
      <c r="C873" s="23">
        <v>45509.654398148145</v>
      </c>
      <c r="D873" s="23" t="str">
        <f>IF(Table1[[#This Row],[Duration of Campaign]]=0, "Ongoing","Completed")</f>
        <v>Completed</v>
      </c>
      <c r="E873" s="25">
        <f>Table1[[#This Row],[End Date]]-Table1[[#This Row],[Start Date]]</f>
        <v>365.12891203703475</v>
      </c>
      <c r="F873" s="8">
        <v>2343</v>
      </c>
      <c r="G873" s="21" t="s">
        <v>53</v>
      </c>
      <c r="H873" s="11">
        <v>6508</v>
      </c>
      <c r="I873" s="11">
        <v>1450</v>
      </c>
      <c r="J873" s="11">
        <v>422</v>
      </c>
      <c r="K873" s="13">
        <v>9445</v>
      </c>
      <c r="L873" s="16">
        <f t="shared" si="78"/>
        <v>0.22280270436385988</v>
      </c>
      <c r="M873" s="16">
        <f t="shared" si="79"/>
        <v>0.29103448275862071</v>
      </c>
      <c r="N873" s="17">
        <f t="shared" si="80"/>
        <v>8.6448275862068957</v>
      </c>
      <c r="O873" s="17">
        <f t="shared" si="81"/>
        <v>29.703791469194314</v>
      </c>
      <c r="P873" s="16">
        <f t="shared" si="82"/>
        <v>5.3499786598378147</v>
      </c>
      <c r="Q873" s="16">
        <f t="shared" si="83"/>
        <v>0.75349022736338256</v>
      </c>
      <c r="R873" s="2" t="s">
        <v>1768</v>
      </c>
      <c r="S873" s="21" t="s">
        <v>30</v>
      </c>
      <c r="T873" s="21" t="s">
        <v>45</v>
      </c>
      <c r="U873" s="8">
        <v>12535</v>
      </c>
      <c r="V873" s="11">
        <v>3</v>
      </c>
      <c r="W873" t="str">
        <f>IF(Table1[[#This Row],[Satisfaction Rating]]&lt;2, "Low", IF(Table1[[#This Row],[Satisfaction Rating]]&lt;4, "Medium", "High"))</f>
        <v>Medium</v>
      </c>
    </row>
    <row r="874" spans="1:23" ht="13" x14ac:dyDescent="0.15">
      <c r="A874" s="2" t="s">
        <v>1769</v>
      </c>
      <c r="B874" s="23">
        <v>45464.925127314818</v>
      </c>
      <c r="C874" s="23">
        <v>45464.925127314818</v>
      </c>
      <c r="D874" s="23" t="str">
        <f>IF(Table1[[#This Row],[Duration of Campaign]]=0, "Ongoing","Completed")</f>
        <v>Ongoing</v>
      </c>
      <c r="E874" s="25">
        <f>Table1[[#This Row],[End Date]]-Table1[[#This Row],[Start Date]]</f>
        <v>0</v>
      </c>
      <c r="F874" s="8">
        <v>3084</v>
      </c>
      <c r="G874" s="21" t="s">
        <v>53</v>
      </c>
      <c r="H874" s="11">
        <v>17790</v>
      </c>
      <c r="I874" s="11">
        <v>759</v>
      </c>
      <c r="J874" s="11">
        <v>141</v>
      </c>
      <c r="K874" s="13">
        <v>6853</v>
      </c>
      <c r="L874" s="16">
        <f t="shared" si="78"/>
        <v>4.2664418212478919E-2</v>
      </c>
      <c r="M874" s="16">
        <f t="shared" si="79"/>
        <v>0.1857707509881423</v>
      </c>
      <c r="N874" s="17">
        <f t="shared" si="80"/>
        <v>5.6930171277997363</v>
      </c>
      <c r="O874" s="17">
        <f t="shared" si="81"/>
        <v>30.645390070921987</v>
      </c>
      <c r="P874" s="16">
        <f t="shared" si="82"/>
        <v>1.4011024643320362</v>
      </c>
      <c r="Q874" s="16">
        <f t="shared" si="83"/>
        <v>1.5859754686415182</v>
      </c>
      <c r="R874" s="2" t="s">
        <v>1770</v>
      </c>
      <c r="S874" s="21" t="s">
        <v>16</v>
      </c>
      <c r="T874" s="21" t="s">
        <v>17</v>
      </c>
      <c r="U874" s="8">
        <v>4321</v>
      </c>
      <c r="V874" s="11">
        <v>4</v>
      </c>
      <c r="W874" t="str">
        <f>IF(Table1[[#This Row],[Satisfaction Rating]]&lt;2, "Low", IF(Table1[[#This Row],[Satisfaction Rating]]&lt;4, "Medium", "High"))</f>
        <v>High</v>
      </c>
    </row>
    <row r="875" spans="1:23" ht="13" x14ac:dyDescent="0.15">
      <c r="A875" s="2" t="s">
        <v>1771</v>
      </c>
      <c r="B875" s="23">
        <v>45050.712256944447</v>
      </c>
      <c r="C875" s="23">
        <v>45050.712256944447</v>
      </c>
      <c r="D875" s="23" t="str">
        <f>IF(Table1[[#This Row],[Duration of Campaign]]=0, "Ongoing","Completed")</f>
        <v>Ongoing</v>
      </c>
      <c r="E875" s="25">
        <f>Table1[[#This Row],[End Date]]-Table1[[#This Row],[Start Date]]</f>
        <v>0</v>
      </c>
      <c r="F875" s="8">
        <v>3151</v>
      </c>
      <c r="G875" s="21" t="s">
        <v>37</v>
      </c>
      <c r="H875" s="11">
        <v>9326</v>
      </c>
      <c r="I875" s="11">
        <v>1157</v>
      </c>
      <c r="J875" s="11">
        <v>384</v>
      </c>
      <c r="K875" s="13">
        <v>3864</v>
      </c>
      <c r="L875" s="16">
        <f t="shared" si="78"/>
        <v>0.12406176281363929</v>
      </c>
      <c r="M875" s="16">
        <f t="shared" si="79"/>
        <v>0.33189282627484873</v>
      </c>
      <c r="N875" s="17">
        <f t="shared" si="80"/>
        <v>7.182368193604149</v>
      </c>
      <c r="O875" s="17">
        <f t="shared" si="81"/>
        <v>21.640625</v>
      </c>
      <c r="P875" s="16">
        <f t="shared" si="82"/>
        <v>2.6372580133291019</v>
      </c>
      <c r="Q875" s="16">
        <f t="shared" si="83"/>
        <v>0.46498194945848376</v>
      </c>
      <c r="R875" s="2" t="s">
        <v>1772</v>
      </c>
      <c r="S875" s="21" t="s">
        <v>16</v>
      </c>
      <c r="T875" s="21" t="s">
        <v>27</v>
      </c>
      <c r="U875" s="8">
        <v>8310</v>
      </c>
      <c r="V875" s="11">
        <v>2</v>
      </c>
      <c r="W875" t="str">
        <f>IF(Table1[[#This Row],[Satisfaction Rating]]&lt;2, "Low", IF(Table1[[#This Row],[Satisfaction Rating]]&lt;4, "Medium", "High"))</f>
        <v>Medium</v>
      </c>
    </row>
    <row r="876" spans="1:23" ht="13" x14ac:dyDescent="0.15">
      <c r="A876" s="2" t="s">
        <v>1773</v>
      </c>
      <c r="B876" s="23">
        <v>45353.261840277781</v>
      </c>
      <c r="C876" s="23">
        <v>45610.927719907406</v>
      </c>
      <c r="D876" s="23" t="str">
        <f>IF(Table1[[#This Row],[Duration of Campaign]]=0, "Ongoing","Completed")</f>
        <v>Completed</v>
      </c>
      <c r="E876" s="25">
        <f>Table1[[#This Row],[End Date]]-Table1[[#This Row],[Start Date]]</f>
        <v>257.66587962962512</v>
      </c>
      <c r="F876" s="8">
        <v>9861</v>
      </c>
      <c r="G876" s="21" t="s">
        <v>14</v>
      </c>
      <c r="H876" s="11">
        <v>2177</v>
      </c>
      <c r="I876" s="11">
        <v>687</v>
      </c>
      <c r="J876" s="11">
        <v>212</v>
      </c>
      <c r="K876" s="13">
        <v>9680</v>
      </c>
      <c r="L876" s="16">
        <f t="shared" si="78"/>
        <v>0.3155718879191548</v>
      </c>
      <c r="M876" s="16">
        <f t="shared" si="79"/>
        <v>0.30858806404657935</v>
      </c>
      <c r="N876" s="17">
        <f t="shared" si="80"/>
        <v>7.2343522561863169</v>
      </c>
      <c r="O876" s="17">
        <f t="shared" si="81"/>
        <v>23.443396226415093</v>
      </c>
      <c r="P876" s="16">
        <f t="shared" si="82"/>
        <v>0.50400567893722747</v>
      </c>
      <c r="Q876" s="16">
        <f t="shared" si="83"/>
        <v>1.9476861167002013</v>
      </c>
      <c r="R876" s="2" t="s">
        <v>1774</v>
      </c>
      <c r="S876" s="21" t="s">
        <v>30</v>
      </c>
      <c r="T876" s="21" t="s">
        <v>27</v>
      </c>
      <c r="U876" s="8">
        <v>4970</v>
      </c>
      <c r="V876" s="11">
        <v>2</v>
      </c>
      <c r="W876" t="str">
        <f>IF(Table1[[#This Row],[Satisfaction Rating]]&lt;2, "Low", IF(Table1[[#This Row],[Satisfaction Rating]]&lt;4, "Medium", "High"))</f>
        <v>Medium</v>
      </c>
    </row>
    <row r="877" spans="1:23" ht="13" x14ac:dyDescent="0.15">
      <c r="A877" s="2" t="s">
        <v>1775</v>
      </c>
      <c r="B877" s="23">
        <v>45569.295624999999</v>
      </c>
      <c r="C877" s="23">
        <v>45569.295624999999</v>
      </c>
      <c r="D877" s="23" t="str">
        <f>IF(Table1[[#This Row],[Duration of Campaign]]=0, "Ongoing","Completed")</f>
        <v>Ongoing</v>
      </c>
      <c r="E877" s="25">
        <f>Table1[[#This Row],[End Date]]-Table1[[#This Row],[Start Date]]</f>
        <v>0</v>
      </c>
      <c r="F877" s="8">
        <v>2680</v>
      </c>
      <c r="G877" s="21" t="s">
        <v>19</v>
      </c>
      <c r="H877" s="11">
        <v>1797</v>
      </c>
      <c r="I877" s="11">
        <v>485</v>
      </c>
      <c r="J877" s="11">
        <v>468</v>
      </c>
      <c r="K877" s="13">
        <v>10166</v>
      </c>
      <c r="L877" s="16">
        <f t="shared" si="78"/>
        <v>0.26989426822481916</v>
      </c>
      <c r="M877" s="16">
        <f t="shared" si="79"/>
        <v>0.96494845360824744</v>
      </c>
      <c r="N877" s="17">
        <f t="shared" si="80"/>
        <v>16.905154639175258</v>
      </c>
      <c r="O877" s="17">
        <f t="shared" si="81"/>
        <v>17.51923076923077</v>
      </c>
      <c r="P877" s="16">
        <f t="shared" si="82"/>
        <v>3.0593283582089552</v>
      </c>
      <c r="Q877" s="16">
        <f t="shared" si="83"/>
        <v>1.2399073057689962</v>
      </c>
      <c r="R877" s="2" t="s">
        <v>1776</v>
      </c>
      <c r="S877" s="21" t="s">
        <v>21</v>
      </c>
      <c r="T877" s="21" t="s">
        <v>17</v>
      </c>
      <c r="U877" s="8">
        <v>8199</v>
      </c>
      <c r="V877" s="11">
        <v>1</v>
      </c>
      <c r="W877" t="str">
        <f>IF(Table1[[#This Row],[Satisfaction Rating]]&lt;2, "Low", IF(Table1[[#This Row],[Satisfaction Rating]]&lt;4, "Medium", "High"))</f>
        <v>Low</v>
      </c>
    </row>
    <row r="878" spans="1:23" ht="13" x14ac:dyDescent="0.15">
      <c r="A878" s="2" t="s">
        <v>1777</v>
      </c>
      <c r="B878" s="23">
        <v>45385.19568287037</v>
      </c>
      <c r="C878" s="23">
        <v>45558.557534722226</v>
      </c>
      <c r="D878" s="23" t="str">
        <f>IF(Table1[[#This Row],[Duration of Campaign]]=0, "Ongoing","Completed")</f>
        <v>Completed</v>
      </c>
      <c r="E878" s="25">
        <f>Table1[[#This Row],[End Date]]-Table1[[#This Row],[Start Date]]</f>
        <v>173.36185185185604</v>
      </c>
      <c r="F878" s="8">
        <v>8100</v>
      </c>
      <c r="G878" s="21" t="s">
        <v>37</v>
      </c>
      <c r="H878" s="11">
        <v>6069</v>
      </c>
      <c r="I878" s="11">
        <v>617</v>
      </c>
      <c r="J878" s="11">
        <v>394</v>
      </c>
      <c r="K878" s="13">
        <v>7757</v>
      </c>
      <c r="L878" s="16">
        <f t="shared" si="78"/>
        <v>0.10166419508980062</v>
      </c>
      <c r="M878" s="16">
        <f t="shared" si="79"/>
        <v>0.63857374392220423</v>
      </c>
      <c r="N878" s="17">
        <f t="shared" si="80"/>
        <v>17.651539708265801</v>
      </c>
      <c r="O878" s="17">
        <f t="shared" si="81"/>
        <v>27.642131979695431</v>
      </c>
      <c r="P878" s="16">
        <f t="shared" si="82"/>
        <v>1.3445679012345679</v>
      </c>
      <c r="Q878" s="16">
        <f t="shared" si="83"/>
        <v>0.71223946377743086</v>
      </c>
      <c r="R878" s="2" t="s">
        <v>1778</v>
      </c>
      <c r="S878" s="21" t="s">
        <v>21</v>
      </c>
      <c r="T878" s="21" t="s">
        <v>45</v>
      </c>
      <c r="U878" s="8">
        <v>10891</v>
      </c>
      <c r="V878" s="11">
        <v>4</v>
      </c>
      <c r="W878" t="str">
        <f>IF(Table1[[#This Row],[Satisfaction Rating]]&lt;2, "Low", IF(Table1[[#This Row],[Satisfaction Rating]]&lt;4, "Medium", "High"))</f>
        <v>High</v>
      </c>
    </row>
    <row r="879" spans="1:23" ht="13" x14ac:dyDescent="0.15">
      <c r="A879" s="2" t="s">
        <v>1779</v>
      </c>
      <c r="B879" s="23">
        <v>44970.398541666669</v>
      </c>
      <c r="C879" s="23">
        <v>45360.9768287037</v>
      </c>
      <c r="D879" s="23" t="str">
        <f>IF(Table1[[#This Row],[Duration of Campaign]]=0, "Ongoing","Completed")</f>
        <v>Completed</v>
      </c>
      <c r="E879" s="25">
        <f>Table1[[#This Row],[End Date]]-Table1[[#This Row],[Start Date]]</f>
        <v>390.57828703703126</v>
      </c>
      <c r="F879" s="8">
        <v>6120</v>
      </c>
      <c r="G879" s="21" t="s">
        <v>53</v>
      </c>
      <c r="H879" s="11">
        <v>10568</v>
      </c>
      <c r="I879" s="11">
        <v>472</v>
      </c>
      <c r="J879" s="11">
        <v>315</v>
      </c>
      <c r="K879" s="13">
        <v>4890</v>
      </c>
      <c r="L879" s="16">
        <f t="shared" si="78"/>
        <v>4.4663133989401971E-2</v>
      </c>
      <c r="M879" s="16">
        <f t="shared" si="79"/>
        <v>0.6673728813559322</v>
      </c>
      <c r="N879" s="17">
        <f t="shared" si="80"/>
        <v>10.625</v>
      </c>
      <c r="O879" s="17">
        <f t="shared" si="81"/>
        <v>15.920634920634921</v>
      </c>
      <c r="P879" s="16">
        <f t="shared" si="82"/>
        <v>0.81944444444444442</v>
      </c>
      <c r="Q879" s="16">
        <f t="shared" si="83"/>
        <v>0.97507477567298106</v>
      </c>
      <c r="R879" s="2" t="s">
        <v>1780</v>
      </c>
      <c r="S879" s="21" t="s">
        <v>21</v>
      </c>
      <c r="T879" s="21" t="s">
        <v>27</v>
      </c>
      <c r="U879" s="8">
        <v>5015</v>
      </c>
      <c r="V879" s="11">
        <v>5</v>
      </c>
      <c r="W879" t="str">
        <f>IF(Table1[[#This Row],[Satisfaction Rating]]&lt;2, "Low", IF(Table1[[#This Row],[Satisfaction Rating]]&lt;4, "Medium", "High"))</f>
        <v>High</v>
      </c>
    </row>
    <row r="880" spans="1:23" ht="13" x14ac:dyDescent="0.15">
      <c r="A880" s="2" t="s">
        <v>1781</v>
      </c>
      <c r="B880" s="23">
        <v>45029.574756944443</v>
      </c>
      <c r="C880" s="23">
        <v>45054.920208333337</v>
      </c>
      <c r="D880" s="23" t="str">
        <f>IF(Table1[[#This Row],[Duration of Campaign]]=0, "Ongoing","Completed")</f>
        <v>Completed</v>
      </c>
      <c r="E880" s="25">
        <f>Table1[[#This Row],[End Date]]-Table1[[#This Row],[Start Date]]</f>
        <v>25.345451388893707</v>
      </c>
      <c r="F880" s="8">
        <v>3245</v>
      </c>
      <c r="G880" s="21" t="s">
        <v>53</v>
      </c>
      <c r="H880" s="11">
        <v>8124</v>
      </c>
      <c r="I880" s="11">
        <v>999</v>
      </c>
      <c r="J880" s="11">
        <v>192</v>
      </c>
      <c r="K880" s="13">
        <v>8445</v>
      </c>
      <c r="L880" s="16">
        <f t="shared" si="78"/>
        <v>0.12296898079763663</v>
      </c>
      <c r="M880" s="16">
        <f t="shared" si="79"/>
        <v>0.19219219219219219</v>
      </c>
      <c r="N880" s="17">
        <f t="shared" si="80"/>
        <v>19.522522522522522</v>
      </c>
      <c r="O880" s="17">
        <f t="shared" si="81"/>
        <v>101.578125</v>
      </c>
      <c r="P880" s="16">
        <f t="shared" si="82"/>
        <v>6.0101694915254233</v>
      </c>
      <c r="Q880" s="16">
        <f t="shared" si="83"/>
        <v>0.43301030610675278</v>
      </c>
      <c r="R880" s="2" t="s">
        <v>1782</v>
      </c>
      <c r="S880" s="21" t="s">
        <v>35</v>
      </c>
      <c r="T880" s="21" t="s">
        <v>17</v>
      </c>
      <c r="U880" s="8">
        <v>19503</v>
      </c>
      <c r="V880" s="11">
        <v>5</v>
      </c>
      <c r="W880" t="str">
        <f>IF(Table1[[#This Row],[Satisfaction Rating]]&lt;2, "Low", IF(Table1[[#This Row],[Satisfaction Rating]]&lt;4, "Medium", "High"))</f>
        <v>High</v>
      </c>
    </row>
    <row r="881" spans="1:23" ht="13" x14ac:dyDescent="0.15">
      <c r="A881" s="2" t="s">
        <v>1783</v>
      </c>
      <c r="B881" s="23">
        <v>45290.123148148145</v>
      </c>
      <c r="C881" s="23">
        <v>45422.401030092595</v>
      </c>
      <c r="D881" s="23" t="str">
        <f>IF(Table1[[#This Row],[Duration of Campaign]]=0, "Ongoing","Completed")</f>
        <v>Completed</v>
      </c>
      <c r="E881" s="25">
        <f>Table1[[#This Row],[End Date]]-Table1[[#This Row],[Start Date]]</f>
        <v>132.2778819444502</v>
      </c>
      <c r="F881" s="8">
        <v>6089</v>
      </c>
      <c r="G881" s="21" t="s">
        <v>19</v>
      </c>
      <c r="H881" s="11">
        <v>1923</v>
      </c>
      <c r="I881" s="11">
        <v>1498</v>
      </c>
      <c r="J881" s="11">
        <v>325</v>
      </c>
      <c r="K881" s="13">
        <v>1060</v>
      </c>
      <c r="L881" s="16">
        <f t="shared" si="78"/>
        <v>0.77899115964638588</v>
      </c>
      <c r="M881" s="16">
        <f t="shared" si="79"/>
        <v>0.21695594125500667</v>
      </c>
      <c r="N881" s="17">
        <f t="shared" si="80"/>
        <v>4.2616822429906538</v>
      </c>
      <c r="O881" s="17">
        <f t="shared" si="81"/>
        <v>19.643076923076922</v>
      </c>
      <c r="P881" s="16">
        <f t="shared" si="82"/>
        <v>1.0484480210215141</v>
      </c>
      <c r="Q881" s="16">
        <f t="shared" si="83"/>
        <v>0.16604010025062657</v>
      </c>
      <c r="R881" s="2" t="s">
        <v>1784</v>
      </c>
      <c r="S881" s="21" t="s">
        <v>35</v>
      </c>
      <c r="T881" s="21" t="s">
        <v>17</v>
      </c>
      <c r="U881" s="8">
        <v>6384</v>
      </c>
      <c r="V881" s="11">
        <v>4</v>
      </c>
      <c r="W881" t="str">
        <f>IF(Table1[[#This Row],[Satisfaction Rating]]&lt;2, "Low", IF(Table1[[#This Row],[Satisfaction Rating]]&lt;4, "Medium", "High"))</f>
        <v>High</v>
      </c>
    </row>
    <row r="882" spans="1:23" ht="13" x14ac:dyDescent="0.15">
      <c r="A882" s="2" t="s">
        <v>1785</v>
      </c>
      <c r="B882" s="23">
        <v>44975.397719907407</v>
      </c>
      <c r="C882" s="23">
        <v>45397.944097222222</v>
      </c>
      <c r="D882" s="23" t="str">
        <f>IF(Table1[[#This Row],[Duration of Campaign]]=0, "Ongoing","Completed")</f>
        <v>Completed</v>
      </c>
      <c r="E882" s="25">
        <f>Table1[[#This Row],[End Date]]-Table1[[#This Row],[Start Date]]</f>
        <v>422.54637731481489</v>
      </c>
      <c r="F882" s="8">
        <v>8220</v>
      </c>
      <c r="G882" s="21" t="s">
        <v>19</v>
      </c>
      <c r="H882" s="11">
        <v>13926</v>
      </c>
      <c r="I882" s="11">
        <v>1742</v>
      </c>
      <c r="J882" s="11">
        <v>215</v>
      </c>
      <c r="K882" s="13">
        <v>3134</v>
      </c>
      <c r="L882" s="16">
        <f t="shared" si="78"/>
        <v>0.12508976016085022</v>
      </c>
      <c r="M882" s="16">
        <f t="shared" si="79"/>
        <v>0.12342135476463835</v>
      </c>
      <c r="N882" s="17">
        <f t="shared" si="80"/>
        <v>4.6808266360505169</v>
      </c>
      <c r="O882" s="17">
        <f t="shared" si="81"/>
        <v>37.925581395348836</v>
      </c>
      <c r="P882" s="16">
        <f t="shared" si="82"/>
        <v>0.99197080291970807</v>
      </c>
      <c r="Q882" s="16">
        <f t="shared" si="83"/>
        <v>0.38435123865587439</v>
      </c>
      <c r="R882" s="2" t="s">
        <v>1786</v>
      </c>
      <c r="S882" s="21" t="s">
        <v>30</v>
      </c>
      <c r="T882" s="21" t="s">
        <v>27</v>
      </c>
      <c r="U882" s="8">
        <v>8154</v>
      </c>
      <c r="V882" s="11">
        <v>2</v>
      </c>
      <c r="W882" t="str">
        <f>IF(Table1[[#This Row],[Satisfaction Rating]]&lt;2, "Low", IF(Table1[[#This Row],[Satisfaction Rating]]&lt;4, "Medium", "High"))</f>
        <v>Medium</v>
      </c>
    </row>
    <row r="883" spans="1:23" ht="13" x14ac:dyDescent="0.15">
      <c r="A883" s="2" t="s">
        <v>1787</v>
      </c>
      <c r="B883" s="23">
        <v>45115.625069444446</v>
      </c>
      <c r="C883" s="23">
        <v>45115.625069444446</v>
      </c>
      <c r="D883" s="23" t="str">
        <f>IF(Table1[[#This Row],[Duration of Campaign]]=0, "Ongoing","Completed")</f>
        <v>Ongoing</v>
      </c>
      <c r="E883" s="25">
        <f>Table1[[#This Row],[End Date]]-Table1[[#This Row],[Start Date]]</f>
        <v>0</v>
      </c>
      <c r="F883" s="8">
        <v>6965</v>
      </c>
      <c r="G883" s="21" t="s">
        <v>19</v>
      </c>
      <c r="H883" s="11">
        <v>15136</v>
      </c>
      <c r="I883" s="11">
        <v>843</v>
      </c>
      <c r="J883" s="11">
        <v>94</v>
      </c>
      <c r="K883" s="13">
        <v>6117</v>
      </c>
      <c r="L883" s="16">
        <f t="shared" si="78"/>
        <v>5.5695031712473572E-2</v>
      </c>
      <c r="M883" s="16">
        <f t="shared" si="79"/>
        <v>0.11150652431791222</v>
      </c>
      <c r="N883" s="17">
        <f t="shared" si="80"/>
        <v>10.98576512455516</v>
      </c>
      <c r="O883" s="17">
        <f t="shared" si="81"/>
        <v>98.521276595744681</v>
      </c>
      <c r="P883" s="16">
        <f t="shared" si="82"/>
        <v>1.3296482412060302</v>
      </c>
      <c r="Q883" s="16">
        <f t="shared" si="83"/>
        <v>0.66051182377712991</v>
      </c>
      <c r="R883" s="2" t="s">
        <v>1788</v>
      </c>
      <c r="S883" s="21" t="s">
        <v>30</v>
      </c>
      <c r="T883" s="21" t="s">
        <v>45</v>
      </c>
      <c r="U883" s="8">
        <v>9261</v>
      </c>
      <c r="V883" s="11">
        <v>1</v>
      </c>
      <c r="W883" t="str">
        <f>IF(Table1[[#This Row],[Satisfaction Rating]]&lt;2, "Low", IF(Table1[[#This Row],[Satisfaction Rating]]&lt;4, "Medium", "High"))</f>
        <v>Low</v>
      </c>
    </row>
    <row r="884" spans="1:23" ht="13" x14ac:dyDescent="0.15">
      <c r="A884" s="2" t="s">
        <v>1789</v>
      </c>
      <c r="B884" s="23">
        <v>44952.588287037041</v>
      </c>
      <c r="C884" s="23">
        <v>45555.66815972222</v>
      </c>
      <c r="D884" s="23" t="str">
        <f>IF(Table1[[#This Row],[Duration of Campaign]]=0, "Ongoing","Completed")</f>
        <v>Completed</v>
      </c>
      <c r="E884" s="25">
        <f>Table1[[#This Row],[End Date]]-Table1[[#This Row],[Start Date]]</f>
        <v>603.079872685179</v>
      </c>
      <c r="F884" s="8">
        <v>4962</v>
      </c>
      <c r="G884" s="21" t="s">
        <v>53</v>
      </c>
      <c r="H884" s="11">
        <v>4585</v>
      </c>
      <c r="I884" s="11">
        <v>708</v>
      </c>
      <c r="J884" s="11">
        <v>52</v>
      </c>
      <c r="K884" s="13">
        <v>11563</v>
      </c>
      <c r="L884" s="16">
        <f t="shared" si="78"/>
        <v>0.1544165757906216</v>
      </c>
      <c r="M884" s="16">
        <f t="shared" si="79"/>
        <v>7.3446327683615822E-2</v>
      </c>
      <c r="N884" s="17">
        <f t="shared" si="80"/>
        <v>16.07909604519774</v>
      </c>
      <c r="O884" s="17">
        <f t="shared" si="81"/>
        <v>218.92307692307693</v>
      </c>
      <c r="P884" s="16">
        <f t="shared" si="82"/>
        <v>2.294236195082628</v>
      </c>
      <c r="Q884" s="16">
        <f t="shared" si="83"/>
        <v>1.0157238229093464</v>
      </c>
      <c r="R884" s="2" t="s">
        <v>1790</v>
      </c>
      <c r="S884" s="21" t="s">
        <v>24</v>
      </c>
      <c r="T884" s="21" t="s">
        <v>17</v>
      </c>
      <c r="U884" s="8">
        <v>11384</v>
      </c>
      <c r="V884" s="11">
        <v>2</v>
      </c>
      <c r="W884" t="str">
        <f>IF(Table1[[#This Row],[Satisfaction Rating]]&lt;2, "Low", IF(Table1[[#This Row],[Satisfaction Rating]]&lt;4, "Medium", "High"))</f>
        <v>Medium</v>
      </c>
    </row>
    <row r="885" spans="1:23" ht="13" x14ac:dyDescent="0.15">
      <c r="A885" s="2" t="s">
        <v>1791</v>
      </c>
      <c r="B885" s="23">
        <v>45175.016932870371</v>
      </c>
      <c r="C885" s="23">
        <v>45175.016932870371</v>
      </c>
      <c r="D885" s="23" t="str">
        <f>IF(Table1[[#This Row],[Duration of Campaign]]=0, "Ongoing","Completed")</f>
        <v>Ongoing</v>
      </c>
      <c r="E885" s="25">
        <f>Table1[[#This Row],[End Date]]-Table1[[#This Row],[Start Date]]</f>
        <v>0</v>
      </c>
      <c r="F885" s="8">
        <v>3410</v>
      </c>
      <c r="G885" s="21" t="s">
        <v>19</v>
      </c>
      <c r="H885" s="11">
        <v>3242</v>
      </c>
      <c r="I885" s="11">
        <v>614</v>
      </c>
      <c r="J885" s="11">
        <v>194</v>
      </c>
      <c r="K885" s="13">
        <v>1482</v>
      </c>
      <c r="L885" s="16">
        <f t="shared" si="78"/>
        <v>0.18938926588525601</v>
      </c>
      <c r="M885" s="16">
        <f t="shared" si="79"/>
        <v>0.31596091205211724</v>
      </c>
      <c r="N885" s="17">
        <f t="shared" si="80"/>
        <v>1.281758957654723</v>
      </c>
      <c r="O885" s="17">
        <f t="shared" si="81"/>
        <v>4.0567010309278349</v>
      </c>
      <c r="P885" s="16">
        <f t="shared" si="82"/>
        <v>0.230791788856305</v>
      </c>
      <c r="Q885" s="16">
        <f t="shared" si="83"/>
        <v>1.8831003811944091</v>
      </c>
      <c r="R885" s="2" t="s">
        <v>1792</v>
      </c>
      <c r="S885" s="21" t="s">
        <v>16</v>
      </c>
      <c r="T885" s="21" t="s">
        <v>27</v>
      </c>
      <c r="U885" s="8">
        <v>787</v>
      </c>
      <c r="V885" s="11">
        <v>4</v>
      </c>
      <c r="W885" t="str">
        <f>IF(Table1[[#This Row],[Satisfaction Rating]]&lt;2, "Low", IF(Table1[[#This Row],[Satisfaction Rating]]&lt;4, "Medium", "High"))</f>
        <v>High</v>
      </c>
    </row>
    <row r="886" spans="1:23" ht="13" x14ac:dyDescent="0.15">
      <c r="A886" s="2" t="s">
        <v>1793</v>
      </c>
      <c r="B886" s="23">
        <v>45320.912986111114</v>
      </c>
      <c r="C886" s="23">
        <v>45407.160104166665</v>
      </c>
      <c r="D886" s="23" t="str">
        <f>IF(Table1[[#This Row],[Duration of Campaign]]=0, "Ongoing","Completed")</f>
        <v>Completed</v>
      </c>
      <c r="E886" s="25">
        <f>Table1[[#This Row],[End Date]]-Table1[[#This Row],[Start Date]]</f>
        <v>86.247118055551255</v>
      </c>
      <c r="F886" s="8">
        <v>8941</v>
      </c>
      <c r="G886" s="21" t="s">
        <v>53</v>
      </c>
      <c r="H886" s="11">
        <v>8668</v>
      </c>
      <c r="I886" s="11">
        <v>311</v>
      </c>
      <c r="J886" s="11">
        <v>294</v>
      </c>
      <c r="K886" s="13">
        <v>5267</v>
      </c>
      <c r="L886" s="16">
        <f t="shared" si="78"/>
        <v>3.5879095523765572E-2</v>
      </c>
      <c r="M886" s="16">
        <f t="shared" si="79"/>
        <v>0.94533762057877813</v>
      </c>
      <c r="N886" s="17">
        <f t="shared" si="80"/>
        <v>19.65273311897106</v>
      </c>
      <c r="O886" s="17">
        <f t="shared" si="81"/>
        <v>20.789115646258505</v>
      </c>
      <c r="P886" s="16">
        <f t="shared" si="82"/>
        <v>0.68359243932446034</v>
      </c>
      <c r="Q886" s="16">
        <f t="shared" si="83"/>
        <v>0.86174738219895286</v>
      </c>
      <c r="R886" s="2" t="s">
        <v>1794</v>
      </c>
      <c r="S886" s="21" t="s">
        <v>24</v>
      </c>
      <c r="T886" s="21" t="s">
        <v>27</v>
      </c>
      <c r="U886" s="8">
        <v>6112</v>
      </c>
      <c r="V886" s="11">
        <v>2</v>
      </c>
      <c r="W886" t="str">
        <f>IF(Table1[[#This Row],[Satisfaction Rating]]&lt;2, "Low", IF(Table1[[#This Row],[Satisfaction Rating]]&lt;4, "Medium", "High"))</f>
        <v>Medium</v>
      </c>
    </row>
    <row r="887" spans="1:23" ht="13" x14ac:dyDescent="0.15">
      <c r="A887" s="2" t="s">
        <v>1795</v>
      </c>
      <c r="B887" s="23">
        <v>45301.115798611114</v>
      </c>
      <c r="C887" s="23">
        <v>45452.355381944442</v>
      </c>
      <c r="D887" s="23" t="str">
        <f>IF(Table1[[#This Row],[Duration of Campaign]]=0, "Ongoing","Completed")</f>
        <v>Completed</v>
      </c>
      <c r="E887" s="25">
        <f>Table1[[#This Row],[End Date]]-Table1[[#This Row],[Start Date]]</f>
        <v>151.23958333332848</v>
      </c>
      <c r="F887" s="8">
        <v>6133</v>
      </c>
      <c r="G887" s="21" t="s">
        <v>37</v>
      </c>
      <c r="H887" s="11">
        <v>16009</v>
      </c>
      <c r="I887" s="11">
        <v>763</v>
      </c>
      <c r="J887" s="11">
        <v>394</v>
      </c>
      <c r="K887" s="13">
        <v>7519</v>
      </c>
      <c r="L887" s="16">
        <f t="shared" si="78"/>
        <v>4.7660690861390465E-2</v>
      </c>
      <c r="M887" s="16">
        <f t="shared" si="79"/>
        <v>0.51638269986893837</v>
      </c>
      <c r="N887" s="17">
        <f t="shared" si="80"/>
        <v>12.002621231979029</v>
      </c>
      <c r="O887" s="17">
        <f t="shared" si="81"/>
        <v>23.243654822335024</v>
      </c>
      <c r="P887" s="16">
        <f t="shared" si="82"/>
        <v>1.4932333278982552</v>
      </c>
      <c r="Q887" s="16">
        <f t="shared" si="83"/>
        <v>0.82103079274950863</v>
      </c>
      <c r="R887" s="2" t="s">
        <v>1796</v>
      </c>
      <c r="S887" s="21" t="s">
        <v>24</v>
      </c>
      <c r="T887" s="21" t="s">
        <v>17</v>
      </c>
      <c r="U887" s="8">
        <v>9158</v>
      </c>
      <c r="V887" s="11">
        <v>2</v>
      </c>
      <c r="W887" t="str">
        <f>IF(Table1[[#This Row],[Satisfaction Rating]]&lt;2, "Low", IF(Table1[[#This Row],[Satisfaction Rating]]&lt;4, "Medium", "High"))</f>
        <v>Medium</v>
      </c>
    </row>
    <row r="888" spans="1:23" ht="13" x14ac:dyDescent="0.15">
      <c r="A888" s="2" t="s">
        <v>1797</v>
      </c>
      <c r="B888" s="23">
        <v>45536.81287037037</v>
      </c>
      <c r="C888" s="23">
        <v>45536.81287037037</v>
      </c>
      <c r="D888" s="23" t="str">
        <f>IF(Table1[[#This Row],[Duration of Campaign]]=0, "Ongoing","Completed")</f>
        <v>Ongoing</v>
      </c>
      <c r="E888" s="25">
        <f>Table1[[#This Row],[End Date]]-Table1[[#This Row],[Start Date]]</f>
        <v>0</v>
      </c>
      <c r="F888" s="8">
        <v>3865</v>
      </c>
      <c r="G888" s="21" t="s">
        <v>14</v>
      </c>
      <c r="H888" s="11">
        <v>10285</v>
      </c>
      <c r="I888" s="11">
        <v>1081</v>
      </c>
      <c r="J888" s="11">
        <v>261</v>
      </c>
      <c r="K888" s="13">
        <v>1962</v>
      </c>
      <c r="L888" s="16">
        <f t="shared" si="78"/>
        <v>0.1051045211473019</v>
      </c>
      <c r="M888" s="16">
        <f t="shared" si="79"/>
        <v>0.24144310823311749</v>
      </c>
      <c r="N888" s="17">
        <f t="shared" si="80"/>
        <v>14.2895467160037</v>
      </c>
      <c r="O888" s="17">
        <f t="shared" si="81"/>
        <v>59.183908045977013</v>
      </c>
      <c r="P888" s="16">
        <f t="shared" si="82"/>
        <v>3.9966364812419148</v>
      </c>
      <c r="Q888" s="16">
        <f t="shared" si="83"/>
        <v>0.1270149543600699</v>
      </c>
      <c r="R888" s="2" t="s">
        <v>1798</v>
      </c>
      <c r="S888" s="21" t="s">
        <v>21</v>
      </c>
      <c r="T888" s="21" t="s">
        <v>17</v>
      </c>
      <c r="U888" s="8">
        <v>15447</v>
      </c>
      <c r="V888" s="11">
        <v>3</v>
      </c>
      <c r="W888" t="str">
        <f>IF(Table1[[#This Row],[Satisfaction Rating]]&lt;2, "Low", IF(Table1[[#This Row],[Satisfaction Rating]]&lt;4, "Medium", "High"))</f>
        <v>Medium</v>
      </c>
    </row>
    <row r="889" spans="1:23" ht="13" x14ac:dyDescent="0.15">
      <c r="A889" s="2" t="s">
        <v>1799</v>
      </c>
      <c r="B889" s="23">
        <v>45548.425069444442</v>
      </c>
      <c r="C889" s="23">
        <v>45597.732152777775</v>
      </c>
      <c r="D889" s="23" t="str">
        <f>IF(Table1[[#This Row],[Duration of Campaign]]=0, "Ongoing","Completed")</f>
        <v>Completed</v>
      </c>
      <c r="E889" s="25">
        <f>Table1[[#This Row],[End Date]]-Table1[[#This Row],[Start Date]]</f>
        <v>49.307083333333139</v>
      </c>
      <c r="F889" s="8">
        <v>9002</v>
      </c>
      <c r="G889" s="21" t="s">
        <v>37</v>
      </c>
      <c r="H889" s="11">
        <v>12044</v>
      </c>
      <c r="I889" s="11">
        <v>288</v>
      </c>
      <c r="J889" s="11">
        <v>303</v>
      </c>
      <c r="K889" s="13">
        <v>7743</v>
      </c>
      <c r="L889" s="16">
        <f t="shared" si="78"/>
        <v>2.391232148787778E-2</v>
      </c>
      <c r="M889" s="16">
        <f t="shared" si="79"/>
        <v>1.0520833333333333</v>
      </c>
      <c r="N889" s="17">
        <f t="shared" si="80"/>
        <v>16.645833333333332</v>
      </c>
      <c r="O889" s="17">
        <f t="shared" si="81"/>
        <v>15.821782178217822</v>
      </c>
      <c r="P889" s="16">
        <f t="shared" si="82"/>
        <v>0.53254832259497886</v>
      </c>
      <c r="Q889" s="16">
        <f t="shared" si="83"/>
        <v>1.6151439299123904</v>
      </c>
      <c r="R889" s="2" t="s">
        <v>1800</v>
      </c>
      <c r="S889" s="21" t="s">
        <v>21</v>
      </c>
      <c r="T889" s="21" t="s">
        <v>17</v>
      </c>
      <c r="U889" s="8">
        <v>4794</v>
      </c>
      <c r="V889" s="11">
        <v>2</v>
      </c>
      <c r="W889" t="str">
        <f>IF(Table1[[#This Row],[Satisfaction Rating]]&lt;2, "Low", IF(Table1[[#This Row],[Satisfaction Rating]]&lt;4, "Medium", "High"))</f>
        <v>Medium</v>
      </c>
    </row>
    <row r="890" spans="1:23" ht="13" x14ac:dyDescent="0.15">
      <c r="A890" s="2" t="s">
        <v>1801</v>
      </c>
      <c r="B890" s="23">
        <v>45473.753333333334</v>
      </c>
      <c r="C890" s="23">
        <v>45473.753333333334</v>
      </c>
      <c r="D890" s="23" t="str">
        <f>IF(Table1[[#This Row],[Duration of Campaign]]=0, "Ongoing","Completed")</f>
        <v>Ongoing</v>
      </c>
      <c r="E890" s="25">
        <f>Table1[[#This Row],[End Date]]-Table1[[#This Row],[Start Date]]</f>
        <v>0</v>
      </c>
      <c r="F890" s="8">
        <v>9529</v>
      </c>
      <c r="G890" s="21" t="s">
        <v>14</v>
      </c>
      <c r="H890" s="11">
        <v>17715</v>
      </c>
      <c r="I890" s="11">
        <v>1693</v>
      </c>
      <c r="J890" s="11">
        <v>120</v>
      </c>
      <c r="K890" s="13">
        <v>7979</v>
      </c>
      <c r="L890" s="16">
        <f t="shared" si="78"/>
        <v>9.5568727067456963E-2</v>
      </c>
      <c r="M890" s="16">
        <f t="shared" si="79"/>
        <v>7.0880094506792682E-2</v>
      </c>
      <c r="N890" s="17">
        <f t="shared" si="80"/>
        <v>7.9545186060248083</v>
      </c>
      <c r="O890" s="17">
        <f t="shared" si="81"/>
        <v>112.22499999999999</v>
      </c>
      <c r="P890" s="16">
        <f t="shared" si="82"/>
        <v>1.4132647706999686</v>
      </c>
      <c r="Q890" s="16">
        <f t="shared" si="83"/>
        <v>0.59248533452142271</v>
      </c>
      <c r="R890" s="2" t="s">
        <v>1802</v>
      </c>
      <c r="S890" s="21" t="s">
        <v>35</v>
      </c>
      <c r="T890" s="21" t="s">
        <v>27</v>
      </c>
      <c r="U890" s="8">
        <v>13467</v>
      </c>
      <c r="V890" s="11">
        <v>2</v>
      </c>
      <c r="W890" t="str">
        <f>IF(Table1[[#This Row],[Satisfaction Rating]]&lt;2, "Low", IF(Table1[[#This Row],[Satisfaction Rating]]&lt;4, "Medium", "High"))</f>
        <v>Medium</v>
      </c>
    </row>
    <row r="891" spans="1:23" ht="13" x14ac:dyDescent="0.15">
      <c r="A891" s="2" t="s">
        <v>1803</v>
      </c>
      <c r="B891" s="23">
        <v>45458.33388888889</v>
      </c>
      <c r="C891" s="23">
        <v>45458.33388888889</v>
      </c>
      <c r="D891" s="23" t="str">
        <f>IF(Table1[[#This Row],[Duration of Campaign]]=0, "Ongoing","Completed")</f>
        <v>Ongoing</v>
      </c>
      <c r="E891" s="25">
        <f>Table1[[#This Row],[End Date]]-Table1[[#This Row],[Start Date]]</f>
        <v>0</v>
      </c>
      <c r="F891" s="8">
        <v>5639</v>
      </c>
      <c r="G891" s="21" t="s">
        <v>14</v>
      </c>
      <c r="H891" s="11">
        <v>11784</v>
      </c>
      <c r="I891" s="11">
        <v>1637</v>
      </c>
      <c r="J891" s="11">
        <v>422</v>
      </c>
      <c r="K891" s="13">
        <v>10439</v>
      </c>
      <c r="L891" s="16">
        <f t="shared" si="78"/>
        <v>0.13891717583163612</v>
      </c>
      <c r="M891" s="16">
        <f t="shared" si="79"/>
        <v>0.25778863775198535</v>
      </c>
      <c r="N891" s="17">
        <f t="shared" si="80"/>
        <v>7.2406841783750764</v>
      </c>
      <c r="O891" s="17">
        <f t="shared" si="81"/>
        <v>28.087677725118482</v>
      </c>
      <c r="P891" s="16">
        <f t="shared" si="82"/>
        <v>2.1019684341195246</v>
      </c>
      <c r="Q891" s="16">
        <f t="shared" si="83"/>
        <v>0.88070530667341607</v>
      </c>
      <c r="R891" s="2" t="s">
        <v>1804</v>
      </c>
      <c r="S891" s="21" t="s">
        <v>30</v>
      </c>
      <c r="T891" s="21" t="s">
        <v>27</v>
      </c>
      <c r="U891" s="8">
        <v>11853</v>
      </c>
      <c r="V891" s="11">
        <v>3</v>
      </c>
      <c r="W891" t="str">
        <f>IF(Table1[[#This Row],[Satisfaction Rating]]&lt;2, "Low", IF(Table1[[#This Row],[Satisfaction Rating]]&lt;4, "Medium", "High"))</f>
        <v>Medium</v>
      </c>
    </row>
    <row r="892" spans="1:23" ht="13" x14ac:dyDescent="0.15">
      <c r="A892" s="2" t="s">
        <v>1805</v>
      </c>
      <c r="B892" s="23">
        <v>45059.62699074074</v>
      </c>
      <c r="C892" s="23">
        <v>45059.62699074074</v>
      </c>
      <c r="D892" s="23" t="str">
        <f>IF(Table1[[#This Row],[Duration of Campaign]]=0, "Ongoing","Completed")</f>
        <v>Ongoing</v>
      </c>
      <c r="E892" s="25">
        <f>Table1[[#This Row],[End Date]]-Table1[[#This Row],[Start Date]]</f>
        <v>0</v>
      </c>
      <c r="F892" s="8">
        <v>3487</v>
      </c>
      <c r="G892" s="21" t="s">
        <v>37</v>
      </c>
      <c r="H892" s="11">
        <v>14350</v>
      </c>
      <c r="I892" s="11">
        <v>1618</v>
      </c>
      <c r="J892" s="11">
        <v>109</v>
      </c>
      <c r="K892" s="13">
        <v>10598</v>
      </c>
      <c r="L892" s="16">
        <f t="shared" si="78"/>
        <v>0.11275261324041812</v>
      </c>
      <c r="M892" s="16">
        <f t="shared" si="79"/>
        <v>6.7367119901112479E-2</v>
      </c>
      <c r="N892" s="17">
        <f t="shared" si="80"/>
        <v>7.5778739184177999</v>
      </c>
      <c r="O892" s="17">
        <f t="shared" si="81"/>
        <v>112.48623853211009</v>
      </c>
      <c r="P892" s="16">
        <f t="shared" si="82"/>
        <v>3.5162030398623458</v>
      </c>
      <c r="Q892" s="16">
        <f t="shared" si="83"/>
        <v>0.86436669113449149</v>
      </c>
      <c r="R892" s="2" t="s">
        <v>1806</v>
      </c>
      <c r="S892" s="21" t="s">
        <v>21</v>
      </c>
      <c r="T892" s="21" t="s">
        <v>27</v>
      </c>
      <c r="U892" s="8">
        <v>12261</v>
      </c>
      <c r="V892" s="11">
        <v>4</v>
      </c>
      <c r="W892" t="str">
        <f>IF(Table1[[#This Row],[Satisfaction Rating]]&lt;2, "Low", IF(Table1[[#This Row],[Satisfaction Rating]]&lt;4, "Medium", "High"))</f>
        <v>High</v>
      </c>
    </row>
    <row r="893" spans="1:23" ht="13" x14ac:dyDescent="0.15">
      <c r="A893" s="2" t="s">
        <v>1807</v>
      </c>
      <c r="B893" s="23">
        <v>45124.045532407406</v>
      </c>
      <c r="C893" s="23">
        <v>45578.713495370372</v>
      </c>
      <c r="D893" s="23" t="str">
        <f>IF(Table1[[#This Row],[Duration of Campaign]]=0, "Ongoing","Completed")</f>
        <v>Completed</v>
      </c>
      <c r="E893" s="25">
        <f>Table1[[#This Row],[End Date]]-Table1[[#This Row],[Start Date]]</f>
        <v>454.66796296296525</v>
      </c>
      <c r="F893" s="8">
        <v>9623</v>
      </c>
      <c r="G893" s="21" t="s">
        <v>37</v>
      </c>
      <c r="H893" s="11">
        <v>6750</v>
      </c>
      <c r="I893" s="11">
        <v>1885</v>
      </c>
      <c r="J893" s="11">
        <v>257</v>
      </c>
      <c r="K893" s="13">
        <v>2492</v>
      </c>
      <c r="L893" s="16">
        <f t="shared" si="78"/>
        <v>0.27925925925925926</v>
      </c>
      <c r="M893" s="16">
        <f t="shared" si="79"/>
        <v>0.1363395225464191</v>
      </c>
      <c r="N893" s="17">
        <f t="shared" si="80"/>
        <v>2.8960212201591511</v>
      </c>
      <c r="O893" s="17">
        <f t="shared" si="81"/>
        <v>21.24124513618677</v>
      </c>
      <c r="P893" s="16">
        <f t="shared" si="82"/>
        <v>0.56728670892653021</v>
      </c>
      <c r="Q893" s="16">
        <f t="shared" si="83"/>
        <v>0.45649386334493497</v>
      </c>
      <c r="R893" s="2" t="s">
        <v>1808</v>
      </c>
      <c r="S893" s="21" t="s">
        <v>24</v>
      </c>
      <c r="T893" s="21" t="s">
        <v>27</v>
      </c>
      <c r="U893" s="8">
        <v>5459</v>
      </c>
      <c r="V893" s="11">
        <v>2</v>
      </c>
      <c r="W893" t="str">
        <f>IF(Table1[[#This Row],[Satisfaction Rating]]&lt;2, "Low", IF(Table1[[#This Row],[Satisfaction Rating]]&lt;4, "Medium", "High"))</f>
        <v>Medium</v>
      </c>
    </row>
    <row r="894" spans="1:23" ht="13" x14ac:dyDescent="0.15">
      <c r="A894" s="2" t="s">
        <v>1809</v>
      </c>
      <c r="B894" s="23">
        <v>45186.08494212963</v>
      </c>
      <c r="C894" s="23">
        <v>45289.13721064815</v>
      </c>
      <c r="D894" s="23" t="str">
        <f>IF(Table1[[#This Row],[Duration of Campaign]]=0, "Ongoing","Completed")</f>
        <v>Completed</v>
      </c>
      <c r="E894" s="25">
        <f>Table1[[#This Row],[End Date]]-Table1[[#This Row],[Start Date]]</f>
        <v>103.05226851852058</v>
      </c>
      <c r="F894" s="8">
        <v>8084</v>
      </c>
      <c r="G894" s="21" t="s">
        <v>53</v>
      </c>
      <c r="H894" s="11">
        <v>9705</v>
      </c>
      <c r="I894" s="11">
        <v>1994</v>
      </c>
      <c r="J894" s="11">
        <v>361</v>
      </c>
      <c r="K894" s="13">
        <v>7143</v>
      </c>
      <c r="L894" s="16">
        <f t="shared" si="78"/>
        <v>0.20546110252447192</v>
      </c>
      <c r="M894" s="16">
        <f t="shared" si="79"/>
        <v>0.1810431293881645</v>
      </c>
      <c r="N894" s="17">
        <f t="shared" si="80"/>
        <v>8.0672016048144428</v>
      </c>
      <c r="O894" s="17">
        <f t="shared" si="81"/>
        <v>44.559556786703602</v>
      </c>
      <c r="P894" s="16">
        <f t="shared" si="82"/>
        <v>1.9898565066798615</v>
      </c>
      <c r="Q894" s="16">
        <f t="shared" si="83"/>
        <v>0.44405072734054457</v>
      </c>
      <c r="R894" s="2" t="s">
        <v>1810</v>
      </c>
      <c r="S894" s="21" t="s">
        <v>21</v>
      </c>
      <c r="T894" s="21" t="s">
        <v>17</v>
      </c>
      <c r="U894" s="8">
        <v>16086</v>
      </c>
      <c r="V894" s="11">
        <v>4</v>
      </c>
      <c r="W894" t="str">
        <f>IF(Table1[[#This Row],[Satisfaction Rating]]&lt;2, "Low", IF(Table1[[#This Row],[Satisfaction Rating]]&lt;4, "Medium", "High"))</f>
        <v>High</v>
      </c>
    </row>
    <row r="895" spans="1:23" ht="13" x14ac:dyDescent="0.15">
      <c r="A895" s="2" t="s">
        <v>1811</v>
      </c>
      <c r="B895" s="23">
        <v>45385.920115740744</v>
      </c>
      <c r="C895" s="23">
        <v>45385.920115740744</v>
      </c>
      <c r="D895" s="23" t="str">
        <f>IF(Table1[[#This Row],[Duration of Campaign]]=0, "Ongoing","Completed")</f>
        <v>Ongoing</v>
      </c>
      <c r="E895" s="25">
        <f>Table1[[#This Row],[End Date]]-Table1[[#This Row],[Start Date]]</f>
        <v>0</v>
      </c>
      <c r="F895" s="8">
        <v>9957</v>
      </c>
      <c r="G895" s="21" t="s">
        <v>37</v>
      </c>
      <c r="H895" s="11">
        <v>18228</v>
      </c>
      <c r="I895" s="11">
        <v>596</v>
      </c>
      <c r="J895" s="11">
        <v>449</v>
      </c>
      <c r="K895" s="13">
        <v>4028</v>
      </c>
      <c r="L895" s="16">
        <f t="shared" si="78"/>
        <v>3.2696949747640994E-2</v>
      </c>
      <c r="M895" s="16">
        <f t="shared" si="79"/>
        <v>0.75335570469798663</v>
      </c>
      <c r="N895" s="17">
        <f t="shared" si="80"/>
        <v>28.914429530201343</v>
      </c>
      <c r="O895" s="17">
        <f t="shared" si="81"/>
        <v>38.380846325167035</v>
      </c>
      <c r="P895" s="16">
        <f t="shared" si="82"/>
        <v>1.7307421914231194</v>
      </c>
      <c r="Q895" s="16">
        <f t="shared" si="83"/>
        <v>0.23373759647188533</v>
      </c>
      <c r="R895" s="2" t="s">
        <v>1812</v>
      </c>
      <c r="S895" s="21" t="s">
        <v>16</v>
      </c>
      <c r="T895" s="21" t="s">
        <v>27</v>
      </c>
      <c r="U895" s="8">
        <v>17233</v>
      </c>
      <c r="V895" s="11">
        <v>5</v>
      </c>
      <c r="W895" t="str">
        <f>IF(Table1[[#This Row],[Satisfaction Rating]]&lt;2, "Low", IF(Table1[[#This Row],[Satisfaction Rating]]&lt;4, "Medium", "High"))</f>
        <v>High</v>
      </c>
    </row>
    <row r="896" spans="1:23" ht="13" x14ac:dyDescent="0.15">
      <c r="A896" s="2" t="s">
        <v>1813</v>
      </c>
      <c r="B896" s="23">
        <v>45147.083067129628</v>
      </c>
      <c r="C896" s="23">
        <v>45374.093310185184</v>
      </c>
      <c r="D896" s="23" t="str">
        <f>IF(Table1[[#This Row],[Duration of Campaign]]=0, "Ongoing","Completed")</f>
        <v>Completed</v>
      </c>
      <c r="E896" s="25">
        <f>Table1[[#This Row],[End Date]]-Table1[[#This Row],[Start Date]]</f>
        <v>227.0102430555562</v>
      </c>
      <c r="F896" s="8">
        <v>4980</v>
      </c>
      <c r="G896" s="21" t="s">
        <v>19</v>
      </c>
      <c r="H896" s="11">
        <v>12260</v>
      </c>
      <c r="I896" s="11">
        <v>926</v>
      </c>
      <c r="J896" s="11">
        <v>197</v>
      </c>
      <c r="K896" s="13">
        <v>6580</v>
      </c>
      <c r="L896" s="16">
        <f t="shared" si="78"/>
        <v>7.5530179445350731E-2</v>
      </c>
      <c r="M896" s="16">
        <f t="shared" si="79"/>
        <v>0.21274298056155508</v>
      </c>
      <c r="N896" s="17">
        <f t="shared" si="80"/>
        <v>10.981641468682506</v>
      </c>
      <c r="O896" s="17">
        <f t="shared" si="81"/>
        <v>51.619289340101524</v>
      </c>
      <c r="P896" s="16">
        <f t="shared" si="82"/>
        <v>2.0419678714859439</v>
      </c>
      <c r="Q896" s="16">
        <f t="shared" si="83"/>
        <v>0.64706460812272593</v>
      </c>
      <c r="R896" s="2" t="s">
        <v>1814</v>
      </c>
      <c r="S896" s="21" t="s">
        <v>16</v>
      </c>
      <c r="T896" s="21" t="s">
        <v>45</v>
      </c>
      <c r="U896" s="8">
        <v>10169</v>
      </c>
      <c r="V896" s="11">
        <v>2</v>
      </c>
      <c r="W896" t="str">
        <f>IF(Table1[[#This Row],[Satisfaction Rating]]&lt;2, "Low", IF(Table1[[#This Row],[Satisfaction Rating]]&lt;4, "Medium", "High"))</f>
        <v>Medium</v>
      </c>
    </row>
    <row r="897" spans="1:23" ht="13" x14ac:dyDescent="0.15">
      <c r="A897" s="2" t="s">
        <v>1815</v>
      </c>
      <c r="B897" s="23">
        <v>45191.79446759259</v>
      </c>
      <c r="C897" s="23">
        <v>45191.79446759259</v>
      </c>
      <c r="D897" s="23" t="str">
        <f>IF(Table1[[#This Row],[Duration of Campaign]]=0, "Ongoing","Completed")</f>
        <v>Ongoing</v>
      </c>
      <c r="E897" s="25">
        <f>Table1[[#This Row],[End Date]]-Table1[[#This Row],[Start Date]]</f>
        <v>0</v>
      </c>
      <c r="F897" s="8">
        <v>4258</v>
      </c>
      <c r="G897" s="21" t="s">
        <v>19</v>
      </c>
      <c r="H897" s="11">
        <v>3659</v>
      </c>
      <c r="I897" s="11">
        <v>1372</v>
      </c>
      <c r="J897" s="11">
        <v>381</v>
      </c>
      <c r="K897" s="13">
        <v>5207</v>
      </c>
      <c r="L897" s="16">
        <f t="shared" si="78"/>
        <v>0.37496583766056302</v>
      </c>
      <c r="M897" s="16">
        <f t="shared" si="79"/>
        <v>0.27769679300291544</v>
      </c>
      <c r="N897" s="17">
        <f t="shared" si="80"/>
        <v>3.8979591836734695</v>
      </c>
      <c r="O897" s="17">
        <f t="shared" si="81"/>
        <v>14.036745406824148</v>
      </c>
      <c r="P897" s="16">
        <f t="shared" si="82"/>
        <v>1.2559887271019259</v>
      </c>
      <c r="Q897" s="16">
        <f t="shared" si="83"/>
        <v>0.97363500373971579</v>
      </c>
      <c r="R897" s="2" t="s">
        <v>1816</v>
      </c>
      <c r="S897" s="21" t="s">
        <v>24</v>
      </c>
      <c r="T897" s="21" t="s">
        <v>45</v>
      </c>
      <c r="U897" s="8">
        <v>5348</v>
      </c>
      <c r="V897" s="11">
        <v>5</v>
      </c>
      <c r="W897" t="str">
        <f>IF(Table1[[#This Row],[Satisfaction Rating]]&lt;2, "Low", IF(Table1[[#This Row],[Satisfaction Rating]]&lt;4, "Medium", "High"))</f>
        <v>High</v>
      </c>
    </row>
    <row r="898" spans="1:23" ht="13" x14ac:dyDescent="0.15">
      <c r="A898" s="2" t="s">
        <v>1817</v>
      </c>
      <c r="B898" s="23">
        <v>45514.877881944441</v>
      </c>
      <c r="C898" s="23">
        <v>45514.877881944441</v>
      </c>
      <c r="D898" s="23" t="str">
        <f>IF(Table1[[#This Row],[Duration of Campaign]]=0, "Ongoing","Completed")</f>
        <v>Ongoing</v>
      </c>
      <c r="E898" s="25">
        <f>Table1[[#This Row],[End Date]]-Table1[[#This Row],[Start Date]]</f>
        <v>0</v>
      </c>
      <c r="F898" s="8">
        <v>6987</v>
      </c>
      <c r="G898" s="21" t="s">
        <v>37</v>
      </c>
      <c r="H898" s="11">
        <v>14011</v>
      </c>
      <c r="I898" s="11">
        <v>681</v>
      </c>
      <c r="J898" s="11">
        <v>52</v>
      </c>
      <c r="K898" s="13">
        <v>11442</v>
      </c>
      <c r="L898" s="16">
        <f t="shared" si="78"/>
        <v>4.8604667761044891E-2</v>
      </c>
      <c r="M898" s="16">
        <f t="shared" si="79"/>
        <v>7.63582966226138E-2</v>
      </c>
      <c r="N898" s="17">
        <f t="shared" si="80"/>
        <v>20.772393538913363</v>
      </c>
      <c r="O898" s="17">
        <f t="shared" si="81"/>
        <v>272.03846153846155</v>
      </c>
      <c r="P898" s="16">
        <f t="shared" si="82"/>
        <v>2.0246171461285245</v>
      </c>
      <c r="Q898" s="16">
        <f t="shared" si="83"/>
        <v>0.80885055846175602</v>
      </c>
      <c r="R898" s="2" t="s">
        <v>1818</v>
      </c>
      <c r="S898" s="21" t="s">
        <v>35</v>
      </c>
      <c r="T898" s="21" t="s">
        <v>17</v>
      </c>
      <c r="U898" s="8">
        <v>14146</v>
      </c>
      <c r="V898" s="11">
        <v>4</v>
      </c>
      <c r="W898" t="str">
        <f>IF(Table1[[#This Row],[Satisfaction Rating]]&lt;2, "Low", IF(Table1[[#This Row],[Satisfaction Rating]]&lt;4, "Medium", "High"))</f>
        <v>High</v>
      </c>
    </row>
    <row r="899" spans="1:23" ht="13" x14ac:dyDescent="0.15">
      <c r="A899" s="2" t="s">
        <v>1819</v>
      </c>
      <c r="B899" s="23">
        <v>45043.061631944445</v>
      </c>
      <c r="C899" s="23">
        <v>45442.284780092596</v>
      </c>
      <c r="D899" s="23" t="str">
        <f>IF(Table1[[#This Row],[Duration of Campaign]]=0, "Ongoing","Completed")</f>
        <v>Completed</v>
      </c>
      <c r="E899" s="25">
        <f>Table1[[#This Row],[End Date]]-Table1[[#This Row],[Start Date]]</f>
        <v>399.22314814815036</v>
      </c>
      <c r="F899" s="8">
        <v>9688</v>
      </c>
      <c r="G899" s="21" t="s">
        <v>53</v>
      </c>
      <c r="H899" s="11">
        <v>7005</v>
      </c>
      <c r="I899" s="11">
        <v>541</v>
      </c>
      <c r="J899" s="11">
        <v>10</v>
      </c>
      <c r="K899" s="13">
        <v>6734</v>
      </c>
      <c r="L899" s="16">
        <f t="shared" ref="L899:L962" si="84">I899/H899</f>
        <v>7.7230549607423274E-2</v>
      </c>
      <c r="M899" s="16">
        <f t="shared" ref="M899:M962" si="85">J899/I899</f>
        <v>1.8484288354898338E-2</v>
      </c>
      <c r="N899" s="17">
        <f t="shared" ref="N899:N962" si="86">U899/I899</f>
        <v>34.918669131238445</v>
      </c>
      <c r="O899" s="17">
        <f t="shared" ref="O899:O962" si="87">U899/J899</f>
        <v>1889.1</v>
      </c>
      <c r="P899" s="16">
        <f t="shared" ref="P899:P962" si="88">U899/F899</f>
        <v>1.9499380677126341</v>
      </c>
      <c r="Q899" s="16">
        <f t="shared" ref="Q899:Q962" si="89">K899/U899</f>
        <v>0.35646604203059656</v>
      </c>
      <c r="R899" s="2" t="s">
        <v>1820</v>
      </c>
      <c r="S899" s="21" t="s">
        <v>30</v>
      </c>
      <c r="T899" s="21" t="s">
        <v>27</v>
      </c>
      <c r="U899" s="8">
        <v>18891</v>
      </c>
      <c r="V899" s="11">
        <v>5</v>
      </c>
      <c r="W899" t="str">
        <f>IF(Table1[[#This Row],[Satisfaction Rating]]&lt;2, "Low", IF(Table1[[#This Row],[Satisfaction Rating]]&lt;4, "Medium", "High"))</f>
        <v>High</v>
      </c>
    </row>
    <row r="900" spans="1:23" ht="13" x14ac:dyDescent="0.15">
      <c r="A900" s="2" t="s">
        <v>1821</v>
      </c>
      <c r="B900" s="23">
        <v>45339.527511574073</v>
      </c>
      <c r="C900" s="23">
        <v>45339.527511574073</v>
      </c>
      <c r="D900" s="23" t="str">
        <f>IF(Table1[[#This Row],[Duration of Campaign]]=0, "Ongoing","Completed")</f>
        <v>Ongoing</v>
      </c>
      <c r="E900" s="25">
        <f>Table1[[#This Row],[End Date]]-Table1[[#This Row],[Start Date]]</f>
        <v>0</v>
      </c>
      <c r="F900" s="8">
        <v>5564</v>
      </c>
      <c r="G900" s="21" t="s">
        <v>14</v>
      </c>
      <c r="H900" s="11">
        <v>13883</v>
      </c>
      <c r="I900" s="11">
        <v>1191</v>
      </c>
      <c r="J900" s="11">
        <v>91</v>
      </c>
      <c r="K900" s="13">
        <v>4383</v>
      </c>
      <c r="L900" s="16">
        <f t="shared" si="84"/>
        <v>8.5788374270690776E-2</v>
      </c>
      <c r="M900" s="16">
        <f t="shared" si="85"/>
        <v>7.6406381192275399E-2</v>
      </c>
      <c r="N900" s="17">
        <f t="shared" si="86"/>
        <v>0.96977329974811088</v>
      </c>
      <c r="O900" s="17">
        <f t="shared" si="87"/>
        <v>12.692307692307692</v>
      </c>
      <c r="P900" s="16">
        <f t="shared" si="88"/>
        <v>0.20758447160316318</v>
      </c>
      <c r="Q900" s="16">
        <f t="shared" si="89"/>
        <v>3.7948051948051948</v>
      </c>
      <c r="R900" s="2" t="s">
        <v>1822</v>
      </c>
      <c r="S900" s="21" t="s">
        <v>16</v>
      </c>
      <c r="T900" s="21" t="s">
        <v>27</v>
      </c>
      <c r="U900" s="8">
        <v>1155</v>
      </c>
      <c r="V900" s="11">
        <v>3</v>
      </c>
      <c r="W900" t="str">
        <f>IF(Table1[[#This Row],[Satisfaction Rating]]&lt;2, "Low", IF(Table1[[#This Row],[Satisfaction Rating]]&lt;4, "Medium", "High"))</f>
        <v>Medium</v>
      </c>
    </row>
    <row r="901" spans="1:23" ht="13" x14ac:dyDescent="0.15">
      <c r="A901" s="2" t="s">
        <v>1823</v>
      </c>
      <c r="B901" s="23">
        <v>44993.725474537037</v>
      </c>
      <c r="C901" s="23">
        <v>45257.37300925926</v>
      </c>
      <c r="D901" s="23" t="str">
        <f>IF(Table1[[#This Row],[Duration of Campaign]]=0, "Ongoing","Completed")</f>
        <v>Completed</v>
      </c>
      <c r="E901" s="25">
        <f>Table1[[#This Row],[End Date]]-Table1[[#This Row],[Start Date]]</f>
        <v>263.64753472222219</v>
      </c>
      <c r="F901" s="8">
        <v>9122</v>
      </c>
      <c r="G901" s="21" t="s">
        <v>37</v>
      </c>
      <c r="H901" s="11">
        <v>19916</v>
      </c>
      <c r="I901" s="11">
        <v>1769</v>
      </c>
      <c r="J901" s="11">
        <v>247</v>
      </c>
      <c r="K901" s="13">
        <v>4460</v>
      </c>
      <c r="L901" s="16">
        <f t="shared" si="84"/>
        <v>8.882305683872263E-2</v>
      </c>
      <c r="M901" s="16">
        <f t="shared" si="85"/>
        <v>0.13962690785754664</v>
      </c>
      <c r="N901" s="17">
        <f t="shared" si="86"/>
        <v>9.1102317693612207</v>
      </c>
      <c r="O901" s="17">
        <f t="shared" si="87"/>
        <v>65.246963562753038</v>
      </c>
      <c r="P901" s="16">
        <f t="shared" si="88"/>
        <v>1.7667178250383688</v>
      </c>
      <c r="Q901" s="16">
        <f t="shared" si="89"/>
        <v>0.27674360883593946</v>
      </c>
      <c r="R901" s="2" t="s">
        <v>1824</v>
      </c>
      <c r="S901" s="21" t="s">
        <v>16</v>
      </c>
      <c r="T901" s="21" t="s">
        <v>45</v>
      </c>
      <c r="U901" s="8">
        <v>16116</v>
      </c>
      <c r="V901" s="11">
        <v>3</v>
      </c>
      <c r="W901" t="str">
        <f>IF(Table1[[#This Row],[Satisfaction Rating]]&lt;2, "Low", IF(Table1[[#This Row],[Satisfaction Rating]]&lt;4, "Medium", "High"))</f>
        <v>Medium</v>
      </c>
    </row>
    <row r="902" spans="1:23" ht="13" x14ac:dyDescent="0.15">
      <c r="A902" s="2" t="s">
        <v>1825</v>
      </c>
      <c r="B902" s="23">
        <v>45040.456875000003</v>
      </c>
      <c r="C902" s="23">
        <v>45362.204872685186</v>
      </c>
      <c r="D902" s="23" t="str">
        <f>IF(Table1[[#This Row],[Duration of Campaign]]=0, "Ongoing","Completed")</f>
        <v>Completed</v>
      </c>
      <c r="E902" s="25">
        <f>Table1[[#This Row],[End Date]]-Table1[[#This Row],[Start Date]]</f>
        <v>321.74799768518278</v>
      </c>
      <c r="F902" s="8">
        <v>2561</v>
      </c>
      <c r="G902" s="21" t="s">
        <v>19</v>
      </c>
      <c r="H902" s="11">
        <v>10277</v>
      </c>
      <c r="I902" s="11">
        <v>1537</v>
      </c>
      <c r="J902" s="11">
        <v>88</v>
      </c>
      <c r="K902" s="13">
        <v>13697</v>
      </c>
      <c r="L902" s="16">
        <f t="shared" si="84"/>
        <v>0.14955726379293569</v>
      </c>
      <c r="M902" s="16">
        <f t="shared" si="85"/>
        <v>5.7254391672088484E-2</v>
      </c>
      <c r="N902" s="17">
        <f t="shared" si="86"/>
        <v>4.1496421600520499</v>
      </c>
      <c r="O902" s="17">
        <f t="shared" si="87"/>
        <v>72.477272727272734</v>
      </c>
      <c r="P902" s="16">
        <f t="shared" si="88"/>
        <v>2.4904334244435766</v>
      </c>
      <c r="Q902" s="16">
        <f t="shared" si="89"/>
        <v>2.1475384132957038</v>
      </c>
      <c r="R902" s="2" t="s">
        <v>1826</v>
      </c>
      <c r="S902" s="21" t="s">
        <v>30</v>
      </c>
      <c r="T902" s="21" t="s">
        <v>45</v>
      </c>
      <c r="U902" s="8">
        <v>6378</v>
      </c>
      <c r="V902" s="11">
        <v>1</v>
      </c>
      <c r="W902" t="str">
        <f>IF(Table1[[#This Row],[Satisfaction Rating]]&lt;2, "Low", IF(Table1[[#This Row],[Satisfaction Rating]]&lt;4, "Medium", "High"))</f>
        <v>Low</v>
      </c>
    </row>
    <row r="903" spans="1:23" ht="13" x14ac:dyDescent="0.15">
      <c r="A903" s="2" t="s">
        <v>1827</v>
      </c>
      <c r="B903" s="23">
        <v>45151.113321759258</v>
      </c>
      <c r="C903" s="23">
        <v>45260.874062499999</v>
      </c>
      <c r="D903" s="23" t="str">
        <f>IF(Table1[[#This Row],[Duration of Campaign]]=0, "Ongoing","Completed")</f>
        <v>Completed</v>
      </c>
      <c r="E903" s="25">
        <f>Table1[[#This Row],[End Date]]-Table1[[#This Row],[Start Date]]</f>
        <v>109.76074074074131</v>
      </c>
      <c r="F903" s="8">
        <v>5844</v>
      </c>
      <c r="G903" s="21" t="s">
        <v>37</v>
      </c>
      <c r="H903" s="11">
        <v>17817</v>
      </c>
      <c r="I903" s="11">
        <v>210</v>
      </c>
      <c r="J903" s="11">
        <v>167</v>
      </c>
      <c r="K903" s="13">
        <v>4487</v>
      </c>
      <c r="L903" s="16">
        <f t="shared" si="84"/>
        <v>1.17864960431049E-2</v>
      </c>
      <c r="M903" s="16">
        <f t="shared" si="85"/>
        <v>0.79523809523809519</v>
      </c>
      <c r="N903" s="17">
        <f t="shared" si="86"/>
        <v>13.771428571428572</v>
      </c>
      <c r="O903" s="17">
        <f t="shared" si="87"/>
        <v>17.317365269461078</v>
      </c>
      <c r="P903" s="16">
        <f t="shared" si="88"/>
        <v>0.49486652977412732</v>
      </c>
      <c r="Q903" s="16">
        <f t="shared" si="89"/>
        <v>1.5515214384508991</v>
      </c>
      <c r="R903" s="2" t="s">
        <v>1828</v>
      </c>
      <c r="S903" s="21" t="s">
        <v>16</v>
      </c>
      <c r="T903" s="21" t="s">
        <v>45</v>
      </c>
      <c r="U903" s="8">
        <v>2892</v>
      </c>
      <c r="V903" s="11">
        <v>3</v>
      </c>
      <c r="W903" t="str">
        <f>IF(Table1[[#This Row],[Satisfaction Rating]]&lt;2, "Low", IF(Table1[[#This Row],[Satisfaction Rating]]&lt;4, "Medium", "High"))</f>
        <v>Medium</v>
      </c>
    </row>
    <row r="904" spans="1:23" ht="13" x14ac:dyDescent="0.15">
      <c r="A904" s="2" t="s">
        <v>1829</v>
      </c>
      <c r="B904" s="23">
        <v>45510.632418981484</v>
      </c>
      <c r="C904" s="23">
        <v>45510.632418981484</v>
      </c>
      <c r="D904" s="23" t="str">
        <f>IF(Table1[[#This Row],[Duration of Campaign]]=0, "Ongoing","Completed")</f>
        <v>Ongoing</v>
      </c>
      <c r="E904" s="25">
        <f>Table1[[#This Row],[End Date]]-Table1[[#This Row],[Start Date]]</f>
        <v>0</v>
      </c>
      <c r="F904" s="8">
        <v>7272</v>
      </c>
      <c r="G904" s="21" t="s">
        <v>37</v>
      </c>
      <c r="H904" s="11">
        <v>3936</v>
      </c>
      <c r="I904" s="11">
        <v>1467</v>
      </c>
      <c r="J904" s="11">
        <v>188</v>
      </c>
      <c r="K904" s="13">
        <v>13424</v>
      </c>
      <c r="L904" s="16">
        <f t="shared" si="84"/>
        <v>0.37271341463414637</v>
      </c>
      <c r="M904" s="16">
        <f t="shared" si="85"/>
        <v>0.1281526925698705</v>
      </c>
      <c r="N904" s="17">
        <f t="shared" si="86"/>
        <v>6.4594410361281529</v>
      </c>
      <c r="O904" s="17">
        <f t="shared" si="87"/>
        <v>50.404255319148938</v>
      </c>
      <c r="P904" s="16">
        <f t="shared" si="88"/>
        <v>1.3030803080308031</v>
      </c>
      <c r="Q904" s="16">
        <f t="shared" si="89"/>
        <v>1.4166314900802026</v>
      </c>
      <c r="R904" s="2" t="s">
        <v>1830</v>
      </c>
      <c r="S904" s="21" t="s">
        <v>21</v>
      </c>
      <c r="T904" s="21" t="s">
        <v>45</v>
      </c>
      <c r="U904" s="8">
        <v>9476</v>
      </c>
      <c r="V904" s="11">
        <v>3</v>
      </c>
      <c r="W904" t="str">
        <f>IF(Table1[[#This Row],[Satisfaction Rating]]&lt;2, "Low", IF(Table1[[#This Row],[Satisfaction Rating]]&lt;4, "Medium", "High"))</f>
        <v>Medium</v>
      </c>
    </row>
    <row r="905" spans="1:23" ht="13" x14ac:dyDescent="0.15">
      <c r="A905" s="2" t="s">
        <v>1831</v>
      </c>
      <c r="B905" s="23">
        <v>45227.159687500003</v>
      </c>
      <c r="C905" s="23">
        <v>45227.159687500003</v>
      </c>
      <c r="D905" s="23" t="str">
        <f>IF(Table1[[#This Row],[Duration of Campaign]]=0, "Ongoing","Completed")</f>
        <v>Ongoing</v>
      </c>
      <c r="E905" s="25">
        <f>Table1[[#This Row],[End Date]]-Table1[[#This Row],[Start Date]]</f>
        <v>0</v>
      </c>
      <c r="F905" s="8">
        <v>5304</v>
      </c>
      <c r="G905" s="21" t="s">
        <v>19</v>
      </c>
      <c r="H905" s="11">
        <v>16807</v>
      </c>
      <c r="I905" s="11">
        <v>287</v>
      </c>
      <c r="J905" s="11">
        <v>38</v>
      </c>
      <c r="K905" s="13">
        <v>7376</v>
      </c>
      <c r="L905" s="16">
        <f t="shared" si="84"/>
        <v>1.7076218242399001E-2</v>
      </c>
      <c r="M905" s="16">
        <f t="shared" si="85"/>
        <v>0.13240418118466898</v>
      </c>
      <c r="N905" s="17">
        <f t="shared" si="86"/>
        <v>33.310104529616723</v>
      </c>
      <c r="O905" s="17">
        <f t="shared" si="87"/>
        <v>251.57894736842104</v>
      </c>
      <c r="P905" s="16">
        <f t="shared" si="88"/>
        <v>1.8024132730015083</v>
      </c>
      <c r="Q905" s="16">
        <f t="shared" si="89"/>
        <v>0.77154811715481175</v>
      </c>
      <c r="R905" s="2" t="s">
        <v>1832</v>
      </c>
      <c r="S905" s="21" t="s">
        <v>16</v>
      </c>
      <c r="T905" s="21" t="s">
        <v>17</v>
      </c>
      <c r="U905" s="8">
        <v>9560</v>
      </c>
      <c r="V905" s="11">
        <v>3</v>
      </c>
      <c r="W905" t="str">
        <f>IF(Table1[[#This Row],[Satisfaction Rating]]&lt;2, "Low", IF(Table1[[#This Row],[Satisfaction Rating]]&lt;4, "Medium", "High"))</f>
        <v>Medium</v>
      </c>
    </row>
    <row r="906" spans="1:23" ht="13" x14ac:dyDescent="0.15">
      <c r="A906" s="2" t="s">
        <v>1833</v>
      </c>
      <c r="B906" s="23">
        <v>45184.828900462962</v>
      </c>
      <c r="C906" s="23">
        <v>45254.541365740741</v>
      </c>
      <c r="D906" s="23" t="str">
        <f>IF(Table1[[#This Row],[Duration of Campaign]]=0, "Ongoing","Completed")</f>
        <v>Completed</v>
      </c>
      <c r="E906" s="25">
        <f>Table1[[#This Row],[End Date]]-Table1[[#This Row],[Start Date]]</f>
        <v>69.712465277778392</v>
      </c>
      <c r="F906" s="8">
        <v>7308</v>
      </c>
      <c r="G906" s="21" t="s">
        <v>37</v>
      </c>
      <c r="H906" s="11">
        <v>13796</v>
      </c>
      <c r="I906" s="11">
        <v>478</v>
      </c>
      <c r="J906" s="11">
        <v>392</v>
      </c>
      <c r="K906" s="13">
        <v>12761</v>
      </c>
      <c r="L906" s="16">
        <f t="shared" si="84"/>
        <v>3.4647723977964624E-2</v>
      </c>
      <c r="M906" s="16">
        <f t="shared" si="85"/>
        <v>0.82008368200836823</v>
      </c>
      <c r="N906" s="17">
        <f t="shared" si="86"/>
        <v>32.410041841004187</v>
      </c>
      <c r="O906" s="17">
        <f t="shared" si="87"/>
        <v>39.520408163265309</v>
      </c>
      <c r="P906" s="16">
        <f t="shared" si="88"/>
        <v>2.1198686371100166</v>
      </c>
      <c r="Q906" s="16">
        <f t="shared" si="89"/>
        <v>0.82371546604699197</v>
      </c>
      <c r="R906" s="2" t="s">
        <v>1834</v>
      </c>
      <c r="S906" s="21" t="s">
        <v>30</v>
      </c>
      <c r="T906" s="21" t="s">
        <v>45</v>
      </c>
      <c r="U906" s="8">
        <v>15492</v>
      </c>
      <c r="V906" s="11">
        <v>4</v>
      </c>
      <c r="W906" t="str">
        <f>IF(Table1[[#This Row],[Satisfaction Rating]]&lt;2, "Low", IF(Table1[[#This Row],[Satisfaction Rating]]&lt;4, "Medium", "High"))</f>
        <v>High</v>
      </c>
    </row>
    <row r="907" spans="1:23" ht="13" x14ac:dyDescent="0.15">
      <c r="A907" s="2" t="s">
        <v>1835</v>
      </c>
      <c r="B907" s="23">
        <v>45451.421238425923</v>
      </c>
      <c r="C907" s="23">
        <v>45451.421238425923</v>
      </c>
      <c r="D907" s="23" t="str">
        <f>IF(Table1[[#This Row],[Duration of Campaign]]=0, "Ongoing","Completed")</f>
        <v>Ongoing</v>
      </c>
      <c r="E907" s="25">
        <f>Table1[[#This Row],[End Date]]-Table1[[#This Row],[Start Date]]</f>
        <v>0</v>
      </c>
      <c r="F907" s="8">
        <v>1374</v>
      </c>
      <c r="G907" s="21" t="s">
        <v>53</v>
      </c>
      <c r="H907" s="11">
        <v>4968</v>
      </c>
      <c r="I907" s="11">
        <v>345</v>
      </c>
      <c r="J907" s="11">
        <v>466</v>
      </c>
      <c r="K907" s="13">
        <v>6259</v>
      </c>
      <c r="L907" s="16">
        <f t="shared" si="84"/>
        <v>6.9444444444444448E-2</v>
      </c>
      <c r="M907" s="16">
        <f t="shared" si="85"/>
        <v>1.3507246376811595</v>
      </c>
      <c r="N907" s="17">
        <f t="shared" si="86"/>
        <v>57.823188405797104</v>
      </c>
      <c r="O907" s="17">
        <f t="shared" si="87"/>
        <v>42.809012875536482</v>
      </c>
      <c r="P907" s="16">
        <f t="shared" si="88"/>
        <v>14.518922852983989</v>
      </c>
      <c r="Q907" s="16">
        <f t="shared" si="89"/>
        <v>0.31375006265978245</v>
      </c>
      <c r="R907" s="2" t="s">
        <v>1836</v>
      </c>
      <c r="S907" s="21" t="s">
        <v>24</v>
      </c>
      <c r="T907" s="21" t="s">
        <v>27</v>
      </c>
      <c r="U907" s="8">
        <v>19949</v>
      </c>
      <c r="V907" s="11">
        <v>3</v>
      </c>
      <c r="W907" t="str">
        <f>IF(Table1[[#This Row],[Satisfaction Rating]]&lt;2, "Low", IF(Table1[[#This Row],[Satisfaction Rating]]&lt;4, "Medium", "High"))</f>
        <v>Medium</v>
      </c>
    </row>
    <row r="908" spans="1:23" ht="13" x14ac:dyDescent="0.15">
      <c r="A908" s="2" t="s">
        <v>1837</v>
      </c>
      <c r="B908" s="23">
        <v>45415.455057870371</v>
      </c>
      <c r="C908" s="23">
        <v>45620.642928240741</v>
      </c>
      <c r="D908" s="23" t="str">
        <f>IF(Table1[[#This Row],[Duration of Campaign]]=0, "Ongoing","Completed")</f>
        <v>Completed</v>
      </c>
      <c r="E908" s="25">
        <f>Table1[[#This Row],[End Date]]-Table1[[#This Row],[Start Date]]</f>
        <v>205.18787037036964</v>
      </c>
      <c r="F908" s="8">
        <v>5767</v>
      </c>
      <c r="G908" s="21" t="s">
        <v>53</v>
      </c>
      <c r="H908" s="11">
        <v>17354</v>
      </c>
      <c r="I908" s="11">
        <v>1014</v>
      </c>
      <c r="J908" s="11">
        <v>194</v>
      </c>
      <c r="K908" s="13">
        <v>8820</v>
      </c>
      <c r="L908" s="16">
        <f t="shared" si="84"/>
        <v>5.843033306442319E-2</v>
      </c>
      <c r="M908" s="16">
        <f t="shared" si="85"/>
        <v>0.19132149901380671</v>
      </c>
      <c r="N908" s="17">
        <f t="shared" si="86"/>
        <v>0.76134122287968442</v>
      </c>
      <c r="O908" s="17">
        <f t="shared" si="87"/>
        <v>3.9793814432989691</v>
      </c>
      <c r="P908" s="16">
        <f t="shared" si="88"/>
        <v>0.13386509450320791</v>
      </c>
      <c r="Q908" s="16">
        <f t="shared" si="89"/>
        <v>11.424870466321243</v>
      </c>
      <c r="R908" s="2" t="s">
        <v>1838</v>
      </c>
      <c r="S908" s="21" t="s">
        <v>35</v>
      </c>
      <c r="T908" s="21" t="s">
        <v>27</v>
      </c>
      <c r="U908" s="8">
        <v>772</v>
      </c>
      <c r="V908" s="11">
        <v>4</v>
      </c>
      <c r="W908" t="str">
        <f>IF(Table1[[#This Row],[Satisfaction Rating]]&lt;2, "Low", IF(Table1[[#This Row],[Satisfaction Rating]]&lt;4, "Medium", "High"))</f>
        <v>High</v>
      </c>
    </row>
    <row r="909" spans="1:23" ht="13" x14ac:dyDescent="0.15">
      <c r="A909" s="2" t="s">
        <v>1839</v>
      </c>
      <c r="B909" s="23">
        <v>45217.83971064815</v>
      </c>
      <c r="C909" s="23">
        <v>45351.723333333335</v>
      </c>
      <c r="D909" s="23" t="str">
        <f>IF(Table1[[#This Row],[Duration of Campaign]]=0, "Ongoing","Completed")</f>
        <v>Completed</v>
      </c>
      <c r="E909" s="25">
        <f>Table1[[#This Row],[End Date]]-Table1[[#This Row],[Start Date]]</f>
        <v>133.8836226851854</v>
      </c>
      <c r="F909" s="8">
        <v>6383</v>
      </c>
      <c r="G909" s="21" t="s">
        <v>19</v>
      </c>
      <c r="H909" s="11">
        <v>18572</v>
      </c>
      <c r="I909" s="11">
        <v>681</v>
      </c>
      <c r="J909" s="11">
        <v>444</v>
      </c>
      <c r="K909" s="13">
        <v>3195</v>
      </c>
      <c r="L909" s="16">
        <f t="shared" si="84"/>
        <v>3.6668102519922467E-2</v>
      </c>
      <c r="M909" s="16">
        <f t="shared" si="85"/>
        <v>0.65198237885462551</v>
      </c>
      <c r="N909" s="17">
        <f t="shared" si="86"/>
        <v>5.7327459618208518</v>
      </c>
      <c r="O909" s="17">
        <f t="shared" si="87"/>
        <v>8.7927927927927936</v>
      </c>
      <c r="P909" s="16">
        <f t="shared" si="88"/>
        <v>0.61162462791790695</v>
      </c>
      <c r="Q909" s="16">
        <f t="shared" si="89"/>
        <v>0.81839139344262291</v>
      </c>
      <c r="R909" s="2" t="s">
        <v>1840</v>
      </c>
      <c r="S909" s="21" t="s">
        <v>16</v>
      </c>
      <c r="T909" s="21" t="s">
        <v>27</v>
      </c>
      <c r="U909" s="8">
        <v>3904</v>
      </c>
      <c r="V909" s="11">
        <v>2</v>
      </c>
      <c r="W909" t="str">
        <f>IF(Table1[[#This Row],[Satisfaction Rating]]&lt;2, "Low", IF(Table1[[#This Row],[Satisfaction Rating]]&lt;4, "Medium", "High"))</f>
        <v>Medium</v>
      </c>
    </row>
    <row r="910" spans="1:23" ht="13" x14ac:dyDescent="0.15">
      <c r="A910" s="2" t="s">
        <v>1841</v>
      </c>
      <c r="B910" s="23">
        <v>44937.261608796296</v>
      </c>
      <c r="C910" s="23">
        <v>44966.588576388887</v>
      </c>
      <c r="D910" s="23" t="str">
        <f>IF(Table1[[#This Row],[Duration of Campaign]]=0, "Ongoing","Completed")</f>
        <v>Completed</v>
      </c>
      <c r="E910" s="25">
        <f>Table1[[#This Row],[End Date]]-Table1[[#This Row],[Start Date]]</f>
        <v>29.326967592591245</v>
      </c>
      <c r="F910" s="8">
        <v>6442</v>
      </c>
      <c r="G910" s="21" t="s">
        <v>37</v>
      </c>
      <c r="H910" s="11">
        <v>9147</v>
      </c>
      <c r="I910" s="11">
        <v>1359</v>
      </c>
      <c r="J910" s="11">
        <v>315</v>
      </c>
      <c r="K910" s="13">
        <v>11123</v>
      </c>
      <c r="L910" s="16">
        <f t="shared" si="84"/>
        <v>0.14857330272220401</v>
      </c>
      <c r="M910" s="16">
        <f t="shared" si="85"/>
        <v>0.23178807947019867</v>
      </c>
      <c r="N910" s="17">
        <f t="shared" si="86"/>
        <v>6.8844738778513612</v>
      </c>
      <c r="O910" s="17">
        <f t="shared" si="87"/>
        <v>29.701587301587303</v>
      </c>
      <c r="P910" s="16">
        <f t="shared" si="88"/>
        <v>1.4523439925488979</v>
      </c>
      <c r="Q910" s="16">
        <f t="shared" si="89"/>
        <v>1.1888627618640444</v>
      </c>
      <c r="R910" s="2" t="s">
        <v>1842</v>
      </c>
      <c r="S910" s="21" t="s">
        <v>16</v>
      </c>
      <c r="T910" s="21" t="s">
        <v>17</v>
      </c>
      <c r="U910" s="8">
        <v>9356</v>
      </c>
      <c r="V910" s="11">
        <v>3</v>
      </c>
      <c r="W910" t="str">
        <f>IF(Table1[[#This Row],[Satisfaction Rating]]&lt;2, "Low", IF(Table1[[#This Row],[Satisfaction Rating]]&lt;4, "Medium", "High"))</f>
        <v>Medium</v>
      </c>
    </row>
    <row r="911" spans="1:23" ht="13" x14ac:dyDescent="0.15">
      <c r="A911" s="2" t="s">
        <v>1843</v>
      </c>
      <c r="B911" s="23">
        <v>45283.295069444444</v>
      </c>
      <c r="C911" s="23">
        <v>45378.761111111111</v>
      </c>
      <c r="D911" s="23" t="str">
        <f>IF(Table1[[#This Row],[Duration of Campaign]]=0, "Ongoing","Completed")</f>
        <v>Completed</v>
      </c>
      <c r="E911" s="25">
        <f>Table1[[#This Row],[End Date]]-Table1[[#This Row],[Start Date]]</f>
        <v>95.46604166666657</v>
      </c>
      <c r="F911" s="8">
        <v>1919</v>
      </c>
      <c r="G911" s="21" t="s">
        <v>14</v>
      </c>
      <c r="H911" s="11">
        <v>17211</v>
      </c>
      <c r="I911" s="11">
        <v>1320</v>
      </c>
      <c r="J911" s="11">
        <v>15</v>
      </c>
      <c r="K911" s="13">
        <v>5404</v>
      </c>
      <c r="L911" s="16">
        <f t="shared" si="84"/>
        <v>7.6695136831096397E-2</v>
      </c>
      <c r="M911" s="16">
        <f t="shared" si="85"/>
        <v>1.1363636363636364E-2</v>
      </c>
      <c r="N911" s="17">
        <f t="shared" si="86"/>
        <v>6.6219696969696971</v>
      </c>
      <c r="O911" s="17">
        <f t="shared" si="87"/>
        <v>582.73333333333335</v>
      </c>
      <c r="P911" s="16">
        <f t="shared" si="88"/>
        <v>4.5549765502866073</v>
      </c>
      <c r="Q911" s="16">
        <f t="shared" si="89"/>
        <v>0.6182358997826336</v>
      </c>
      <c r="R911" s="2" t="s">
        <v>1844</v>
      </c>
      <c r="S911" s="21" t="s">
        <v>30</v>
      </c>
      <c r="T911" s="21" t="s">
        <v>45</v>
      </c>
      <c r="U911" s="8">
        <v>8741</v>
      </c>
      <c r="V911" s="11">
        <v>1</v>
      </c>
      <c r="W911" t="str">
        <f>IF(Table1[[#This Row],[Satisfaction Rating]]&lt;2, "Low", IF(Table1[[#This Row],[Satisfaction Rating]]&lt;4, "Medium", "High"))</f>
        <v>Low</v>
      </c>
    </row>
    <row r="912" spans="1:23" ht="13" x14ac:dyDescent="0.15">
      <c r="A912" s="2" t="s">
        <v>1845</v>
      </c>
      <c r="B912" s="23">
        <v>45118.316724537035</v>
      </c>
      <c r="C912" s="23">
        <v>45328.70853009259</v>
      </c>
      <c r="D912" s="23" t="str">
        <f>IF(Table1[[#This Row],[Duration of Campaign]]=0, "Ongoing","Completed")</f>
        <v>Completed</v>
      </c>
      <c r="E912" s="25">
        <f>Table1[[#This Row],[End Date]]-Table1[[#This Row],[Start Date]]</f>
        <v>210.39180555555504</v>
      </c>
      <c r="F912" s="8">
        <v>6742</v>
      </c>
      <c r="G912" s="21" t="s">
        <v>19</v>
      </c>
      <c r="H912" s="11">
        <v>1433</v>
      </c>
      <c r="I912" s="11">
        <v>703</v>
      </c>
      <c r="J912" s="11">
        <v>260</v>
      </c>
      <c r="K912" s="13">
        <v>10372</v>
      </c>
      <c r="L912" s="16">
        <f t="shared" si="84"/>
        <v>0.49057920446615494</v>
      </c>
      <c r="M912" s="16">
        <f t="shared" si="85"/>
        <v>0.36984352773826457</v>
      </c>
      <c r="N912" s="17">
        <f t="shared" si="86"/>
        <v>21.348506401137978</v>
      </c>
      <c r="O912" s="17">
        <f t="shared" si="87"/>
        <v>57.723076923076924</v>
      </c>
      <c r="P912" s="16">
        <f t="shared" si="88"/>
        <v>2.2260456837733611</v>
      </c>
      <c r="Q912" s="16">
        <f t="shared" si="89"/>
        <v>0.69109808102345416</v>
      </c>
      <c r="R912" s="2" t="s">
        <v>1846</v>
      </c>
      <c r="S912" s="21" t="s">
        <v>30</v>
      </c>
      <c r="T912" s="21" t="s">
        <v>17</v>
      </c>
      <c r="U912" s="8">
        <v>15008</v>
      </c>
      <c r="V912" s="11">
        <v>5</v>
      </c>
      <c r="W912" t="str">
        <f>IF(Table1[[#This Row],[Satisfaction Rating]]&lt;2, "Low", IF(Table1[[#This Row],[Satisfaction Rating]]&lt;4, "Medium", "High"))</f>
        <v>High</v>
      </c>
    </row>
    <row r="913" spans="1:23" ht="13" x14ac:dyDescent="0.15">
      <c r="A913" s="2" t="s">
        <v>1847</v>
      </c>
      <c r="B913" s="23">
        <v>45021.444120370368</v>
      </c>
      <c r="C913" s="23">
        <v>45588.886493055557</v>
      </c>
      <c r="D913" s="23" t="str">
        <f>IF(Table1[[#This Row],[Duration of Campaign]]=0, "Ongoing","Completed")</f>
        <v>Completed</v>
      </c>
      <c r="E913" s="25">
        <f>Table1[[#This Row],[End Date]]-Table1[[#This Row],[Start Date]]</f>
        <v>567.44237268518918</v>
      </c>
      <c r="F913" s="8">
        <v>3351</v>
      </c>
      <c r="G913" s="21" t="s">
        <v>53</v>
      </c>
      <c r="H913" s="11">
        <v>10678</v>
      </c>
      <c r="I913" s="11">
        <v>684</v>
      </c>
      <c r="J913" s="11">
        <v>81</v>
      </c>
      <c r="K913" s="13">
        <v>9380</v>
      </c>
      <c r="L913" s="16">
        <f t="shared" si="84"/>
        <v>6.4056939501779361E-2</v>
      </c>
      <c r="M913" s="16">
        <f t="shared" si="85"/>
        <v>0.11842105263157894</v>
      </c>
      <c r="N913" s="17">
        <f t="shared" si="86"/>
        <v>4.2105263157894735</v>
      </c>
      <c r="O913" s="17">
        <f t="shared" si="87"/>
        <v>35.555555555555557</v>
      </c>
      <c r="P913" s="16">
        <f t="shared" si="88"/>
        <v>0.85944494180841535</v>
      </c>
      <c r="Q913" s="16">
        <f t="shared" si="89"/>
        <v>3.2569444444444446</v>
      </c>
      <c r="R913" s="2" t="s">
        <v>1848</v>
      </c>
      <c r="S913" s="21" t="s">
        <v>21</v>
      </c>
      <c r="T913" s="21" t="s">
        <v>45</v>
      </c>
      <c r="U913" s="8">
        <v>2880</v>
      </c>
      <c r="V913" s="11">
        <v>1</v>
      </c>
      <c r="W913" t="str">
        <f>IF(Table1[[#This Row],[Satisfaction Rating]]&lt;2, "Low", IF(Table1[[#This Row],[Satisfaction Rating]]&lt;4, "Medium", "High"))</f>
        <v>Low</v>
      </c>
    </row>
    <row r="914" spans="1:23" ht="13" x14ac:dyDescent="0.15">
      <c r="A914" s="2" t="s">
        <v>1849</v>
      </c>
      <c r="B914" s="23">
        <v>45517.70621527778</v>
      </c>
      <c r="C914" s="23">
        <v>45517.70621527778</v>
      </c>
      <c r="D914" s="23" t="str">
        <f>IF(Table1[[#This Row],[Duration of Campaign]]=0, "Ongoing","Completed")</f>
        <v>Ongoing</v>
      </c>
      <c r="E914" s="25">
        <f>Table1[[#This Row],[End Date]]-Table1[[#This Row],[Start Date]]</f>
        <v>0</v>
      </c>
      <c r="F914" s="8">
        <v>2981</v>
      </c>
      <c r="G914" s="21" t="s">
        <v>37</v>
      </c>
      <c r="H914" s="11">
        <v>18873</v>
      </c>
      <c r="I914" s="11">
        <v>512</v>
      </c>
      <c r="J914" s="11">
        <v>364</v>
      </c>
      <c r="K914" s="13">
        <v>2239</v>
      </c>
      <c r="L914" s="16">
        <f t="shared" si="84"/>
        <v>2.7128702379060034E-2</v>
      </c>
      <c r="M914" s="16">
        <f t="shared" si="85"/>
        <v>0.7109375</v>
      </c>
      <c r="N914" s="17">
        <f t="shared" si="86"/>
        <v>21.513671875</v>
      </c>
      <c r="O914" s="17">
        <f t="shared" si="87"/>
        <v>30.260989010989011</v>
      </c>
      <c r="P914" s="16">
        <f t="shared" si="88"/>
        <v>3.6950687688695067</v>
      </c>
      <c r="Q914" s="16">
        <f t="shared" si="89"/>
        <v>0.20326827054017249</v>
      </c>
      <c r="R914" s="2" t="s">
        <v>1850</v>
      </c>
      <c r="S914" s="21" t="s">
        <v>24</v>
      </c>
      <c r="T914" s="21" t="s">
        <v>17</v>
      </c>
      <c r="U914" s="8">
        <v>11015</v>
      </c>
      <c r="V914" s="11">
        <v>5</v>
      </c>
      <c r="W914" t="str">
        <f>IF(Table1[[#This Row],[Satisfaction Rating]]&lt;2, "Low", IF(Table1[[#This Row],[Satisfaction Rating]]&lt;4, "Medium", "High"))</f>
        <v>High</v>
      </c>
    </row>
    <row r="915" spans="1:23" ht="13" x14ac:dyDescent="0.15">
      <c r="A915" s="2" t="s">
        <v>1851</v>
      </c>
      <c r="B915" s="23">
        <v>45276.264398148145</v>
      </c>
      <c r="C915" s="23">
        <v>45276.264398148145</v>
      </c>
      <c r="D915" s="23" t="str">
        <f>IF(Table1[[#This Row],[Duration of Campaign]]=0, "Ongoing","Completed")</f>
        <v>Ongoing</v>
      </c>
      <c r="E915" s="25">
        <f>Table1[[#This Row],[End Date]]-Table1[[#This Row],[Start Date]]</f>
        <v>0</v>
      </c>
      <c r="F915" s="8">
        <v>5743</v>
      </c>
      <c r="G915" s="21" t="s">
        <v>37</v>
      </c>
      <c r="H915" s="11">
        <v>5924</v>
      </c>
      <c r="I915" s="11">
        <v>667</v>
      </c>
      <c r="J915" s="11">
        <v>289</v>
      </c>
      <c r="K915" s="13">
        <v>7993</v>
      </c>
      <c r="L915" s="16">
        <f t="shared" si="84"/>
        <v>0.112592842673869</v>
      </c>
      <c r="M915" s="16">
        <f t="shared" si="85"/>
        <v>0.43328335832083958</v>
      </c>
      <c r="N915" s="17">
        <f t="shared" si="86"/>
        <v>4.5982008995502248</v>
      </c>
      <c r="O915" s="17">
        <f t="shared" si="87"/>
        <v>10.612456747404844</v>
      </c>
      <c r="P915" s="16">
        <f t="shared" si="88"/>
        <v>0.5340414417551802</v>
      </c>
      <c r="Q915" s="16">
        <f t="shared" si="89"/>
        <v>2.6061297685034237</v>
      </c>
      <c r="R915" s="2" t="s">
        <v>1852</v>
      </c>
      <c r="S915" s="21" t="s">
        <v>35</v>
      </c>
      <c r="T915" s="21" t="s">
        <v>45</v>
      </c>
      <c r="U915" s="8">
        <v>3067</v>
      </c>
      <c r="V915" s="11">
        <v>2</v>
      </c>
      <c r="W915" t="str">
        <f>IF(Table1[[#This Row],[Satisfaction Rating]]&lt;2, "Low", IF(Table1[[#This Row],[Satisfaction Rating]]&lt;4, "Medium", "High"))</f>
        <v>Medium</v>
      </c>
    </row>
    <row r="916" spans="1:23" ht="13" x14ac:dyDescent="0.15">
      <c r="A916" s="2" t="s">
        <v>1853</v>
      </c>
      <c r="B916" s="23">
        <v>45137.239583333336</v>
      </c>
      <c r="C916" s="23">
        <v>45137.239583333336</v>
      </c>
      <c r="D916" s="23" t="str">
        <f>IF(Table1[[#This Row],[Duration of Campaign]]=0, "Ongoing","Completed")</f>
        <v>Ongoing</v>
      </c>
      <c r="E916" s="25">
        <f>Table1[[#This Row],[End Date]]-Table1[[#This Row],[Start Date]]</f>
        <v>0</v>
      </c>
      <c r="F916" s="8">
        <v>8172</v>
      </c>
      <c r="G916" s="21" t="s">
        <v>14</v>
      </c>
      <c r="H916" s="11">
        <v>18554</v>
      </c>
      <c r="I916" s="11">
        <v>134</v>
      </c>
      <c r="J916" s="11">
        <v>374</v>
      </c>
      <c r="K916" s="13">
        <v>11415</v>
      </c>
      <c r="L916" s="16">
        <f t="shared" si="84"/>
        <v>7.2221623369623797E-3</v>
      </c>
      <c r="M916" s="16">
        <f t="shared" si="85"/>
        <v>2.7910447761194028</v>
      </c>
      <c r="N916" s="17">
        <f t="shared" si="86"/>
        <v>27.738805970149254</v>
      </c>
      <c r="O916" s="17">
        <f t="shared" si="87"/>
        <v>9.9385026737967923</v>
      </c>
      <c r="P916" s="16">
        <f t="shared" si="88"/>
        <v>0.45484581497797355</v>
      </c>
      <c r="Q916" s="16">
        <f t="shared" si="89"/>
        <v>3.0710250201775624</v>
      </c>
      <c r="R916" s="2" t="s">
        <v>1854</v>
      </c>
      <c r="S916" s="21" t="s">
        <v>21</v>
      </c>
      <c r="T916" s="21" t="s">
        <v>27</v>
      </c>
      <c r="U916" s="8">
        <v>3717</v>
      </c>
      <c r="V916" s="11">
        <v>4</v>
      </c>
      <c r="W916" t="str">
        <f>IF(Table1[[#This Row],[Satisfaction Rating]]&lt;2, "Low", IF(Table1[[#This Row],[Satisfaction Rating]]&lt;4, "Medium", "High"))</f>
        <v>High</v>
      </c>
    </row>
    <row r="917" spans="1:23" ht="13" x14ac:dyDescent="0.15">
      <c r="A917" s="2" t="s">
        <v>1855</v>
      </c>
      <c r="B917" s="23">
        <v>45526.908900462964</v>
      </c>
      <c r="C917" s="23">
        <v>45619.5940162037</v>
      </c>
      <c r="D917" s="23" t="str">
        <f>IF(Table1[[#This Row],[Duration of Campaign]]=0, "Ongoing","Completed")</f>
        <v>Completed</v>
      </c>
      <c r="E917" s="25">
        <f>Table1[[#This Row],[End Date]]-Table1[[#This Row],[Start Date]]</f>
        <v>92.685115740736364</v>
      </c>
      <c r="F917" s="8">
        <v>4167</v>
      </c>
      <c r="G917" s="21" t="s">
        <v>53</v>
      </c>
      <c r="H917" s="11">
        <v>3398</v>
      </c>
      <c r="I917" s="11">
        <v>519</v>
      </c>
      <c r="J917" s="11">
        <v>337</v>
      </c>
      <c r="K917" s="13">
        <v>664</v>
      </c>
      <c r="L917" s="16">
        <f t="shared" si="84"/>
        <v>0.15273690406121249</v>
      </c>
      <c r="M917" s="16">
        <f t="shared" si="85"/>
        <v>0.64932562620423895</v>
      </c>
      <c r="N917" s="17">
        <f t="shared" si="86"/>
        <v>21.96339113680154</v>
      </c>
      <c r="O917" s="17">
        <f t="shared" si="87"/>
        <v>33.824925816023736</v>
      </c>
      <c r="P917" s="16">
        <f t="shared" si="88"/>
        <v>2.7355411567074635</v>
      </c>
      <c r="Q917" s="16">
        <f t="shared" si="89"/>
        <v>5.8250723747697165E-2</v>
      </c>
      <c r="R917" s="2" t="s">
        <v>1856</v>
      </c>
      <c r="S917" s="21" t="s">
        <v>35</v>
      </c>
      <c r="T917" s="21" t="s">
        <v>27</v>
      </c>
      <c r="U917" s="8">
        <v>11399</v>
      </c>
      <c r="V917" s="11">
        <v>5</v>
      </c>
      <c r="W917" t="str">
        <f>IF(Table1[[#This Row],[Satisfaction Rating]]&lt;2, "Low", IF(Table1[[#This Row],[Satisfaction Rating]]&lt;4, "Medium", "High"))</f>
        <v>High</v>
      </c>
    </row>
    <row r="918" spans="1:23" ht="13" x14ac:dyDescent="0.15">
      <c r="A918" s="2" t="s">
        <v>1857</v>
      </c>
      <c r="B918" s="23">
        <v>45131.202777777777</v>
      </c>
      <c r="C918" s="23">
        <v>45289.647939814815</v>
      </c>
      <c r="D918" s="23" t="str">
        <f>IF(Table1[[#This Row],[Duration of Campaign]]=0, "Ongoing","Completed")</f>
        <v>Completed</v>
      </c>
      <c r="E918" s="25">
        <f>Table1[[#This Row],[End Date]]-Table1[[#This Row],[Start Date]]</f>
        <v>158.44516203703824</v>
      </c>
      <c r="F918" s="8">
        <v>8567</v>
      </c>
      <c r="G918" s="21" t="s">
        <v>19</v>
      </c>
      <c r="H918" s="11">
        <v>6486</v>
      </c>
      <c r="I918" s="11">
        <v>1589</v>
      </c>
      <c r="J918" s="11">
        <v>468</v>
      </c>
      <c r="K918" s="13">
        <v>9620</v>
      </c>
      <c r="L918" s="16">
        <f t="shared" si="84"/>
        <v>0.24498920752389763</v>
      </c>
      <c r="M918" s="16">
        <f t="shared" si="85"/>
        <v>0.29452485840151038</v>
      </c>
      <c r="N918" s="17">
        <f t="shared" si="86"/>
        <v>5.7205789804908749</v>
      </c>
      <c r="O918" s="17">
        <f t="shared" si="87"/>
        <v>19.423076923076923</v>
      </c>
      <c r="P918" s="16">
        <f t="shared" si="88"/>
        <v>1.0610482082409245</v>
      </c>
      <c r="Q918" s="16">
        <f t="shared" si="89"/>
        <v>1.0583058305830584</v>
      </c>
      <c r="R918" s="2" t="s">
        <v>1858</v>
      </c>
      <c r="S918" s="21" t="s">
        <v>30</v>
      </c>
      <c r="T918" s="21" t="s">
        <v>17</v>
      </c>
      <c r="U918" s="8">
        <v>9090</v>
      </c>
      <c r="V918" s="11">
        <v>2</v>
      </c>
      <c r="W918" t="str">
        <f>IF(Table1[[#This Row],[Satisfaction Rating]]&lt;2, "Low", IF(Table1[[#This Row],[Satisfaction Rating]]&lt;4, "Medium", "High"))</f>
        <v>Medium</v>
      </c>
    </row>
    <row r="919" spans="1:23" ht="13" x14ac:dyDescent="0.15">
      <c r="A919" s="2" t="s">
        <v>1859</v>
      </c>
      <c r="B919" s="23">
        <v>45397.667847222219</v>
      </c>
      <c r="C919" s="23">
        <v>45397.667847222219</v>
      </c>
      <c r="D919" s="23" t="str">
        <f>IF(Table1[[#This Row],[Duration of Campaign]]=0, "Ongoing","Completed")</f>
        <v>Ongoing</v>
      </c>
      <c r="E919" s="25">
        <f>Table1[[#This Row],[End Date]]-Table1[[#This Row],[Start Date]]</f>
        <v>0</v>
      </c>
      <c r="F919" s="8">
        <v>2550</v>
      </c>
      <c r="G919" s="21" t="s">
        <v>53</v>
      </c>
      <c r="H919" s="11">
        <v>6571</v>
      </c>
      <c r="I919" s="11">
        <v>1647</v>
      </c>
      <c r="J919" s="11">
        <v>391</v>
      </c>
      <c r="K919" s="13">
        <v>8781</v>
      </c>
      <c r="L919" s="16">
        <f t="shared" si="84"/>
        <v>0.25064678131182466</v>
      </c>
      <c r="M919" s="16">
        <f t="shared" si="85"/>
        <v>0.23740133576199149</v>
      </c>
      <c r="N919" s="17">
        <f t="shared" si="86"/>
        <v>1.3879781420765027</v>
      </c>
      <c r="O919" s="17">
        <f t="shared" si="87"/>
        <v>5.8465473145780047</v>
      </c>
      <c r="P919" s="16">
        <f t="shared" si="88"/>
        <v>0.89647058823529413</v>
      </c>
      <c r="Q919" s="16">
        <f t="shared" si="89"/>
        <v>3.841207349081365</v>
      </c>
      <c r="R919" s="2" t="s">
        <v>1860</v>
      </c>
      <c r="S919" s="21" t="s">
        <v>21</v>
      </c>
      <c r="T919" s="21" t="s">
        <v>45</v>
      </c>
      <c r="U919" s="8">
        <v>2286</v>
      </c>
      <c r="V919" s="11">
        <v>5</v>
      </c>
      <c r="W919" t="str">
        <f>IF(Table1[[#This Row],[Satisfaction Rating]]&lt;2, "Low", IF(Table1[[#This Row],[Satisfaction Rating]]&lt;4, "Medium", "High"))</f>
        <v>High</v>
      </c>
    </row>
    <row r="920" spans="1:23" ht="13" x14ac:dyDescent="0.15">
      <c r="A920" s="2" t="s">
        <v>1861</v>
      </c>
      <c r="B920" s="23">
        <v>45115.534837962965</v>
      </c>
      <c r="C920" s="23">
        <v>45458.416516203702</v>
      </c>
      <c r="D920" s="23" t="str">
        <f>IF(Table1[[#This Row],[Duration of Campaign]]=0, "Ongoing","Completed")</f>
        <v>Completed</v>
      </c>
      <c r="E920" s="25">
        <f>Table1[[#This Row],[End Date]]-Table1[[#This Row],[Start Date]]</f>
        <v>342.88167824073753</v>
      </c>
      <c r="F920" s="8">
        <v>7230</v>
      </c>
      <c r="G920" s="21" t="s">
        <v>37</v>
      </c>
      <c r="H920" s="11">
        <v>12930</v>
      </c>
      <c r="I920" s="11">
        <v>368</v>
      </c>
      <c r="J920" s="11">
        <v>448</v>
      </c>
      <c r="K920" s="13">
        <v>8987</v>
      </c>
      <c r="L920" s="16">
        <f t="shared" si="84"/>
        <v>2.8460943542150039E-2</v>
      </c>
      <c r="M920" s="16">
        <f t="shared" si="85"/>
        <v>1.2173913043478262</v>
      </c>
      <c r="N920" s="17">
        <f t="shared" si="86"/>
        <v>16.190217391304348</v>
      </c>
      <c r="O920" s="17">
        <f t="shared" si="87"/>
        <v>13.299107142857142</v>
      </c>
      <c r="P920" s="16">
        <f t="shared" si="88"/>
        <v>0.82406639004149373</v>
      </c>
      <c r="Q920" s="16">
        <f t="shared" si="89"/>
        <v>1.5083920778784827</v>
      </c>
      <c r="R920" s="2" t="s">
        <v>1862</v>
      </c>
      <c r="S920" s="21" t="s">
        <v>30</v>
      </c>
      <c r="T920" s="21" t="s">
        <v>17</v>
      </c>
      <c r="U920" s="8">
        <v>5958</v>
      </c>
      <c r="V920" s="11">
        <v>2</v>
      </c>
      <c r="W920" t="str">
        <f>IF(Table1[[#This Row],[Satisfaction Rating]]&lt;2, "Low", IF(Table1[[#This Row],[Satisfaction Rating]]&lt;4, "Medium", "High"))</f>
        <v>Medium</v>
      </c>
    </row>
    <row r="921" spans="1:23" ht="13" x14ac:dyDescent="0.15">
      <c r="A921" s="2" t="s">
        <v>1863</v>
      </c>
      <c r="B921" s="23">
        <v>45044.877453703702</v>
      </c>
      <c r="C921" s="23">
        <v>45044.877453703702</v>
      </c>
      <c r="D921" s="23" t="str">
        <f>IF(Table1[[#This Row],[Duration of Campaign]]=0, "Ongoing","Completed")</f>
        <v>Ongoing</v>
      </c>
      <c r="E921" s="25">
        <f>Table1[[#This Row],[End Date]]-Table1[[#This Row],[Start Date]]</f>
        <v>0</v>
      </c>
      <c r="F921" s="8">
        <v>9979</v>
      </c>
      <c r="G921" s="21" t="s">
        <v>53</v>
      </c>
      <c r="H921" s="11">
        <v>1708</v>
      </c>
      <c r="I921" s="11">
        <v>1609</v>
      </c>
      <c r="J921" s="11">
        <v>357</v>
      </c>
      <c r="K921" s="13">
        <v>1030</v>
      </c>
      <c r="L921" s="16">
        <f t="shared" si="84"/>
        <v>0.94203747072599531</v>
      </c>
      <c r="M921" s="16">
        <f t="shared" si="85"/>
        <v>0.2218769422001243</v>
      </c>
      <c r="N921" s="17">
        <f t="shared" si="86"/>
        <v>9.4686140459912984</v>
      </c>
      <c r="O921" s="17">
        <f t="shared" si="87"/>
        <v>42.675070028011206</v>
      </c>
      <c r="P921" s="16">
        <f t="shared" si="88"/>
        <v>1.526706082773825</v>
      </c>
      <c r="Q921" s="16">
        <f t="shared" si="89"/>
        <v>6.7607482769937638E-2</v>
      </c>
      <c r="R921" s="2" t="s">
        <v>1864</v>
      </c>
      <c r="S921" s="21" t="s">
        <v>35</v>
      </c>
      <c r="T921" s="21" t="s">
        <v>45</v>
      </c>
      <c r="U921" s="8">
        <v>15235</v>
      </c>
      <c r="V921" s="11">
        <v>5</v>
      </c>
      <c r="W921" t="str">
        <f>IF(Table1[[#This Row],[Satisfaction Rating]]&lt;2, "Low", IF(Table1[[#This Row],[Satisfaction Rating]]&lt;4, "Medium", "High"))</f>
        <v>High</v>
      </c>
    </row>
    <row r="922" spans="1:23" ht="13" x14ac:dyDescent="0.15">
      <c r="A922" s="2" t="s">
        <v>1865</v>
      </c>
      <c r="B922" s="23">
        <v>45558.974108796298</v>
      </c>
      <c r="C922" s="23">
        <v>45558.974108796298</v>
      </c>
      <c r="D922" s="23" t="str">
        <f>IF(Table1[[#This Row],[Duration of Campaign]]=0, "Ongoing","Completed")</f>
        <v>Ongoing</v>
      </c>
      <c r="E922" s="25">
        <f>Table1[[#This Row],[End Date]]-Table1[[#This Row],[Start Date]]</f>
        <v>0</v>
      </c>
      <c r="F922" s="8">
        <v>6938</v>
      </c>
      <c r="G922" s="21" t="s">
        <v>37</v>
      </c>
      <c r="H922" s="11">
        <v>10856</v>
      </c>
      <c r="I922" s="11">
        <v>142</v>
      </c>
      <c r="J922" s="11">
        <v>262</v>
      </c>
      <c r="K922" s="13">
        <v>8920</v>
      </c>
      <c r="L922" s="16">
        <f t="shared" si="84"/>
        <v>1.3080324244657332E-2</v>
      </c>
      <c r="M922" s="16">
        <f t="shared" si="85"/>
        <v>1.8450704225352113</v>
      </c>
      <c r="N922" s="17">
        <f t="shared" si="86"/>
        <v>34.08450704225352</v>
      </c>
      <c r="O922" s="17">
        <f t="shared" si="87"/>
        <v>18.47328244274809</v>
      </c>
      <c r="P922" s="16">
        <f t="shared" si="88"/>
        <v>0.69760737964831365</v>
      </c>
      <c r="Q922" s="16">
        <f t="shared" si="89"/>
        <v>1.8429752066115703</v>
      </c>
      <c r="R922" s="2" t="s">
        <v>1866</v>
      </c>
      <c r="S922" s="21" t="s">
        <v>24</v>
      </c>
      <c r="T922" s="21" t="s">
        <v>27</v>
      </c>
      <c r="U922" s="8">
        <v>4840</v>
      </c>
      <c r="V922" s="11">
        <v>1</v>
      </c>
      <c r="W922" t="str">
        <f>IF(Table1[[#This Row],[Satisfaction Rating]]&lt;2, "Low", IF(Table1[[#This Row],[Satisfaction Rating]]&lt;4, "Medium", "High"))</f>
        <v>Low</v>
      </c>
    </row>
    <row r="923" spans="1:23" ht="13" x14ac:dyDescent="0.15">
      <c r="A923" s="2" t="s">
        <v>1867</v>
      </c>
      <c r="B923" s="23">
        <v>45298.009398148148</v>
      </c>
      <c r="C923" s="23">
        <v>45335.871539351851</v>
      </c>
      <c r="D923" s="23" t="str">
        <f>IF(Table1[[#This Row],[Duration of Campaign]]=0, "Ongoing","Completed")</f>
        <v>Completed</v>
      </c>
      <c r="E923" s="25">
        <f>Table1[[#This Row],[End Date]]-Table1[[#This Row],[Start Date]]</f>
        <v>37.862141203702777</v>
      </c>
      <c r="F923" s="8">
        <v>2716</v>
      </c>
      <c r="G923" s="21" t="s">
        <v>19</v>
      </c>
      <c r="H923" s="11">
        <v>16152</v>
      </c>
      <c r="I923" s="11">
        <v>1050</v>
      </c>
      <c r="J923" s="11">
        <v>424</v>
      </c>
      <c r="K923" s="13">
        <v>13655</v>
      </c>
      <c r="L923" s="16">
        <f t="shared" si="84"/>
        <v>6.5007429420505206E-2</v>
      </c>
      <c r="M923" s="16">
        <f t="shared" si="85"/>
        <v>0.40380952380952378</v>
      </c>
      <c r="N923" s="17">
        <f t="shared" si="86"/>
        <v>2.9895238095238095</v>
      </c>
      <c r="O923" s="17">
        <f t="shared" si="87"/>
        <v>7.4033018867924527</v>
      </c>
      <c r="P923" s="16">
        <f t="shared" si="88"/>
        <v>1.1557437407952871</v>
      </c>
      <c r="Q923" s="16">
        <f t="shared" si="89"/>
        <v>4.3501115004778592</v>
      </c>
      <c r="R923" s="2" t="s">
        <v>1868</v>
      </c>
      <c r="S923" s="21" t="s">
        <v>21</v>
      </c>
      <c r="T923" s="21" t="s">
        <v>27</v>
      </c>
      <c r="U923" s="8">
        <v>3139</v>
      </c>
      <c r="V923" s="11">
        <v>2</v>
      </c>
      <c r="W923" t="str">
        <f>IF(Table1[[#This Row],[Satisfaction Rating]]&lt;2, "Low", IF(Table1[[#This Row],[Satisfaction Rating]]&lt;4, "Medium", "High"))</f>
        <v>Medium</v>
      </c>
    </row>
    <row r="924" spans="1:23" ht="13" x14ac:dyDescent="0.15">
      <c r="A924" s="2" t="s">
        <v>1869</v>
      </c>
      <c r="B924" s="23">
        <v>45102.82371527778</v>
      </c>
      <c r="C924" s="23">
        <v>45341.187048611115</v>
      </c>
      <c r="D924" s="23" t="str">
        <f>IF(Table1[[#This Row],[Duration of Campaign]]=0, "Ongoing","Completed")</f>
        <v>Completed</v>
      </c>
      <c r="E924" s="25">
        <f>Table1[[#This Row],[End Date]]-Table1[[#This Row],[Start Date]]</f>
        <v>238.36333333333459</v>
      </c>
      <c r="F924" s="8">
        <v>7702</v>
      </c>
      <c r="G924" s="21" t="s">
        <v>19</v>
      </c>
      <c r="H924" s="11">
        <v>19929</v>
      </c>
      <c r="I924" s="11">
        <v>136</v>
      </c>
      <c r="J924" s="11">
        <v>379</v>
      </c>
      <c r="K924" s="13">
        <v>4913</v>
      </c>
      <c r="L924" s="16">
        <f t="shared" si="84"/>
        <v>6.8242260023081945E-3</v>
      </c>
      <c r="M924" s="16">
        <f t="shared" si="85"/>
        <v>2.7867647058823528</v>
      </c>
      <c r="N924" s="17">
        <f t="shared" si="86"/>
        <v>40.948529411764703</v>
      </c>
      <c r="O924" s="17">
        <f t="shared" si="87"/>
        <v>14.693931398416886</v>
      </c>
      <c r="P924" s="16">
        <f t="shared" si="88"/>
        <v>0.72305894572838225</v>
      </c>
      <c r="Q924" s="16">
        <f t="shared" si="89"/>
        <v>0.88220506374573537</v>
      </c>
      <c r="R924" s="2" t="s">
        <v>1870</v>
      </c>
      <c r="S924" s="21" t="s">
        <v>35</v>
      </c>
      <c r="T924" s="21" t="s">
        <v>45</v>
      </c>
      <c r="U924" s="8">
        <v>5569</v>
      </c>
      <c r="V924" s="11">
        <v>5</v>
      </c>
      <c r="W924" t="str">
        <f>IF(Table1[[#This Row],[Satisfaction Rating]]&lt;2, "Low", IF(Table1[[#This Row],[Satisfaction Rating]]&lt;4, "Medium", "High"))</f>
        <v>High</v>
      </c>
    </row>
    <row r="925" spans="1:23" ht="13" x14ac:dyDescent="0.15">
      <c r="A925" s="2" t="s">
        <v>1871</v>
      </c>
      <c r="B925" s="23">
        <v>45618.045983796299</v>
      </c>
      <c r="C925" s="23">
        <v>45618.045983796299</v>
      </c>
      <c r="D925" s="23" t="str">
        <f>IF(Table1[[#This Row],[Duration of Campaign]]=0, "Ongoing","Completed")</f>
        <v>Ongoing</v>
      </c>
      <c r="E925" s="25">
        <f>Table1[[#This Row],[End Date]]-Table1[[#This Row],[Start Date]]</f>
        <v>0</v>
      </c>
      <c r="F925" s="8">
        <v>9059</v>
      </c>
      <c r="G925" s="21" t="s">
        <v>19</v>
      </c>
      <c r="H925" s="11">
        <v>14400</v>
      </c>
      <c r="I925" s="11">
        <v>1388</v>
      </c>
      <c r="J925" s="11">
        <v>79</v>
      </c>
      <c r="K925" s="13">
        <v>14408</v>
      </c>
      <c r="L925" s="16">
        <f t="shared" si="84"/>
        <v>9.6388888888888885E-2</v>
      </c>
      <c r="M925" s="16">
        <f t="shared" si="85"/>
        <v>5.6916426512968299E-2</v>
      </c>
      <c r="N925" s="17">
        <f t="shared" si="86"/>
        <v>12.036023054755043</v>
      </c>
      <c r="O925" s="17">
        <f t="shared" si="87"/>
        <v>211.46835443037975</v>
      </c>
      <c r="P925" s="16">
        <f t="shared" si="88"/>
        <v>1.8441329065018215</v>
      </c>
      <c r="Q925" s="16">
        <f t="shared" si="89"/>
        <v>0.86244463067161503</v>
      </c>
      <c r="R925" s="2" t="s">
        <v>1872</v>
      </c>
      <c r="S925" s="21" t="s">
        <v>30</v>
      </c>
      <c r="T925" s="21" t="s">
        <v>45</v>
      </c>
      <c r="U925" s="8">
        <v>16706</v>
      </c>
      <c r="V925" s="11">
        <v>2</v>
      </c>
      <c r="W925" t="str">
        <f>IF(Table1[[#This Row],[Satisfaction Rating]]&lt;2, "Low", IF(Table1[[#This Row],[Satisfaction Rating]]&lt;4, "Medium", "High"))</f>
        <v>Medium</v>
      </c>
    </row>
    <row r="926" spans="1:23" ht="13" x14ac:dyDescent="0.15">
      <c r="A926" s="2" t="s">
        <v>1873</v>
      </c>
      <c r="B926" s="23">
        <v>45209.348252314812</v>
      </c>
      <c r="C926" s="23">
        <v>45209.348252314812</v>
      </c>
      <c r="D926" s="23" t="str">
        <f>IF(Table1[[#This Row],[Duration of Campaign]]=0, "Ongoing","Completed")</f>
        <v>Ongoing</v>
      </c>
      <c r="E926" s="25">
        <f>Table1[[#This Row],[End Date]]-Table1[[#This Row],[Start Date]]</f>
        <v>0</v>
      </c>
      <c r="F926" s="8">
        <v>4638</v>
      </c>
      <c r="G926" s="21" t="s">
        <v>37</v>
      </c>
      <c r="H926" s="11">
        <v>19024</v>
      </c>
      <c r="I926" s="11">
        <v>638</v>
      </c>
      <c r="J926" s="11">
        <v>84</v>
      </c>
      <c r="K926" s="13">
        <v>3074</v>
      </c>
      <c r="L926" s="16">
        <f t="shared" si="84"/>
        <v>3.3536585365853661E-2</v>
      </c>
      <c r="M926" s="16">
        <f t="shared" si="85"/>
        <v>0.13166144200626959</v>
      </c>
      <c r="N926" s="17">
        <f t="shared" si="86"/>
        <v>2.330721003134796</v>
      </c>
      <c r="O926" s="17">
        <f t="shared" si="87"/>
        <v>17.702380952380953</v>
      </c>
      <c r="P926" s="16">
        <f t="shared" si="88"/>
        <v>0.320612332902113</v>
      </c>
      <c r="Q926" s="16">
        <f t="shared" si="89"/>
        <v>2.0672494956287828</v>
      </c>
      <c r="R926" s="2" t="s">
        <v>1874</v>
      </c>
      <c r="S926" s="21" t="s">
        <v>35</v>
      </c>
      <c r="T926" s="21" t="s">
        <v>45</v>
      </c>
      <c r="U926" s="8">
        <v>1487</v>
      </c>
      <c r="V926" s="11">
        <v>1</v>
      </c>
      <c r="W926" t="str">
        <f>IF(Table1[[#This Row],[Satisfaction Rating]]&lt;2, "Low", IF(Table1[[#This Row],[Satisfaction Rating]]&lt;4, "Medium", "High"))</f>
        <v>Low</v>
      </c>
    </row>
    <row r="927" spans="1:23" ht="13" x14ac:dyDescent="0.15">
      <c r="A927" s="2" t="s">
        <v>1875</v>
      </c>
      <c r="B927" s="23">
        <v>45644.384305555555</v>
      </c>
      <c r="C927" s="23">
        <v>45644.384305555555</v>
      </c>
      <c r="D927" s="23" t="str">
        <f>IF(Table1[[#This Row],[Duration of Campaign]]=0, "Ongoing","Completed")</f>
        <v>Ongoing</v>
      </c>
      <c r="E927" s="25">
        <f>Table1[[#This Row],[End Date]]-Table1[[#This Row],[Start Date]]</f>
        <v>0</v>
      </c>
      <c r="F927" s="8">
        <v>7483</v>
      </c>
      <c r="G927" s="21" t="s">
        <v>19</v>
      </c>
      <c r="H927" s="11">
        <v>5567</v>
      </c>
      <c r="I927" s="11">
        <v>808</v>
      </c>
      <c r="J927" s="11">
        <v>146</v>
      </c>
      <c r="K927" s="13">
        <v>11557</v>
      </c>
      <c r="L927" s="16">
        <f t="shared" si="84"/>
        <v>0.145141009520388</v>
      </c>
      <c r="M927" s="16">
        <f t="shared" si="85"/>
        <v>0.18069306930693069</v>
      </c>
      <c r="N927" s="17">
        <f t="shared" si="86"/>
        <v>7.8539603960396036</v>
      </c>
      <c r="O927" s="17">
        <f t="shared" si="87"/>
        <v>43.465753424657535</v>
      </c>
      <c r="P927" s="16">
        <f t="shared" si="88"/>
        <v>0.84805559267673392</v>
      </c>
      <c r="Q927" s="16">
        <f t="shared" si="89"/>
        <v>1.8211471793255594</v>
      </c>
      <c r="R927" s="2" t="s">
        <v>1876</v>
      </c>
      <c r="S927" s="21" t="s">
        <v>30</v>
      </c>
      <c r="T927" s="21" t="s">
        <v>17</v>
      </c>
      <c r="U927" s="8">
        <v>6346</v>
      </c>
      <c r="V927" s="11">
        <v>5</v>
      </c>
      <c r="W927" t="str">
        <f>IF(Table1[[#This Row],[Satisfaction Rating]]&lt;2, "Low", IF(Table1[[#This Row],[Satisfaction Rating]]&lt;4, "Medium", "High"))</f>
        <v>High</v>
      </c>
    </row>
    <row r="928" spans="1:23" ht="13" x14ac:dyDescent="0.15">
      <c r="A928" s="2" t="s">
        <v>1877</v>
      </c>
      <c r="B928" s="23">
        <v>45487.602627314816</v>
      </c>
      <c r="C928" s="23">
        <v>45487.602627314816</v>
      </c>
      <c r="D928" s="23" t="str">
        <f>IF(Table1[[#This Row],[Duration of Campaign]]=0, "Ongoing","Completed")</f>
        <v>Ongoing</v>
      </c>
      <c r="E928" s="25">
        <f>Table1[[#This Row],[End Date]]-Table1[[#This Row],[Start Date]]</f>
        <v>0</v>
      </c>
      <c r="F928" s="8">
        <v>7316</v>
      </c>
      <c r="G928" s="21" t="s">
        <v>19</v>
      </c>
      <c r="H928" s="11">
        <v>1157</v>
      </c>
      <c r="I928" s="11">
        <v>125</v>
      </c>
      <c r="J928" s="11">
        <v>312</v>
      </c>
      <c r="K928" s="13">
        <v>5278</v>
      </c>
      <c r="L928" s="16">
        <f t="shared" si="84"/>
        <v>0.10803802938634399</v>
      </c>
      <c r="M928" s="16">
        <f t="shared" si="85"/>
        <v>2.496</v>
      </c>
      <c r="N928" s="17">
        <f t="shared" si="86"/>
        <v>19.071999999999999</v>
      </c>
      <c r="O928" s="17">
        <f t="shared" si="87"/>
        <v>7.6410256410256414</v>
      </c>
      <c r="P928" s="16">
        <f t="shared" si="88"/>
        <v>0.32586112629852376</v>
      </c>
      <c r="Q928" s="16">
        <f t="shared" si="89"/>
        <v>2.2139261744966441</v>
      </c>
      <c r="R928" s="2" t="s">
        <v>1878</v>
      </c>
      <c r="S928" s="21" t="s">
        <v>16</v>
      </c>
      <c r="T928" s="21" t="s">
        <v>17</v>
      </c>
      <c r="U928" s="8">
        <v>2384</v>
      </c>
      <c r="V928" s="11">
        <v>4</v>
      </c>
      <c r="W928" t="str">
        <f>IF(Table1[[#This Row],[Satisfaction Rating]]&lt;2, "Low", IF(Table1[[#This Row],[Satisfaction Rating]]&lt;4, "Medium", "High"))</f>
        <v>High</v>
      </c>
    </row>
    <row r="929" spans="1:23" ht="13" x14ac:dyDescent="0.15">
      <c r="A929" s="2" t="s">
        <v>1879</v>
      </c>
      <c r="B929" s="23">
        <v>45592.62767361111</v>
      </c>
      <c r="C929" s="23">
        <v>45592.62767361111</v>
      </c>
      <c r="D929" s="23" t="str">
        <f>IF(Table1[[#This Row],[Duration of Campaign]]=0, "Ongoing","Completed")</f>
        <v>Ongoing</v>
      </c>
      <c r="E929" s="25">
        <f>Table1[[#This Row],[End Date]]-Table1[[#This Row],[Start Date]]</f>
        <v>0</v>
      </c>
      <c r="F929" s="8">
        <v>2544</v>
      </c>
      <c r="G929" s="21" t="s">
        <v>37</v>
      </c>
      <c r="H929" s="11">
        <v>14037</v>
      </c>
      <c r="I929" s="11">
        <v>159</v>
      </c>
      <c r="J929" s="11">
        <v>158</v>
      </c>
      <c r="K929" s="13">
        <v>6651</v>
      </c>
      <c r="L929" s="16">
        <f t="shared" si="84"/>
        <v>1.1327206668091472E-2</v>
      </c>
      <c r="M929" s="16">
        <f t="shared" si="85"/>
        <v>0.99371069182389937</v>
      </c>
      <c r="N929" s="17">
        <f t="shared" si="86"/>
        <v>50.119496855345915</v>
      </c>
      <c r="O929" s="17">
        <f t="shared" si="87"/>
        <v>50.436708860759495</v>
      </c>
      <c r="P929" s="16">
        <f t="shared" si="88"/>
        <v>3.1324685534591197</v>
      </c>
      <c r="Q929" s="16">
        <f t="shared" si="89"/>
        <v>0.83460911030242191</v>
      </c>
      <c r="R929" s="2" t="s">
        <v>1880</v>
      </c>
      <c r="S929" s="21" t="s">
        <v>16</v>
      </c>
      <c r="T929" s="21" t="s">
        <v>27</v>
      </c>
      <c r="U929" s="8">
        <v>7969</v>
      </c>
      <c r="V929" s="11">
        <v>5</v>
      </c>
      <c r="W929" t="str">
        <f>IF(Table1[[#This Row],[Satisfaction Rating]]&lt;2, "Low", IF(Table1[[#This Row],[Satisfaction Rating]]&lt;4, "Medium", "High"))</f>
        <v>High</v>
      </c>
    </row>
    <row r="930" spans="1:23" ht="13" x14ac:dyDescent="0.15">
      <c r="A930" s="2" t="s">
        <v>1881</v>
      </c>
      <c r="B930" s="23">
        <v>45545.89335648148</v>
      </c>
      <c r="C930" s="23">
        <v>45581.928090277775</v>
      </c>
      <c r="D930" s="23" t="str">
        <f>IF(Table1[[#This Row],[Duration of Campaign]]=0, "Ongoing","Completed")</f>
        <v>Completed</v>
      </c>
      <c r="E930" s="25">
        <f>Table1[[#This Row],[End Date]]-Table1[[#This Row],[Start Date]]</f>
        <v>36.034733796295768</v>
      </c>
      <c r="F930" s="8">
        <v>7835</v>
      </c>
      <c r="G930" s="21" t="s">
        <v>53</v>
      </c>
      <c r="H930" s="11">
        <v>11716</v>
      </c>
      <c r="I930" s="11">
        <v>1754</v>
      </c>
      <c r="J930" s="11">
        <v>48</v>
      </c>
      <c r="K930" s="13">
        <v>6948</v>
      </c>
      <c r="L930" s="16">
        <f t="shared" si="84"/>
        <v>0.14970979856606351</v>
      </c>
      <c r="M930" s="16">
        <f t="shared" si="85"/>
        <v>2.7366020524515394E-2</v>
      </c>
      <c r="N930" s="17">
        <f t="shared" si="86"/>
        <v>8.8072976054732042</v>
      </c>
      <c r="O930" s="17">
        <f t="shared" si="87"/>
        <v>321.83333333333331</v>
      </c>
      <c r="P930" s="16">
        <f t="shared" si="88"/>
        <v>1.9716656030631781</v>
      </c>
      <c r="Q930" s="16">
        <f t="shared" si="89"/>
        <v>0.44976696012428791</v>
      </c>
      <c r="R930" s="2" t="s">
        <v>1882</v>
      </c>
      <c r="S930" s="21" t="s">
        <v>35</v>
      </c>
      <c r="T930" s="21" t="s">
        <v>27</v>
      </c>
      <c r="U930" s="8">
        <v>15448</v>
      </c>
      <c r="V930" s="11">
        <v>5</v>
      </c>
      <c r="W930" t="str">
        <f>IF(Table1[[#This Row],[Satisfaction Rating]]&lt;2, "Low", IF(Table1[[#This Row],[Satisfaction Rating]]&lt;4, "Medium", "High"))</f>
        <v>High</v>
      </c>
    </row>
    <row r="931" spans="1:23" ht="13" x14ac:dyDescent="0.15">
      <c r="A931" s="2" t="s">
        <v>1883</v>
      </c>
      <c r="B931" s="23">
        <v>44976.544560185182</v>
      </c>
      <c r="C931" s="23">
        <v>45023.443449074075</v>
      </c>
      <c r="D931" s="23" t="str">
        <f>IF(Table1[[#This Row],[Duration of Campaign]]=0, "Ongoing","Completed")</f>
        <v>Completed</v>
      </c>
      <c r="E931" s="25">
        <f>Table1[[#This Row],[End Date]]-Table1[[#This Row],[Start Date]]</f>
        <v>46.898888888892543</v>
      </c>
      <c r="F931" s="8">
        <v>9576</v>
      </c>
      <c r="G931" s="21" t="s">
        <v>19</v>
      </c>
      <c r="H931" s="11">
        <v>14489</v>
      </c>
      <c r="I931" s="11">
        <v>644</v>
      </c>
      <c r="J931" s="11">
        <v>81</v>
      </c>
      <c r="K931" s="13">
        <v>8556</v>
      </c>
      <c r="L931" s="16">
        <f t="shared" si="84"/>
        <v>4.4447511905583548E-2</v>
      </c>
      <c r="M931" s="16">
        <f t="shared" si="85"/>
        <v>0.12577639751552794</v>
      </c>
      <c r="N931" s="17">
        <f t="shared" si="86"/>
        <v>22.153726708074533</v>
      </c>
      <c r="O931" s="17">
        <f t="shared" si="87"/>
        <v>176.1358024691358</v>
      </c>
      <c r="P931" s="16">
        <f t="shared" si="88"/>
        <v>1.4898705096073517</v>
      </c>
      <c r="Q931" s="16">
        <f t="shared" si="89"/>
        <v>0.59970561435480474</v>
      </c>
      <c r="R931" s="2" t="s">
        <v>1884</v>
      </c>
      <c r="S931" s="21" t="s">
        <v>21</v>
      </c>
      <c r="T931" s="21" t="s">
        <v>45</v>
      </c>
      <c r="U931" s="8">
        <v>14267</v>
      </c>
      <c r="V931" s="11">
        <v>3</v>
      </c>
      <c r="W931" t="str">
        <f>IF(Table1[[#This Row],[Satisfaction Rating]]&lt;2, "Low", IF(Table1[[#This Row],[Satisfaction Rating]]&lt;4, "Medium", "High"))</f>
        <v>Medium</v>
      </c>
    </row>
    <row r="932" spans="1:23" ht="13" x14ac:dyDescent="0.15">
      <c r="A932" s="2" t="s">
        <v>1885</v>
      </c>
      <c r="B932" s="23">
        <v>45214.285613425927</v>
      </c>
      <c r="C932" s="23">
        <v>45214.285613425927</v>
      </c>
      <c r="D932" s="23" t="str">
        <f>IF(Table1[[#This Row],[Duration of Campaign]]=0, "Ongoing","Completed")</f>
        <v>Ongoing</v>
      </c>
      <c r="E932" s="25">
        <f>Table1[[#This Row],[End Date]]-Table1[[#This Row],[Start Date]]</f>
        <v>0</v>
      </c>
      <c r="F932" s="8">
        <v>5777</v>
      </c>
      <c r="G932" s="21" t="s">
        <v>37</v>
      </c>
      <c r="H932" s="11">
        <v>17568</v>
      </c>
      <c r="I932" s="11">
        <v>359</v>
      </c>
      <c r="J932" s="11">
        <v>337</v>
      </c>
      <c r="K932" s="13">
        <v>1015</v>
      </c>
      <c r="L932" s="16">
        <f t="shared" si="84"/>
        <v>2.0434881602914391E-2</v>
      </c>
      <c r="M932" s="16">
        <f t="shared" si="85"/>
        <v>0.93871866295264628</v>
      </c>
      <c r="N932" s="17">
        <f t="shared" si="86"/>
        <v>26.022284122562674</v>
      </c>
      <c r="O932" s="17">
        <f t="shared" si="87"/>
        <v>27.72106824925816</v>
      </c>
      <c r="P932" s="16">
        <f t="shared" si="88"/>
        <v>1.6171023022329929</v>
      </c>
      <c r="Q932" s="16">
        <f t="shared" si="89"/>
        <v>0.10864911153928496</v>
      </c>
      <c r="R932" s="2" t="s">
        <v>1886</v>
      </c>
      <c r="S932" s="21" t="s">
        <v>30</v>
      </c>
      <c r="T932" s="21" t="s">
        <v>45</v>
      </c>
      <c r="U932" s="8">
        <v>9342</v>
      </c>
      <c r="V932" s="11">
        <v>5</v>
      </c>
      <c r="W932" t="str">
        <f>IF(Table1[[#This Row],[Satisfaction Rating]]&lt;2, "Low", IF(Table1[[#This Row],[Satisfaction Rating]]&lt;4, "Medium", "High"))</f>
        <v>High</v>
      </c>
    </row>
    <row r="933" spans="1:23" ht="13" x14ac:dyDescent="0.15">
      <c r="A933" s="2" t="s">
        <v>1887</v>
      </c>
      <c r="B933" s="23">
        <v>45346.342430555553</v>
      </c>
      <c r="C933" s="23">
        <v>45346.342430555553</v>
      </c>
      <c r="D933" s="23" t="str">
        <f>IF(Table1[[#This Row],[Duration of Campaign]]=0, "Ongoing","Completed")</f>
        <v>Ongoing</v>
      </c>
      <c r="E933" s="25">
        <f>Table1[[#This Row],[End Date]]-Table1[[#This Row],[Start Date]]</f>
        <v>0</v>
      </c>
      <c r="F933" s="8">
        <v>3008</v>
      </c>
      <c r="G933" s="21" t="s">
        <v>53</v>
      </c>
      <c r="H933" s="11">
        <v>5572</v>
      </c>
      <c r="I933" s="11">
        <v>891</v>
      </c>
      <c r="J933" s="11">
        <v>218</v>
      </c>
      <c r="K933" s="13">
        <v>6476</v>
      </c>
      <c r="L933" s="16">
        <f t="shared" si="84"/>
        <v>0.15990667623833452</v>
      </c>
      <c r="M933" s="16">
        <f t="shared" si="85"/>
        <v>0.244668911335578</v>
      </c>
      <c r="N933" s="17">
        <f t="shared" si="86"/>
        <v>4.3378226711560046</v>
      </c>
      <c r="O933" s="17">
        <f t="shared" si="87"/>
        <v>17.729357798165136</v>
      </c>
      <c r="P933" s="16">
        <f t="shared" si="88"/>
        <v>1.284906914893617</v>
      </c>
      <c r="Q933" s="16">
        <f t="shared" si="89"/>
        <v>1.6755498059508409</v>
      </c>
      <c r="R933" s="2" t="s">
        <v>1888</v>
      </c>
      <c r="S933" s="21" t="s">
        <v>35</v>
      </c>
      <c r="T933" s="21" t="s">
        <v>27</v>
      </c>
      <c r="U933" s="8">
        <v>3865</v>
      </c>
      <c r="V933" s="11">
        <v>1</v>
      </c>
      <c r="W933" t="str">
        <f>IF(Table1[[#This Row],[Satisfaction Rating]]&lt;2, "Low", IF(Table1[[#This Row],[Satisfaction Rating]]&lt;4, "Medium", "High"))</f>
        <v>Low</v>
      </c>
    </row>
    <row r="934" spans="1:23" ht="13" x14ac:dyDescent="0.15">
      <c r="A934" s="2" t="s">
        <v>1889</v>
      </c>
      <c r="B934" s="23">
        <v>45228.44935185185</v>
      </c>
      <c r="C934" s="23">
        <v>45228.44935185185</v>
      </c>
      <c r="D934" s="23" t="str">
        <f>IF(Table1[[#This Row],[Duration of Campaign]]=0, "Ongoing","Completed")</f>
        <v>Ongoing</v>
      </c>
      <c r="E934" s="25">
        <f>Table1[[#This Row],[End Date]]-Table1[[#This Row],[Start Date]]</f>
        <v>0</v>
      </c>
      <c r="F934" s="8">
        <v>9136</v>
      </c>
      <c r="G934" s="21" t="s">
        <v>37</v>
      </c>
      <c r="H934" s="11">
        <v>5361</v>
      </c>
      <c r="I934" s="11">
        <v>935</v>
      </c>
      <c r="J934" s="11">
        <v>197</v>
      </c>
      <c r="K934" s="13">
        <v>14569</v>
      </c>
      <c r="L934" s="16">
        <f t="shared" si="84"/>
        <v>0.17440775974631598</v>
      </c>
      <c r="M934" s="16">
        <f t="shared" si="85"/>
        <v>0.2106951871657754</v>
      </c>
      <c r="N934" s="17">
        <f t="shared" si="86"/>
        <v>8.4406417112299472</v>
      </c>
      <c r="O934" s="17">
        <f t="shared" si="87"/>
        <v>40.060913705583758</v>
      </c>
      <c r="P934" s="16">
        <f t="shared" si="88"/>
        <v>0.86383537653239928</v>
      </c>
      <c r="Q934" s="16">
        <f t="shared" si="89"/>
        <v>1.8460466294982261</v>
      </c>
      <c r="R934" s="2" t="s">
        <v>1890</v>
      </c>
      <c r="S934" s="21" t="s">
        <v>35</v>
      </c>
      <c r="T934" s="21" t="s">
        <v>45</v>
      </c>
      <c r="U934" s="8">
        <v>7892</v>
      </c>
      <c r="V934" s="11">
        <v>5</v>
      </c>
      <c r="W934" t="str">
        <f>IF(Table1[[#This Row],[Satisfaction Rating]]&lt;2, "Low", IF(Table1[[#This Row],[Satisfaction Rating]]&lt;4, "Medium", "High"))</f>
        <v>High</v>
      </c>
    </row>
    <row r="935" spans="1:23" ht="13" x14ac:dyDescent="0.15">
      <c r="A935" s="2" t="s">
        <v>1891</v>
      </c>
      <c r="B935" s="23">
        <v>45624.841365740744</v>
      </c>
      <c r="C935" s="23">
        <v>45624.841365740744</v>
      </c>
      <c r="D935" s="23" t="str">
        <f>IF(Table1[[#This Row],[Duration of Campaign]]=0, "Ongoing","Completed")</f>
        <v>Ongoing</v>
      </c>
      <c r="E935" s="25">
        <f>Table1[[#This Row],[End Date]]-Table1[[#This Row],[Start Date]]</f>
        <v>0</v>
      </c>
      <c r="F935" s="8">
        <v>2880</v>
      </c>
      <c r="G935" s="21" t="s">
        <v>53</v>
      </c>
      <c r="H935" s="11">
        <v>11334</v>
      </c>
      <c r="I935" s="11">
        <v>404</v>
      </c>
      <c r="J935" s="11">
        <v>222</v>
      </c>
      <c r="K935" s="13">
        <v>6971</v>
      </c>
      <c r="L935" s="16">
        <f t="shared" si="84"/>
        <v>3.5644962061055233E-2</v>
      </c>
      <c r="M935" s="16">
        <f t="shared" si="85"/>
        <v>0.54950495049504955</v>
      </c>
      <c r="N935" s="17">
        <f t="shared" si="86"/>
        <v>33.611386138613859</v>
      </c>
      <c r="O935" s="17">
        <f t="shared" si="87"/>
        <v>61.166666666666664</v>
      </c>
      <c r="P935" s="16">
        <f t="shared" si="88"/>
        <v>4.7149305555555552</v>
      </c>
      <c r="Q935" s="16">
        <f t="shared" si="89"/>
        <v>0.51336622726268499</v>
      </c>
      <c r="R935" s="2" t="s">
        <v>1892</v>
      </c>
      <c r="S935" s="21" t="s">
        <v>16</v>
      </c>
      <c r="T935" s="21" t="s">
        <v>27</v>
      </c>
      <c r="U935" s="8">
        <v>13579</v>
      </c>
      <c r="V935" s="11">
        <v>1</v>
      </c>
      <c r="W935" t="str">
        <f>IF(Table1[[#This Row],[Satisfaction Rating]]&lt;2, "Low", IF(Table1[[#This Row],[Satisfaction Rating]]&lt;4, "Medium", "High"))</f>
        <v>Low</v>
      </c>
    </row>
    <row r="936" spans="1:23" ht="13" x14ac:dyDescent="0.15">
      <c r="A936" s="2" t="s">
        <v>1893</v>
      </c>
      <c r="B936" s="23">
        <v>45263.802835648145</v>
      </c>
      <c r="C936" s="23">
        <v>45564.534456018519</v>
      </c>
      <c r="D936" s="23" t="str">
        <f>IF(Table1[[#This Row],[Duration of Campaign]]=0, "Ongoing","Completed")</f>
        <v>Completed</v>
      </c>
      <c r="E936" s="25">
        <f>Table1[[#This Row],[End Date]]-Table1[[#This Row],[Start Date]]</f>
        <v>300.731620370374</v>
      </c>
      <c r="F936" s="8">
        <v>5600</v>
      </c>
      <c r="G936" s="21" t="s">
        <v>53</v>
      </c>
      <c r="H936" s="11">
        <v>18642</v>
      </c>
      <c r="I936" s="11">
        <v>1877</v>
      </c>
      <c r="J936" s="11">
        <v>69</v>
      </c>
      <c r="K936" s="13">
        <v>1143</v>
      </c>
      <c r="L936" s="16">
        <f t="shared" si="84"/>
        <v>0.1006866216071237</v>
      </c>
      <c r="M936" s="16">
        <f t="shared" si="85"/>
        <v>3.6760788492274904E-2</v>
      </c>
      <c r="N936" s="17">
        <f t="shared" si="86"/>
        <v>5.6734150239744272</v>
      </c>
      <c r="O936" s="17">
        <f t="shared" si="87"/>
        <v>154.33333333333334</v>
      </c>
      <c r="P936" s="16">
        <f t="shared" si="88"/>
        <v>1.9016071428571428</v>
      </c>
      <c r="Q936" s="16">
        <f t="shared" si="89"/>
        <v>0.10733402197389426</v>
      </c>
      <c r="R936" s="2" t="s">
        <v>1894</v>
      </c>
      <c r="S936" s="21" t="s">
        <v>16</v>
      </c>
      <c r="T936" s="21" t="s">
        <v>17</v>
      </c>
      <c r="U936" s="8">
        <v>10649</v>
      </c>
      <c r="V936" s="11">
        <v>1</v>
      </c>
      <c r="W936" t="str">
        <f>IF(Table1[[#This Row],[Satisfaction Rating]]&lt;2, "Low", IF(Table1[[#This Row],[Satisfaction Rating]]&lt;4, "Medium", "High"))</f>
        <v>Low</v>
      </c>
    </row>
    <row r="937" spans="1:23" ht="13" x14ac:dyDescent="0.15">
      <c r="A937" s="2" t="s">
        <v>1895</v>
      </c>
      <c r="B937" s="23">
        <v>45330.240613425929</v>
      </c>
      <c r="C937" s="23">
        <v>45330.240613425929</v>
      </c>
      <c r="D937" s="23" t="str">
        <f>IF(Table1[[#This Row],[Duration of Campaign]]=0, "Ongoing","Completed")</f>
        <v>Ongoing</v>
      </c>
      <c r="E937" s="25">
        <f>Table1[[#This Row],[End Date]]-Table1[[#This Row],[Start Date]]</f>
        <v>0</v>
      </c>
      <c r="F937" s="8">
        <v>2241</v>
      </c>
      <c r="G937" s="21" t="s">
        <v>14</v>
      </c>
      <c r="H937" s="11">
        <v>2544</v>
      </c>
      <c r="I937" s="11">
        <v>734</v>
      </c>
      <c r="J937" s="11">
        <v>202</v>
      </c>
      <c r="K937" s="13">
        <v>1994</v>
      </c>
      <c r="L937" s="16">
        <f t="shared" si="84"/>
        <v>0.28852201257861637</v>
      </c>
      <c r="M937" s="16">
        <f t="shared" si="85"/>
        <v>0.27520435967302453</v>
      </c>
      <c r="N937" s="17">
        <f t="shared" si="86"/>
        <v>12.610354223433243</v>
      </c>
      <c r="O937" s="17">
        <f t="shared" si="87"/>
        <v>45.821782178217823</v>
      </c>
      <c r="P937" s="16">
        <f t="shared" si="88"/>
        <v>4.1302989736724678</v>
      </c>
      <c r="Q937" s="16">
        <f t="shared" si="89"/>
        <v>0.21542783059636991</v>
      </c>
      <c r="R937" s="2" t="s">
        <v>1896</v>
      </c>
      <c r="S937" s="21" t="s">
        <v>21</v>
      </c>
      <c r="T937" s="21" t="s">
        <v>45</v>
      </c>
      <c r="U937" s="8">
        <v>9256</v>
      </c>
      <c r="V937" s="11">
        <v>1</v>
      </c>
      <c r="W937" t="str">
        <f>IF(Table1[[#This Row],[Satisfaction Rating]]&lt;2, "Low", IF(Table1[[#This Row],[Satisfaction Rating]]&lt;4, "Medium", "High"))</f>
        <v>Low</v>
      </c>
    </row>
    <row r="938" spans="1:23" ht="13" x14ac:dyDescent="0.15">
      <c r="A938" s="2" t="s">
        <v>1897</v>
      </c>
      <c r="B938" s="23">
        <v>45147.040902777779</v>
      </c>
      <c r="C938" s="23">
        <v>45147.040902777779</v>
      </c>
      <c r="D938" s="23" t="str">
        <f>IF(Table1[[#This Row],[Duration of Campaign]]=0, "Ongoing","Completed")</f>
        <v>Ongoing</v>
      </c>
      <c r="E938" s="25">
        <f>Table1[[#This Row],[End Date]]-Table1[[#This Row],[Start Date]]</f>
        <v>0</v>
      </c>
      <c r="F938" s="8">
        <v>1856</v>
      </c>
      <c r="G938" s="21" t="s">
        <v>37</v>
      </c>
      <c r="H938" s="11">
        <v>5365</v>
      </c>
      <c r="I938" s="11">
        <v>1619</v>
      </c>
      <c r="J938" s="11">
        <v>18</v>
      </c>
      <c r="K938" s="13">
        <v>4165</v>
      </c>
      <c r="L938" s="16">
        <f t="shared" si="84"/>
        <v>0.30177073625349488</v>
      </c>
      <c r="M938" s="16">
        <f t="shared" si="85"/>
        <v>1.1117974058060531E-2</v>
      </c>
      <c r="N938" s="17">
        <f t="shared" si="86"/>
        <v>7.3119209388511424</v>
      </c>
      <c r="O938" s="17">
        <f t="shared" si="87"/>
        <v>657.66666666666663</v>
      </c>
      <c r="P938" s="16">
        <f t="shared" si="88"/>
        <v>6.3782327586206895</v>
      </c>
      <c r="Q938" s="16">
        <f t="shared" si="89"/>
        <v>0.3518330799121473</v>
      </c>
      <c r="R938" s="2" t="s">
        <v>1898</v>
      </c>
      <c r="S938" s="21" t="s">
        <v>35</v>
      </c>
      <c r="T938" s="21" t="s">
        <v>17</v>
      </c>
      <c r="U938" s="8">
        <v>11838</v>
      </c>
      <c r="V938" s="11">
        <v>4</v>
      </c>
      <c r="W938" t="str">
        <f>IF(Table1[[#This Row],[Satisfaction Rating]]&lt;2, "Low", IF(Table1[[#This Row],[Satisfaction Rating]]&lt;4, "Medium", "High"))</f>
        <v>High</v>
      </c>
    </row>
    <row r="939" spans="1:23" ht="13" x14ac:dyDescent="0.15">
      <c r="A939" s="2" t="s">
        <v>1899</v>
      </c>
      <c r="B939" s="23">
        <v>45444.493958333333</v>
      </c>
      <c r="C939" s="23">
        <v>45444.493958333333</v>
      </c>
      <c r="D939" s="23" t="str">
        <f>IF(Table1[[#This Row],[Duration of Campaign]]=0, "Ongoing","Completed")</f>
        <v>Ongoing</v>
      </c>
      <c r="E939" s="25">
        <f>Table1[[#This Row],[End Date]]-Table1[[#This Row],[Start Date]]</f>
        <v>0</v>
      </c>
      <c r="F939" s="8">
        <v>9185</v>
      </c>
      <c r="G939" s="21" t="s">
        <v>19</v>
      </c>
      <c r="H939" s="11">
        <v>5732</v>
      </c>
      <c r="I939" s="11">
        <v>723</v>
      </c>
      <c r="J939" s="11">
        <v>241</v>
      </c>
      <c r="K939" s="13">
        <v>4621</v>
      </c>
      <c r="L939" s="16">
        <f t="shared" si="84"/>
        <v>0.12613398464759246</v>
      </c>
      <c r="M939" s="16">
        <f t="shared" si="85"/>
        <v>0.33333333333333331</v>
      </c>
      <c r="N939" s="17">
        <f t="shared" si="86"/>
        <v>18.975103734439834</v>
      </c>
      <c r="O939" s="17">
        <f t="shared" si="87"/>
        <v>56.925311203319502</v>
      </c>
      <c r="P939" s="16">
        <f t="shared" si="88"/>
        <v>1.4936309199782254</v>
      </c>
      <c r="Q939" s="16">
        <f t="shared" si="89"/>
        <v>0.33683213062176542</v>
      </c>
      <c r="R939" s="2" t="s">
        <v>1900</v>
      </c>
      <c r="S939" s="21" t="s">
        <v>35</v>
      </c>
      <c r="T939" s="21" t="s">
        <v>17</v>
      </c>
      <c r="U939" s="8">
        <v>13719</v>
      </c>
      <c r="V939" s="11">
        <v>1</v>
      </c>
      <c r="W939" t="str">
        <f>IF(Table1[[#This Row],[Satisfaction Rating]]&lt;2, "Low", IF(Table1[[#This Row],[Satisfaction Rating]]&lt;4, "Medium", "High"))</f>
        <v>Low</v>
      </c>
    </row>
    <row r="940" spans="1:23" ht="13" x14ac:dyDescent="0.15">
      <c r="A940" s="2" t="s">
        <v>1901</v>
      </c>
      <c r="B940" s="23">
        <v>44974.401747685188</v>
      </c>
      <c r="C940" s="23">
        <v>45648.327222222222</v>
      </c>
      <c r="D940" s="23" t="str">
        <f>IF(Table1[[#This Row],[Duration of Campaign]]=0, "Ongoing","Completed")</f>
        <v>Completed</v>
      </c>
      <c r="E940" s="25">
        <f>Table1[[#This Row],[End Date]]-Table1[[#This Row],[Start Date]]</f>
        <v>673.92547453703446</v>
      </c>
      <c r="F940" s="8">
        <v>7182</v>
      </c>
      <c r="G940" s="21" t="s">
        <v>53</v>
      </c>
      <c r="H940" s="11">
        <v>15257</v>
      </c>
      <c r="I940" s="11">
        <v>1942</v>
      </c>
      <c r="J940" s="11">
        <v>208</v>
      </c>
      <c r="K940" s="13">
        <v>14877</v>
      </c>
      <c r="L940" s="16">
        <f t="shared" si="84"/>
        <v>0.12728583600970048</v>
      </c>
      <c r="M940" s="16">
        <f t="shared" si="85"/>
        <v>0.10710607621009269</v>
      </c>
      <c r="N940" s="17">
        <f t="shared" si="86"/>
        <v>2.7785787847579813</v>
      </c>
      <c r="O940" s="17">
        <f t="shared" si="87"/>
        <v>25.942307692307693</v>
      </c>
      <c r="P940" s="16">
        <f t="shared" si="88"/>
        <v>0.75132275132275128</v>
      </c>
      <c r="Q940" s="16">
        <f t="shared" si="89"/>
        <v>2.757042253521127</v>
      </c>
      <c r="R940" s="2" t="s">
        <v>1902</v>
      </c>
      <c r="S940" s="21" t="s">
        <v>35</v>
      </c>
      <c r="T940" s="21" t="s">
        <v>45</v>
      </c>
      <c r="U940" s="8">
        <v>5396</v>
      </c>
      <c r="V940" s="11">
        <v>1</v>
      </c>
      <c r="W940" t="str">
        <f>IF(Table1[[#This Row],[Satisfaction Rating]]&lt;2, "Low", IF(Table1[[#This Row],[Satisfaction Rating]]&lt;4, "Medium", "High"))</f>
        <v>Low</v>
      </c>
    </row>
    <row r="941" spans="1:23" ht="13" x14ac:dyDescent="0.15">
      <c r="A941" s="2" t="s">
        <v>1903</v>
      </c>
      <c r="B941" s="23">
        <v>45163.536782407406</v>
      </c>
      <c r="C941" s="23">
        <v>45590.86445601852</v>
      </c>
      <c r="D941" s="23" t="str">
        <f>IF(Table1[[#This Row],[Duration of Campaign]]=0, "Ongoing","Completed")</f>
        <v>Completed</v>
      </c>
      <c r="E941" s="25">
        <f>Table1[[#This Row],[End Date]]-Table1[[#This Row],[Start Date]]</f>
        <v>427.32767361111473</v>
      </c>
      <c r="F941" s="8">
        <v>5449</v>
      </c>
      <c r="G941" s="21" t="s">
        <v>37</v>
      </c>
      <c r="H941" s="11">
        <v>4483</v>
      </c>
      <c r="I941" s="11">
        <v>1846</v>
      </c>
      <c r="J941" s="11">
        <v>65</v>
      </c>
      <c r="K941" s="13">
        <v>2456</v>
      </c>
      <c r="L941" s="16">
        <f t="shared" si="84"/>
        <v>0.4117778273477582</v>
      </c>
      <c r="M941" s="16">
        <f t="shared" si="85"/>
        <v>3.5211267605633804E-2</v>
      </c>
      <c r="N941" s="17">
        <f t="shared" si="86"/>
        <v>6.7177681473456126</v>
      </c>
      <c r="O941" s="17">
        <f t="shared" si="87"/>
        <v>190.78461538461539</v>
      </c>
      <c r="P941" s="16">
        <f t="shared" si="88"/>
        <v>2.2758304276013948</v>
      </c>
      <c r="Q941" s="16">
        <f t="shared" si="89"/>
        <v>0.19804854447221998</v>
      </c>
      <c r="R941" s="2" t="s">
        <v>1904</v>
      </c>
      <c r="S941" s="21" t="s">
        <v>24</v>
      </c>
      <c r="T941" s="21" t="s">
        <v>45</v>
      </c>
      <c r="U941" s="8">
        <v>12401</v>
      </c>
      <c r="V941" s="11">
        <v>4</v>
      </c>
      <c r="W941" t="str">
        <f>IF(Table1[[#This Row],[Satisfaction Rating]]&lt;2, "Low", IF(Table1[[#This Row],[Satisfaction Rating]]&lt;4, "Medium", "High"))</f>
        <v>High</v>
      </c>
    </row>
    <row r="942" spans="1:23" ht="13" x14ac:dyDescent="0.15">
      <c r="A942" s="2" t="s">
        <v>1905</v>
      </c>
      <c r="B942" s="23">
        <v>45064.23646990741</v>
      </c>
      <c r="C942" s="23">
        <v>45178.348391203705</v>
      </c>
      <c r="D942" s="23" t="str">
        <f>IF(Table1[[#This Row],[Duration of Campaign]]=0, "Ongoing","Completed")</f>
        <v>Completed</v>
      </c>
      <c r="E942" s="25">
        <f>Table1[[#This Row],[End Date]]-Table1[[#This Row],[Start Date]]</f>
        <v>114.1119212962949</v>
      </c>
      <c r="F942" s="8">
        <v>6788</v>
      </c>
      <c r="G942" s="21" t="s">
        <v>53</v>
      </c>
      <c r="H942" s="11">
        <v>16114</v>
      </c>
      <c r="I942" s="11">
        <v>1581</v>
      </c>
      <c r="J942" s="11">
        <v>108</v>
      </c>
      <c r="K942" s="13">
        <v>1804</v>
      </c>
      <c r="L942" s="16">
        <f t="shared" si="84"/>
        <v>9.8113441727690209E-2</v>
      </c>
      <c r="M942" s="16">
        <f t="shared" si="85"/>
        <v>6.8311195445920306E-2</v>
      </c>
      <c r="N942" s="17">
        <f t="shared" si="86"/>
        <v>9.0695762175838084</v>
      </c>
      <c r="O942" s="17">
        <f t="shared" si="87"/>
        <v>132.7685185185185</v>
      </c>
      <c r="P942" s="16">
        <f t="shared" si="88"/>
        <v>2.1124042427813787</v>
      </c>
      <c r="Q942" s="16">
        <f t="shared" si="89"/>
        <v>0.12581072599204965</v>
      </c>
      <c r="R942" s="2" t="s">
        <v>1906</v>
      </c>
      <c r="S942" s="21" t="s">
        <v>30</v>
      </c>
      <c r="T942" s="21" t="s">
        <v>27</v>
      </c>
      <c r="U942" s="8">
        <v>14339</v>
      </c>
      <c r="V942" s="11">
        <v>2</v>
      </c>
      <c r="W942" t="str">
        <f>IF(Table1[[#This Row],[Satisfaction Rating]]&lt;2, "Low", IF(Table1[[#This Row],[Satisfaction Rating]]&lt;4, "Medium", "High"))</f>
        <v>Medium</v>
      </c>
    </row>
    <row r="943" spans="1:23" ht="13" x14ac:dyDescent="0.15">
      <c r="A943" s="2" t="s">
        <v>1907</v>
      </c>
      <c r="B943" s="23">
        <v>45600.536840277775</v>
      </c>
      <c r="C943" s="23">
        <v>45600.536840277775</v>
      </c>
      <c r="D943" s="23" t="str">
        <f>IF(Table1[[#This Row],[Duration of Campaign]]=0, "Ongoing","Completed")</f>
        <v>Ongoing</v>
      </c>
      <c r="E943" s="25">
        <f>Table1[[#This Row],[End Date]]-Table1[[#This Row],[Start Date]]</f>
        <v>0</v>
      </c>
      <c r="F943" s="8">
        <v>3845</v>
      </c>
      <c r="G943" s="21" t="s">
        <v>19</v>
      </c>
      <c r="H943" s="11">
        <v>10525</v>
      </c>
      <c r="I943" s="11">
        <v>938</v>
      </c>
      <c r="J943" s="11">
        <v>174</v>
      </c>
      <c r="K943" s="13">
        <v>5044</v>
      </c>
      <c r="L943" s="16">
        <f t="shared" si="84"/>
        <v>8.9121140142517818E-2</v>
      </c>
      <c r="M943" s="16">
        <f t="shared" si="85"/>
        <v>0.18550106609808104</v>
      </c>
      <c r="N943" s="17">
        <f t="shared" si="86"/>
        <v>15.857142857142858</v>
      </c>
      <c r="O943" s="17">
        <f t="shared" si="87"/>
        <v>85.482758620689651</v>
      </c>
      <c r="P943" s="16">
        <f t="shared" si="88"/>
        <v>3.868400520156047</v>
      </c>
      <c r="Q943" s="16">
        <f t="shared" si="89"/>
        <v>0.33911523463762272</v>
      </c>
      <c r="R943" s="2" t="s">
        <v>1908</v>
      </c>
      <c r="S943" s="21" t="s">
        <v>16</v>
      </c>
      <c r="T943" s="21" t="s">
        <v>17</v>
      </c>
      <c r="U943" s="8">
        <v>14874</v>
      </c>
      <c r="V943" s="11">
        <v>1</v>
      </c>
      <c r="W943" t="str">
        <f>IF(Table1[[#This Row],[Satisfaction Rating]]&lt;2, "Low", IF(Table1[[#This Row],[Satisfaction Rating]]&lt;4, "Medium", "High"))</f>
        <v>Low</v>
      </c>
    </row>
    <row r="944" spans="1:23" ht="13" x14ac:dyDescent="0.15">
      <c r="A944" s="2" t="s">
        <v>1909</v>
      </c>
      <c r="B944" s="23">
        <v>45354.884965277779</v>
      </c>
      <c r="C944" s="23">
        <v>45615.628900462965</v>
      </c>
      <c r="D944" s="23" t="str">
        <f>IF(Table1[[#This Row],[Duration of Campaign]]=0, "Ongoing","Completed")</f>
        <v>Completed</v>
      </c>
      <c r="E944" s="25">
        <f>Table1[[#This Row],[End Date]]-Table1[[#This Row],[Start Date]]</f>
        <v>260.74393518518627</v>
      </c>
      <c r="F944" s="8">
        <v>5352</v>
      </c>
      <c r="G944" s="21" t="s">
        <v>19</v>
      </c>
      <c r="H944" s="11">
        <v>7843</v>
      </c>
      <c r="I944" s="11">
        <v>433</v>
      </c>
      <c r="J944" s="11">
        <v>178</v>
      </c>
      <c r="K944" s="13">
        <v>14684</v>
      </c>
      <c r="L944" s="16">
        <f t="shared" si="84"/>
        <v>5.5208466148157595E-2</v>
      </c>
      <c r="M944" s="16">
        <f t="shared" si="85"/>
        <v>0.4110854503464203</v>
      </c>
      <c r="N944" s="17">
        <f t="shared" si="86"/>
        <v>10.868360277136258</v>
      </c>
      <c r="O944" s="17">
        <f t="shared" si="87"/>
        <v>26.438202247191011</v>
      </c>
      <c r="P944" s="16">
        <f t="shared" si="88"/>
        <v>0.87929745889387145</v>
      </c>
      <c r="Q944" s="16">
        <f t="shared" si="89"/>
        <v>3.1202719932001699</v>
      </c>
      <c r="R944" s="2" t="s">
        <v>1910</v>
      </c>
      <c r="S944" s="21" t="s">
        <v>16</v>
      </c>
      <c r="T944" s="21" t="s">
        <v>17</v>
      </c>
      <c r="U944" s="8">
        <v>4706</v>
      </c>
      <c r="V944" s="11">
        <v>4</v>
      </c>
      <c r="W944" t="str">
        <f>IF(Table1[[#This Row],[Satisfaction Rating]]&lt;2, "Low", IF(Table1[[#This Row],[Satisfaction Rating]]&lt;4, "Medium", "High"))</f>
        <v>High</v>
      </c>
    </row>
    <row r="945" spans="1:23" ht="13" x14ac:dyDescent="0.15">
      <c r="A945" s="2" t="s">
        <v>1911</v>
      </c>
      <c r="B945" s="23">
        <v>45468.736064814817</v>
      </c>
      <c r="C945" s="23">
        <v>45552.326226851852</v>
      </c>
      <c r="D945" s="23" t="str">
        <f>IF(Table1[[#This Row],[Duration of Campaign]]=0, "Ongoing","Completed")</f>
        <v>Completed</v>
      </c>
      <c r="E945" s="25">
        <f>Table1[[#This Row],[End Date]]-Table1[[#This Row],[Start Date]]</f>
        <v>83.590162037035043</v>
      </c>
      <c r="F945" s="8">
        <v>7193</v>
      </c>
      <c r="G945" s="21" t="s">
        <v>53</v>
      </c>
      <c r="H945" s="11">
        <v>13154</v>
      </c>
      <c r="I945" s="11">
        <v>324</v>
      </c>
      <c r="J945" s="11">
        <v>25</v>
      </c>
      <c r="K945" s="13">
        <v>2631</v>
      </c>
      <c r="L945" s="16">
        <f t="shared" si="84"/>
        <v>2.463129086209518E-2</v>
      </c>
      <c r="M945" s="16">
        <f t="shared" si="85"/>
        <v>7.716049382716049E-2</v>
      </c>
      <c r="N945" s="17">
        <f t="shared" si="86"/>
        <v>47.561728395061728</v>
      </c>
      <c r="O945" s="17">
        <f t="shared" si="87"/>
        <v>616.4</v>
      </c>
      <c r="P945" s="16">
        <f t="shared" si="88"/>
        <v>2.1423606283887113</v>
      </c>
      <c r="Q945" s="16">
        <f t="shared" si="89"/>
        <v>0.17073329007138222</v>
      </c>
      <c r="R945" s="2" t="s">
        <v>1912</v>
      </c>
      <c r="S945" s="21" t="s">
        <v>35</v>
      </c>
      <c r="T945" s="21" t="s">
        <v>27</v>
      </c>
      <c r="U945" s="8">
        <v>15410</v>
      </c>
      <c r="V945" s="11">
        <v>5</v>
      </c>
      <c r="W945" t="str">
        <f>IF(Table1[[#This Row],[Satisfaction Rating]]&lt;2, "Low", IF(Table1[[#This Row],[Satisfaction Rating]]&lt;4, "Medium", "High"))</f>
        <v>High</v>
      </c>
    </row>
    <row r="946" spans="1:23" ht="13" x14ac:dyDescent="0.15">
      <c r="A946" s="2" t="s">
        <v>1913</v>
      </c>
      <c r="B946" s="23">
        <v>45414.403032407405</v>
      </c>
      <c r="C946" s="23">
        <v>45414.403032407405</v>
      </c>
      <c r="D946" s="23" t="str">
        <f>IF(Table1[[#This Row],[Duration of Campaign]]=0, "Ongoing","Completed")</f>
        <v>Ongoing</v>
      </c>
      <c r="E946" s="25">
        <f>Table1[[#This Row],[End Date]]-Table1[[#This Row],[Start Date]]</f>
        <v>0</v>
      </c>
      <c r="F946" s="8">
        <v>7135</v>
      </c>
      <c r="G946" s="21" t="s">
        <v>37</v>
      </c>
      <c r="H946" s="11">
        <v>17144</v>
      </c>
      <c r="I946" s="11">
        <v>1346</v>
      </c>
      <c r="J946" s="11">
        <v>12</v>
      </c>
      <c r="K946" s="13">
        <v>9382</v>
      </c>
      <c r="L946" s="16">
        <f t="shared" si="84"/>
        <v>7.8511432571161929E-2</v>
      </c>
      <c r="M946" s="16">
        <f t="shared" si="85"/>
        <v>8.9153046062407128E-3</v>
      </c>
      <c r="N946" s="17">
        <f t="shared" si="86"/>
        <v>7.4138187221396734</v>
      </c>
      <c r="O946" s="17">
        <f t="shared" si="87"/>
        <v>831.58333333333337</v>
      </c>
      <c r="P946" s="16">
        <f t="shared" si="88"/>
        <v>1.3985984583041347</v>
      </c>
      <c r="Q946" s="16">
        <f t="shared" si="89"/>
        <v>0.94017436616895478</v>
      </c>
      <c r="R946" s="2" t="s">
        <v>1914</v>
      </c>
      <c r="S946" s="21" t="s">
        <v>30</v>
      </c>
      <c r="T946" s="21" t="s">
        <v>45</v>
      </c>
      <c r="U946" s="8">
        <v>9979</v>
      </c>
      <c r="V946" s="11">
        <v>2</v>
      </c>
      <c r="W946" t="str">
        <f>IF(Table1[[#This Row],[Satisfaction Rating]]&lt;2, "Low", IF(Table1[[#This Row],[Satisfaction Rating]]&lt;4, "Medium", "High"))</f>
        <v>Medium</v>
      </c>
    </row>
    <row r="947" spans="1:23" ht="13" x14ac:dyDescent="0.15">
      <c r="A947" s="2" t="s">
        <v>1915</v>
      </c>
      <c r="B947" s="23">
        <v>45504.901979166665</v>
      </c>
      <c r="C947" s="23">
        <v>45504.901979166665</v>
      </c>
      <c r="D947" s="23" t="str">
        <f>IF(Table1[[#This Row],[Duration of Campaign]]=0, "Ongoing","Completed")</f>
        <v>Ongoing</v>
      </c>
      <c r="E947" s="25">
        <f>Table1[[#This Row],[End Date]]-Table1[[#This Row],[Start Date]]</f>
        <v>0</v>
      </c>
      <c r="F947" s="8">
        <v>6232</v>
      </c>
      <c r="G947" s="21" t="s">
        <v>53</v>
      </c>
      <c r="H947" s="11">
        <v>9244</v>
      </c>
      <c r="I947" s="11">
        <v>667</v>
      </c>
      <c r="J947" s="11">
        <v>291</v>
      </c>
      <c r="K947" s="13">
        <v>2770</v>
      </c>
      <c r="L947" s="16">
        <f t="shared" si="84"/>
        <v>7.2154911293812199E-2</v>
      </c>
      <c r="M947" s="16">
        <f t="shared" si="85"/>
        <v>0.43628185907046479</v>
      </c>
      <c r="N947" s="17">
        <f t="shared" si="86"/>
        <v>18.545727136431783</v>
      </c>
      <c r="O947" s="17">
        <f t="shared" si="87"/>
        <v>42.508591065292094</v>
      </c>
      <c r="P947" s="16">
        <f t="shared" si="88"/>
        <v>1.9849165596919127</v>
      </c>
      <c r="Q947" s="16">
        <f t="shared" si="89"/>
        <v>0.22392886014551333</v>
      </c>
      <c r="R947" s="2" t="s">
        <v>1916</v>
      </c>
      <c r="S947" s="21" t="s">
        <v>30</v>
      </c>
      <c r="T947" s="21" t="s">
        <v>45</v>
      </c>
      <c r="U947" s="8">
        <v>12370</v>
      </c>
      <c r="V947" s="11">
        <v>1</v>
      </c>
      <c r="W947" t="str">
        <f>IF(Table1[[#This Row],[Satisfaction Rating]]&lt;2, "Low", IF(Table1[[#This Row],[Satisfaction Rating]]&lt;4, "Medium", "High"))</f>
        <v>Low</v>
      </c>
    </row>
    <row r="948" spans="1:23" ht="13" x14ac:dyDescent="0.15">
      <c r="A948" s="2" t="s">
        <v>1917</v>
      </c>
      <c r="B948" s="23">
        <v>45196.737754629627</v>
      </c>
      <c r="C948" s="23">
        <v>45196.737754629627</v>
      </c>
      <c r="D948" s="23" t="str">
        <f>IF(Table1[[#This Row],[Duration of Campaign]]=0, "Ongoing","Completed")</f>
        <v>Ongoing</v>
      </c>
      <c r="E948" s="25">
        <f>Table1[[#This Row],[End Date]]-Table1[[#This Row],[Start Date]]</f>
        <v>0</v>
      </c>
      <c r="F948" s="8">
        <v>5050</v>
      </c>
      <c r="G948" s="21" t="s">
        <v>53</v>
      </c>
      <c r="H948" s="11">
        <v>7220</v>
      </c>
      <c r="I948" s="11">
        <v>1159</v>
      </c>
      <c r="J948" s="11">
        <v>63</v>
      </c>
      <c r="K948" s="13">
        <v>9871</v>
      </c>
      <c r="L948" s="16">
        <f t="shared" si="84"/>
        <v>0.16052631578947368</v>
      </c>
      <c r="M948" s="16">
        <f t="shared" si="85"/>
        <v>5.4357204486626405E-2</v>
      </c>
      <c r="N948" s="17">
        <f t="shared" si="86"/>
        <v>2.1604831751509921</v>
      </c>
      <c r="O948" s="17">
        <f t="shared" si="87"/>
        <v>39.746031746031747</v>
      </c>
      <c r="P948" s="16">
        <f t="shared" si="88"/>
        <v>0.49584158415841584</v>
      </c>
      <c r="Q948" s="16">
        <f t="shared" si="89"/>
        <v>3.9420926517571884</v>
      </c>
      <c r="R948" s="2" t="s">
        <v>1918</v>
      </c>
      <c r="S948" s="21" t="s">
        <v>21</v>
      </c>
      <c r="T948" s="21" t="s">
        <v>45</v>
      </c>
      <c r="U948" s="8">
        <v>2504</v>
      </c>
      <c r="V948" s="11">
        <v>1</v>
      </c>
      <c r="W948" t="str">
        <f>IF(Table1[[#This Row],[Satisfaction Rating]]&lt;2, "Low", IF(Table1[[#This Row],[Satisfaction Rating]]&lt;4, "Medium", "High"))</f>
        <v>Low</v>
      </c>
    </row>
    <row r="949" spans="1:23" ht="13" x14ac:dyDescent="0.15">
      <c r="A949" s="2" t="s">
        <v>1919</v>
      </c>
      <c r="B949" s="23">
        <v>45075.81894675926</v>
      </c>
      <c r="C949" s="23">
        <v>45524.43476851852</v>
      </c>
      <c r="D949" s="23" t="str">
        <f>IF(Table1[[#This Row],[Duration of Campaign]]=0, "Ongoing","Completed")</f>
        <v>Completed</v>
      </c>
      <c r="E949" s="25">
        <f>Table1[[#This Row],[End Date]]-Table1[[#This Row],[Start Date]]</f>
        <v>448.61582175926014</v>
      </c>
      <c r="F949" s="8">
        <v>1955</v>
      </c>
      <c r="G949" s="21" t="s">
        <v>19</v>
      </c>
      <c r="H949" s="11">
        <v>11080</v>
      </c>
      <c r="I949" s="11">
        <v>1651</v>
      </c>
      <c r="J949" s="11">
        <v>329</v>
      </c>
      <c r="K949" s="13">
        <v>2638</v>
      </c>
      <c r="L949" s="16">
        <f t="shared" si="84"/>
        <v>0.14900722021660651</v>
      </c>
      <c r="M949" s="16">
        <f t="shared" si="85"/>
        <v>0.1992731677771048</v>
      </c>
      <c r="N949" s="17">
        <f t="shared" si="86"/>
        <v>1.6910963052695336</v>
      </c>
      <c r="O949" s="17">
        <f t="shared" si="87"/>
        <v>8.4863221884498472</v>
      </c>
      <c r="P949" s="16">
        <f t="shared" si="88"/>
        <v>1.4281329923273658</v>
      </c>
      <c r="Q949" s="16">
        <f t="shared" si="89"/>
        <v>0.94484240687679089</v>
      </c>
      <c r="R949" s="2" t="s">
        <v>1920</v>
      </c>
      <c r="S949" s="21" t="s">
        <v>16</v>
      </c>
      <c r="T949" s="21" t="s">
        <v>27</v>
      </c>
      <c r="U949" s="8">
        <v>2792</v>
      </c>
      <c r="V949" s="11">
        <v>2</v>
      </c>
      <c r="W949" t="str">
        <f>IF(Table1[[#This Row],[Satisfaction Rating]]&lt;2, "Low", IF(Table1[[#This Row],[Satisfaction Rating]]&lt;4, "Medium", "High"))</f>
        <v>Medium</v>
      </c>
    </row>
    <row r="950" spans="1:23" ht="13" x14ac:dyDescent="0.15">
      <c r="A950" s="2" t="s">
        <v>1921</v>
      </c>
      <c r="B950" s="23">
        <v>45071.774317129632</v>
      </c>
      <c r="C950" s="23">
        <v>45579.088564814818</v>
      </c>
      <c r="D950" s="23" t="str">
        <f>IF(Table1[[#This Row],[Duration of Campaign]]=0, "Ongoing","Completed")</f>
        <v>Completed</v>
      </c>
      <c r="E950" s="25">
        <f>Table1[[#This Row],[End Date]]-Table1[[#This Row],[Start Date]]</f>
        <v>507.31424768518627</v>
      </c>
      <c r="F950" s="8">
        <v>4335</v>
      </c>
      <c r="G950" s="21" t="s">
        <v>14</v>
      </c>
      <c r="H950" s="11">
        <v>3608</v>
      </c>
      <c r="I950" s="11">
        <v>471</v>
      </c>
      <c r="J950" s="11">
        <v>476</v>
      </c>
      <c r="K950" s="13">
        <v>536</v>
      </c>
      <c r="L950" s="16">
        <f t="shared" si="84"/>
        <v>0.13054323725055433</v>
      </c>
      <c r="M950" s="16">
        <f t="shared" si="85"/>
        <v>1.0106157112526539</v>
      </c>
      <c r="N950" s="17">
        <f t="shared" si="86"/>
        <v>28.307855626326965</v>
      </c>
      <c r="O950" s="17">
        <f t="shared" si="87"/>
        <v>28.010504201680671</v>
      </c>
      <c r="P950" s="16">
        <f t="shared" si="88"/>
        <v>3.0756632064590543</v>
      </c>
      <c r="Q950" s="16">
        <f t="shared" si="89"/>
        <v>4.0201005025125629E-2</v>
      </c>
      <c r="R950" s="2" t="s">
        <v>1922</v>
      </c>
      <c r="S950" s="21" t="s">
        <v>24</v>
      </c>
      <c r="T950" s="21" t="s">
        <v>27</v>
      </c>
      <c r="U950" s="8">
        <v>13333</v>
      </c>
      <c r="V950" s="11">
        <v>3</v>
      </c>
      <c r="W950" t="str">
        <f>IF(Table1[[#This Row],[Satisfaction Rating]]&lt;2, "Low", IF(Table1[[#This Row],[Satisfaction Rating]]&lt;4, "Medium", "High"))</f>
        <v>Medium</v>
      </c>
    </row>
    <row r="951" spans="1:23" ht="13" x14ac:dyDescent="0.15">
      <c r="A951" s="2" t="s">
        <v>1923</v>
      </c>
      <c r="B951" s="23">
        <v>45336.186469907407</v>
      </c>
      <c r="C951" s="23">
        <v>45336.186469907407</v>
      </c>
      <c r="D951" s="23" t="str">
        <f>IF(Table1[[#This Row],[Duration of Campaign]]=0, "Ongoing","Completed")</f>
        <v>Ongoing</v>
      </c>
      <c r="E951" s="25">
        <f>Table1[[#This Row],[End Date]]-Table1[[#This Row],[Start Date]]</f>
        <v>0</v>
      </c>
      <c r="F951" s="8">
        <v>4900</v>
      </c>
      <c r="G951" s="21" t="s">
        <v>37</v>
      </c>
      <c r="H951" s="11">
        <v>18181</v>
      </c>
      <c r="I951" s="11">
        <v>265</v>
      </c>
      <c r="J951" s="11">
        <v>429</v>
      </c>
      <c r="K951" s="13">
        <v>13476</v>
      </c>
      <c r="L951" s="16">
        <f t="shared" si="84"/>
        <v>1.4575655904515704E-2</v>
      </c>
      <c r="M951" s="16">
        <f t="shared" si="85"/>
        <v>1.618867924528302</v>
      </c>
      <c r="N951" s="17">
        <f t="shared" si="86"/>
        <v>6.0981132075471702</v>
      </c>
      <c r="O951" s="17">
        <f t="shared" si="87"/>
        <v>3.7668997668997668</v>
      </c>
      <c r="P951" s="16">
        <f t="shared" si="88"/>
        <v>0.32979591836734695</v>
      </c>
      <c r="Q951" s="16">
        <f t="shared" si="89"/>
        <v>8.3391089108910883</v>
      </c>
      <c r="R951" s="2" t="s">
        <v>1924</v>
      </c>
      <c r="S951" s="21" t="s">
        <v>21</v>
      </c>
      <c r="T951" s="21" t="s">
        <v>45</v>
      </c>
      <c r="U951" s="8">
        <v>1616</v>
      </c>
      <c r="V951" s="11">
        <v>3</v>
      </c>
      <c r="W951" t="str">
        <f>IF(Table1[[#This Row],[Satisfaction Rating]]&lt;2, "Low", IF(Table1[[#This Row],[Satisfaction Rating]]&lt;4, "Medium", "High"))</f>
        <v>Medium</v>
      </c>
    </row>
    <row r="952" spans="1:23" ht="13" x14ac:dyDescent="0.15">
      <c r="A952" s="2" t="s">
        <v>1925</v>
      </c>
      <c r="B952" s="23">
        <v>45210.506597222222</v>
      </c>
      <c r="C952" s="23">
        <v>45366.160196759258</v>
      </c>
      <c r="D952" s="23" t="str">
        <f>IF(Table1[[#This Row],[Duration of Campaign]]=0, "Ongoing","Completed")</f>
        <v>Completed</v>
      </c>
      <c r="E952" s="25">
        <f>Table1[[#This Row],[End Date]]-Table1[[#This Row],[Start Date]]</f>
        <v>155.65359953703592</v>
      </c>
      <c r="F952" s="8">
        <v>3589</v>
      </c>
      <c r="G952" s="21" t="s">
        <v>53</v>
      </c>
      <c r="H952" s="11">
        <v>3035</v>
      </c>
      <c r="I952" s="11">
        <v>1459</v>
      </c>
      <c r="J952" s="11">
        <v>345</v>
      </c>
      <c r="K952" s="13">
        <v>9747</v>
      </c>
      <c r="L952" s="16">
        <f t="shared" si="84"/>
        <v>0.48072487644151563</v>
      </c>
      <c r="M952" s="16">
        <f t="shared" si="85"/>
        <v>0.23646333104866346</v>
      </c>
      <c r="N952" s="17">
        <f t="shared" si="86"/>
        <v>9.9403701165181637</v>
      </c>
      <c r="O952" s="17">
        <f t="shared" si="87"/>
        <v>42.037681159420288</v>
      </c>
      <c r="P952" s="16">
        <f t="shared" si="88"/>
        <v>4.0409584842574535</v>
      </c>
      <c r="Q952" s="16">
        <f t="shared" si="89"/>
        <v>0.67206784803144182</v>
      </c>
      <c r="R952" s="2" t="s">
        <v>1926</v>
      </c>
      <c r="S952" s="21" t="s">
        <v>30</v>
      </c>
      <c r="T952" s="21" t="s">
        <v>27</v>
      </c>
      <c r="U952" s="8">
        <v>14503</v>
      </c>
      <c r="V952" s="11">
        <v>4</v>
      </c>
      <c r="W952" t="str">
        <f>IF(Table1[[#This Row],[Satisfaction Rating]]&lt;2, "Low", IF(Table1[[#This Row],[Satisfaction Rating]]&lt;4, "Medium", "High"))</f>
        <v>High</v>
      </c>
    </row>
    <row r="953" spans="1:23" ht="13" x14ac:dyDescent="0.15">
      <c r="A953" s="2" t="s">
        <v>1927</v>
      </c>
      <c r="B953" s="23">
        <v>45447.031759259262</v>
      </c>
      <c r="C953" s="23">
        <v>45447.031759259262</v>
      </c>
      <c r="D953" s="23" t="str">
        <f>IF(Table1[[#This Row],[Duration of Campaign]]=0, "Ongoing","Completed")</f>
        <v>Ongoing</v>
      </c>
      <c r="E953" s="25">
        <f>Table1[[#This Row],[End Date]]-Table1[[#This Row],[Start Date]]</f>
        <v>0</v>
      </c>
      <c r="F953" s="8">
        <v>9485</v>
      </c>
      <c r="G953" s="21" t="s">
        <v>37</v>
      </c>
      <c r="H953" s="11">
        <v>11763</v>
      </c>
      <c r="I953" s="11">
        <v>907</v>
      </c>
      <c r="J953" s="11">
        <v>214</v>
      </c>
      <c r="K953" s="13">
        <v>12553</v>
      </c>
      <c r="L953" s="16">
        <f t="shared" si="84"/>
        <v>7.7106180396157437E-2</v>
      </c>
      <c r="M953" s="16">
        <f t="shared" si="85"/>
        <v>0.23594266813671444</v>
      </c>
      <c r="N953" s="17">
        <f t="shared" si="86"/>
        <v>21.853362734288865</v>
      </c>
      <c r="O953" s="17">
        <f t="shared" si="87"/>
        <v>92.621495327102807</v>
      </c>
      <c r="P953" s="16">
        <f t="shared" si="88"/>
        <v>2.0897206114918294</v>
      </c>
      <c r="Q953" s="16">
        <f t="shared" si="89"/>
        <v>0.63331819787094501</v>
      </c>
      <c r="R953" s="2" t="s">
        <v>1928</v>
      </c>
      <c r="S953" s="21" t="s">
        <v>24</v>
      </c>
      <c r="T953" s="21" t="s">
        <v>45</v>
      </c>
      <c r="U953" s="8">
        <v>19821</v>
      </c>
      <c r="V953" s="11">
        <v>1</v>
      </c>
      <c r="W953" t="str">
        <f>IF(Table1[[#This Row],[Satisfaction Rating]]&lt;2, "Low", IF(Table1[[#This Row],[Satisfaction Rating]]&lt;4, "Medium", "High"))</f>
        <v>Low</v>
      </c>
    </row>
    <row r="954" spans="1:23" ht="13" x14ac:dyDescent="0.15">
      <c r="A954" s="2" t="s">
        <v>1929</v>
      </c>
      <c r="B954" s="23">
        <v>45656.924490740741</v>
      </c>
      <c r="C954" s="23">
        <v>45656.924490740741</v>
      </c>
      <c r="D954" s="23" t="str">
        <f>IF(Table1[[#This Row],[Duration of Campaign]]=0, "Ongoing","Completed")</f>
        <v>Ongoing</v>
      </c>
      <c r="E954" s="25">
        <f>Table1[[#This Row],[End Date]]-Table1[[#This Row],[Start Date]]</f>
        <v>0</v>
      </c>
      <c r="F954" s="8">
        <v>5452</v>
      </c>
      <c r="G954" s="21" t="s">
        <v>53</v>
      </c>
      <c r="H954" s="11">
        <v>18926</v>
      </c>
      <c r="I954" s="11">
        <v>1395</v>
      </c>
      <c r="J954" s="11">
        <v>279</v>
      </c>
      <c r="K954" s="13">
        <v>14162</v>
      </c>
      <c r="L954" s="16">
        <f t="shared" si="84"/>
        <v>7.3708126386980877E-2</v>
      </c>
      <c r="M954" s="16">
        <f t="shared" si="85"/>
        <v>0.2</v>
      </c>
      <c r="N954" s="17">
        <f t="shared" si="86"/>
        <v>12.835125448028673</v>
      </c>
      <c r="O954" s="17">
        <f t="shared" si="87"/>
        <v>64.17562724014337</v>
      </c>
      <c r="P954" s="16">
        <f t="shared" si="88"/>
        <v>3.2841159207630226</v>
      </c>
      <c r="Q954" s="16">
        <f t="shared" si="89"/>
        <v>0.79095224797542585</v>
      </c>
      <c r="R954" s="2" t="s">
        <v>1930</v>
      </c>
      <c r="S954" s="21" t="s">
        <v>24</v>
      </c>
      <c r="T954" s="21" t="s">
        <v>17</v>
      </c>
      <c r="U954" s="8">
        <v>17905</v>
      </c>
      <c r="V954" s="11">
        <v>1</v>
      </c>
      <c r="W954" t="str">
        <f>IF(Table1[[#This Row],[Satisfaction Rating]]&lt;2, "Low", IF(Table1[[#This Row],[Satisfaction Rating]]&lt;4, "Medium", "High"))</f>
        <v>Low</v>
      </c>
    </row>
    <row r="955" spans="1:23" ht="13" x14ac:dyDescent="0.15">
      <c r="A955" s="2" t="s">
        <v>1931</v>
      </c>
      <c r="B955" s="23">
        <v>45005.002835648149</v>
      </c>
      <c r="C955" s="23">
        <v>45627.659525462965</v>
      </c>
      <c r="D955" s="23" t="str">
        <f>IF(Table1[[#This Row],[Duration of Campaign]]=0, "Ongoing","Completed")</f>
        <v>Completed</v>
      </c>
      <c r="E955" s="25">
        <f>Table1[[#This Row],[End Date]]-Table1[[#This Row],[Start Date]]</f>
        <v>622.65668981481576</v>
      </c>
      <c r="F955" s="8">
        <v>8675</v>
      </c>
      <c r="G955" s="21" t="s">
        <v>37</v>
      </c>
      <c r="H955" s="11">
        <v>13790</v>
      </c>
      <c r="I955" s="11">
        <v>721</v>
      </c>
      <c r="J955" s="11">
        <v>397</v>
      </c>
      <c r="K955" s="13">
        <v>3125</v>
      </c>
      <c r="L955" s="16">
        <f t="shared" si="84"/>
        <v>5.2284263959390863E-2</v>
      </c>
      <c r="M955" s="16">
        <f t="shared" si="85"/>
        <v>0.55062413314840497</v>
      </c>
      <c r="N955" s="17">
        <f t="shared" si="86"/>
        <v>19.572815533980581</v>
      </c>
      <c r="O955" s="17">
        <f t="shared" si="87"/>
        <v>35.54659949622166</v>
      </c>
      <c r="P955" s="16">
        <f t="shared" si="88"/>
        <v>1.626743515850144</v>
      </c>
      <c r="Q955" s="16">
        <f t="shared" si="89"/>
        <v>0.22144274376417233</v>
      </c>
      <c r="R955" s="2" t="s">
        <v>1932</v>
      </c>
      <c r="S955" s="21" t="s">
        <v>21</v>
      </c>
      <c r="T955" s="21" t="s">
        <v>17</v>
      </c>
      <c r="U955" s="8">
        <v>14112</v>
      </c>
      <c r="V955" s="11">
        <v>3</v>
      </c>
      <c r="W955" t="str">
        <f>IF(Table1[[#This Row],[Satisfaction Rating]]&lt;2, "Low", IF(Table1[[#This Row],[Satisfaction Rating]]&lt;4, "Medium", "High"))</f>
        <v>Medium</v>
      </c>
    </row>
    <row r="956" spans="1:23" ht="13" x14ac:dyDescent="0.15">
      <c r="A956" s="2" t="s">
        <v>1933</v>
      </c>
      <c r="B956" s="23">
        <v>45560.856539351851</v>
      </c>
      <c r="C956" s="23">
        <v>45560.856539351851</v>
      </c>
      <c r="D956" s="23" t="str">
        <f>IF(Table1[[#This Row],[Duration of Campaign]]=0, "Ongoing","Completed")</f>
        <v>Ongoing</v>
      </c>
      <c r="E956" s="25">
        <f>Table1[[#This Row],[End Date]]-Table1[[#This Row],[Start Date]]</f>
        <v>0</v>
      </c>
      <c r="F956" s="8">
        <v>8688</v>
      </c>
      <c r="G956" s="21" t="s">
        <v>14</v>
      </c>
      <c r="H956" s="11">
        <v>13795</v>
      </c>
      <c r="I956" s="11">
        <v>1304</v>
      </c>
      <c r="J956" s="11">
        <v>22</v>
      </c>
      <c r="K956" s="13">
        <v>13969</v>
      </c>
      <c r="L956" s="16">
        <f t="shared" si="84"/>
        <v>9.4527002537151142E-2</v>
      </c>
      <c r="M956" s="16">
        <f t="shared" si="85"/>
        <v>1.6871165644171779E-2</v>
      </c>
      <c r="N956" s="17">
        <f t="shared" si="86"/>
        <v>9.1963190184049086</v>
      </c>
      <c r="O956" s="17">
        <f t="shared" si="87"/>
        <v>545.09090909090912</v>
      </c>
      <c r="P956" s="16">
        <f t="shared" si="88"/>
        <v>1.3802946593001841</v>
      </c>
      <c r="Q956" s="16">
        <f t="shared" si="89"/>
        <v>1.164859906604403</v>
      </c>
      <c r="R956" s="2" t="s">
        <v>1934</v>
      </c>
      <c r="S956" s="21" t="s">
        <v>24</v>
      </c>
      <c r="T956" s="21" t="s">
        <v>27</v>
      </c>
      <c r="U956" s="8">
        <v>11992</v>
      </c>
      <c r="V956" s="11">
        <v>3</v>
      </c>
      <c r="W956" t="str">
        <f>IF(Table1[[#This Row],[Satisfaction Rating]]&lt;2, "Low", IF(Table1[[#This Row],[Satisfaction Rating]]&lt;4, "Medium", "High"))</f>
        <v>Medium</v>
      </c>
    </row>
    <row r="957" spans="1:23" ht="13" x14ac:dyDescent="0.15">
      <c r="A957" s="2" t="s">
        <v>1935</v>
      </c>
      <c r="B957" s="23">
        <v>45554.487824074073</v>
      </c>
      <c r="C957" s="23">
        <v>45554.487824074073</v>
      </c>
      <c r="D957" s="23" t="str">
        <f>IF(Table1[[#This Row],[Duration of Campaign]]=0, "Ongoing","Completed")</f>
        <v>Ongoing</v>
      </c>
      <c r="E957" s="25">
        <f>Table1[[#This Row],[End Date]]-Table1[[#This Row],[Start Date]]</f>
        <v>0</v>
      </c>
      <c r="F957" s="8">
        <v>1187</v>
      </c>
      <c r="G957" s="21" t="s">
        <v>14</v>
      </c>
      <c r="H957" s="11">
        <v>16468</v>
      </c>
      <c r="I957" s="11">
        <v>1663</v>
      </c>
      <c r="J957" s="11">
        <v>430</v>
      </c>
      <c r="K957" s="13">
        <v>7150</v>
      </c>
      <c r="L957" s="16">
        <f t="shared" si="84"/>
        <v>0.10098372601408794</v>
      </c>
      <c r="M957" s="16">
        <f t="shared" si="85"/>
        <v>0.25856885147324116</v>
      </c>
      <c r="N957" s="17">
        <f t="shared" si="86"/>
        <v>7.5129284425736618</v>
      </c>
      <c r="O957" s="17">
        <f t="shared" si="87"/>
        <v>29.055813953488371</v>
      </c>
      <c r="P957" s="16">
        <f t="shared" si="88"/>
        <v>10.5256950294861</v>
      </c>
      <c r="Q957" s="16">
        <f t="shared" si="89"/>
        <v>0.57227469185208901</v>
      </c>
      <c r="R957" s="2" t="s">
        <v>1936</v>
      </c>
      <c r="S957" s="21" t="s">
        <v>16</v>
      </c>
      <c r="T957" s="21" t="s">
        <v>45</v>
      </c>
      <c r="U957" s="8">
        <v>12494</v>
      </c>
      <c r="V957" s="11">
        <v>4</v>
      </c>
      <c r="W957" t="str">
        <f>IF(Table1[[#This Row],[Satisfaction Rating]]&lt;2, "Low", IF(Table1[[#This Row],[Satisfaction Rating]]&lt;4, "Medium", "High"))</f>
        <v>High</v>
      </c>
    </row>
    <row r="958" spans="1:23" ht="13" x14ac:dyDescent="0.15">
      <c r="A958" s="2" t="s">
        <v>1937</v>
      </c>
      <c r="B958" s="23">
        <v>45073.839629629627</v>
      </c>
      <c r="C958" s="23">
        <v>45622.636793981481</v>
      </c>
      <c r="D958" s="23" t="str">
        <f>IF(Table1[[#This Row],[Duration of Campaign]]=0, "Ongoing","Completed")</f>
        <v>Completed</v>
      </c>
      <c r="E958" s="25">
        <f>Table1[[#This Row],[End Date]]-Table1[[#This Row],[Start Date]]</f>
        <v>548.79716435185401</v>
      </c>
      <c r="F958" s="8">
        <v>9428</v>
      </c>
      <c r="G958" s="21" t="s">
        <v>14</v>
      </c>
      <c r="H958" s="11">
        <v>18253</v>
      </c>
      <c r="I958" s="11">
        <v>339</v>
      </c>
      <c r="J958" s="11">
        <v>165</v>
      </c>
      <c r="K958" s="13">
        <v>1781</v>
      </c>
      <c r="L958" s="16">
        <f t="shared" si="84"/>
        <v>1.8572289486659729E-2</v>
      </c>
      <c r="M958" s="16">
        <f t="shared" si="85"/>
        <v>0.48672566371681414</v>
      </c>
      <c r="N958" s="17">
        <f t="shared" si="86"/>
        <v>11.471976401179941</v>
      </c>
      <c r="O958" s="17">
        <f t="shared" si="87"/>
        <v>23.56969696969697</v>
      </c>
      <c r="P958" s="16">
        <f t="shared" si="88"/>
        <v>0.4124946966482817</v>
      </c>
      <c r="Q958" s="16">
        <f t="shared" si="89"/>
        <v>0.45795834404731295</v>
      </c>
      <c r="R958" s="2" t="s">
        <v>1938</v>
      </c>
      <c r="S958" s="21" t="s">
        <v>21</v>
      </c>
      <c r="T958" s="21" t="s">
        <v>45</v>
      </c>
      <c r="U958" s="8">
        <v>3889</v>
      </c>
      <c r="V958" s="11">
        <v>3</v>
      </c>
      <c r="W958" t="str">
        <f>IF(Table1[[#This Row],[Satisfaction Rating]]&lt;2, "Low", IF(Table1[[#This Row],[Satisfaction Rating]]&lt;4, "Medium", "High"))</f>
        <v>Medium</v>
      </c>
    </row>
    <row r="959" spans="1:23" ht="13" x14ac:dyDescent="0.15">
      <c r="A959" s="2" t="s">
        <v>1939</v>
      </c>
      <c r="B959" s="23">
        <v>45572.703935185185</v>
      </c>
      <c r="C959" s="23">
        <v>45572.703935185185</v>
      </c>
      <c r="D959" s="23" t="str">
        <f>IF(Table1[[#This Row],[Duration of Campaign]]=0, "Ongoing","Completed")</f>
        <v>Ongoing</v>
      </c>
      <c r="E959" s="25">
        <f>Table1[[#This Row],[End Date]]-Table1[[#This Row],[Start Date]]</f>
        <v>0</v>
      </c>
      <c r="F959" s="8">
        <v>9029</v>
      </c>
      <c r="G959" s="21" t="s">
        <v>53</v>
      </c>
      <c r="H959" s="11">
        <v>16954</v>
      </c>
      <c r="I959" s="11">
        <v>1092</v>
      </c>
      <c r="J959" s="11">
        <v>428</v>
      </c>
      <c r="K959" s="13">
        <v>5437</v>
      </c>
      <c r="L959" s="16">
        <f t="shared" si="84"/>
        <v>6.4409578860445918E-2</v>
      </c>
      <c r="M959" s="16">
        <f t="shared" si="85"/>
        <v>0.39194139194139194</v>
      </c>
      <c r="N959" s="17">
        <f t="shared" si="86"/>
        <v>3.5119047619047619</v>
      </c>
      <c r="O959" s="17">
        <f t="shared" si="87"/>
        <v>8.9602803738317753</v>
      </c>
      <c r="P959" s="16">
        <f t="shared" si="88"/>
        <v>0.42474249640048733</v>
      </c>
      <c r="Q959" s="16">
        <f t="shared" si="89"/>
        <v>1.4177314211212517</v>
      </c>
      <c r="R959" s="2" t="s">
        <v>1940</v>
      </c>
      <c r="S959" s="21" t="s">
        <v>30</v>
      </c>
      <c r="T959" s="21" t="s">
        <v>17</v>
      </c>
      <c r="U959" s="8">
        <v>3835</v>
      </c>
      <c r="V959" s="11">
        <v>2</v>
      </c>
      <c r="W959" t="str">
        <f>IF(Table1[[#This Row],[Satisfaction Rating]]&lt;2, "Low", IF(Table1[[#This Row],[Satisfaction Rating]]&lt;4, "Medium", "High"))</f>
        <v>Medium</v>
      </c>
    </row>
    <row r="960" spans="1:23" ht="13" x14ac:dyDescent="0.15">
      <c r="A960" s="2" t="s">
        <v>1941</v>
      </c>
      <c r="B960" s="23">
        <v>45117.001099537039</v>
      </c>
      <c r="C960" s="23">
        <v>45250.821944444448</v>
      </c>
      <c r="D960" s="23" t="str">
        <f>IF(Table1[[#This Row],[Duration of Campaign]]=0, "Ongoing","Completed")</f>
        <v>Completed</v>
      </c>
      <c r="E960" s="25">
        <f>Table1[[#This Row],[End Date]]-Table1[[#This Row],[Start Date]]</f>
        <v>133.82084490740817</v>
      </c>
      <c r="F960" s="8">
        <v>3712</v>
      </c>
      <c r="G960" s="21" t="s">
        <v>14</v>
      </c>
      <c r="H960" s="11">
        <v>8689</v>
      </c>
      <c r="I960" s="11">
        <v>1860</v>
      </c>
      <c r="J960" s="11">
        <v>144</v>
      </c>
      <c r="K960" s="13">
        <v>5809</v>
      </c>
      <c r="L960" s="16">
        <f t="shared" si="84"/>
        <v>0.21406375877546324</v>
      </c>
      <c r="M960" s="16">
        <f t="shared" si="85"/>
        <v>7.7419354838709681E-2</v>
      </c>
      <c r="N960" s="17">
        <f t="shared" si="86"/>
        <v>8.8349462365591389</v>
      </c>
      <c r="O960" s="17">
        <f t="shared" si="87"/>
        <v>114.11805555555556</v>
      </c>
      <c r="P960" s="16">
        <f t="shared" si="88"/>
        <v>4.4269935344827589</v>
      </c>
      <c r="Q960" s="16">
        <f t="shared" si="89"/>
        <v>0.35349601411793341</v>
      </c>
      <c r="R960" s="2" t="s">
        <v>1942</v>
      </c>
      <c r="S960" s="21" t="s">
        <v>30</v>
      </c>
      <c r="T960" s="21" t="s">
        <v>17</v>
      </c>
      <c r="U960" s="8">
        <v>16433</v>
      </c>
      <c r="V960" s="11">
        <v>4</v>
      </c>
      <c r="W960" t="str">
        <f>IF(Table1[[#This Row],[Satisfaction Rating]]&lt;2, "Low", IF(Table1[[#This Row],[Satisfaction Rating]]&lt;4, "Medium", "High"))</f>
        <v>High</v>
      </c>
    </row>
    <row r="961" spans="1:23" ht="13" x14ac:dyDescent="0.15">
      <c r="A961" s="2" t="s">
        <v>1943</v>
      </c>
      <c r="B961" s="23">
        <v>45010.754629629628</v>
      </c>
      <c r="C961" s="23">
        <v>45089.249664351853</v>
      </c>
      <c r="D961" s="23" t="str">
        <f>IF(Table1[[#This Row],[Duration of Campaign]]=0, "Ongoing","Completed")</f>
        <v>Completed</v>
      </c>
      <c r="E961" s="25">
        <f>Table1[[#This Row],[End Date]]-Table1[[#This Row],[Start Date]]</f>
        <v>78.495034722225682</v>
      </c>
      <c r="F961" s="8">
        <v>7784</v>
      </c>
      <c r="G961" s="21" t="s">
        <v>37</v>
      </c>
      <c r="H961" s="11">
        <v>3057</v>
      </c>
      <c r="I961" s="11">
        <v>231</v>
      </c>
      <c r="J961" s="11">
        <v>259</v>
      </c>
      <c r="K961" s="13">
        <v>2025</v>
      </c>
      <c r="L961" s="16">
        <f t="shared" si="84"/>
        <v>7.5564278704612367E-2</v>
      </c>
      <c r="M961" s="16">
        <f t="shared" si="85"/>
        <v>1.1212121212121211</v>
      </c>
      <c r="N961" s="17">
        <f t="shared" si="86"/>
        <v>44.445887445887443</v>
      </c>
      <c r="O961" s="17">
        <f t="shared" si="87"/>
        <v>39.640926640926644</v>
      </c>
      <c r="P961" s="16">
        <f t="shared" si="88"/>
        <v>1.3189876670092497</v>
      </c>
      <c r="Q961" s="16">
        <f t="shared" si="89"/>
        <v>0.19723385604363494</v>
      </c>
      <c r="R961" s="2" t="s">
        <v>1944</v>
      </c>
      <c r="S961" s="21" t="s">
        <v>16</v>
      </c>
      <c r="T961" s="21" t="s">
        <v>17</v>
      </c>
      <c r="U961" s="8">
        <v>10267</v>
      </c>
      <c r="V961" s="11">
        <v>4</v>
      </c>
      <c r="W961" t="str">
        <f>IF(Table1[[#This Row],[Satisfaction Rating]]&lt;2, "Low", IF(Table1[[#This Row],[Satisfaction Rating]]&lt;4, "Medium", "High"))</f>
        <v>High</v>
      </c>
    </row>
    <row r="962" spans="1:23" ht="13" x14ac:dyDescent="0.15">
      <c r="A962" s="2" t="s">
        <v>1945</v>
      </c>
      <c r="B962" s="23">
        <v>45656.436620370368</v>
      </c>
      <c r="C962" s="23">
        <v>45656.436620370368</v>
      </c>
      <c r="D962" s="23" t="str">
        <f>IF(Table1[[#This Row],[Duration of Campaign]]=0, "Ongoing","Completed")</f>
        <v>Ongoing</v>
      </c>
      <c r="E962" s="25">
        <f>Table1[[#This Row],[End Date]]-Table1[[#This Row],[Start Date]]</f>
        <v>0</v>
      </c>
      <c r="F962" s="8">
        <v>8653</v>
      </c>
      <c r="G962" s="21" t="s">
        <v>53</v>
      </c>
      <c r="H962" s="11">
        <v>10851</v>
      </c>
      <c r="I962" s="11">
        <v>1122</v>
      </c>
      <c r="J962" s="11">
        <v>313</v>
      </c>
      <c r="K962" s="13">
        <v>9579</v>
      </c>
      <c r="L962" s="16">
        <f t="shared" si="84"/>
        <v>0.103400608238872</v>
      </c>
      <c r="M962" s="16">
        <f t="shared" si="85"/>
        <v>0.2789661319073084</v>
      </c>
      <c r="N962" s="17">
        <f t="shared" si="86"/>
        <v>13.729055258467023</v>
      </c>
      <c r="O962" s="17">
        <f t="shared" si="87"/>
        <v>49.214057507987221</v>
      </c>
      <c r="P962" s="16">
        <f t="shared" si="88"/>
        <v>1.7801918409800068</v>
      </c>
      <c r="Q962" s="16">
        <f t="shared" si="89"/>
        <v>0.62185146715138928</v>
      </c>
      <c r="R962" s="2" t="s">
        <v>1946</v>
      </c>
      <c r="S962" s="21" t="s">
        <v>16</v>
      </c>
      <c r="T962" s="21" t="s">
        <v>45</v>
      </c>
      <c r="U962" s="8">
        <v>15404</v>
      </c>
      <c r="V962" s="11">
        <v>3</v>
      </c>
      <c r="W962" t="str">
        <f>IF(Table1[[#This Row],[Satisfaction Rating]]&lt;2, "Low", IF(Table1[[#This Row],[Satisfaction Rating]]&lt;4, "Medium", "High"))</f>
        <v>Medium</v>
      </c>
    </row>
    <row r="963" spans="1:23" ht="13" x14ac:dyDescent="0.15">
      <c r="A963" s="2" t="s">
        <v>1947</v>
      </c>
      <c r="B963" s="23">
        <v>45398.46398148148</v>
      </c>
      <c r="C963" s="23">
        <v>45398.46398148148</v>
      </c>
      <c r="D963" s="23" t="str">
        <f>IF(Table1[[#This Row],[Duration of Campaign]]=0, "Ongoing","Completed")</f>
        <v>Ongoing</v>
      </c>
      <c r="E963" s="25">
        <f>Table1[[#This Row],[End Date]]-Table1[[#This Row],[Start Date]]</f>
        <v>0</v>
      </c>
      <c r="F963" s="8">
        <v>7856</v>
      </c>
      <c r="G963" s="21" t="s">
        <v>37</v>
      </c>
      <c r="H963" s="11">
        <v>3259</v>
      </c>
      <c r="I963" s="11">
        <v>675</v>
      </c>
      <c r="J963" s="11">
        <v>103</v>
      </c>
      <c r="K963" s="13">
        <v>7741</v>
      </c>
      <c r="L963" s="16">
        <f t="shared" ref="L963:L1001" si="90">I963/H963</f>
        <v>0.20711874808223382</v>
      </c>
      <c r="M963" s="16">
        <f t="shared" ref="M963:M1001" si="91">J963/I963</f>
        <v>0.15259259259259259</v>
      </c>
      <c r="N963" s="17">
        <f t="shared" ref="N963:N1001" si="92">U963/I963</f>
        <v>19.746666666666666</v>
      </c>
      <c r="O963" s="17">
        <f t="shared" ref="O963:O1001" si="93">U963/J963</f>
        <v>129.40776699029126</v>
      </c>
      <c r="P963" s="16">
        <f t="shared" ref="P963:P1001" si="94">U963/F963</f>
        <v>1.6966649694501019</v>
      </c>
      <c r="Q963" s="16">
        <f t="shared" ref="Q963:Q1001" si="95">K963/U963</f>
        <v>0.58076374821817089</v>
      </c>
      <c r="R963" s="2" t="s">
        <v>1948</v>
      </c>
      <c r="S963" s="21" t="s">
        <v>35</v>
      </c>
      <c r="T963" s="21" t="s">
        <v>27</v>
      </c>
      <c r="U963" s="8">
        <v>13329</v>
      </c>
      <c r="V963" s="11">
        <v>5</v>
      </c>
      <c r="W963" t="str">
        <f>IF(Table1[[#This Row],[Satisfaction Rating]]&lt;2, "Low", IF(Table1[[#This Row],[Satisfaction Rating]]&lt;4, "Medium", "High"))</f>
        <v>High</v>
      </c>
    </row>
    <row r="964" spans="1:23" ht="13" x14ac:dyDescent="0.15">
      <c r="A964" s="2" t="s">
        <v>1949</v>
      </c>
      <c r="B964" s="23">
        <v>45566.913495370369</v>
      </c>
      <c r="C964" s="23">
        <v>45566.913495370369</v>
      </c>
      <c r="D964" s="23" t="str">
        <f>IF(Table1[[#This Row],[Duration of Campaign]]=0, "Ongoing","Completed")</f>
        <v>Ongoing</v>
      </c>
      <c r="E964" s="25">
        <f>Table1[[#This Row],[End Date]]-Table1[[#This Row],[Start Date]]</f>
        <v>0</v>
      </c>
      <c r="F964" s="8">
        <v>2220</v>
      </c>
      <c r="G964" s="21" t="s">
        <v>14</v>
      </c>
      <c r="H964" s="11">
        <v>1223</v>
      </c>
      <c r="I964" s="11">
        <v>798</v>
      </c>
      <c r="J964" s="11">
        <v>460</v>
      </c>
      <c r="K964" s="13">
        <v>7373</v>
      </c>
      <c r="L964" s="16">
        <f t="shared" si="90"/>
        <v>0.65249386753883887</v>
      </c>
      <c r="M964" s="16">
        <f t="shared" si="91"/>
        <v>0.5764411027568922</v>
      </c>
      <c r="N964" s="17">
        <f t="shared" si="92"/>
        <v>23.283208020050125</v>
      </c>
      <c r="O964" s="17">
        <f t="shared" si="93"/>
        <v>40.391304347826086</v>
      </c>
      <c r="P964" s="16">
        <f t="shared" si="94"/>
        <v>8.3693693693693696</v>
      </c>
      <c r="Q964" s="16">
        <f t="shared" si="95"/>
        <v>0.39682454251883748</v>
      </c>
      <c r="R964" s="2" t="s">
        <v>1950</v>
      </c>
      <c r="S964" s="21" t="s">
        <v>16</v>
      </c>
      <c r="T964" s="21" t="s">
        <v>45</v>
      </c>
      <c r="U964" s="8">
        <v>18580</v>
      </c>
      <c r="V964" s="11">
        <v>1</v>
      </c>
      <c r="W964" t="str">
        <f>IF(Table1[[#This Row],[Satisfaction Rating]]&lt;2, "Low", IF(Table1[[#This Row],[Satisfaction Rating]]&lt;4, "Medium", "High"))</f>
        <v>Low</v>
      </c>
    </row>
    <row r="965" spans="1:23" ht="13" x14ac:dyDescent="0.15">
      <c r="A965" s="2" t="s">
        <v>1951</v>
      </c>
      <c r="B965" s="23">
        <v>45018.536666666667</v>
      </c>
      <c r="C965" s="23">
        <v>45421.23709490741</v>
      </c>
      <c r="D965" s="23" t="str">
        <f>IF(Table1[[#This Row],[Duration of Campaign]]=0, "Ongoing","Completed")</f>
        <v>Completed</v>
      </c>
      <c r="E965" s="25">
        <f>Table1[[#This Row],[End Date]]-Table1[[#This Row],[Start Date]]</f>
        <v>402.70042824074335</v>
      </c>
      <c r="F965" s="8">
        <v>2785</v>
      </c>
      <c r="G965" s="21" t="s">
        <v>19</v>
      </c>
      <c r="H965" s="11">
        <v>16400</v>
      </c>
      <c r="I965" s="11">
        <v>386</v>
      </c>
      <c r="J965" s="11">
        <v>314</v>
      </c>
      <c r="K965" s="13">
        <v>3193</v>
      </c>
      <c r="L965" s="16">
        <f t="shared" si="90"/>
        <v>2.3536585365853659E-2</v>
      </c>
      <c r="M965" s="16">
        <f t="shared" si="91"/>
        <v>0.81347150259067358</v>
      </c>
      <c r="N965" s="17">
        <f t="shared" si="92"/>
        <v>22.357512953367877</v>
      </c>
      <c r="O965" s="17">
        <f t="shared" si="93"/>
        <v>27.484076433121018</v>
      </c>
      <c r="P965" s="16">
        <f t="shared" si="94"/>
        <v>3.0987432675044881</v>
      </c>
      <c r="Q965" s="16">
        <f t="shared" si="95"/>
        <v>0.36998841251448433</v>
      </c>
      <c r="R965" s="2" t="s">
        <v>1952</v>
      </c>
      <c r="S965" s="21" t="s">
        <v>24</v>
      </c>
      <c r="T965" s="21" t="s">
        <v>45</v>
      </c>
      <c r="U965" s="8">
        <v>8630</v>
      </c>
      <c r="V965" s="11">
        <v>1</v>
      </c>
      <c r="W965" t="str">
        <f>IF(Table1[[#This Row],[Satisfaction Rating]]&lt;2, "Low", IF(Table1[[#This Row],[Satisfaction Rating]]&lt;4, "Medium", "High"))</f>
        <v>Low</v>
      </c>
    </row>
    <row r="966" spans="1:23" ht="13" x14ac:dyDescent="0.15">
      <c r="A966" s="2" t="s">
        <v>1953</v>
      </c>
      <c r="B966" s="23">
        <v>45562.538807870369</v>
      </c>
      <c r="C966" s="23">
        <v>45562.538807870369</v>
      </c>
      <c r="D966" s="23" t="str">
        <f>IF(Table1[[#This Row],[Duration of Campaign]]=0, "Ongoing","Completed")</f>
        <v>Ongoing</v>
      </c>
      <c r="E966" s="25">
        <f>Table1[[#This Row],[End Date]]-Table1[[#This Row],[Start Date]]</f>
        <v>0</v>
      </c>
      <c r="F966" s="8">
        <v>6131</v>
      </c>
      <c r="G966" s="21" t="s">
        <v>19</v>
      </c>
      <c r="H966" s="11">
        <v>1834</v>
      </c>
      <c r="I966" s="11">
        <v>1564</v>
      </c>
      <c r="J966" s="11">
        <v>388</v>
      </c>
      <c r="K966" s="13">
        <v>2972</v>
      </c>
      <c r="L966" s="16">
        <f t="shared" si="90"/>
        <v>0.85278080697928027</v>
      </c>
      <c r="M966" s="16">
        <f t="shared" si="91"/>
        <v>0.24808184143222506</v>
      </c>
      <c r="N966" s="17">
        <f t="shared" si="92"/>
        <v>6.3011508951406654</v>
      </c>
      <c r="O966" s="17">
        <f t="shared" si="93"/>
        <v>25.399484536082475</v>
      </c>
      <c r="P966" s="16">
        <f t="shared" si="94"/>
        <v>1.6074049910291959</v>
      </c>
      <c r="Q966" s="16">
        <f t="shared" si="95"/>
        <v>0.30157280568239475</v>
      </c>
      <c r="R966" s="2" t="s">
        <v>1954</v>
      </c>
      <c r="S966" s="21" t="s">
        <v>21</v>
      </c>
      <c r="T966" s="21" t="s">
        <v>17</v>
      </c>
      <c r="U966" s="8">
        <v>9855</v>
      </c>
      <c r="V966" s="11">
        <v>3</v>
      </c>
      <c r="W966" t="str">
        <f>IF(Table1[[#This Row],[Satisfaction Rating]]&lt;2, "Low", IF(Table1[[#This Row],[Satisfaction Rating]]&lt;4, "Medium", "High"))</f>
        <v>Medium</v>
      </c>
    </row>
    <row r="967" spans="1:23" ht="13" x14ac:dyDescent="0.15">
      <c r="A967" s="2" t="s">
        <v>1955</v>
      </c>
      <c r="B967" s="23">
        <v>45094.62740740741</v>
      </c>
      <c r="C967" s="23">
        <v>45094.62740740741</v>
      </c>
      <c r="D967" s="23" t="str">
        <f>IF(Table1[[#This Row],[Duration of Campaign]]=0, "Ongoing","Completed")</f>
        <v>Ongoing</v>
      </c>
      <c r="E967" s="25">
        <f>Table1[[#This Row],[End Date]]-Table1[[#This Row],[Start Date]]</f>
        <v>0</v>
      </c>
      <c r="F967" s="8">
        <v>4433</v>
      </c>
      <c r="G967" s="21" t="s">
        <v>14</v>
      </c>
      <c r="H967" s="11">
        <v>15587</v>
      </c>
      <c r="I967" s="11">
        <v>1650</v>
      </c>
      <c r="J967" s="11">
        <v>485</v>
      </c>
      <c r="K967" s="13">
        <v>5928</v>
      </c>
      <c r="L967" s="16">
        <f t="shared" si="90"/>
        <v>0.1058574453069866</v>
      </c>
      <c r="M967" s="16">
        <f t="shared" si="91"/>
        <v>0.29393939393939394</v>
      </c>
      <c r="N967" s="17">
        <f t="shared" si="92"/>
        <v>2.978787878787879</v>
      </c>
      <c r="O967" s="17">
        <f t="shared" si="93"/>
        <v>10.134020618556701</v>
      </c>
      <c r="P967" s="16">
        <f t="shared" si="94"/>
        <v>1.1087299796977217</v>
      </c>
      <c r="Q967" s="16">
        <f t="shared" si="95"/>
        <v>1.2061037639877925</v>
      </c>
      <c r="R967" s="2" t="s">
        <v>1956</v>
      </c>
      <c r="S967" s="21" t="s">
        <v>21</v>
      </c>
      <c r="T967" s="21" t="s">
        <v>45</v>
      </c>
      <c r="U967" s="8">
        <v>4915</v>
      </c>
      <c r="V967" s="11">
        <v>2</v>
      </c>
      <c r="W967" t="str">
        <f>IF(Table1[[#This Row],[Satisfaction Rating]]&lt;2, "Low", IF(Table1[[#This Row],[Satisfaction Rating]]&lt;4, "Medium", "High"))</f>
        <v>Medium</v>
      </c>
    </row>
    <row r="968" spans="1:23" ht="13" x14ac:dyDescent="0.15">
      <c r="A968" s="2" t="s">
        <v>1957</v>
      </c>
      <c r="B968" s="23">
        <v>45338.609733796293</v>
      </c>
      <c r="C968" s="23">
        <v>45342.539756944447</v>
      </c>
      <c r="D968" s="23" t="str">
        <f>IF(Table1[[#This Row],[Duration of Campaign]]=0, "Ongoing","Completed")</f>
        <v>Completed</v>
      </c>
      <c r="E968" s="25">
        <f>Table1[[#This Row],[End Date]]-Table1[[#This Row],[Start Date]]</f>
        <v>3.9300231481538503</v>
      </c>
      <c r="F968" s="8">
        <v>7773</v>
      </c>
      <c r="G968" s="21" t="s">
        <v>53</v>
      </c>
      <c r="H968" s="11">
        <v>6610</v>
      </c>
      <c r="I968" s="11">
        <v>307</v>
      </c>
      <c r="J968" s="11">
        <v>448</v>
      </c>
      <c r="K968" s="13">
        <v>10970</v>
      </c>
      <c r="L968" s="16">
        <f t="shared" si="90"/>
        <v>4.644478063540091E-2</v>
      </c>
      <c r="M968" s="16">
        <f t="shared" si="91"/>
        <v>1.4592833876221498</v>
      </c>
      <c r="N968" s="17">
        <f t="shared" si="92"/>
        <v>50.140065146579808</v>
      </c>
      <c r="O968" s="17">
        <f t="shared" si="93"/>
        <v>34.359375</v>
      </c>
      <c r="P968" s="16">
        <f t="shared" si="94"/>
        <v>1.9803164801235045</v>
      </c>
      <c r="Q968" s="16">
        <f t="shared" si="95"/>
        <v>0.71266159942831153</v>
      </c>
      <c r="R968" s="2" t="s">
        <v>1958</v>
      </c>
      <c r="S968" s="21" t="s">
        <v>35</v>
      </c>
      <c r="T968" s="21" t="s">
        <v>17</v>
      </c>
      <c r="U968" s="8">
        <v>15393</v>
      </c>
      <c r="V968" s="11">
        <v>2</v>
      </c>
      <c r="W968" t="str">
        <f>IF(Table1[[#This Row],[Satisfaction Rating]]&lt;2, "Low", IF(Table1[[#This Row],[Satisfaction Rating]]&lt;4, "Medium", "High"))</f>
        <v>Medium</v>
      </c>
    </row>
    <row r="969" spans="1:23" ht="13" x14ac:dyDescent="0.15">
      <c r="A969" s="2" t="s">
        <v>1959</v>
      </c>
      <c r="B969" s="23">
        <v>45460.054583333331</v>
      </c>
      <c r="C969" s="23">
        <v>45600.84611111111</v>
      </c>
      <c r="D969" s="23" t="str">
        <f>IF(Table1[[#This Row],[Duration of Campaign]]=0, "Ongoing","Completed")</f>
        <v>Completed</v>
      </c>
      <c r="E969" s="25">
        <f>Table1[[#This Row],[End Date]]-Table1[[#This Row],[Start Date]]</f>
        <v>140.79152777777927</v>
      </c>
      <c r="F969" s="8">
        <v>5301</v>
      </c>
      <c r="G969" s="21" t="s">
        <v>14</v>
      </c>
      <c r="H969" s="11">
        <v>2558</v>
      </c>
      <c r="I969" s="11">
        <v>954</v>
      </c>
      <c r="J969" s="11">
        <v>439</v>
      </c>
      <c r="K969" s="13">
        <v>14084</v>
      </c>
      <c r="L969" s="16">
        <f t="shared" si="90"/>
        <v>0.37294761532447224</v>
      </c>
      <c r="M969" s="16">
        <f t="shared" si="91"/>
        <v>0.46016771488469604</v>
      </c>
      <c r="N969" s="17">
        <f t="shared" si="92"/>
        <v>19.789308176100629</v>
      </c>
      <c r="O969" s="17">
        <f t="shared" si="93"/>
        <v>43.004555808656036</v>
      </c>
      <c r="P969" s="16">
        <f t="shared" si="94"/>
        <v>3.5614035087719298</v>
      </c>
      <c r="Q969" s="16">
        <f t="shared" si="95"/>
        <v>0.74601408972932892</v>
      </c>
      <c r="R969" s="2" t="s">
        <v>1960</v>
      </c>
      <c r="S969" s="21" t="s">
        <v>30</v>
      </c>
      <c r="T969" s="21" t="s">
        <v>17</v>
      </c>
      <c r="U969" s="8">
        <v>18879</v>
      </c>
      <c r="V969" s="11">
        <v>1</v>
      </c>
      <c r="W969" t="str">
        <f>IF(Table1[[#This Row],[Satisfaction Rating]]&lt;2, "Low", IF(Table1[[#This Row],[Satisfaction Rating]]&lt;4, "Medium", "High"))</f>
        <v>Low</v>
      </c>
    </row>
    <row r="970" spans="1:23" ht="13" x14ac:dyDescent="0.15">
      <c r="A970" s="2" t="s">
        <v>1961</v>
      </c>
      <c r="B970" s="23">
        <v>45164.243506944447</v>
      </c>
      <c r="C970" s="23">
        <v>45182.723657407405</v>
      </c>
      <c r="D970" s="23" t="str">
        <f>IF(Table1[[#This Row],[Duration of Campaign]]=0, "Ongoing","Completed")</f>
        <v>Completed</v>
      </c>
      <c r="E970" s="25">
        <f>Table1[[#This Row],[End Date]]-Table1[[#This Row],[Start Date]]</f>
        <v>18.480150462957681</v>
      </c>
      <c r="F970" s="8">
        <v>7551</v>
      </c>
      <c r="G970" s="21" t="s">
        <v>14</v>
      </c>
      <c r="H970" s="11">
        <v>18571</v>
      </c>
      <c r="I970" s="11">
        <v>1866</v>
      </c>
      <c r="J970" s="11">
        <v>296</v>
      </c>
      <c r="K970" s="13">
        <v>7106</v>
      </c>
      <c r="L970" s="16">
        <f t="shared" si="90"/>
        <v>0.10047924182865758</v>
      </c>
      <c r="M970" s="16">
        <f t="shared" si="91"/>
        <v>0.15862808145766344</v>
      </c>
      <c r="N970" s="17">
        <f t="shared" si="92"/>
        <v>6.030010718113612</v>
      </c>
      <c r="O970" s="17">
        <f t="shared" si="93"/>
        <v>38.013513513513516</v>
      </c>
      <c r="P970" s="16">
        <f t="shared" si="94"/>
        <v>1.4901337571182625</v>
      </c>
      <c r="Q970" s="16">
        <f t="shared" si="95"/>
        <v>0.6315321720583007</v>
      </c>
      <c r="R970" s="2" t="s">
        <v>1962</v>
      </c>
      <c r="S970" s="21" t="s">
        <v>21</v>
      </c>
      <c r="T970" s="21" t="s">
        <v>27</v>
      </c>
      <c r="U970" s="8">
        <v>11252</v>
      </c>
      <c r="V970" s="11">
        <v>3</v>
      </c>
      <c r="W970" t="str">
        <f>IF(Table1[[#This Row],[Satisfaction Rating]]&lt;2, "Low", IF(Table1[[#This Row],[Satisfaction Rating]]&lt;4, "Medium", "High"))</f>
        <v>Medium</v>
      </c>
    </row>
    <row r="971" spans="1:23" ht="13" x14ac:dyDescent="0.15">
      <c r="A971" s="2" t="s">
        <v>1963</v>
      </c>
      <c r="B971" s="23">
        <v>45305.628703703704</v>
      </c>
      <c r="C971" s="23">
        <v>45305.628703703704</v>
      </c>
      <c r="D971" s="23" t="str">
        <f>IF(Table1[[#This Row],[Duration of Campaign]]=0, "Ongoing","Completed")</f>
        <v>Ongoing</v>
      </c>
      <c r="E971" s="25">
        <f>Table1[[#This Row],[End Date]]-Table1[[#This Row],[Start Date]]</f>
        <v>0</v>
      </c>
      <c r="F971" s="8">
        <v>9125</v>
      </c>
      <c r="G971" s="21" t="s">
        <v>19</v>
      </c>
      <c r="H971" s="11">
        <v>13787</v>
      </c>
      <c r="I971" s="11">
        <v>850</v>
      </c>
      <c r="J971" s="11">
        <v>455</v>
      </c>
      <c r="K971" s="13">
        <v>741</v>
      </c>
      <c r="L971" s="16">
        <f t="shared" si="90"/>
        <v>6.1652281134401972E-2</v>
      </c>
      <c r="M971" s="16">
        <f t="shared" si="91"/>
        <v>0.53529411764705881</v>
      </c>
      <c r="N971" s="17">
        <f t="shared" si="92"/>
        <v>19.182352941176472</v>
      </c>
      <c r="O971" s="17">
        <f t="shared" si="93"/>
        <v>35.835164835164832</v>
      </c>
      <c r="P971" s="16">
        <f t="shared" si="94"/>
        <v>1.7868493150684932</v>
      </c>
      <c r="Q971" s="16">
        <f t="shared" si="95"/>
        <v>4.5446182152713892E-2</v>
      </c>
      <c r="R971" s="2" t="s">
        <v>1964</v>
      </c>
      <c r="S971" s="21" t="s">
        <v>30</v>
      </c>
      <c r="T971" s="21" t="s">
        <v>17</v>
      </c>
      <c r="U971" s="8">
        <v>16305</v>
      </c>
      <c r="V971" s="11">
        <v>4</v>
      </c>
      <c r="W971" t="str">
        <f>IF(Table1[[#This Row],[Satisfaction Rating]]&lt;2, "Low", IF(Table1[[#This Row],[Satisfaction Rating]]&lt;4, "Medium", "High"))</f>
        <v>High</v>
      </c>
    </row>
    <row r="972" spans="1:23" ht="13" x14ac:dyDescent="0.15">
      <c r="A972" s="2" t="s">
        <v>1965</v>
      </c>
      <c r="B972" s="23">
        <v>45009.207754629628</v>
      </c>
      <c r="C972" s="23">
        <v>45619.110312500001</v>
      </c>
      <c r="D972" s="23" t="str">
        <f>IF(Table1[[#This Row],[Duration of Campaign]]=0, "Ongoing","Completed")</f>
        <v>Completed</v>
      </c>
      <c r="E972" s="25">
        <f>Table1[[#This Row],[End Date]]-Table1[[#This Row],[Start Date]]</f>
        <v>609.90255787037313</v>
      </c>
      <c r="F972" s="8">
        <v>6973</v>
      </c>
      <c r="G972" s="21" t="s">
        <v>14</v>
      </c>
      <c r="H972" s="11">
        <v>4342</v>
      </c>
      <c r="I972" s="11">
        <v>103</v>
      </c>
      <c r="J972" s="11">
        <v>114</v>
      </c>
      <c r="K972" s="13">
        <v>8729</v>
      </c>
      <c r="L972" s="16">
        <f t="shared" si="90"/>
        <v>2.3721787194841085E-2</v>
      </c>
      <c r="M972" s="16">
        <f t="shared" si="91"/>
        <v>1.1067961165048543</v>
      </c>
      <c r="N972" s="17">
        <f t="shared" si="92"/>
        <v>144.20388349514562</v>
      </c>
      <c r="O972" s="17">
        <f t="shared" si="93"/>
        <v>130.28947368421052</v>
      </c>
      <c r="P972" s="16">
        <f t="shared" si="94"/>
        <v>2.1300731392513983</v>
      </c>
      <c r="Q972" s="16">
        <f t="shared" si="95"/>
        <v>0.58769272200902178</v>
      </c>
      <c r="R972" s="2" t="s">
        <v>1966</v>
      </c>
      <c r="S972" s="21" t="s">
        <v>30</v>
      </c>
      <c r="T972" s="21" t="s">
        <v>45</v>
      </c>
      <c r="U972" s="8">
        <v>14853</v>
      </c>
      <c r="V972" s="11">
        <v>2</v>
      </c>
      <c r="W972" t="str">
        <f>IF(Table1[[#This Row],[Satisfaction Rating]]&lt;2, "Low", IF(Table1[[#This Row],[Satisfaction Rating]]&lt;4, "Medium", "High"))</f>
        <v>Medium</v>
      </c>
    </row>
    <row r="973" spans="1:23" ht="13" x14ac:dyDescent="0.15">
      <c r="A973" s="2" t="s">
        <v>1967</v>
      </c>
      <c r="B973" s="23">
        <v>45054.087280092594</v>
      </c>
      <c r="C973" s="23">
        <v>45230.695335648146</v>
      </c>
      <c r="D973" s="23" t="str">
        <f>IF(Table1[[#This Row],[Duration of Campaign]]=0, "Ongoing","Completed")</f>
        <v>Completed</v>
      </c>
      <c r="E973" s="25">
        <f>Table1[[#This Row],[End Date]]-Table1[[#This Row],[Start Date]]</f>
        <v>176.60805555555271</v>
      </c>
      <c r="F973" s="8">
        <v>9983</v>
      </c>
      <c r="G973" s="21" t="s">
        <v>37</v>
      </c>
      <c r="H973" s="11">
        <v>13637</v>
      </c>
      <c r="I973" s="11">
        <v>360</v>
      </c>
      <c r="J973" s="11">
        <v>427</v>
      </c>
      <c r="K973" s="13">
        <v>10816</v>
      </c>
      <c r="L973" s="16">
        <f t="shared" si="90"/>
        <v>2.6398768057490651E-2</v>
      </c>
      <c r="M973" s="16">
        <f t="shared" si="91"/>
        <v>1.1861111111111111</v>
      </c>
      <c r="N973" s="17">
        <f t="shared" si="92"/>
        <v>23.866666666666667</v>
      </c>
      <c r="O973" s="17">
        <f t="shared" si="93"/>
        <v>20.121779859484779</v>
      </c>
      <c r="P973" s="16">
        <f t="shared" si="94"/>
        <v>0.8606631273164379</v>
      </c>
      <c r="Q973" s="16">
        <f t="shared" si="95"/>
        <v>1.2588454376163873</v>
      </c>
      <c r="R973" s="2" t="s">
        <v>1968</v>
      </c>
      <c r="S973" s="21" t="s">
        <v>21</v>
      </c>
      <c r="T973" s="21" t="s">
        <v>45</v>
      </c>
      <c r="U973" s="8">
        <v>8592</v>
      </c>
      <c r="V973" s="11">
        <v>4</v>
      </c>
      <c r="W973" t="str">
        <f>IF(Table1[[#This Row],[Satisfaction Rating]]&lt;2, "Low", IF(Table1[[#This Row],[Satisfaction Rating]]&lt;4, "Medium", "High"))</f>
        <v>High</v>
      </c>
    </row>
    <row r="974" spans="1:23" ht="13" x14ac:dyDescent="0.15">
      <c r="A974" s="2" t="s">
        <v>1969</v>
      </c>
      <c r="B974" s="23">
        <v>45023.98164351852</v>
      </c>
      <c r="C974" s="23">
        <v>45126.787569444445</v>
      </c>
      <c r="D974" s="23" t="str">
        <f>IF(Table1[[#This Row],[Duration of Campaign]]=0, "Ongoing","Completed")</f>
        <v>Completed</v>
      </c>
      <c r="E974" s="25">
        <f>Table1[[#This Row],[End Date]]-Table1[[#This Row],[Start Date]]</f>
        <v>102.80592592592438</v>
      </c>
      <c r="F974" s="8">
        <v>6547</v>
      </c>
      <c r="G974" s="21" t="s">
        <v>14</v>
      </c>
      <c r="H974" s="11">
        <v>5419</v>
      </c>
      <c r="I974" s="11">
        <v>413</v>
      </c>
      <c r="J974" s="11">
        <v>34</v>
      </c>
      <c r="K974" s="13">
        <v>3844</v>
      </c>
      <c r="L974" s="16">
        <f t="shared" si="90"/>
        <v>7.6213323491419085E-2</v>
      </c>
      <c r="M974" s="16">
        <f t="shared" si="91"/>
        <v>8.2324455205811137E-2</v>
      </c>
      <c r="N974" s="17">
        <f t="shared" si="92"/>
        <v>45.893462469733656</v>
      </c>
      <c r="O974" s="17">
        <f t="shared" si="93"/>
        <v>557.47058823529414</v>
      </c>
      <c r="P974" s="16">
        <f t="shared" si="94"/>
        <v>2.8950664426454864</v>
      </c>
      <c r="Q974" s="16">
        <f t="shared" si="95"/>
        <v>0.20280679539938798</v>
      </c>
      <c r="R974" s="2" t="s">
        <v>1970</v>
      </c>
      <c r="S974" s="21" t="s">
        <v>30</v>
      </c>
      <c r="T974" s="21" t="s">
        <v>27</v>
      </c>
      <c r="U974" s="8">
        <v>18954</v>
      </c>
      <c r="V974" s="11">
        <v>3</v>
      </c>
      <c r="W974" t="str">
        <f>IF(Table1[[#This Row],[Satisfaction Rating]]&lt;2, "Low", IF(Table1[[#This Row],[Satisfaction Rating]]&lt;4, "Medium", "High"))</f>
        <v>Medium</v>
      </c>
    </row>
    <row r="975" spans="1:23" ht="13" x14ac:dyDescent="0.15">
      <c r="A975" s="2" t="s">
        <v>1971</v>
      </c>
      <c r="B975" s="23">
        <v>45622.721087962964</v>
      </c>
      <c r="C975" s="23">
        <v>45622.721087962964</v>
      </c>
      <c r="D975" s="23" t="str">
        <f>IF(Table1[[#This Row],[Duration of Campaign]]=0, "Ongoing","Completed")</f>
        <v>Ongoing</v>
      </c>
      <c r="E975" s="25">
        <f>Table1[[#This Row],[End Date]]-Table1[[#This Row],[Start Date]]</f>
        <v>0</v>
      </c>
      <c r="F975" s="8">
        <v>3538</v>
      </c>
      <c r="G975" s="21" t="s">
        <v>14</v>
      </c>
      <c r="H975" s="11">
        <v>5433</v>
      </c>
      <c r="I975" s="11">
        <v>743</v>
      </c>
      <c r="J975" s="11">
        <v>304</v>
      </c>
      <c r="K975" s="13">
        <v>3424</v>
      </c>
      <c r="L975" s="16">
        <f t="shared" si="90"/>
        <v>0.13675685624884962</v>
      </c>
      <c r="M975" s="16">
        <f t="shared" si="91"/>
        <v>0.40915208613728127</v>
      </c>
      <c r="N975" s="17">
        <f t="shared" si="92"/>
        <v>22.646029609690444</v>
      </c>
      <c r="O975" s="17">
        <f t="shared" si="93"/>
        <v>55.348684210526315</v>
      </c>
      <c r="P975" s="16">
        <f t="shared" si="94"/>
        <v>4.7557942340305255</v>
      </c>
      <c r="Q975" s="16">
        <f t="shared" si="95"/>
        <v>0.2034945917033163</v>
      </c>
      <c r="R975" s="2" t="s">
        <v>1972</v>
      </c>
      <c r="S975" s="21" t="s">
        <v>30</v>
      </c>
      <c r="T975" s="21" t="s">
        <v>45</v>
      </c>
      <c r="U975" s="8">
        <v>16826</v>
      </c>
      <c r="V975" s="11">
        <v>1</v>
      </c>
      <c r="W975" t="str">
        <f>IF(Table1[[#This Row],[Satisfaction Rating]]&lt;2, "Low", IF(Table1[[#This Row],[Satisfaction Rating]]&lt;4, "Medium", "High"))</f>
        <v>Low</v>
      </c>
    </row>
    <row r="976" spans="1:23" ht="13" x14ac:dyDescent="0.15">
      <c r="A976" s="2" t="s">
        <v>1973</v>
      </c>
      <c r="B976" s="23">
        <v>45187.243344907409</v>
      </c>
      <c r="C976" s="23">
        <v>45332.441261574073</v>
      </c>
      <c r="D976" s="23" t="str">
        <f>IF(Table1[[#This Row],[Duration of Campaign]]=0, "Ongoing","Completed")</f>
        <v>Completed</v>
      </c>
      <c r="E976" s="25">
        <f>Table1[[#This Row],[End Date]]-Table1[[#This Row],[Start Date]]</f>
        <v>145.19791666666424</v>
      </c>
      <c r="F976" s="8">
        <v>5356</v>
      </c>
      <c r="G976" s="21" t="s">
        <v>19</v>
      </c>
      <c r="H976" s="11">
        <v>6493</v>
      </c>
      <c r="I976" s="11">
        <v>1072</v>
      </c>
      <c r="J976" s="11">
        <v>118</v>
      </c>
      <c r="K976" s="13">
        <v>3135</v>
      </c>
      <c r="L976" s="16">
        <f t="shared" si="90"/>
        <v>0.16510087786847374</v>
      </c>
      <c r="M976" s="16">
        <f t="shared" si="91"/>
        <v>0.11007462686567164</v>
      </c>
      <c r="N976" s="17">
        <f t="shared" si="92"/>
        <v>1.8320895522388059</v>
      </c>
      <c r="O976" s="17">
        <f t="shared" si="93"/>
        <v>16.64406779661017</v>
      </c>
      <c r="P976" s="16">
        <f t="shared" si="94"/>
        <v>0.36669156086631816</v>
      </c>
      <c r="Q976" s="16">
        <f t="shared" si="95"/>
        <v>1.5962321792260692</v>
      </c>
      <c r="R976" s="2" t="s">
        <v>1974</v>
      </c>
      <c r="S976" s="21" t="s">
        <v>24</v>
      </c>
      <c r="T976" s="21" t="s">
        <v>27</v>
      </c>
      <c r="U976" s="8">
        <v>1964</v>
      </c>
      <c r="V976" s="11">
        <v>1</v>
      </c>
      <c r="W976" t="str">
        <f>IF(Table1[[#This Row],[Satisfaction Rating]]&lt;2, "Low", IF(Table1[[#This Row],[Satisfaction Rating]]&lt;4, "Medium", "High"))</f>
        <v>Low</v>
      </c>
    </row>
    <row r="977" spans="1:23" ht="13" x14ac:dyDescent="0.15">
      <c r="A977" s="2" t="s">
        <v>1975</v>
      </c>
      <c r="B977" s="23">
        <v>45066.997442129628</v>
      </c>
      <c r="C977" s="23">
        <v>45066.997442129628</v>
      </c>
      <c r="D977" s="23" t="str">
        <f>IF(Table1[[#This Row],[Duration of Campaign]]=0, "Ongoing","Completed")</f>
        <v>Ongoing</v>
      </c>
      <c r="E977" s="25">
        <f>Table1[[#This Row],[End Date]]-Table1[[#This Row],[Start Date]]</f>
        <v>0</v>
      </c>
      <c r="F977" s="8">
        <v>1535</v>
      </c>
      <c r="G977" s="21" t="s">
        <v>37</v>
      </c>
      <c r="H977" s="11">
        <v>9871</v>
      </c>
      <c r="I977" s="11">
        <v>681</v>
      </c>
      <c r="J977" s="11">
        <v>431</v>
      </c>
      <c r="K977" s="13">
        <v>11832</v>
      </c>
      <c r="L977" s="16">
        <f t="shared" si="90"/>
        <v>6.8989970621011046E-2</v>
      </c>
      <c r="M977" s="16">
        <f t="shared" si="91"/>
        <v>0.63289280469897213</v>
      </c>
      <c r="N977" s="17">
        <f t="shared" si="92"/>
        <v>2.707782672540382</v>
      </c>
      <c r="O977" s="17">
        <f t="shared" si="93"/>
        <v>4.2784222737819029</v>
      </c>
      <c r="P977" s="16">
        <f t="shared" si="94"/>
        <v>1.2013029315960913</v>
      </c>
      <c r="Q977" s="16">
        <f t="shared" si="95"/>
        <v>6.4164859002169194</v>
      </c>
      <c r="R977" s="2" t="s">
        <v>1976</v>
      </c>
      <c r="S977" s="21" t="s">
        <v>16</v>
      </c>
      <c r="T977" s="21" t="s">
        <v>27</v>
      </c>
      <c r="U977" s="8">
        <v>1844</v>
      </c>
      <c r="V977" s="11">
        <v>1</v>
      </c>
      <c r="W977" t="str">
        <f>IF(Table1[[#This Row],[Satisfaction Rating]]&lt;2, "Low", IF(Table1[[#This Row],[Satisfaction Rating]]&lt;4, "Medium", "High"))</f>
        <v>Low</v>
      </c>
    </row>
    <row r="978" spans="1:23" ht="13" x14ac:dyDescent="0.15">
      <c r="A978" s="2" t="s">
        <v>1977</v>
      </c>
      <c r="B978" s="23">
        <v>45317.272083333337</v>
      </c>
      <c r="C978" s="23">
        <v>45511.294409722221</v>
      </c>
      <c r="D978" s="23" t="str">
        <f>IF(Table1[[#This Row],[Duration of Campaign]]=0, "Ongoing","Completed")</f>
        <v>Completed</v>
      </c>
      <c r="E978" s="25">
        <f>Table1[[#This Row],[End Date]]-Table1[[#This Row],[Start Date]]</f>
        <v>194.02232638888381</v>
      </c>
      <c r="F978" s="8">
        <v>3875</v>
      </c>
      <c r="G978" s="21" t="s">
        <v>14</v>
      </c>
      <c r="H978" s="11">
        <v>17034</v>
      </c>
      <c r="I978" s="11">
        <v>1793</v>
      </c>
      <c r="J978" s="11">
        <v>84</v>
      </c>
      <c r="K978" s="13">
        <v>7283</v>
      </c>
      <c r="L978" s="16">
        <f t="shared" si="90"/>
        <v>0.10526006809909592</v>
      </c>
      <c r="M978" s="16">
        <f t="shared" si="91"/>
        <v>4.6848856664807585E-2</v>
      </c>
      <c r="N978" s="17">
        <f t="shared" si="92"/>
        <v>2.5013943112102623</v>
      </c>
      <c r="O978" s="17">
        <f t="shared" si="93"/>
        <v>53.392857142857146</v>
      </c>
      <c r="P978" s="16">
        <f t="shared" si="94"/>
        <v>1.1574193548387097</v>
      </c>
      <c r="Q978" s="16">
        <f t="shared" si="95"/>
        <v>1.6238573021181717</v>
      </c>
      <c r="R978" s="2" t="s">
        <v>1978</v>
      </c>
      <c r="S978" s="21" t="s">
        <v>16</v>
      </c>
      <c r="T978" s="21" t="s">
        <v>17</v>
      </c>
      <c r="U978" s="8">
        <v>4485</v>
      </c>
      <c r="V978" s="11">
        <v>5</v>
      </c>
      <c r="W978" t="str">
        <f>IF(Table1[[#This Row],[Satisfaction Rating]]&lt;2, "Low", IF(Table1[[#This Row],[Satisfaction Rating]]&lt;4, "Medium", "High"))</f>
        <v>High</v>
      </c>
    </row>
    <row r="979" spans="1:23" ht="13" x14ac:dyDescent="0.15">
      <c r="A979" s="2" t="s">
        <v>1979</v>
      </c>
      <c r="B979" s="23">
        <v>45638.709224537037</v>
      </c>
      <c r="C979" s="23">
        <v>45638.709224537037</v>
      </c>
      <c r="D979" s="23" t="str">
        <f>IF(Table1[[#This Row],[Duration of Campaign]]=0, "Ongoing","Completed")</f>
        <v>Ongoing</v>
      </c>
      <c r="E979" s="25">
        <f>Table1[[#This Row],[End Date]]-Table1[[#This Row],[Start Date]]</f>
        <v>0</v>
      </c>
      <c r="F979" s="8">
        <v>1013</v>
      </c>
      <c r="G979" s="21" t="s">
        <v>53</v>
      </c>
      <c r="H979" s="11">
        <v>14004</v>
      </c>
      <c r="I979" s="11">
        <v>618</v>
      </c>
      <c r="J979" s="11">
        <v>189</v>
      </c>
      <c r="K979" s="13">
        <v>6577</v>
      </c>
      <c r="L979" s="16">
        <f t="shared" si="90"/>
        <v>4.4130248500428446E-2</v>
      </c>
      <c r="M979" s="16">
        <f t="shared" si="91"/>
        <v>0.30582524271844658</v>
      </c>
      <c r="N979" s="17">
        <f t="shared" si="92"/>
        <v>30.542071197411005</v>
      </c>
      <c r="O979" s="17">
        <f t="shared" si="93"/>
        <v>99.867724867724874</v>
      </c>
      <c r="P979" s="16">
        <f t="shared" si="94"/>
        <v>18.632773938795655</v>
      </c>
      <c r="Q979" s="16">
        <f t="shared" si="95"/>
        <v>0.34845033112582779</v>
      </c>
      <c r="R979" s="2" t="s">
        <v>1980</v>
      </c>
      <c r="S979" s="21" t="s">
        <v>21</v>
      </c>
      <c r="T979" s="21" t="s">
        <v>27</v>
      </c>
      <c r="U979" s="8">
        <v>18875</v>
      </c>
      <c r="V979" s="11">
        <v>2</v>
      </c>
      <c r="W979" t="str">
        <f>IF(Table1[[#This Row],[Satisfaction Rating]]&lt;2, "Low", IF(Table1[[#This Row],[Satisfaction Rating]]&lt;4, "Medium", "High"))</f>
        <v>Medium</v>
      </c>
    </row>
    <row r="980" spans="1:23" ht="13" x14ac:dyDescent="0.15">
      <c r="A980" s="2" t="s">
        <v>1981</v>
      </c>
      <c r="B980" s="23">
        <v>45253.534074074072</v>
      </c>
      <c r="C980" s="23">
        <v>45253.534074074072</v>
      </c>
      <c r="D980" s="23" t="str">
        <f>IF(Table1[[#This Row],[Duration of Campaign]]=0, "Ongoing","Completed")</f>
        <v>Ongoing</v>
      </c>
      <c r="E980" s="25">
        <f>Table1[[#This Row],[End Date]]-Table1[[#This Row],[Start Date]]</f>
        <v>0</v>
      </c>
      <c r="F980" s="8">
        <v>2468</v>
      </c>
      <c r="G980" s="21" t="s">
        <v>14</v>
      </c>
      <c r="H980" s="11">
        <v>1866</v>
      </c>
      <c r="I980" s="11">
        <v>501</v>
      </c>
      <c r="J980" s="11">
        <v>37</v>
      </c>
      <c r="K980" s="13">
        <v>6876</v>
      </c>
      <c r="L980" s="16">
        <f t="shared" si="90"/>
        <v>0.26848874598070738</v>
      </c>
      <c r="M980" s="16">
        <f t="shared" si="91"/>
        <v>7.3852295409181631E-2</v>
      </c>
      <c r="N980" s="17">
        <f t="shared" si="92"/>
        <v>28.606786427145707</v>
      </c>
      <c r="O980" s="17">
        <f t="shared" si="93"/>
        <v>387.35135135135135</v>
      </c>
      <c r="P980" s="16">
        <f t="shared" si="94"/>
        <v>5.8071312803889787</v>
      </c>
      <c r="Q980" s="16">
        <f t="shared" si="95"/>
        <v>0.47976555958693834</v>
      </c>
      <c r="R980" s="2" t="s">
        <v>1982</v>
      </c>
      <c r="S980" s="21" t="s">
        <v>24</v>
      </c>
      <c r="T980" s="21" t="s">
        <v>27</v>
      </c>
      <c r="U980" s="8">
        <v>14332</v>
      </c>
      <c r="V980" s="11">
        <v>2</v>
      </c>
      <c r="W980" t="str">
        <f>IF(Table1[[#This Row],[Satisfaction Rating]]&lt;2, "Low", IF(Table1[[#This Row],[Satisfaction Rating]]&lt;4, "Medium", "High"))</f>
        <v>Medium</v>
      </c>
    </row>
    <row r="981" spans="1:23" ht="13" x14ac:dyDescent="0.15">
      <c r="A981" s="2" t="s">
        <v>1983</v>
      </c>
      <c r="B981" s="23">
        <v>44985.062627314815</v>
      </c>
      <c r="C981" s="23">
        <v>45629.57912037037</v>
      </c>
      <c r="D981" s="23" t="str">
        <f>IF(Table1[[#This Row],[Duration of Campaign]]=0, "Ongoing","Completed")</f>
        <v>Completed</v>
      </c>
      <c r="E981" s="25">
        <f>Table1[[#This Row],[End Date]]-Table1[[#This Row],[Start Date]]</f>
        <v>644.51649305555475</v>
      </c>
      <c r="F981" s="8">
        <v>4597</v>
      </c>
      <c r="G981" s="21" t="s">
        <v>19</v>
      </c>
      <c r="H981" s="11">
        <v>5380</v>
      </c>
      <c r="I981" s="11">
        <v>171</v>
      </c>
      <c r="J981" s="11">
        <v>75</v>
      </c>
      <c r="K981" s="13">
        <v>3503</v>
      </c>
      <c r="L981" s="16">
        <f t="shared" si="90"/>
        <v>3.1784386617100369E-2</v>
      </c>
      <c r="M981" s="16">
        <f t="shared" si="91"/>
        <v>0.43859649122807015</v>
      </c>
      <c r="N981" s="17">
        <f t="shared" si="92"/>
        <v>34.192982456140349</v>
      </c>
      <c r="O981" s="17">
        <f t="shared" si="93"/>
        <v>77.959999999999994</v>
      </c>
      <c r="P981" s="16">
        <f t="shared" si="94"/>
        <v>1.2719164672612573</v>
      </c>
      <c r="Q981" s="16">
        <f t="shared" si="95"/>
        <v>0.59911065503677097</v>
      </c>
      <c r="R981" s="2" t="s">
        <v>1984</v>
      </c>
      <c r="S981" s="21" t="s">
        <v>35</v>
      </c>
      <c r="T981" s="21" t="s">
        <v>27</v>
      </c>
      <c r="U981" s="8">
        <v>5847</v>
      </c>
      <c r="V981" s="11">
        <v>1</v>
      </c>
      <c r="W981" t="str">
        <f>IF(Table1[[#This Row],[Satisfaction Rating]]&lt;2, "Low", IF(Table1[[#This Row],[Satisfaction Rating]]&lt;4, "Medium", "High"))</f>
        <v>Low</v>
      </c>
    </row>
    <row r="982" spans="1:23" ht="13" x14ac:dyDescent="0.15">
      <c r="A982" s="2" t="s">
        <v>1985</v>
      </c>
      <c r="B982" s="23">
        <v>45565.793923611112</v>
      </c>
      <c r="C982" s="23">
        <v>45565.793923611112</v>
      </c>
      <c r="D982" s="23" t="str">
        <f>IF(Table1[[#This Row],[Duration of Campaign]]=0, "Ongoing","Completed")</f>
        <v>Ongoing</v>
      </c>
      <c r="E982" s="25">
        <f>Table1[[#This Row],[End Date]]-Table1[[#This Row],[Start Date]]</f>
        <v>0</v>
      </c>
      <c r="F982" s="8">
        <v>6797</v>
      </c>
      <c r="G982" s="21" t="s">
        <v>14</v>
      </c>
      <c r="H982" s="11">
        <v>2724</v>
      </c>
      <c r="I982" s="11">
        <v>196</v>
      </c>
      <c r="J982" s="11">
        <v>405</v>
      </c>
      <c r="K982" s="13">
        <v>11028</v>
      </c>
      <c r="L982" s="16">
        <f t="shared" si="90"/>
        <v>7.1953010279001473E-2</v>
      </c>
      <c r="M982" s="16">
        <f t="shared" si="91"/>
        <v>2.0663265306122449</v>
      </c>
      <c r="N982" s="17">
        <f t="shared" si="92"/>
        <v>18.596938775510203</v>
      </c>
      <c r="O982" s="17">
        <f t="shared" si="93"/>
        <v>9</v>
      </c>
      <c r="P982" s="16">
        <f t="shared" si="94"/>
        <v>0.53626599970575251</v>
      </c>
      <c r="Q982" s="16">
        <f t="shared" si="95"/>
        <v>3.0255144032921812</v>
      </c>
      <c r="R982" s="2" t="s">
        <v>1986</v>
      </c>
      <c r="S982" s="21" t="s">
        <v>21</v>
      </c>
      <c r="T982" s="21" t="s">
        <v>45</v>
      </c>
      <c r="U982" s="8">
        <v>3645</v>
      </c>
      <c r="V982" s="11">
        <v>2</v>
      </c>
      <c r="W982" t="str">
        <f>IF(Table1[[#This Row],[Satisfaction Rating]]&lt;2, "Low", IF(Table1[[#This Row],[Satisfaction Rating]]&lt;4, "Medium", "High"))</f>
        <v>Medium</v>
      </c>
    </row>
    <row r="983" spans="1:23" ht="13" x14ac:dyDescent="0.15">
      <c r="A983" s="2" t="s">
        <v>1987</v>
      </c>
      <c r="B983" s="23">
        <v>45536.377569444441</v>
      </c>
      <c r="C983" s="23">
        <v>45540.808483796296</v>
      </c>
      <c r="D983" s="23" t="str">
        <f>IF(Table1[[#This Row],[Duration of Campaign]]=0, "Ongoing","Completed")</f>
        <v>Completed</v>
      </c>
      <c r="E983" s="25">
        <f>Table1[[#This Row],[End Date]]-Table1[[#This Row],[Start Date]]</f>
        <v>4.4309143518548808</v>
      </c>
      <c r="F983" s="8">
        <v>9183</v>
      </c>
      <c r="G983" s="21" t="s">
        <v>14</v>
      </c>
      <c r="H983" s="11">
        <v>7299</v>
      </c>
      <c r="I983" s="11">
        <v>495</v>
      </c>
      <c r="J983" s="11">
        <v>303</v>
      </c>
      <c r="K983" s="13">
        <v>6644</v>
      </c>
      <c r="L983" s="16">
        <f t="shared" si="90"/>
        <v>6.7817509247842175E-2</v>
      </c>
      <c r="M983" s="16">
        <f t="shared" si="91"/>
        <v>0.61212121212121207</v>
      </c>
      <c r="N983" s="17">
        <f t="shared" si="92"/>
        <v>2.3737373737373737</v>
      </c>
      <c r="O983" s="17">
        <f t="shared" si="93"/>
        <v>3.8778877887788781</v>
      </c>
      <c r="P983" s="16">
        <f t="shared" si="94"/>
        <v>0.1279538277251443</v>
      </c>
      <c r="Q983" s="16">
        <f t="shared" si="95"/>
        <v>5.6544680851063829</v>
      </c>
      <c r="R983" s="2" t="s">
        <v>1988</v>
      </c>
      <c r="S983" s="21" t="s">
        <v>35</v>
      </c>
      <c r="T983" s="21" t="s">
        <v>27</v>
      </c>
      <c r="U983" s="8">
        <v>1175</v>
      </c>
      <c r="V983" s="11">
        <v>4</v>
      </c>
      <c r="W983" t="str">
        <f>IF(Table1[[#This Row],[Satisfaction Rating]]&lt;2, "Low", IF(Table1[[#This Row],[Satisfaction Rating]]&lt;4, "Medium", "High"))</f>
        <v>High</v>
      </c>
    </row>
    <row r="984" spans="1:23" ht="13" x14ac:dyDescent="0.15">
      <c r="A984" s="2" t="s">
        <v>1989</v>
      </c>
      <c r="B984" s="23">
        <v>44986.989548611113</v>
      </c>
      <c r="C984" s="23">
        <v>45004.826944444445</v>
      </c>
      <c r="D984" s="23" t="str">
        <f>IF(Table1[[#This Row],[Duration of Campaign]]=0, "Ongoing","Completed")</f>
        <v>Completed</v>
      </c>
      <c r="E984" s="25">
        <f>Table1[[#This Row],[End Date]]-Table1[[#This Row],[Start Date]]</f>
        <v>17.837395833332266</v>
      </c>
      <c r="F984" s="8">
        <v>5843</v>
      </c>
      <c r="G984" s="21" t="s">
        <v>53</v>
      </c>
      <c r="H984" s="11">
        <v>12133</v>
      </c>
      <c r="I984" s="11">
        <v>680</v>
      </c>
      <c r="J984" s="11">
        <v>470</v>
      </c>
      <c r="K984" s="13">
        <v>6794</v>
      </c>
      <c r="L984" s="16">
        <f t="shared" si="90"/>
        <v>5.6045495755377893E-2</v>
      </c>
      <c r="M984" s="16">
        <f t="shared" si="91"/>
        <v>0.69117647058823528</v>
      </c>
      <c r="N984" s="17">
        <f t="shared" si="92"/>
        <v>16.319117647058825</v>
      </c>
      <c r="O984" s="17">
        <f t="shared" si="93"/>
        <v>23.610638297872342</v>
      </c>
      <c r="P984" s="16">
        <f t="shared" si="94"/>
        <v>1.8991956186890295</v>
      </c>
      <c r="Q984" s="16">
        <f t="shared" si="95"/>
        <v>0.61223754167793099</v>
      </c>
      <c r="R984" s="2" t="s">
        <v>1990</v>
      </c>
      <c r="S984" s="21" t="s">
        <v>30</v>
      </c>
      <c r="T984" s="21" t="s">
        <v>17</v>
      </c>
      <c r="U984" s="8">
        <v>11097</v>
      </c>
      <c r="V984" s="11">
        <v>1</v>
      </c>
      <c r="W984" t="str">
        <f>IF(Table1[[#This Row],[Satisfaction Rating]]&lt;2, "Low", IF(Table1[[#This Row],[Satisfaction Rating]]&lt;4, "Medium", "High"))</f>
        <v>Low</v>
      </c>
    </row>
    <row r="985" spans="1:23" ht="13" x14ac:dyDescent="0.15">
      <c r="A985" s="2" t="s">
        <v>1991</v>
      </c>
      <c r="B985" s="23">
        <v>45234.069861111115</v>
      </c>
      <c r="C985" s="23">
        <v>45234.069861111115</v>
      </c>
      <c r="D985" s="23" t="str">
        <f>IF(Table1[[#This Row],[Duration of Campaign]]=0, "Ongoing","Completed")</f>
        <v>Ongoing</v>
      </c>
      <c r="E985" s="25">
        <f>Table1[[#This Row],[End Date]]-Table1[[#This Row],[Start Date]]</f>
        <v>0</v>
      </c>
      <c r="F985" s="8">
        <v>8719</v>
      </c>
      <c r="G985" s="21" t="s">
        <v>37</v>
      </c>
      <c r="H985" s="11">
        <v>18623</v>
      </c>
      <c r="I985" s="11">
        <v>1631</v>
      </c>
      <c r="J985" s="11">
        <v>154</v>
      </c>
      <c r="K985" s="13">
        <v>14213</v>
      </c>
      <c r="L985" s="16">
        <f t="shared" si="90"/>
        <v>8.7579874348923378E-2</v>
      </c>
      <c r="M985" s="16">
        <f t="shared" si="91"/>
        <v>9.4420600858369105E-2</v>
      </c>
      <c r="N985" s="17">
        <f t="shared" si="92"/>
        <v>9.3586756591048434</v>
      </c>
      <c r="O985" s="17">
        <f t="shared" si="93"/>
        <v>99.116883116883116</v>
      </c>
      <c r="P985" s="16">
        <f t="shared" si="94"/>
        <v>1.7506594792980847</v>
      </c>
      <c r="Q985" s="16">
        <f t="shared" si="95"/>
        <v>0.93114517819706499</v>
      </c>
      <c r="R985" s="2" t="s">
        <v>1992</v>
      </c>
      <c r="S985" s="21" t="s">
        <v>35</v>
      </c>
      <c r="T985" s="21" t="s">
        <v>17</v>
      </c>
      <c r="U985" s="8">
        <v>15264</v>
      </c>
      <c r="V985" s="11">
        <v>3</v>
      </c>
      <c r="W985" t="str">
        <f>IF(Table1[[#This Row],[Satisfaction Rating]]&lt;2, "Low", IF(Table1[[#This Row],[Satisfaction Rating]]&lt;4, "Medium", "High"))</f>
        <v>Medium</v>
      </c>
    </row>
    <row r="986" spans="1:23" ht="13" x14ac:dyDescent="0.15">
      <c r="A986" s="2" t="s">
        <v>1993</v>
      </c>
      <c r="B986" s="23">
        <v>45010.52244212963</v>
      </c>
      <c r="C986" s="23">
        <v>45207.162557870368</v>
      </c>
      <c r="D986" s="23" t="str">
        <f>IF(Table1[[#This Row],[Duration of Campaign]]=0, "Ongoing","Completed")</f>
        <v>Completed</v>
      </c>
      <c r="E986" s="25">
        <f>Table1[[#This Row],[End Date]]-Table1[[#This Row],[Start Date]]</f>
        <v>196.64011574073811</v>
      </c>
      <c r="F986" s="8">
        <v>4762</v>
      </c>
      <c r="G986" s="21" t="s">
        <v>37</v>
      </c>
      <c r="H986" s="11">
        <v>11616</v>
      </c>
      <c r="I986" s="11">
        <v>423</v>
      </c>
      <c r="J986" s="11">
        <v>458</v>
      </c>
      <c r="K986" s="13">
        <v>5656</v>
      </c>
      <c r="L986" s="16">
        <f t="shared" si="90"/>
        <v>3.6415289256198344E-2</v>
      </c>
      <c r="M986" s="16">
        <f t="shared" si="91"/>
        <v>1.08274231678487</v>
      </c>
      <c r="N986" s="17">
        <f t="shared" si="92"/>
        <v>46.520094562647756</v>
      </c>
      <c r="O986" s="17">
        <f t="shared" si="93"/>
        <v>42.965065502183407</v>
      </c>
      <c r="P986" s="16">
        <f t="shared" si="94"/>
        <v>4.1322973540529189</v>
      </c>
      <c r="Q986" s="16">
        <f t="shared" si="95"/>
        <v>0.2874275841040756</v>
      </c>
      <c r="R986" s="2" t="s">
        <v>1994</v>
      </c>
      <c r="S986" s="21" t="s">
        <v>35</v>
      </c>
      <c r="T986" s="21" t="s">
        <v>27</v>
      </c>
      <c r="U986" s="8">
        <v>19678</v>
      </c>
      <c r="V986" s="11">
        <v>3</v>
      </c>
      <c r="W986" t="str">
        <f>IF(Table1[[#This Row],[Satisfaction Rating]]&lt;2, "Low", IF(Table1[[#This Row],[Satisfaction Rating]]&lt;4, "Medium", "High"))</f>
        <v>Medium</v>
      </c>
    </row>
    <row r="987" spans="1:23" ht="13" x14ac:dyDescent="0.15">
      <c r="A987" s="2" t="s">
        <v>1995</v>
      </c>
      <c r="B987" s="23">
        <v>45165.693726851852</v>
      </c>
      <c r="C987" s="23">
        <v>45165.693726851852</v>
      </c>
      <c r="D987" s="23" t="str">
        <f>IF(Table1[[#This Row],[Duration of Campaign]]=0, "Ongoing","Completed")</f>
        <v>Ongoing</v>
      </c>
      <c r="E987" s="25">
        <f>Table1[[#This Row],[End Date]]-Table1[[#This Row],[Start Date]]</f>
        <v>0</v>
      </c>
      <c r="F987" s="8">
        <v>5608</v>
      </c>
      <c r="G987" s="21" t="s">
        <v>14</v>
      </c>
      <c r="H987" s="11">
        <v>19372</v>
      </c>
      <c r="I987" s="11">
        <v>464</v>
      </c>
      <c r="J987" s="11">
        <v>319</v>
      </c>
      <c r="K987" s="13">
        <v>9623</v>
      </c>
      <c r="L987" s="16">
        <f t="shared" si="90"/>
        <v>2.3952095808383235E-2</v>
      </c>
      <c r="M987" s="16">
        <f t="shared" si="91"/>
        <v>0.6875</v>
      </c>
      <c r="N987" s="17">
        <f t="shared" si="92"/>
        <v>31.157327586206897</v>
      </c>
      <c r="O987" s="17">
        <f t="shared" si="93"/>
        <v>45.319749216300941</v>
      </c>
      <c r="P987" s="16">
        <f t="shared" si="94"/>
        <v>2.5779243937232525</v>
      </c>
      <c r="Q987" s="16">
        <f t="shared" si="95"/>
        <v>0.66562910700698619</v>
      </c>
      <c r="R987" s="2" t="s">
        <v>1996</v>
      </c>
      <c r="S987" s="21" t="s">
        <v>21</v>
      </c>
      <c r="T987" s="21" t="s">
        <v>45</v>
      </c>
      <c r="U987" s="8">
        <v>14457</v>
      </c>
      <c r="V987" s="11">
        <v>4</v>
      </c>
      <c r="W987" t="str">
        <f>IF(Table1[[#This Row],[Satisfaction Rating]]&lt;2, "Low", IF(Table1[[#This Row],[Satisfaction Rating]]&lt;4, "Medium", "High"))</f>
        <v>High</v>
      </c>
    </row>
    <row r="988" spans="1:23" ht="13" x14ac:dyDescent="0.15">
      <c r="A988" s="2" t="s">
        <v>1997</v>
      </c>
      <c r="B988" s="23">
        <v>45645.455150462964</v>
      </c>
      <c r="C988" s="23">
        <v>45645.455150462964</v>
      </c>
      <c r="D988" s="23" t="str">
        <f>IF(Table1[[#This Row],[Duration of Campaign]]=0, "Ongoing","Completed")</f>
        <v>Ongoing</v>
      </c>
      <c r="E988" s="25">
        <f>Table1[[#This Row],[End Date]]-Table1[[#This Row],[Start Date]]</f>
        <v>0</v>
      </c>
      <c r="F988" s="8">
        <v>9304</v>
      </c>
      <c r="G988" s="21" t="s">
        <v>53</v>
      </c>
      <c r="H988" s="11">
        <v>18798</v>
      </c>
      <c r="I988" s="11">
        <v>1666</v>
      </c>
      <c r="J988" s="11">
        <v>440</v>
      </c>
      <c r="K988" s="13">
        <v>1720</v>
      </c>
      <c r="L988" s="16">
        <f t="shared" si="90"/>
        <v>8.8626449622300249E-2</v>
      </c>
      <c r="M988" s="16">
        <f t="shared" si="91"/>
        <v>0.26410564225690275</v>
      </c>
      <c r="N988" s="17">
        <f t="shared" si="92"/>
        <v>9.6890756302521002</v>
      </c>
      <c r="O988" s="17">
        <f t="shared" si="93"/>
        <v>36.686363636363637</v>
      </c>
      <c r="P988" s="16">
        <f t="shared" si="94"/>
        <v>1.7349527085124679</v>
      </c>
      <c r="Q988" s="16">
        <f t="shared" si="95"/>
        <v>0.10655433031842398</v>
      </c>
      <c r="R988" s="2" t="s">
        <v>1998</v>
      </c>
      <c r="S988" s="21" t="s">
        <v>35</v>
      </c>
      <c r="T988" s="21" t="s">
        <v>45</v>
      </c>
      <c r="U988" s="8">
        <v>16142</v>
      </c>
      <c r="V988" s="11">
        <v>3</v>
      </c>
      <c r="W988" t="str">
        <f>IF(Table1[[#This Row],[Satisfaction Rating]]&lt;2, "Low", IF(Table1[[#This Row],[Satisfaction Rating]]&lt;4, "Medium", "High"))</f>
        <v>Medium</v>
      </c>
    </row>
    <row r="989" spans="1:23" ht="13" x14ac:dyDescent="0.15">
      <c r="A989" s="2" t="s">
        <v>1999</v>
      </c>
      <c r="B989" s="23">
        <v>45579.099791666667</v>
      </c>
      <c r="C989" s="23">
        <v>45579.099791666667</v>
      </c>
      <c r="D989" s="23" t="str">
        <f>IF(Table1[[#This Row],[Duration of Campaign]]=0, "Ongoing","Completed")</f>
        <v>Ongoing</v>
      </c>
      <c r="E989" s="25">
        <f>Table1[[#This Row],[End Date]]-Table1[[#This Row],[Start Date]]</f>
        <v>0</v>
      </c>
      <c r="F989" s="8">
        <v>1991</v>
      </c>
      <c r="G989" s="21" t="s">
        <v>37</v>
      </c>
      <c r="H989" s="11">
        <v>4157</v>
      </c>
      <c r="I989" s="11">
        <v>824</v>
      </c>
      <c r="J989" s="11">
        <v>448</v>
      </c>
      <c r="K989" s="13">
        <v>4382</v>
      </c>
      <c r="L989" s="16">
        <f t="shared" si="90"/>
        <v>0.19821987009862882</v>
      </c>
      <c r="M989" s="16">
        <f t="shared" si="91"/>
        <v>0.5436893203883495</v>
      </c>
      <c r="N989" s="17">
        <f t="shared" si="92"/>
        <v>12.706310679611651</v>
      </c>
      <c r="O989" s="17">
        <f t="shared" si="93"/>
        <v>23.370535714285715</v>
      </c>
      <c r="P989" s="16">
        <f t="shared" si="94"/>
        <v>5.2586639879457557</v>
      </c>
      <c r="Q989" s="16">
        <f t="shared" si="95"/>
        <v>0.41852913085004778</v>
      </c>
      <c r="R989" s="2" t="s">
        <v>2000</v>
      </c>
      <c r="S989" s="21" t="s">
        <v>16</v>
      </c>
      <c r="T989" s="21" t="s">
        <v>17</v>
      </c>
      <c r="U989" s="8">
        <v>10470</v>
      </c>
      <c r="V989" s="11">
        <v>5</v>
      </c>
      <c r="W989" t="str">
        <f>IF(Table1[[#This Row],[Satisfaction Rating]]&lt;2, "Low", IF(Table1[[#This Row],[Satisfaction Rating]]&lt;4, "Medium", "High"))</f>
        <v>High</v>
      </c>
    </row>
    <row r="990" spans="1:23" ht="13" x14ac:dyDescent="0.15">
      <c r="A990" s="2" t="s">
        <v>2001</v>
      </c>
      <c r="B990" s="23">
        <v>45454.502303240741</v>
      </c>
      <c r="C990" s="23">
        <v>45454.502303240741</v>
      </c>
      <c r="D990" s="23" t="str">
        <f>IF(Table1[[#This Row],[Duration of Campaign]]=0, "Ongoing","Completed")</f>
        <v>Ongoing</v>
      </c>
      <c r="E990" s="25">
        <f>Table1[[#This Row],[End Date]]-Table1[[#This Row],[Start Date]]</f>
        <v>0</v>
      </c>
      <c r="F990" s="8">
        <v>1657</v>
      </c>
      <c r="G990" s="21" t="s">
        <v>37</v>
      </c>
      <c r="H990" s="11">
        <v>2410</v>
      </c>
      <c r="I990" s="11">
        <v>878</v>
      </c>
      <c r="J990" s="11">
        <v>217</v>
      </c>
      <c r="K990" s="13">
        <v>1760</v>
      </c>
      <c r="L990" s="16">
        <f t="shared" si="90"/>
        <v>0.36431535269709542</v>
      </c>
      <c r="M990" s="16">
        <f t="shared" si="91"/>
        <v>0.24715261958997722</v>
      </c>
      <c r="N990" s="17">
        <f t="shared" si="92"/>
        <v>17.273348519362187</v>
      </c>
      <c r="O990" s="17">
        <f t="shared" si="93"/>
        <v>69.889400921658989</v>
      </c>
      <c r="P990" s="16">
        <f t="shared" si="94"/>
        <v>9.1526855763427886</v>
      </c>
      <c r="Q990" s="16">
        <f t="shared" si="95"/>
        <v>0.11604905710141106</v>
      </c>
      <c r="R990" s="2" t="s">
        <v>2002</v>
      </c>
      <c r="S990" s="21" t="s">
        <v>16</v>
      </c>
      <c r="T990" s="21" t="s">
        <v>45</v>
      </c>
      <c r="U990" s="8">
        <v>15166</v>
      </c>
      <c r="V990" s="11">
        <v>3</v>
      </c>
      <c r="W990" t="str">
        <f>IF(Table1[[#This Row],[Satisfaction Rating]]&lt;2, "Low", IF(Table1[[#This Row],[Satisfaction Rating]]&lt;4, "Medium", "High"))</f>
        <v>Medium</v>
      </c>
    </row>
    <row r="991" spans="1:23" ht="13" x14ac:dyDescent="0.15">
      <c r="A991" s="2" t="s">
        <v>2003</v>
      </c>
      <c r="B991" s="23">
        <v>45253.25403935185</v>
      </c>
      <c r="C991" s="23">
        <v>45253.25403935185</v>
      </c>
      <c r="D991" s="23" t="str">
        <f>IF(Table1[[#This Row],[Duration of Campaign]]=0, "Ongoing","Completed")</f>
        <v>Ongoing</v>
      </c>
      <c r="E991" s="25">
        <f>Table1[[#This Row],[End Date]]-Table1[[#This Row],[Start Date]]</f>
        <v>0</v>
      </c>
      <c r="F991" s="8">
        <v>8252</v>
      </c>
      <c r="G991" s="21" t="s">
        <v>37</v>
      </c>
      <c r="H991" s="11">
        <v>15303</v>
      </c>
      <c r="I991" s="11">
        <v>910</v>
      </c>
      <c r="J991" s="11">
        <v>188</v>
      </c>
      <c r="K991" s="13">
        <v>12147</v>
      </c>
      <c r="L991" s="16">
        <f t="shared" si="90"/>
        <v>5.9465464288048095E-2</v>
      </c>
      <c r="M991" s="16">
        <f t="shared" si="91"/>
        <v>0.20659340659340658</v>
      </c>
      <c r="N991" s="17">
        <f t="shared" si="92"/>
        <v>9.6417582417582413</v>
      </c>
      <c r="O991" s="17">
        <f t="shared" si="93"/>
        <v>46.670212765957444</v>
      </c>
      <c r="P991" s="16">
        <f t="shared" si="94"/>
        <v>1.0632573921473583</v>
      </c>
      <c r="Q991" s="16">
        <f t="shared" si="95"/>
        <v>1.3844312742192844</v>
      </c>
      <c r="R991" s="2" t="s">
        <v>2004</v>
      </c>
      <c r="S991" s="21" t="s">
        <v>24</v>
      </c>
      <c r="T991" s="21" t="s">
        <v>27</v>
      </c>
      <c r="U991" s="8">
        <v>8774</v>
      </c>
      <c r="V991" s="11">
        <v>1</v>
      </c>
      <c r="W991" t="str">
        <f>IF(Table1[[#This Row],[Satisfaction Rating]]&lt;2, "Low", IF(Table1[[#This Row],[Satisfaction Rating]]&lt;4, "Medium", "High"))</f>
        <v>Low</v>
      </c>
    </row>
    <row r="992" spans="1:23" ht="13" x14ac:dyDescent="0.15">
      <c r="A992" s="2" t="s">
        <v>2005</v>
      </c>
      <c r="B992" s="23">
        <v>45087.536400462966</v>
      </c>
      <c r="C992" s="23">
        <v>45435.947187500002</v>
      </c>
      <c r="D992" s="23" t="str">
        <f>IF(Table1[[#This Row],[Duration of Campaign]]=0, "Ongoing","Completed")</f>
        <v>Completed</v>
      </c>
      <c r="E992" s="25">
        <f>Table1[[#This Row],[End Date]]-Table1[[#This Row],[Start Date]]</f>
        <v>348.41078703703533</v>
      </c>
      <c r="F992" s="8">
        <v>6409</v>
      </c>
      <c r="G992" s="21" t="s">
        <v>53</v>
      </c>
      <c r="H992" s="11">
        <v>10077</v>
      </c>
      <c r="I992" s="11">
        <v>562</v>
      </c>
      <c r="J992" s="11">
        <v>82</v>
      </c>
      <c r="K992" s="13">
        <v>9215</v>
      </c>
      <c r="L992" s="16">
        <f t="shared" si="90"/>
        <v>5.5770566636895905E-2</v>
      </c>
      <c r="M992" s="16">
        <f t="shared" si="91"/>
        <v>0.14590747330960854</v>
      </c>
      <c r="N992" s="17">
        <f t="shared" si="92"/>
        <v>24.092526690391459</v>
      </c>
      <c r="O992" s="17">
        <f t="shared" si="93"/>
        <v>165.1219512195122</v>
      </c>
      <c r="P992" s="16">
        <f t="shared" si="94"/>
        <v>2.1126540801997193</v>
      </c>
      <c r="Q992" s="16">
        <f t="shared" si="95"/>
        <v>0.680576070901034</v>
      </c>
      <c r="R992" s="2" t="s">
        <v>2006</v>
      </c>
      <c r="S992" s="21" t="s">
        <v>16</v>
      </c>
      <c r="T992" s="21" t="s">
        <v>27</v>
      </c>
      <c r="U992" s="8">
        <v>13540</v>
      </c>
      <c r="V992" s="11">
        <v>3</v>
      </c>
      <c r="W992" t="str">
        <f>IF(Table1[[#This Row],[Satisfaction Rating]]&lt;2, "Low", IF(Table1[[#This Row],[Satisfaction Rating]]&lt;4, "Medium", "High"))</f>
        <v>Medium</v>
      </c>
    </row>
    <row r="993" spans="1:23" ht="13" x14ac:dyDescent="0.15">
      <c r="A993" s="2" t="s">
        <v>2007</v>
      </c>
      <c r="B993" s="23">
        <v>44987.760057870371</v>
      </c>
      <c r="C993" s="23">
        <v>45050.453206018516</v>
      </c>
      <c r="D993" s="23" t="str">
        <f>IF(Table1[[#This Row],[Duration of Campaign]]=0, "Ongoing","Completed")</f>
        <v>Completed</v>
      </c>
      <c r="E993" s="25">
        <f>Table1[[#This Row],[End Date]]-Table1[[#This Row],[Start Date]]</f>
        <v>62.693148148144246</v>
      </c>
      <c r="F993" s="8">
        <v>5418</v>
      </c>
      <c r="G993" s="21" t="s">
        <v>14</v>
      </c>
      <c r="H993" s="11">
        <v>19273</v>
      </c>
      <c r="I993" s="11">
        <v>1849</v>
      </c>
      <c r="J993" s="11">
        <v>392</v>
      </c>
      <c r="K993" s="13">
        <v>10558</v>
      </c>
      <c r="L993" s="16">
        <f t="shared" si="90"/>
        <v>9.5937321641674886E-2</v>
      </c>
      <c r="M993" s="16">
        <f t="shared" si="91"/>
        <v>0.21200648999459168</v>
      </c>
      <c r="N993" s="17">
        <f t="shared" si="92"/>
        <v>7.2374256354786368</v>
      </c>
      <c r="O993" s="17">
        <f t="shared" si="93"/>
        <v>34.137755102040813</v>
      </c>
      <c r="P993" s="16">
        <f t="shared" si="94"/>
        <v>2.4699150978220747</v>
      </c>
      <c r="Q993" s="16">
        <f t="shared" si="95"/>
        <v>0.78897025855626957</v>
      </c>
      <c r="R993" s="2" t="s">
        <v>2008</v>
      </c>
      <c r="S993" s="21" t="s">
        <v>24</v>
      </c>
      <c r="T993" s="21" t="s">
        <v>45</v>
      </c>
      <c r="U993" s="8">
        <v>13382</v>
      </c>
      <c r="V993" s="11">
        <v>3</v>
      </c>
      <c r="W993" t="str">
        <f>IF(Table1[[#This Row],[Satisfaction Rating]]&lt;2, "Low", IF(Table1[[#This Row],[Satisfaction Rating]]&lt;4, "Medium", "High"))</f>
        <v>Medium</v>
      </c>
    </row>
    <row r="994" spans="1:23" ht="13" x14ac:dyDescent="0.15">
      <c r="A994" s="2" t="s">
        <v>2009</v>
      </c>
      <c r="B994" s="23">
        <v>45636.790844907409</v>
      </c>
      <c r="C994" s="23">
        <v>45636.790844907409</v>
      </c>
      <c r="D994" s="23" t="str">
        <f>IF(Table1[[#This Row],[Duration of Campaign]]=0, "Ongoing","Completed")</f>
        <v>Ongoing</v>
      </c>
      <c r="E994" s="25">
        <f>Table1[[#This Row],[End Date]]-Table1[[#This Row],[Start Date]]</f>
        <v>0</v>
      </c>
      <c r="F994" s="8">
        <v>5823</v>
      </c>
      <c r="G994" s="21" t="s">
        <v>14</v>
      </c>
      <c r="H994" s="11">
        <v>17533</v>
      </c>
      <c r="I994" s="11">
        <v>1491</v>
      </c>
      <c r="J994" s="11">
        <v>46</v>
      </c>
      <c r="K994" s="13">
        <v>6095</v>
      </c>
      <c r="L994" s="16">
        <f t="shared" si="90"/>
        <v>8.5039639536873324E-2</v>
      </c>
      <c r="M994" s="16">
        <f t="shared" si="91"/>
        <v>3.085177733065057E-2</v>
      </c>
      <c r="N994" s="17">
        <f t="shared" si="92"/>
        <v>13.166331321260898</v>
      </c>
      <c r="O994" s="17">
        <f t="shared" si="93"/>
        <v>426.76086956521738</v>
      </c>
      <c r="P994" s="16">
        <f t="shared" si="94"/>
        <v>3.3712862785505755</v>
      </c>
      <c r="Q994" s="16">
        <f t="shared" si="95"/>
        <v>0.31047832509805917</v>
      </c>
      <c r="R994" s="2" t="s">
        <v>2010</v>
      </c>
      <c r="S994" s="21" t="s">
        <v>21</v>
      </c>
      <c r="T994" s="21" t="s">
        <v>45</v>
      </c>
      <c r="U994" s="8">
        <v>19631</v>
      </c>
      <c r="V994" s="11">
        <v>2</v>
      </c>
      <c r="W994" t="str">
        <f>IF(Table1[[#This Row],[Satisfaction Rating]]&lt;2, "Low", IF(Table1[[#This Row],[Satisfaction Rating]]&lt;4, "Medium", "High"))</f>
        <v>Medium</v>
      </c>
    </row>
    <row r="995" spans="1:23" ht="13" x14ac:dyDescent="0.15">
      <c r="A995" s="2" t="s">
        <v>2011</v>
      </c>
      <c r="B995" s="23">
        <v>45309.153437499997</v>
      </c>
      <c r="C995" s="23">
        <v>45354.120370370372</v>
      </c>
      <c r="D995" s="23" t="str">
        <f>IF(Table1[[#This Row],[Duration of Campaign]]=0, "Ongoing","Completed")</f>
        <v>Completed</v>
      </c>
      <c r="E995" s="25">
        <f>Table1[[#This Row],[End Date]]-Table1[[#This Row],[Start Date]]</f>
        <v>44.966932870374876</v>
      </c>
      <c r="F995" s="8">
        <v>7378</v>
      </c>
      <c r="G995" s="21" t="s">
        <v>53</v>
      </c>
      <c r="H995" s="11">
        <v>1161</v>
      </c>
      <c r="I995" s="11">
        <v>1455</v>
      </c>
      <c r="J995" s="11">
        <v>331</v>
      </c>
      <c r="K995" s="13">
        <v>4640</v>
      </c>
      <c r="L995" s="16">
        <f t="shared" si="90"/>
        <v>1.2532299741602067</v>
      </c>
      <c r="M995" s="16">
        <f t="shared" si="91"/>
        <v>0.2274914089347079</v>
      </c>
      <c r="N995" s="17">
        <f t="shared" si="92"/>
        <v>1.5298969072164947</v>
      </c>
      <c r="O995" s="17">
        <f t="shared" si="93"/>
        <v>6.7250755287009065</v>
      </c>
      <c r="P995" s="16">
        <f t="shared" si="94"/>
        <v>0.301707779886148</v>
      </c>
      <c r="Q995" s="16">
        <f t="shared" si="95"/>
        <v>2.0844564240790655</v>
      </c>
      <c r="R995" s="2" t="s">
        <v>2012</v>
      </c>
      <c r="S995" s="21" t="s">
        <v>35</v>
      </c>
      <c r="T995" s="21" t="s">
        <v>17</v>
      </c>
      <c r="U995" s="8">
        <v>2226</v>
      </c>
      <c r="V995" s="11">
        <v>5</v>
      </c>
      <c r="W995" t="str">
        <f>IF(Table1[[#This Row],[Satisfaction Rating]]&lt;2, "Low", IF(Table1[[#This Row],[Satisfaction Rating]]&lt;4, "Medium", "High"))</f>
        <v>High</v>
      </c>
    </row>
    <row r="996" spans="1:23" ht="13" x14ac:dyDescent="0.15">
      <c r="A996" s="2" t="s">
        <v>2013</v>
      </c>
      <c r="B996" s="23">
        <v>45228.205983796295</v>
      </c>
      <c r="C996" s="23">
        <v>45228.205983796295</v>
      </c>
      <c r="D996" s="23" t="str">
        <f>IF(Table1[[#This Row],[Duration of Campaign]]=0, "Ongoing","Completed")</f>
        <v>Ongoing</v>
      </c>
      <c r="E996" s="25">
        <f>Table1[[#This Row],[End Date]]-Table1[[#This Row],[Start Date]]</f>
        <v>0</v>
      </c>
      <c r="F996" s="8">
        <v>3429</v>
      </c>
      <c r="G996" s="21" t="s">
        <v>19</v>
      </c>
      <c r="H996" s="11">
        <v>2738</v>
      </c>
      <c r="I996" s="11">
        <v>519</v>
      </c>
      <c r="J996" s="11">
        <v>215</v>
      </c>
      <c r="K996" s="13">
        <v>9186</v>
      </c>
      <c r="L996" s="16">
        <f t="shared" si="90"/>
        <v>0.18955441928414901</v>
      </c>
      <c r="M996" s="16">
        <f t="shared" si="91"/>
        <v>0.41425818882466281</v>
      </c>
      <c r="N996" s="17">
        <f t="shared" si="92"/>
        <v>37.657032755298651</v>
      </c>
      <c r="O996" s="17">
        <f t="shared" si="93"/>
        <v>90.902325581395345</v>
      </c>
      <c r="P996" s="16">
        <f t="shared" si="94"/>
        <v>5.6996208807232431</v>
      </c>
      <c r="Q996" s="16">
        <f t="shared" si="95"/>
        <v>0.47001637331150226</v>
      </c>
      <c r="R996" s="2" t="s">
        <v>2014</v>
      </c>
      <c r="S996" s="21" t="s">
        <v>24</v>
      </c>
      <c r="T996" s="21" t="s">
        <v>45</v>
      </c>
      <c r="U996" s="8">
        <v>19544</v>
      </c>
      <c r="V996" s="11">
        <v>3</v>
      </c>
      <c r="W996" t="str">
        <f>IF(Table1[[#This Row],[Satisfaction Rating]]&lt;2, "Low", IF(Table1[[#This Row],[Satisfaction Rating]]&lt;4, "Medium", "High"))</f>
        <v>Medium</v>
      </c>
    </row>
    <row r="997" spans="1:23" ht="13" x14ac:dyDescent="0.15">
      <c r="A997" s="2" t="s">
        <v>2015</v>
      </c>
      <c r="B997" s="23">
        <v>45342.457604166666</v>
      </c>
      <c r="C997" s="23">
        <v>45342.457604166666</v>
      </c>
      <c r="D997" s="23" t="str">
        <f>IF(Table1[[#This Row],[Duration of Campaign]]=0, "Ongoing","Completed")</f>
        <v>Ongoing</v>
      </c>
      <c r="E997" s="25">
        <f>Table1[[#This Row],[End Date]]-Table1[[#This Row],[Start Date]]</f>
        <v>0</v>
      </c>
      <c r="F997" s="8">
        <v>1828</v>
      </c>
      <c r="G997" s="21" t="s">
        <v>53</v>
      </c>
      <c r="H997" s="11">
        <v>14386</v>
      </c>
      <c r="I997" s="11">
        <v>119</v>
      </c>
      <c r="J997" s="11">
        <v>231</v>
      </c>
      <c r="K997" s="13">
        <v>11362</v>
      </c>
      <c r="L997" s="16">
        <f t="shared" si="90"/>
        <v>8.2719310440706236E-3</v>
      </c>
      <c r="M997" s="16">
        <f t="shared" si="91"/>
        <v>1.9411764705882353</v>
      </c>
      <c r="N997" s="17">
        <f t="shared" si="92"/>
        <v>6.117647058823529</v>
      </c>
      <c r="O997" s="17">
        <f t="shared" si="93"/>
        <v>3.1515151515151514</v>
      </c>
      <c r="P997" s="16">
        <f t="shared" si="94"/>
        <v>0.39824945295404812</v>
      </c>
      <c r="Q997" s="16">
        <f t="shared" si="95"/>
        <v>15.607142857142858</v>
      </c>
      <c r="R997" s="2" t="s">
        <v>2016</v>
      </c>
      <c r="S997" s="21" t="s">
        <v>30</v>
      </c>
      <c r="T997" s="21" t="s">
        <v>45</v>
      </c>
      <c r="U997" s="8">
        <v>728</v>
      </c>
      <c r="V997" s="11">
        <v>1</v>
      </c>
      <c r="W997" t="str">
        <f>IF(Table1[[#This Row],[Satisfaction Rating]]&lt;2, "Low", IF(Table1[[#This Row],[Satisfaction Rating]]&lt;4, "Medium", "High"))</f>
        <v>Low</v>
      </c>
    </row>
    <row r="998" spans="1:23" ht="13" x14ac:dyDescent="0.15">
      <c r="A998" s="2" t="s">
        <v>2017</v>
      </c>
      <c r="B998" s="23">
        <v>45036.154062499998</v>
      </c>
      <c r="C998" s="23">
        <v>45039.841064814813</v>
      </c>
      <c r="D998" s="23" t="str">
        <f>IF(Table1[[#This Row],[Duration of Campaign]]=0, "Ongoing","Completed")</f>
        <v>Completed</v>
      </c>
      <c r="E998" s="25">
        <f>Table1[[#This Row],[End Date]]-Table1[[#This Row],[Start Date]]</f>
        <v>3.6870023148148903</v>
      </c>
      <c r="F998" s="8">
        <v>1022</v>
      </c>
      <c r="G998" s="21" t="s">
        <v>53</v>
      </c>
      <c r="H998" s="11">
        <v>8538</v>
      </c>
      <c r="I998" s="11">
        <v>1621</v>
      </c>
      <c r="J998" s="11">
        <v>491</v>
      </c>
      <c r="K998" s="13">
        <v>11623</v>
      </c>
      <c r="L998" s="16">
        <f t="shared" si="90"/>
        <v>0.18985710939330053</v>
      </c>
      <c r="M998" s="16">
        <f t="shared" si="91"/>
        <v>0.3028994447871684</v>
      </c>
      <c r="N998" s="17">
        <f t="shared" si="92"/>
        <v>2.9309068476249229</v>
      </c>
      <c r="O998" s="17">
        <f t="shared" si="93"/>
        <v>9.6761710794297358</v>
      </c>
      <c r="P998" s="16">
        <f t="shared" si="94"/>
        <v>4.6487279843444229</v>
      </c>
      <c r="Q998" s="16">
        <f t="shared" si="95"/>
        <v>2.446432330035782</v>
      </c>
      <c r="R998" s="2" t="s">
        <v>2018</v>
      </c>
      <c r="S998" s="21" t="s">
        <v>21</v>
      </c>
      <c r="T998" s="21" t="s">
        <v>27</v>
      </c>
      <c r="U998" s="8">
        <v>4751</v>
      </c>
      <c r="V998" s="11">
        <v>1</v>
      </c>
      <c r="W998" t="str">
        <f>IF(Table1[[#This Row],[Satisfaction Rating]]&lt;2, "Low", IF(Table1[[#This Row],[Satisfaction Rating]]&lt;4, "Medium", "High"))</f>
        <v>Low</v>
      </c>
    </row>
    <row r="999" spans="1:23" ht="13" x14ac:dyDescent="0.15">
      <c r="A999" s="2" t="s">
        <v>2019</v>
      </c>
      <c r="B999" s="23">
        <v>45008.436400462961</v>
      </c>
      <c r="C999" s="23">
        <v>45458.483969907407</v>
      </c>
      <c r="D999" s="23" t="str">
        <f>IF(Table1[[#This Row],[Duration of Campaign]]=0, "Ongoing","Completed")</f>
        <v>Completed</v>
      </c>
      <c r="E999" s="25">
        <f>Table1[[#This Row],[End Date]]-Table1[[#This Row],[Start Date]]</f>
        <v>450.04756944444671</v>
      </c>
      <c r="F999" s="8">
        <v>4525</v>
      </c>
      <c r="G999" s="21" t="s">
        <v>37</v>
      </c>
      <c r="H999" s="11">
        <v>4533</v>
      </c>
      <c r="I999" s="11">
        <v>1784</v>
      </c>
      <c r="J999" s="11">
        <v>336</v>
      </c>
      <c r="K999" s="13">
        <v>12056</v>
      </c>
      <c r="L999" s="16">
        <f t="shared" si="90"/>
        <v>0.39355834987866756</v>
      </c>
      <c r="M999" s="16">
        <f t="shared" si="91"/>
        <v>0.18834080717488788</v>
      </c>
      <c r="N999" s="17">
        <f t="shared" si="92"/>
        <v>3.2757847533632285</v>
      </c>
      <c r="O999" s="17">
        <f t="shared" si="93"/>
        <v>17.392857142857142</v>
      </c>
      <c r="P999" s="16">
        <f t="shared" si="94"/>
        <v>1.2914917127071823</v>
      </c>
      <c r="Q999" s="16">
        <f t="shared" si="95"/>
        <v>2.0629705681040384</v>
      </c>
      <c r="R999" s="2" t="s">
        <v>2020</v>
      </c>
      <c r="S999" s="21" t="s">
        <v>35</v>
      </c>
      <c r="T999" s="21" t="s">
        <v>45</v>
      </c>
      <c r="U999" s="8">
        <v>5844</v>
      </c>
      <c r="V999" s="11">
        <v>2</v>
      </c>
      <c r="W999" t="str">
        <f>IF(Table1[[#This Row],[Satisfaction Rating]]&lt;2, "Low", IF(Table1[[#This Row],[Satisfaction Rating]]&lt;4, "Medium", "High"))</f>
        <v>Medium</v>
      </c>
    </row>
    <row r="1000" spans="1:23" ht="13" x14ac:dyDescent="0.15">
      <c r="A1000" s="2" t="s">
        <v>2021</v>
      </c>
      <c r="B1000" s="23">
        <v>45446.951203703706</v>
      </c>
      <c r="C1000" s="23">
        <v>45446.951203703706</v>
      </c>
      <c r="D1000" s="23" t="str">
        <f>IF(Table1[[#This Row],[Duration of Campaign]]=0, "Ongoing","Completed")</f>
        <v>Ongoing</v>
      </c>
      <c r="E1000" s="25">
        <f>Table1[[#This Row],[End Date]]-Table1[[#This Row],[Start Date]]</f>
        <v>0</v>
      </c>
      <c r="F1000" s="8">
        <v>9095</v>
      </c>
      <c r="G1000" s="21" t="s">
        <v>53</v>
      </c>
      <c r="H1000" s="11">
        <v>12229</v>
      </c>
      <c r="I1000" s="11">
        <v>1978</v>
      </c>
      <c r="J1000" s="11">
        <v>481</v>
      </c>
      <c r="K1000" s="13">
        <v>2234</v>
      </c>
      <c r="L1000" s="16">
        <f t="shared" si="90"/>
        <v>0.16174666775697114</v>
      </c>
      <c r="M1000" s="16">
        <f t="shared" si="91"/>
        <v>0.24317492416582406</v>
      </c>
      <c r="N1000" s="17">
        <f t="shared" si="92"/>
        <v>0.67239635995955516</v>
      </c>
      <c r="O1000" s="17">
        <f t="shared" si="93"/>
        <v>2.7650727650727651</v>
      </c>
      <c r="P1000" s="16">
        <f t="shared" si="94"/>
        <v>0.1462341946124244</v>
      </c>
      <c r="Q1000" s="16">
        <f t="shared" si="95"/>
        <v>1.6796992481203008</v>
      </c>
      <c r="R1000" s="2" t="s">
        <v>2022</v>
      </c>
      <c r="S1000" s="21" t="s">
        <v>16</v>
      </c>
      <c r="T1000" s="21" t="s">
        <v>27</v>
      </c>
      <c r="U1000" s="8">
        <v>1330</v>
      </c>
      <c r="V1000" s="11">
        <v>2</v>
      </c>
      <c r="W1000" t="str">
        <f>IF(Table1[[#This Row],[Satisfaction Rating]]&lt;2, "Low", IF(Table1[[#This Row],[Satisfaction Rating]]&lt;4, "Medium", "High"))</f>
        <v>Medium</v>
      </c>
    </row>
    <row r="1001" spans="1:23" ht="13" x14ac:dyDescent="0.15">
      <c r="A1001" s="2" t="s">
        <v>2023</v>
      </c>
      <c r="B1001" s="23">
        <v>45175.303935185184</v>
      </c>
      <c r="C1001" s="23">
        <v>45324.002916666665</v>
      </c>
      <c r="D1001" s="23" t="str">
        <f>IF(Table1[[#This Row],[Duration of Campaign]]=0, "Ongoing","Completed")</f>
        <v>Completed</v>
      </c>
      <c r="E1001" s="25">
        <f>Table1[[#This Row],[End Date]]-Table1[[#This Row],[Start Date]]</f>
        <v>148.69898148148059</v>
      </c>
      <c r="F1001" s="8">
        <v>4512</v>
      </c>
      <c r="G1001" s="21" t="s">
        <v>14</v>
      </c>
      <c r="H1001" s="11">
        <v>15344</v>
      </c>
      <c r="I1001" s="11">
        <v>169</v>
      </c>
      <c r="J1001" s="11">
        <v>286</v>
      </c>
      <c r="K1001" s="13">
        <v>12026</v>
      </c>
      <c r="L1001" s="16">
        <f t="shared" si="90"/>
        <v>1.1014077163712201E-2</v>
      </c>
      <c r="M1001" s="16">
        <f t="shared" si="91"/>
        <v>1.6923076923076923</v>
      </c>
      <c r="N1001" s="17">
        <f t="shared" si="92"/>
        <v>71.10650887573965</v>
      </c>
      <c r="O1001" s="17">
        <f t="shared" si="93"/>
        <v>42.01748251748252</v>
      </c>
      <c r="P1001" s="16">
        <f t="shared" si="94"/>
        <v>2.6633421985815602</v>
      </c>
      <c r="Q1001" s="16">
        <f t="shared" si="95"/>
        <v>1.000748939003079</v>
      </c>
      <c r="R1001" s="2" t="s">
        <v>2024</v>
      </c>
      <c r="S1001" s="21" t="s">
        <v>16</v>
      </c>
      <c r="T1001" s="21" t="s">
        <v>17</v>
      </c>
      <c r="U1001" s="8">
        <v>12017</v>
      </c>
      <c r="V1001" s="11">
        <v>1</v>
      </c>
      <c r="W1001" t="str">
        <f>IF(Table1[[#This Row],[Satisfaction Rating]]&lt;2, "Low", IF(Table1[[#This Row],[Satisfaction Rating]]&lt;4, "Medium", "High"))</f>
        <v>Low</v>
      </c>
    </row>
    <row r="1002" spans="1:23" ht="15.75" customHeight="1" x14ac:dyDescent="0.15">
      <c r="A1002" s="31"/>
      <c r="B1002" s="24"/>
      <c r="C1002" s="24"/>
      <c r="D1002" s="24"/>
      <c r="E1002" s="32"/>
      <c r="F1002" s="33"/>
      <c r="G1002" s="34"/>
      <c r="H1002" s="35"/>
      <c r="I1002" s="35"/>
      <c r="J1002" s="35"/>
      <c r="K1002" s="36"/>
      <c r="L1002" s="37"/>
      <c r="M1002" s="37"/>
      <c r="N1002" s="38"/>
      <c r="O1002" s="38"/>
      <c r="P1002" s="37"/>
      <c r="Q1002" s="37"/>
      <c r="R1002" s="31"/>
      <c r="S1002" s="34"/>
      <c r="T1002" s="34"/>
      <c r="U1002" s="33"/>
      <c r="V1002" s="3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1F94-04A2-9A4A-B007-4A45D1E887B4}">
  <dimension ref="A1:AV93"/>
  <sheetViews>
    <sheetView showGridLines="0" zoomScaleNormal="100" workbookViewId="0">
      <selection activeCell="E75" sqref="E75"/>
    </sheetView>
  </sheetViews>
  <sheetFormatPr baseColWidth="10" defaultColWidth="16.83203125" defaultRowHeight="13" x14ac:dyDescent="0.15"/>
  <cols>
    <col min="1" max="1" width="13.1640625" bestFit="1" customWidth="1"/>
    <col min="2" max="2" width="15.33203125" bestFit="1" customWidth="1"/>
    <col min="3" max="3" width="27.33203125" bestFit="1" customWidth="1"/>
    <col min="4" max="4" width="24.33203125" bestFit="1" customWidth="1"/>
    <col min="5" max="5" width="26.33203125" bestFit="1" customWidth="1"/>
    <col min="6" max="6" width="15.1640625" bestFit="1" customWidth="1"/>
    <col min="7" max="7" width="14.5" bestFit="1" customWidth="1"/>
    <col min="9" max="9" width="20.1640625" bestFit="1" customWidth="1"/>
    <col min="10" max="10" width="29.83203125" bestFit="1" customWidth="1"/>
    <col min="11" max="12" width="9.83203125" bestFit="1" customWidth="1"/>
    <col min="13" max="13" width="13.83203125" bestFit="1" customWidth="1"/>
    <col min="15" max="15" width="4.1640625" customWidth="1"/>
  </cols>
  <sheetData>
    <row r="1" spans="1:48" x14ac:dyDescent="0.15">
      <c r="A1" s="4" t="s">
        <v>2029</v>
      </c>
      <c r="B1" t="s">
        <v>2030</v>
      </c>
      <c r="C1" t="s">
        <v>2045</v>
      </c>
      <c r="D1" t="s">
        <v>2043</v>
      </c>
      <c r="E1" t="s">
        <v>2042</v>
      </c>
      <c r="F1" t="s">
        <v>2067</v>
      </c>
      <c r="G1" t="s">
        <v>2047</v>
      </c>
      <c r="I1" s="4" t="s">
        <v>2030</v>
      </c>
      <c r="J1" s="4" t="s">
        <v>2032</v>
      </c>
      <c r="P1" s="4" t="s">
        <v>2031</v>
      </c>
      <c r="Q1" s="4" t="s">
        <v>2032</v>
      </c>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row>
    <row r="2" spans="1:48" x14ac:dyDescent="0.15">
      <c r="A2" s="5" t="s">
        <v>35</v>
      </c>
      <c r="B2" s="6">
        <v>1.6533080185286957</v>
      </c>
      <c r="C2" s="3">
        <v>74.553643542927901</v>
      </c>
      <c r="D2" s="6">
        <v>0.39347055445958884</v>
      </c>
      <c r="E2" s="6">
        <v>0.17259480308048977</v>
      </c>
      <c r="F2" s="30">
        <v>1879679</v>
      </c>
      <c r="G2" s="3">
        <v>1419462</v>
      </c>
      <c r="I2" s="4" t="s">
        <v>2029</v>
      </c>
      <c r="J2" t="s">
        <v>2049</v>
      </c>
      <c r="K2" t="s">
        <v>2050</v>
      </c>
      <c r="L2" t="s">
        <v>17</v>
      </c>
      <c r="M2" t="s">
        <v>2025</v>
      </c>
      <c r="P2" s="4" t="s">
        <v>2029</v>
      </c>
      <c r="Q2" t="s">
        <v>2039</v>
      </c>
      <c r="R2" t="s">
        <v>2040</v>
      </c>
      <c r="S2" t="s">
        <v>2025</v>
      </c>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row>
    <row r="3" spans="1:48" x14ac:dyDescent="0.15">
      <c r="A3" s="5" t="s">
        <v>24</v>
      </c>
      <c r="B3" s="6">
        <v>1.191519491707419</v>
      </c>
      <c r="C3" s="3">
        <v>104.04812684877334</v>
      </c>
      <c r="D3" s="6">
        <v>0.45663460024116181</v>
      </c>
      <c r="E3" s="6">
        <v>0.14939825781459998</v>
      </c>
      <c r="F3" s="30">
        <v>2018900</v>
      </c>
      <c r="G3" s="3">
        <v>1424637</v>
      </c>
      <c r="I3" s="5" t="s">
        <v>35</v>
      </c>
      <c r="J3" s="6">
        <v>1.8938061178438124</v>
      </c>
      <c r="K3" s="6">
        <v>1.8164596065238274</v>
      </c>
      <c r="L3" s="6">
        <v>1.3161758149769036</v>
      </c>
      <c r="M3" s="6">
        <v>1.6533080185286957</v>
      </c>
      <c r="P3" s="5" t="s">
        <v>2068</v>
      </c>
      <c r="Q3">
        <v>373</v>
      </c>
      <c r="R3">
        <v>130</v>
      </c>
      <c r="S3">
        <v>503</v>
      </c>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row>
    <row r="4" spans="1:48" x14ac:dyDescent="0.15">
      <c r="A4" s="5" t="s">
        <v>30</v>
      </c>
      <c r="B4" s="6">
        <v>1.3367473249677047</v>
      </c>
      <c r="C4" s="3">
        <v>86.252481410929548</v>
      </c>
      <c r="D4" s="6">
        <v>0.40406187052069464</v>
      </c>
      <c r="E4" s="6">
        <v>0.13062212877326621</v>
      </c>
      <c r="F4" s="30">
        <v>2216107</v>
      </c>
      <c r="G4" s="3">
        <v>1619963</v>
      </c>
      <c r="I4" s="5" t="s">
        <v>24</v>
      </c>
      <c r="J4" s="6">
        <v>0.84477246299971842</v>
      </c>
      <c r="K4" s="6">
        <v>1.4128574253186035</v>
      </c>
      <c r="L4" s="6">
        <v>1.3702935461910006</v>
      </c>
      <c r="M4" s="6">
        <v>1.1915194917074194</v>
      </c>
      <c r="P4" s="29" t="s">
        <v>2070</v>
      </c>
      <c r="Q4">
        <v>117</v>
      </c>
      <c r="R4">
        <v>1</v>
      </c>
      <c r="S4">
        <v>118</v>
      </c>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row>
    <row r="5" spans="1:48" x14ac:dyDescent="0.15">
      <c r="A5" s="5" t="s">
        <v>16</v>
      </c>
      <c r="B5" s="6">
        <v>1.7024788504974131</v>
      </c>
      <c r="C5" s="3">
        <v>74.053283091032142</v>
      </c>
      <c r="D5" s="6">
        <v>0.41481428881914684</v>
      </c>
      <c r="E5" s="6">
        <v>0.13690541495309425</v>
      </c>
      <c r="F5" s="30">
        <v>1997307</v>
      </c>
      <c r="G5" s="3">
        <v>1554848</v>
      </c>
      <c r="I5" s="5" t="s">
        <v>30</v>
      </c>
      <c r="J5" s="6">
        <v>1.2804656204786107</v>
      </c>
      <c r="K5" s="6">
        <v>1.4227636314742991</v>
      </c>
      <c r="L5" s="6">
        <v>1.3389243684079613</v>
      </c>
      <c r="M5" s="6">
        <v>1.3367473249677044</v>
      </c>
      <c r="P5" s="42" t="s">
        <v>2074</v>
      </c>
      <c r="Q5">
        <v>32</v>
      </c>
      <c r="S5">
        <v>32</v>
      </c>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row>
    <row r="6" spans="1:48" x14ac:dyDescent="0.15">
      <c r="A6" s="5" t="s">
        <v>21</v>
      </c>
      <c r="B6" s="6">
        <v>1.449518289025731</v>
      </c>
      <c r="C6" s="3">
        <v>80.702581511154733</v>
      </c>
      <c r="D6" s="6">
        <v>0.40473023639208727</v>
      </c>
      <c r="E6" s="6">
        <v>0.17072117554404992</v>
      </c>
      <c r="F6" s="30">
        <v>2062699</v>
      </c>
      <c r="G6" s="3">
        <v>1618381</v>
      </c>
      <c r="I6" s="5" t="s">
        <v>16</v>
      </c>
      <c r="J6" s="6">
        <v>1.4478971358867647</v>
      </c>
      <c r="K6" s="6">
        <v>1.6715244839675631</v>
      </c>
      <c r="L6" s="6">
        <v>1.9597093338159115</v>
      </c>
      <c r="M6" s="6">
        <v>1.7024788504974129</v>
      </c>
      <c r="P6" s="42" t="s">
        <v>2075</v>
      </c>
      <c r="Q6">
        <v>42</v>
      </c>
      <c r="S6">
        <v>42</v>
      </c>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row>
    <row r="7" spans="1:48" x14ac:dyDescent="0.15">
      <c r="A7" s="5" t="s">
        <v>2025</v>
      </c>
      <c r="B7" s="6">
        <v>1.4681652905196341</v>
      </c>
      <c r="C7" s="3">
        <v>83.685978514071834</v>
      </c>
      <c r="D7" s="6">
        <v>0.41410728284644516</v>
      </c>
      <c r="E7" s="6">
        <v>0.15182504045289683</v>
      </c>
      <c r="F7" s="30">
        <v>10174692</v>
      </c>
      <c r="G7" s="3">
        <v>7637291</v>
      </c>
      <c r="I7" s="5" t="s">
        <v>21</v>
      </c>
      <c r="J7" s="6">
        <v>1.507762496638329</v>
      </c>
      <c r="K7" s="6">
        <v>1.7386136178967762</v>
      </c>
      <c r="L7" s="6">
        <v>1.2757599495675784</v>
      </c>
      <c r="M7" s="6">
        <v>1.4495182890257303</v>
      </c>
      <c r="P7" s="42" t="s">
        <v>2076</v>
      </c>
      <c r="Q7">
        <v>43</v>
      </c>
      <c r="R7">
        <v>1</v>
      </c>
      <c r="S7">
        <v>44</v>
      </c>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row>
    <row r="8" spans="1:48" x14ac:dyDescent="0.15">
      <c r="I8" s="5" t="s">
        <v>2025</v>
      </c>
      <c r="J8" s="6">
        <v>1.4073621205845217</v>
      </c>
      <c r="K8" s="6">
        <v>1.5998676451446094</v>
      </c>
      <c r="L8" s="6">
        <v>1.4523361329178526</v>
      </c>
      <c r="M8" s="6">
        <v>1.4681652905196332</v>
      </c>
      <c r="P8" s="29" t="s">
        <v>2071</v>
      </c>
      <c r="Q8">
        <v>111</v>
      </c>
      <c r="R8">
        <v>20</v>
      </c>
      <c r="S8">
        <v>131</v>
      </c>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row>
    <row r="9" spans="1:48" x14ac:dyDescent="0.15">
      <c r="A9" s="4" t="s">
        <v>2029</v>
      </c>
      <c r="B9" t="s">
        <v>2042</v>
      </c>
      <c r="C9" t="s">
        <v>2043</v>
      </c>
      <c r="P9" s="42" t="s">
        <v>2077</v>
      </c>
      <c r="Q9">
        <v>41</v>
      </c>
      <c r="R9">
        <v>8</v>
      </c>
      <c r="S9">
        <v>49</v>
      </c>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row>
    <row r="10" spans="1:48" x14ac:dyDescent="0.15">
      <c r="A10" s="5" t="s">
        <v>14</v>
      </c>
      <c r="B10" s="6">
        <v>0.14801436424808104</v>
      </c>
      <c r="C10" s="6">
        <v>0.39410025569043688</v>
      </c>
      <c r="I10" s="4" t="s">
        <v>2029</v>
      </c>
      <c r="J10" t="s">
        <v>2046</v>
      </c>
      <c r="P10" s="42" t="s">
        <v>2078</v>
      </c>
      <c r="Q10">
        <v>40</v>
      </c>
      <c r="R10">
        <v>5</v>
      </c>
      <c r="S10">
        <v>45</v>
      </c>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row>
    <row r="11" spans="1:48" x14ac:dyDescent="0.15">
      <c r="A11" s="5" t="s">
        <v>53</v>
      </c>
      <c r="B11" s="6">
        <v>0.16221460745082894</v>
      </c>
      <c r="C11" s="6">
        <v>0.37845836381197284</v>
      </c>
      <c r="I11" s="5" t="s">
        <v>35</v>
      </c>
      <c r="J11" s="6">
        <v>2.5051979567219811</v>
      </c>
      <c r="P11" s="42" t="s">
        <v>2079</v>
      </c>
      <c r="Q11">
        <v>30</v>
      </c>
      <c r="R11">
        <v>7</v>
      </c>
      <c r="S11">
        <v>37</v>
      </c>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row>
    <row r="12" spans="1:48" x14ac:dyDescent="0.15">
      <c r="A12" s="5" t="s">
        <v>19</v>
      </c>
      <c r="B12" s="6">
        <v>0.15428365734173147</v>
      </c>
      <c r="C12" s="6">
        <v>0.41549982806837943</v>
      </c>
      <c r="I12" s="5" t="s">
        <v>24</v>
      </c>
      <c r="J12" s="6">
        <v>2.7089284184779494</v>
      </c>
      <c r="P12" s="29" t="s">
        <v>2072</v>
      </c>
      <c r="Q12">
        <v>78</v>
      </c>
      <c r="R12">
        <v>48</v>
      </c>
      <c r="S12">
        <v>126</v>
      </c>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row>
    <row r="13" spans="1:48" x14ac:dyDescent="0.15">
      <c r="A13" s="5" t="s">
        <v>37</v>
      </c>
      <c r="B13" s="6">
        <v>0.14279945039695763</v>
      </c>
      <c r="C13" s="6">
        <v>0.46330104543828149</v>
      </c>
      <c r="I13" s="5" t="s">
        <v>30</v>
      </c>
      <c r="J13" s="6">
        <v>2.6910410697678717</v>
      </c>
      <c r="P13" s="42" t="s">
        <v>2080</v>
      </c>
      <c r="Q13">
        <v>23</v>
      </c>
      <c r="R13">
        <v>16</v>
      </c>
      <c r="S13">
        <v>39</v>
      </c>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row>
    <row r="14" spans="1:48" x14ac:dyDescent="0.15">
      <c r="A14" s="5" t="s">
        <v>2025</v>
      </c>
      <c r="B14" s="6">
        <v>0.15182504045289685</v>
      </c>
      <c r="C14" s="6">
        <v>0.4141072828464451</v>
      </c>
      <c r="I14" s="5" t="s">
        <v>16</v>
      </c>
      <c r="J14" s="6">
        <v>2.725674062221668</v>
      </c>
      <c r="P14" s="42" t="s">
        <v>2081</v>
      </c>
      <c r="Q14">
        <v>30</v>
      </c>
      <c r="R14">
        <v>20</v>
      </c>
      <c r="S14">
        <v>50</v>
      </c>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row>
    <row r="15" spans="1:48" x14ac:dyDescent="0.15">
      <c r="I15" s="5" t="s">
        <v>21</v>
      </c>
      <c r="J15" s="6">
        <v>2.5500534164874598</v>
      </c>
      <c r="P15" s="42" t="s">
        <v>2082</v>
      </c>
      <c r="Q15">
        <v>25</v>
      </c>
      <c r="R15">
        <v>12</v>
      </c>
      <c r="S15">
        <v>37</v>
      </c>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row>
    <row r="16" spans="1:48" x14ac:dyDescent="0.15">
      <c r="I16" s="5" t="s">
        <v>2025</v>
      </c>
      <c r="J16" s="6">
        <v>2.636170828403428</v>
      </c>
      <c r="P16" s="29" t="s">
        <v>2073</v>
      </c>
      <c r="Q16">
        <v>67</v>
      </c>
      <c r="R16">
        <v>61</v>
      </c>
      <c r="S16">
        <v>128</v>
      </c>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row>
    <row r="17" spans="16:48" x14ac:dyDescent="0.15">
      <c r="P17" s="42" t="s">
        <v>2083</v>
      </c>
      <c r="Q17">
        <v>25</v>
      </c>
      <c r="R17">
        <v>22</v>
      </c>
      <c r="S17">
        <v>47</v>
      </c>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row>
    <row r="18" spans="16:48" x14ac:dyDescent="0.15">
      <c r="P18" s="42" t="s">
        <v>2084</v>
      </c>
      <c r="Q18">
        <v>16</v>
      </c>
      <c r="R18">
        <v>18</v>
      </c>
      <c r="S18">
        <v>34</v>
      </c>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row>
    <row r="19" spans="16:48" x14ac:dyDescent="0.15">
      <c r="P19" s="42" t="s">
        <v>2085</v>
      </c>
      <c r="Q19">
        <v>26</v>
      </c>
      <c r="R19">
        <v>21</v>
      </c>
      <c r="S19">
        <v>47</v>
      </c>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row>
    <row r="20" spans="16:48" x14ac:dyDescent="0.15">
      <c r="P20" s="5" t="s">
        <v>2069</v>
      </c>
      <c r="Q20">
        <v>119</v>
      </c>
      <c r="R20">
        <v>378</v>
      </c>
      <c r="S20">
        <v>497</v>
      </c>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row>
    <row r="21" spans="16:48" x14ac:dyDescent="0.15">
      <c r="P21" s="29" t="s">
        <v>2070</v>
      </c>
      <c r="Q21">
        <v>48</v>
      </c>
      <c r="R21">
        <v>73</v>
      </c>
      <c r="S21">
        <v>121</v>
      </c>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row>
    <row r="22" spans="16:48" x14ac:dyDescent="0.15">
      <c r="P22" s="42" t="s">
        <v>2074</v>
      </c>
      <c r="Q22">
        <v>16</v>
      </c>
      <c r="R22">
        <v>28</v>
      </c>
      <c r="S22">
        <v>44</v>
      </c>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row>
    <row r="23" spans="16:48" x14ac:dyDescent="0.15">
      <c r="P23" s="42" t="s">
        <v>2075</v>
      </c>
      <c r="Q23">
        <v>16</v>
      </c>
      <c r="R23">
        <v>21</v>
      </c>
      <c r="S23">
        <v>37</v>
      </c>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row>
    <row r="24" spans="16:48" x14ac:dyDescent="0.15">
      <c r="P24" s="42" t="s">
        <v>2076</v>
      </c>
      <c r="Q24">
        <v>16</v>
      </c>
      <c r="R24">
        <v>24</v>
      </c>
      <c r="S24">
        <v>40</v>
      </c>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row>
    <row r="25" spans="16:48" x14ac:dyDescent="0.15">
      <c r="P25" s="29" t="s">
        <v>2071</v>
      </c>
      <c r="Q25">
        <v>43</v>
      </c>
      <c r="R25">
        <v>101</v>
      </c>
      <c r="S25">
        <v>144</v>
      </c>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row>
    <row r="26" spans="16:48" x14ac:dyDescent="0.15">
      <c r="P26" s="42" t="s">
        <v>2077</v>
      </c>
      <c r="Q26">
        <v>22</v>
      </c>
      <c r="R26">
        <v>33</v>
      </c>
      <c r="S26">
        <v>55</v>
      </c>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row>
    <row r="27" spans="16:48" x14ac:dyDescent="0.15">
      <c r="P27" s="42" t="s">
        <v>2078</v>
      </c>
      <c r="Q27">
        <v>12</v>
      </c>
      <c r="R27">
        <v>27</v>
      </c>
      <c r="S27">
        <v>39</v>
      </c>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row>
    <row r="28" spans="16:48" x14ac:dyDescent="0.15">
      <c r="P28" s="42" t="s">
        <v>2079</v>
      </c>
      <c r="Q28">
        <v>9</v>
      </c>
      <c r="R28">
        <v>41</v>
      </c>
      <c r="S28">
        <v>50</v>
      </c>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row>
    <row r="29" spans="16:48" x14ac:dyDescent="0.15">
      <c r="P29" s="29" t="s">
        <v>2072</v>
      </c>
      <c r="Q29">
        <v>24</v>
      </c>
      <c r="R29">
        <v>92</v>
      </c>
      <c r="S29">
        <v>116</v>
      </c>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row>
    <row r="30" spans="16:48" x14ac:dyDescent="0.15">
      <c r="P30" s="42" t="s">
        <v>2080</v>
      </c>
      <c r="Q30">
        <v>11</v>
      </c>
      <c r="R30">
        <v>37</v>
      </c>
      <c r="S30">
        <v>48</v>
      </c>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row>
    <row r="31" spans="16:48" x14ac:dyDescent="0.15">
      <c r="P31" s="42" t="s">
        <v>2081</v>
      </c>
      <c r="Q31">
        <v>7</v>
      </c>
      <c r="R31">
        <v>30</v>
      </c>
      <c r="S31">
        <v>37</v>
      </c>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row>
    <row r="32" spans="16:48" x14ac:dyDescent="0.15">
      <c r="P32" s="42" t="s">
        <v>2082</v>
      </c>
      <c r="Q32">
        <v>6</v>
      </c>
      <c r="R32">
        <v>25</v>
      </c>
      <c r="S32">
        <v>31</v>
      </c>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row>
    <row r="33" spans="16:48" x14ac:dyDescent="0.15">
      <c r="P33" s="29" t="s">
        <v>2073</v>
      </c>
      <c r="Q33">
        <v>4</v>
      </c>
      <c r="R33">
        <v>112</v>
      </c>
      <c r="S33">
        <v>116</v>
      </c>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row>
    <row r="34" spans="16:48" x14ac:dyDescent="0.15">
      <c r="P34" s="42" t="s">
        <v>2083</v>
      </c>
      <c r="Q34">
        <v>2</v>
      </c>
      <c r="R34">
        <v>46</v>
      </c>
      <c r="S34">
        <v>48</v>
      </c>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row>
    <row r="35" spans="16:48" x14ac:dyDescent="0.15">
      <c r="P35" s="42" t="s">
        <v>2084</v>
      </c>
      <c r="Q35">
        <v>2</v>
      </c>
      <c r="R35">
        <v>32</v>
      </c>
      <c r="S35">
        <v>34</v>
      </c>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row>
    <row r="36" spans="16:48" x14ac:dyDescent="0.15">
      <c r="P36" s="42" t="s">
        <v>2085</v>
      </c>
      <c r="R36">
        <v>34</v>
      </c>
      <c r="S36">
        <v>34</v>
      </c>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row>
    <row r="37" spans="16:48" x14ac:dyDescent="0.15">
      <c r="P37" s="5" t="s">
        <v>2025</v>
      </c>
      <c r="Q37">
        <v>492</v>
      </c>
      <c r="R37">
        <v>508</v>
      </c>
      <c r="S37">
        <v>1000</v>
      </c>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row>
    <row r="38" spans="16:48" x14ac:dyDescent="0.15">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row>
    <row r="39" spans="16:48" x14ac:dyDescent="0.15">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row>
    <row r="40" spans="16:48" x14ac:dyDescent="0.15">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row>
    <row r="41" spans="16:48" x14ac:dyDescent="0.15">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row>
    <row r="42" spans="16:48" x14ac:dyDescent="0.15">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row>
    <row r="43" spans="16:48" x14ac:dyDescent="0.15">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row>
    <row r="44" spans="16:48" x14ac:dyDescent="0.15">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row>
    <row r="45" spans="16:48" x14ac:dyDescent="0.15">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row>
    <row r="46" spans="16:48" x14ac:dyDescent="0.15">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row>
    <row r="47" spans="16:48" x14ac:dyDescent="0.15">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row>
    <row r="48" spans="16:48" x14ac:dyDescent="0.15">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row>
    <row r="49" spans="22:48" x14ac:dyDescent="0.15">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row>
    <row r="50" spans="22:48" x14ac:dyDescent="0.15">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row>
    <row r="51" spans="22:48" x14ac:dyDescent="0.15">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row>
    <row r="52" spans="22:48" x14ac:dyDescent="0.15">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row>
    <row r="53" spans="22:48" x14ac:dyDescent="0.15">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row>
    <row r="54" spans="22:48" x14ac:dyDescent="0.15">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row>
    <row r="55" spans="22:48" x14ac:dyDescent="0.15">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row>
    <row r="56" spans="22:48" x14ac:dyDescent="0.15">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row>
    <row r="57" spans="22:48" x14ac:dyDescent="0.15">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row>
    <row r="58" spans="22:48" x14ac:dyDescent="0.15">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row>
    <row r="59" spans="22:48" x14ac:dyDescent="0.15">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row>
    <row r="60" spans="22:48" x14ac:dyDescent="0.15">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row>
    <row r="61" spans="22:48" x14ac:dyDescent="0.15">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row>
    <row r="62" spans="22:48" x14ac:dyDescent="0.15">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row>
    <row r="63" spans="22:48" x14ac:dyDescent="0.15">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row>
    <row r="64" spans="22:48" x14ac:dyDescent="0.15">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row>
    <row r="65" spans="22:48" x14ac:dyDescent="0.15">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row>
    <row r="66" spans="22:48" x14ac:dyDescent="0.15">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row>
    <row r="67" spans="22:48" x14ac:dyDescent="0.15">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row>
    <row r="68" spans="22:48" x14ac:dyDescent="0.15">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row>
    <row r="69" spans="22:48" x14ac:dyDescent="0.15">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row>
    <row r="70" spans="22:48" x14ac:dyDescent="0.15">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row>
    <row r="71" spans="22:48" x14ac:dyDescent="0.15">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row>
    <row r="72" spans="22:48" x14ac:dyDescent="0.15">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row>
    <row r="73" spans="22:48" x14ac:dyDescent="0.15">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row>
    <row r="74" spans="22:48" x14ac:dyDescent="0.15">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row>
    <row r="75" spans="22:48" x14ac:dyDescent="0.15">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row>
    <row r="76" spans="22:48" x14ac:dyDescent="0.15">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row>
    <row r="77" spans="22:48" x14ac:dyDescent="0.15">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row>
    <row r="78" spans="22:48" x14ac:dyDescent="0.15">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row>
    <row r="79" spans="22:48" x14ac:dyDescent="0.15">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row>
    <row r="80" spans="22:48" x14ac:dyDescent="0.15">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row>
    <row r="81" spans="22:48" x14ac:dyDescent="0.15">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row>
    <row r="82" spans="22:48" x14ac:dyDescent="0.15">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row>
    <row r="83" spans="22:48" x14ac:dyDescent="0.15">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row>
    <row r="84" spans="22:48" x14ac:dyDescent="0.15">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row>
    <row r="85" spans="22:48" x14ac:dyDescent="0.15">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row>
    <row r="86" spans="22:48" x14ac:dyDescent="0.15">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row>
    <row r="87" spans="22:48" x14ac:dyDescent="0.15">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row>
    <row r="88" spans="22:48" x14ac:dyDescent="0.15">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row>
    <row r="89" spans="22:48" x14ac:dyDescent="0.15">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row>
    <row r="90" spans="22:48" x14ac:dyDescent="0.15">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row>
    <row r="91" spans="22:48" x14ac:dyDescent="0.15">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row>
    <row r="92" spans="22:48" x14ac:dyDescent="0.15">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row>
    <row r="93" spans="22:48" x14ac:dyDescent="0.15">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Status of Campaign - Sector</vt:lpstr>
      <vt:lpstr>big pivot table </vt:lpstr>
      <vt:lpstr>1</vt:lpstr>
      <vt:lpstr>2</vt:lpstr>
      <vt:lpstr>3</vt:lpstr>
      <vt:lpstr>4</vt:lpstr>
      <vt:lpstr>5</vt:lpstr>
      <vt:lpstr>6</vt:lpstr>
      <vt:lpstr>dashboard pivot - 1 </vt:lpstr>
      <vt:lpstr>roas vs satisfaction</vt:lpstr>
      <vt:lpstr>avg ctr cvr</vt:lpstr>
      <vt:lpstr>avg budget utilization</vt:lpstr>
      <vt:lpstr>Campaign No</vt:lpstr>
      <vt:lpstr>Sheet3</vt:lpstr>
      <vt:lpstr>SOPs DB</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Vishwas Tilwani</cp:lastModifiedBy>
  <dcterms:created xsi:type="dcterms:W3CDTF">2025-11-07T06:37:26Z</dcterms:created>
  <dcterms:modified xsi:type="dcterms:W3CDTF">2026-03-11T03:28:23Z</dcterms:modified>
</cp:coreProperties>
</file>